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sıl Kullanılır" sheetId="1" state="visible" r:id="rId1"/>
    <sheet xmlns:r="http://schemas.openxmlformats.org/officeDocument/2006/relationships" name="Özet" sheetId="2" state="visible" r:id="rId2"/>
    <sheet xmlns:r="http://schemas.openxmlformats.org/officeDocument/2006/relationships" name="Olaylar" sheetId="3" state="visible" r:id="rId3"/>
    <sheet xmlns:r="http://schemas.openxmlformats.org/officeDocument/2006/relationships" name="Seçimler" sheetId="4" state="visible" r:id="rId4"/>
    <sheet xmlns:r="http://schemas.openxmlformats.org/officeDocument/2006/relationships" name="İç Sesler" sheetId="5" state="visible" r:id="rId5"/>
    <sheet xmlns:r="http://schemas.openxmlformats.org/officeDocument/2006/relationships" name="Geçmişten" sheetId="6" state="visible" r:id="rId6"/>
    <sheet xmlns:r="http://schemas.openxmlformats.org/officeDocument/2006/relationships" name="Rozetler" sheetId="7" state="visible" r:id="rId7"/>
    <sheet xmlns:r="http://schemas.openxmlformats.org/officeDocument/2006/relationships" name="Hafıza" sheetId="8" state="visible" r:id="rId8"/>
    <sheet xmlns:r="http://schemas.openxmlformats.org/officeDocument/2006/relationships" name="Ölüm Sebepleri" sheetId="9" state="visible" r:id="rId9"/>
    <sheet xmlns:r="http://schemas.openxmlformats.org/officeDocument/2006/relationships" name="Bölümler" sheetId="10" state="visible" r:id="rId10"/>
  </sheets>
  <definedNames>
    <definedName name="_xlnm._FilterDatabase" localSheetId="2" hidden="1">'Olaylar'!$A$1:$V$486</definedName>
    <definedName name="_xlnm._FilterDatabase" localSheetId="3" hidden="1">'Seçimler'!$A$1:$AJ$1840</definedName>
    <definedName name="_xlnm._FilterDatabase" localSheetId="4" hidden="1">'İç Sesler'!$A$1:$F$616</definedName>
    <definedName name="_xlnm._FilterDatabase" localSheetId="5" hidden="1">'Geçmişten'!$A$1:$C$421</definedName>
    <definedName name="_xlnm._FilterDatabase" localSheetId="6" hidden="1">'Rozetler'!$A$1:$D$57</definedName>
    <definedName name="_xlnm._FilterDatabase" localSheetId="7" hidden="1">'Hafıza'!$A$1:$D$210</definedName>
    <definedName name="_xlnm._FilterDatabase" localSheetId="8" hidden="1">'Ölüm Sebepleri'!$A$1:$E$80</definedName>
    <definedName name="_xlnm._FilterDatabase" localSheetId="9" hidden="1">'Bölümler'!$A$1:$I$11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color rgb="00FFFFFF"/>
    </font>
  </fonts>
  <fills count="3">
    <fill>
      <patternFill/>
    </fill>
    <fill>
      <patternFill patternType="gray125"/>
    </fill>
    <fill>
      <patternFill patternType="solid">
        <fgColor rgb="001D1915"/>
      </patternFill>
    </fill>
  </fills>
  <borders count="2">
    <border>
      <left/>
      <right/>
      <top/>
      <bottom/>
      <diagonal/>
    </border>
    <border>
      <bottom style="thin">
        <color rgb="00D8C9AD"/>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50" customWidth="1" min="1" max="1"/>
  </cols>
  <sheetData>
    <row r="1">
      <c r="A1" s="1" t="inlineStr">
        <is>
          <t>MAKARYA · İÇERİK TABLOSU</t>
        </is>
      </c>
    </row>
    <row r="3">
      <c r="A3" t="inlineStr">
        <is>
          <t>Bu dosya oyunun bütün içeriğinin ana kaynağıdır. Burada yapılan değişiklikler oyuna şöyle geçer:</t>
        </is>
      </c>
    </row>
    <row r="4">
      <c r="A4" t="inlineStr">
        <is>
          <t>1) Dosyayı düzenle ve kaydet (adını değiştirme: Makarya_Icerik.xlsx).</t>
        </is>
      </c>
    </row>
    <row r="5">
      <c r="A5" t="inlineStr">
        <is>
          <t>2) GitHub'da depoya yükle (Add file → Upload files) ya da Claude'a gönder.</t>
        </is>
      </c>
    </row>
    <row r="6">
      <c r="A6" t="inlineStr">
        <is>
          <t>3) Dosya oyunun formatına dönüştürülür ve birkaç dakika içinde oyunda görünür.</t>
        </is>
      </c>
    </row>
    <row r="8">
      <c r="A8" s="2" t="inlineStr">
        <is>
          <t>ADLANDIRMA: ÖZELLİK = dokuz temel değer (Akıl, Çene, Kurnazlık, Cesaret, Pişkinlik, İtibar, Gönül, Dayanıklılık, Sosyal Radar). ROZET = zor işlerle kazanılan ödüller (Kitap Kurdu, Kantin Ekonomisti…).</t>
        </is>
      </c>
    </row>
    <row r="10">
      <c r="A10" t="inlineStr">
        <is>
          <t>SAYFALAR</t>
        </is>
      </c>
    </row>
    <row r="11">
      <c r="A11" t="inlineStr">
        <is>
          <t>Olaylar: Her satır bir olay. Olay ID benzersiz olmalı (küçük harf ve tire). Bölüm 1–10. Yaş örn. '12 yaş 6 ay'.</t>
        </is>
      </c>
    </row>
    <row r="12">
      <c r="A12" t="inlineStr">
        <is>
          <t>Seçimler: Her satır bir seçim; Olay ID ile olaya bağlanır, Sıra ile dizilir. Bir olayda 2–5 seçim olur.</t>
        </is>
      </c>
    </row>
    <row r="13">
      <c r="A13" t="inlineStr">
        <is>
          <t xml:space="preserve">   • Kesin sonuçlu seçim: 'Kesin etki' (ör. İtibar +2, Çene +1) ve 'Kesin sonuç metni' doldurulur.</t>
        </is>
      </c>
    </row>
    <row r="14">
      <c r="A14" t="inlineStr">
        <is>
          <t xml:space="preserve">   • Zarlı seçim: Özellik + Zorluk + dört sonuç metni (Başarı, Kritik başarı, Başarısız, Kritik hata).</t>
        </is>
      </c>
    </row>
    <row r="15">
      <c r="A15" t="inlineStr">
        <is>
          <t xml:space="preserve">   • Mini oyunlu seçim: zarlı seçim + Mini oyun türü + başlık + ipucu + 'Yarım (mini oyun)' metni.</t>
        </is>
      </c>
    </row>
    <row r="16">
      <c r="A16" t="inlineStr">
        <is>
          <t xml:space="preserve">   • Ölüm riski yalnızca Bölüm 6 ve sonrası (18+). Yüzde olarak yaz (ör. 3). Oyuncu bu yüzdeyi görür.</t>
        </is>
      </c>
    </row>
    <row r="17">
      <c r="A17" t="inlineStr">
        <is>
          <t xml:space="preserve">   • Bir seçim birden fazla hafıza yazabilir: virgülle ayır (ör. 'hat-polis, meslek-memur'). Kavşak sonucunda ilk hafızanın etiketi görünür.</t>
        </is>
      </c>
    </row>
    <row r="18">
      <c r="A18" t="inlineStr">
        <is>
          <t xml:space="preserve">   • Gereken varlık: seçenek yalnızca oyuncunun varlığı bu kademe ya da üstündeyse açılır (Borçlu, Kıt, Orta, Rahat, Varlıklı). Kazanç kademesi: seçim başarılı olursa varlık en az bu kademeye çıkar.</t>
        </is>
      </c>
    </row>
    <row r="19">
      <c r="A19" t="inlineStr">
        <is>
          <t xml:space="preserve">   • Bir hafızanın başına eksi koyarsan silinir (ör. '-meslek-memur, hat-koy' hattı değiştirir). 'Hat' sütunu olayı yalnızca o hattaki oyuncuya çıkarır (ör. polis, cete).</t>
        </is>
      </c>
    </row>
    <row r="20">
      <c r="A20" t="inlineStr">
        <is>
          <t xml:space="preserve">   • Lakap: seçim kritik hatayla biterse mahallenin karaktere taktığı ad (ör. 'Hıçkırık'). Bölüm sonunda ve mezar taşında görünür.</t>
        </is>
      </c>
    </row>
    <row r="21">
      <c r="A21" t="inlineStr">
        <is>
          <t xml:space="preserve">   • Gereken özellik değeri: seçenek yalnızca özellik bu değer ya da üstündeyse açılır (ör. 'İtibar 46'). İtibar kapıları kefil ve referans seçenekleri içindir.</t>
        </is>
      </c>
    </row>
    <row r="22">
      <c r="A22" t="inlineStr">
        <is>
          <t xml:space="preserve">   • Olaylar sayfasındaki 'Herhangi biri hafıza': yazılan hafızalardan en az biri varsa olay çıkar. Kavşakta, geçmişe bağlı kilitli seçenekler belirsiz bir gerekçeyle görünür.</t>
        </is>
      </c>
    </row>
    <row r="23">
      <c r="A23" t="inlineStr">
        <is>
          <t>İç Sesler: Olayın başında araya giren özellik yorumları. 'Seçenek açar' = E ise, 'İç ses açar' sütununda aynı özelliği yazan seçim ancak bu ses başarılı olursa görünür.</t>
        </is>
      </c>
    </row>
    <row r="24">
      <c r="A24" t="inlineStr">
        <is>
          <t>Geçmişten: Oyuncunun hafızasında o kayıt varsa olayda gösterilen hatırlatma cümlesi.</t>
        </is>
      </c>
    </row>
    <row r="25">
      <c r="A25" t="inlineStr">
        <is>
          <t>Rozetler: Kazanılabilir rozetler; Bonus ilgili özellik kontrollerinde zar hedefini düşürür (ör. Çene +1, Kurnazlık +1).</t>
        </is>
      </c>
    </row>
    <row r="26">
      <c r="A26" t="inlineStr">
        <is>
          <t>Hafıza: Seçimlerin yazdığı kayıtlar ve final kartındaki açıklamaları. 'Bölüm sonu cümlesi': bu hafıza o bölümde açılırsa bölüm sonunda aile büyüğünün ağzından anlatılan cümle (tırnak içinde).</t>
        </is>
      </c>
    </row>
    <row r="27">
      <c r="A27" t="inlineStr">
        <is>
          <t>Ölüm Sebepleri: 18 yaş sonrası yaşla artan arka plan riskinden ölünce mezar taşına yazılır. Mekân grubu (ev, yol, is, saglik, sosyal, kurum): neden, olayın geçtiği yere uyan gruptan seçilir; kavşak olaylarında arka plan ölümü yoktur, ölüm yalnızca seçimin kendi riskinden gelir.</t>
        </is>
      </c>
    </row>
    <row r="28">
      <c r="A28" s="2" t="inlineStr">
        <is>
          <t>Bölümler: Her bölümde bir hayatta kaç olay görüleceği (Seçilecek olay), zorluk ayarı (Beklenen özellik: o bölümde bir özelliğin olağan değeri) ve bölüm sonu ekranı.</t>
        </is>
      </c>
    </row>
    <row r="29">
      <c r="A29" t="inlineStr">
        <is>
          <t>Özet: Bölüm başına olay, mini oyun ve risk sayıları (otomatik hesaplanır).</t>
        </is>
      </c>
    </row>
    <row r="31">
      <c r="A31" t="inlineStr">
        <is>
          <t>KURALLAR (yazım yönergesinin özeti)</t>
        </is>
      </c>
    </row>
    <row r="32">
      <c r="A32" t="inlineStr">
        <is>
          <t>• Makarya, Türkiye'ye benzeyen kurgusal bir ülkedir ve günümüzde geçer.</t>
        </is>
      </c>
    </row>
    <row r="33">
      <c r="A33" t="inlineStr">
        <is>
          <t>• Marka, uygulama, kulüp, ünlü, gerçek kişi, gerçek şehir/semt/anıt, gerçek sınav ve kurum adı YOK.</t>
        </is>
      </c>
    </row>
    <row r="34">
      <c r="A34" t="inlineStr">
        <is>
          <t>• Din ve siyaset espri konusu değildir; siyasetçi yalnızca isimsiz ve genel olarak geçebilir.</t>
        </is>
      </c>
    </row>
    <row r="35">
      <c r="A35" t="inlineStr">
        <is>
          <t>• Ölüm yalnızca 18 yaşından sonra; şiddet sahne dışında; hastalık, yoksulluk, engellilik alay konusu değildir.</t>
        </is>
      </c>
    </row>
    <row r="36">
      <c r="A36" s="2" t="inlineStr">
        <is>
          <t>• Sonuç metinleri 1–2 cümle; espri son kelimede patlasın. Oyuncuya 'sen' diye hitap edilir.</t>
        </is>
      </c>
    </row>
    <row r="37">
      <c r="A37" t="inlineStr">
        <is>
          <t>• Açılır listeli sütunlarda yalnızca listedeki değerleri kullan.</t>
        </is>
      </c>
    </row>
    <row r="39">
      <c r="A39" t="inlineStr">
        <is>
          <t>DEĞERLER</t>
        </is>
      </c>
    </row>
    <row r="40">
      <c r="A40" t="inlineStr">
        <is>
          <t>Özellik: Akıl, Çene, Kurnazlık, Cesaret, Pişkinlik, İtibar, Gönül, Dayanıklılık, Sosyal Radar</t>
        </is>
      </c>
    </row>
    <row r="41">
      <c r="A41" t="inlineStr">
        <is>
          <t>Zorluk: Çok Kolay, Kolay, Orta, Zor, Çok Zor</t>
        </is>
      </c>
    </row>
    <row r="42">
      <c r="A42" t="inlineStr">
        <is>
          <t>Aile türü: ev, para, sosyal, okul-iş</t>
        </is>
      </c>
    </row>
    <row r="43">
      <c r="A43" t="inlineStr">
        <is>
          <t>Mini oyun: timing, hold, collect, race, memory, cups, doors, rhythm, lanes, simon, poker, trace, bargain, swipe, breath, balance</t>
        </is>
      </c>
    </row>
    <row r="44">
      <c r="A44" t="inlineStr">
        <is>
          <t>Mekân: ev, mutfak, cocuk-odasi, okul, sinif, okul-bahcesi, sokak, park, bakkal, market, carsi, ofis, dukkan, devlet-dairesi, hastane, dugun-salonu, kafe, toplu-tasima, trafik, universite, kisla, banka, apartman, sahil, huzurevi, mezarlik, yazlik, stadyum, sahne, mahkeme, karakol, cezaevi, koy, havalimani, meclis, studyo</t>
        </is>
      </c>
    </row>
    <row r="45">
      <c r="A45" t="inlineStr">
        <is>
          <t>Aileler: Yalçın, Erdem, Keskin, Tan, Varlı, Şen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0" customWidth="1" min="1" max="1"/>
    <col width="12" customWidth="1" min="2" max="2"/>
    <col width="12" customWidth="1" min="3" max="3"/>
    <col width="18" customWidth="1" min="4" max="4"/>
    <col width="12" customWidth="1" min="5" max="5"/>
    <col width="18" customWidth="1" min="6" max="6"/>
    <col width="18" customWidth="1" min="7" max="7"/>
  </cols>
  <sheetData>
    <row r="1">
      <c r="A1" s="3" t="inlineStr">
        <is>
          <t>Bölüm</t>
        </is>
      </c>
      <c r="B1" s="3" t="inlineStr">
        <is>
          <t>Olay sayısı</t>
        </is>
      </c>
      <c r="C1" s="3" t="inlineStr">
        <is>
          <t>Sabit olay</t>
        </is>
      </c>
      <c r="D1" s="3" t="inlineStr">
        <is>
          <t>Bir hayatta görülen</t>
        </is>
      </c>
      <c r="E1" s="3" t="inlineStr">
        <is>
          <t>Seçim sayısı</t>
        </is>
      </c>
      <c r="F1" s="3" t="inlineStr">
        <is>
          <t>Mini oyunlu seçim</t>
        </is>
      </c>
      <c r="G1" s="3" t="inlineStr">
        <is>
          <t>Ölüm riskli seçim</t>
        </is>
      </c>
    </row>
    <row r="2">
      <c r="A2" t="n">
        <v>1</v>
      </c>
      <c r="B2">
        <f>COUNTIF(Olaylar!B:B,1)</f>
        <v/>
      </c>
      <c r="C2">
        <f>COUNTIFS(Olaylar!B:B,1,Olaylar!I:I,"E")</f>
        <v/>
      </c>
      <c r="D2">
        <f>VLOOKUP(1,Bölümler!A:C,3,FALSE)</f>
        <v/>
      </c>
      <c r="E2">
        <f>SUMPRODUCT((COUNTIFS(Seçimler!A:A,Olaylar!A$2:A$486)&gt;0)*(Olaylar!B$2:B$486=1)*COUNTIFS(Seçimler!A:A,Olaylar!A$2:A$486))</f>
        <v/>
      </c>
    </row>
    <row r="3">
      <c r="A3" t="n">
        <v>2</v>
      </c>
      <c r="B3">
        <f>COUNTIF(Olaylar!B:B,2)</f>
        <v/>
      </c>
      <c r="C3">
        <f>COUNTIFS(Olaylar!B:B,2,Olaylar!I:I,"E")</f>
        <v/>
      </c>
      <c r="D3">
        <f>VLOOKUP(2,Bölümler!A:C,3,FALSE)</f>
        <v/>
      </c>
      <c r="E3">
        <f>SUMPRODUCT((COUNTIFS(Seçimler!A:A,Olaylar!A$2:A$486)&gt;0)*(Olaylar!B$2:B$486=2)*COUNTIFS(Seçimler!A:A,Olaylar!A$2:A$486))</f>
        <v/>
      </c>
    </row>
    <row r="4">
      <c r="A4" t="n">
        <v>3</v>
      </c>
      <c r="B4">
        <f>COUNTIF(Olaylar!B:B,3)</f>
        <v/>
      </c>
      <c r="C4">
        <f>COUNTIFS(Olaylar!B:B,3,Olaylar!I:I,"E")</f>
        <v/>
      </c>
      <c r="D4">
        <f>VLOOKUP(3,Bölümler!A:C,3,FALSE)</f>
        <v/>
      </c>
      <c r="E4">
        <f>SUMPRODUCT((COUNTIFS(Seçimler!A:A,Olaylar!A$2:A$486)&gt;0)*(Olaylar!B$2:B$486=3)*COUNTIFS(Seçimler!A:A,Olaylar!A$2:A$486))</f>
        <v/>
      </c>
    </row>
    <row r="5">
      <c r="A5" t="n">
        <v>4</v>
      </c>
      <c r="B5">
        <f>COUNTIF(Olaylar!B:B,4)</f>
        <v/>
      </c>
      <c r="C5">
        <f>COUNTIFS(Olaylar!B:B,4,Olaylar!I:I,"E")</f>
        <v/>
      </c>
      <c r="D5">
        <f>VLOOKUP(4,Bölümler!A:C,3,FALSE)</f>
        <v/>
      </c>
      <c r="E5">
        <f>SUMPRODUCT((COUNTIFS(Seçimler!A:A,Olaylar!A$2:A$486)&gt;0)*(Olaylar!B$2:B$486=4)*COUNTIFS(Seçimler!A:A,Olaylar!A$2:A$486))</f>
        <v/>
      </c>
    </row>
    <row r="6">
      <c r="A6" t="n">
        <v>5</v>
      </c>
      <c r="B6">
        <f>COUNTIF(Olaylar!B:B,5)</f>
        <v/>
      </c>
      <c r="C6">
        <f>COUNTIFS(Olaylar!B:B,5,Olaylar!I:I,"E")</f>
        <v/>
      </c>
      <c r="D6">
        <f>VLOOKUP(5,Bölümler!A:C,3,FALSE)</f>
        <v/>
      </c>
      <c r="E6">
        <f>SUMPRODUCT((COUNTIFS(Seçimler!A:A,Olaylar!A$2:A$486)&gt;0)*(Olaylar!B$2:B$486=5)*COUNTIFS(Seçimler!A:A,Olaylar!A$2:A$486))</f>
        <v/>
      </c>
    </row>
    <row r="7">
      <c r="A7" t="n">
        <v>6</v>
      </c>
      <c r="B7">
        <f>COUNTIF(Olaylar!B:B,6)</f>
        <v/>
      </c>
      <c r="C7">
        <f>COUNTIFS(Olaylar!B:B,6,Olaylar!I:I,"E")</f>
        <v/>
      </c>
      <c r="D7">
        <f>VLOOKUP(6,Bölümler!A:C,3,FALSE)</f>
        <v/>
      </c>
      <c r="E7">
        <f>SUMPRODUCT((COUNTIFS(Seçimler!A:A,Olaylar!A$2:A$486)&gt;0)*(Olaylar!B$2:B$486=6)*COUNTIFS(Seçimler!A:A,Olaylar!A$2:A$486))</f>
        <v/>
      </c>
    </row>
    <row r="8">
      <c r="A8" t="n">
        <v>7</v>
      </c>
      <c r="B8">
        <f>COUNTIF(Olaylar!B:B,7)</f>
        <v/>
      </c>
      <c r="C8">
        <f>COUNTIFS(Olaylar!B:B,7,Olaylar!I:I,"E")</f>
        <v/>
      </c>
      <c r="D8">
        <f>VLOOKUP(7,Bölümler!A:C,3,FALSE)</f>
        <v/>
      </c>
      <c r="E8">
        <f>SUMPRODUCT((COUNTIFS(Seçimler!A:A,Olaylar!A$2:A$486)&gt;0)*(Olaylar!B$2:B$486=7)*COUNTIFS(Seçimler!A:A,Olaylar!A$2:A$486))</f>
        <v/>
      </c>
    </row>
    <row r="9">
      <c r="A9" t="n">
        <v>8</v>
      </c>
      <c r="B9">
        <f>COUNTIF(Olaylar!B:B,8)</f>
        <v/>
      </c>
      <c r="C9">
        <f>COUNTIFS(Olaylar!B:B,8,Olaylar!I:I,"E")</f>
        <v/>
      </c>
      <c r="D9">
        <f>VLOOKUP(8,Bölümler!A:C,3,FALSE)</f>
        <v/>
      </c>
      <c r="E9">
        <f>SUMPRODUCT((COUNTIFS(Seçimler!A:A,Olaylar!A$2:A$486)&gt;0)*(Olaylar!B$2:B$486=8)*COUNTIFS(Seçimler!A:A,Olaylar!A$2:A$486))</f>
        <v/>
      </c>
    </row>
    <row r="10">
      <c r="A10" t="n">
        <v>9</v>
      </c>
      <c r="B10">
        <f>COUNTIF(Olaylar!B:B,9)</f>
        <v/>
      </c>
      <c r="C10">
        <f>COUNTIFS(Olaylar!B:B,9,Olaylar!I:I,"E")</f>
        <v/>
      </c>
      <c r="D10">
        <f>VLOOKUP(9,Bölümler!A:C,3,FALSE)</f>
        <v/>
      </c>
      <c r="E10">
        <f>SUMPRODUCT((COUNTIFS(Seçimler!A:A,Olaylar!A$2:A$486)&gt;0)*(Olaylar!B$2:B$486=9)*COUNTIFS(Seçimler!A:A,Olaylar!A$2:A$486))</f>
        <v/>
      </c>
    </row>
    <row r="11">
      <c r="A11" t="n">
        <v>10</v>
      </c>
      <c r="B11">
        <f>COUNTIF(Olaylar!B:B,10)</f>
        <v/>
      </c>
      <c r="C11">
        <f>COUNTIFS(Olaylar!B:B,10,Olaylar!I:I,"E")</f>
        <v/>
      </c>
      <c r="D11">
        <f>VLOOKUP(10,Bölümler!A:C,3,FALSE)</f>
        <v/>
      </c>
      <c r="E11">
        <f>SUMPRODUCT((COUNTIFS(Seçimler!A:A,Olaylar!A$2:A$486)&gt;0)*(Olaylar!B$2:B$486=10)*COUNTIFS(Seçimler!A:A,Olaylar!A$2:A$486))</f>
        <v/>
      </c>
    </row>
    <row r="12">
      <c r="A12" s="2" t="inlineStr">
        <is>
          <t>Toplam</t>
        </is>
      </c>
      <c r="B12">
        <f>SUM(B2:B11)</f>
        <v/>
      </c>
      <c r="C12">
        <f>SUM(C2:C11)</f>
        <v/>
      </c>
      <c r="D12">
        <f>SUM(D2:D11)</f>
        <v/>
      </c>
      <c r="E12">
        <f>SUM(E2:E11)</f>
        <v/>
      </c>
      <c r="F12">
        <f>COUNTIF(Seçimler!M:M,"?*")-1</f>
        <v/>
      </c>
      <c r="G12">
        <f>COUNTIF(Seçimler!Y:Y,"&gt;0")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8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8" customWidth="1" min="2" max="2"/>
    <col width="12" customWidth="1" min="3" max="3"/>
    <col width="7" customWidth="1" min="4" max="4"/>
    <col width="26" customWidth="1" min="5" max="5"/>
    <col width="60" customWidth="1" min="6" max="6"/>
    <col width="14" customWidth="1" min="7" max="7"/>
    <col width="10" customWidth="1" min="8" max="8"/>
    <col width="7" customWidth="1" min="9" max="9"/>
    <col width="8" customWidth="1" min="10" max="10"/>
    <col width="20" customWidth="1" min="11" max="11"/>
    <col width="20" customWidth="1" min="12" max="12"/>
    <col width="18" customWidth="1" min="13" max="13"/>
    <col width="9" customWidth="1" min="14" max="14"/>
    <col width="14" customWidth="1" min="15" max="15"/>
    <col width="14" customWidth="1" min="16" max="16"/>
    <col width="9" customWidth="1" min="17" max="17"/>
    <col width="50" customWidth="1" min="18" max="18"/>
    <col width="22" customWidth="1" min="19" max="19"/>
    <col width="22" customWidth="1" min="20" max="20"/>
    <col width="20" customWidth="1" min="21" max="21"/>
    <col width="16" customWidth="1" min="22" max="22"/>
  </cols>
  <sheetData>
    <row r="1" ht="32" customHeight="1">
      <c r="A1" s="4" t="inlineStr">
        <is>
          <t>Olay ID</t>
        </is>
      </c>
      <c r="B1" s="4" t="inlineStr">
        <is>
          <t>Bölüm</t>
        </is>
      </c>
      <c r="C1" s="4" t="inlineStr">
        <is>
          <t>Yaş</t>
        </is>
      </c>
      <c r="D1" s="4" t="inlineStr">
        <is>
          <t>Simge</t>
        </is>
      </c>
      <c r="E1" s="4" t="inlineStr">
        <is>
          <t>Başlık</t>
        </is>
      </c>
      <c r="F1" s="4" t="inlineStr">
        <is>
          <t>Olay metni</t>
        </is>
      </c>
      <c r="G1" s="4" t="inlineStr">
        <is>
          <t>Mekân</t>
        </is>
      </c>
      <c r="H1" s="4" t="inlineStr">
        <is>
          <t>Aile türü</t>
        </is>
      </c>
      <c r="I1" s="4" t="inlineStr">
        <is>
          <t>Sabit</t>
        </is>
      </c>
      <c r="J1" s="4" t="inlineStr">
        <is>
          <t>Ağırlık</t>
        </is>
      </c>
      <c r="K1" s="4" t="inlineStr">
        <is>
          <t>Gereken hafızalar</t>
        </is>
      </c>
      <c r="L1" s="4" t="inlineStr">
        <is>
          <t>Olmaması gereken hafızalar</t>
        </is>
      </c>
      <c r="M1" s="4" t="inlineStr">
        <is>
          <t>Gereken rozet</t>
        </is>
      </c>
      <c r="N1" s="4" t="inlineStr">
        <is>
          <t>Cinsiyet</t>
        </is>
      </c>
      <c r="O1" s="4" t="inlineStr">
        <is>
          <t>Sadece aileler</t>
        </is>
      </c>
      <c r="P1" s="4" t="inlineStr">
        <is>
          <t>Asgari özellik</t>
        </is>
      </c>
      <c r="Q1" s="4" t="inlineStr">
        <is>
          <t>Kavşak no</t>
        </is>
      </c>
      <c r="R1" s="4" t="inlineStr">
        <is>
          <t>Kavşak girişi</t>
        </is>
      </c>
      <c r="S1" s="4" t="inlineStr">
        <is>
          <t>Kazanırsan</t>
        </is>
      </c>
      <c r="T1" s="4" t="inlineStr">
        <is>
          <t>Kazanamazsan</t>
        </is>
      </c>
      <c r="U1" s="4" t="inlineStr">
        <is>
          <t>Herhangi biri hafıza</t>
        </is>
      </c>
      <c r="V1" s="4" t="inlineStr">
        <is>
          <t>Hat</t>
        </is>
      </c>
    </row>
    <row r="2">
      <c r="A2" s="5" t="inlineStr">
        <is>
          <t>dogum</t>
        </is>
      </c>
      <c r="B2" s="5" t="n">
        <v>1</v>
      </c>
      <c r="C2" s="5" t="inlineStr">
        <is>
          <t>0 yaş</t>
        </is>
      </c>
      <c r="D2" s="5" t="inlineStr">
        <is>
          <t>👶</t>
        </is>
      </c>
      <c r="E2" s="6" t="inlineStr">
        <is>
          <t>Ortam Fazla Aydınlık</t>
        </is>
      </c>
      <c r="F2" s="6" t="inlineStr">
        <is>
          <t>Makarya'ya yeni indin. Işıklar fazla parlak, oda fazla kalabalık. Herkes senden bir ses bekliyor; biri çoktan “Kime benziyor?” tartışmasını başlattı.</t>
        </is>
      </c>
      <c r="G2" s="5" t="inlineStr"/>
      <c r="H2" s="5" t="inlineStr"/>
      <c r="I2" s="5" t="inlineStr">
        <is>
          <t>E</t>
        </is>
      </c>
      <c r="J2" s="5" t="inlineStr"/>
      <c r="K2" s="5" t="inlineStr"/>
      <c r="L2" s="5" t="inlineStr"/>
      <c r="M2" s="5" t="inlineStr"/>
      <c r="N2" s="5" t="inlineStr"/>
      <c r="O2" s="5" t="inlineStr"/>
      <c r="P2" s="5" t="inlineStr"/>
      <c r="Q2" s="5" t="inlineStr"/>
      <c r="R2" s="6" t="inlineStr"/>
      <c r="S2" s="5" t="inlineStr"/>
      <c r="T2" s="5" t="inlineStr"/>
      <c r="U2" s="5" t="inlineStr"/>
      <c r="V2" s="5" t="inlineStr"/>
    </row>
    <row r="3">
      <c r="A3" s="5" t="inlineStr">
        <is>
          <t>gece-vardiyasi</t>
        </is>
      </c>
      <c r="B3" s="5" t="n">
        <v>1</v>
      </c>
      <c r="C3" s="5" t="inlineStr">
        <is>
          <t>3 ay</t>
        </is>
      </c>
      <c r="D3" s="5" t="inlineStr">
        <is>
          <t>🌙</t>
        </is>
      </c>
      <c r="E3" s="6" t="inlineStr">
        <is>
          <t>Gece Nöbeti</t>
        </is>
      </c>
      <c r="F3" s="6" t="inlineStr">
        <is>
          <t>Saat üç. Annen yarı uyuyor, baban yarı uyanık. Senin nöbetin daha yeni başlıyor.</t>
        </is>
      </c>
      <c r="G3" s="5" t="inlineStr"/>
      <c r="H3" s="5" t="inlineStr">
        <is>
          <t>ev</t>
        </is>
      </c>
      <c r="I3" s="5" t="inlineStr"/>
      <c r="J3" s="5" t="inlineStr"/>
      <c r="K3" s="5" t="inlineStr"/>
      <c r="L3" s="5" t="inlineStr"/>
      <c r="M3" s="5" t="inlineStr"/>
      <c r="N3" s="5" t="inlineStr"/>
      <c r="O3" s="5" t="inlineStr"/>
      <c r="P3" s="5" t="inlineStr"/>
      <c r="Q3" s="5" t="inlineStr"/>
      <c r="R3" s="6" t="inlineStr"/>
      <c r="S3" s="5" t="inlineStr"/>
      <c r="T3" s="5" t="inlineStr"/>
      <c r="U3" s="5" t="inlineStr"/>
      <c r="V3" s="5" t="inlineStr"/>
    </row>
    <row r="4">
      <c r="A4" s="5" t="inlineStr">
        <is>
          <t>yabanci-krizi</t>
        </is>
      </c>
      <c r="B4" s="5" t="n">
        <v>1</v>
      </c>
      <c r="C4" s="5" t="inlineStr">
        <is>
          <t>8 ay</t>
        </is>
      </c>
      <c r="D4" s="5" t="inlineStr">
        <is>
          <t>🤓</t>
        </is>
      </c>
      <c r="E4" s="6" t="inlineStr">
        <is>
          <t>Yabancı Krizi</t>
        </is>
      </c>
      <c r="F4" s="6" t="inlineStr">
        <is>
          <t>Tanımadığın bir teyze fazla hızlı, fazla gülerek geldi. Elleri yanaklarına uzanıyor: “Yerim seni!” Ciddi olup olmadığı belli değil.</t>
        </is>
      </c>
      <c r="G4" s="5" t="inlineStr"/>
      <c r="H4" s="5" t="inlineStr"/>
      <c r="I4" s="5" t="inlineStr"/>
      <c r="J4" s="5" t="inlineStr"/>
      <c r="K4" s="5" t="inlineStr"/>
      <c r="L4" s="5" t="inlineStr"/>
      <c r="M4" s="5" t="inlineStr"/>
      <c r="N4" s="5" t="inlineStr"/>
      <c r="O4" s="5" t="inlineStr"/>
      <c r="P4" s="5" t="inlineStr"/>
      <c r="Q4" s="5" t="inlineStr"/>
      <c r="R4" s="6" t="inlineStr"/>
      <c r="S4" s="5" t="inlineStr"/>
      <c r="T4" s="5" t="inlineStr"/>
      <c r="U4" s="5" t="inlineStr"/>
      <c r="V4" s="5" t="inlineStr"/>
    </row>
    <row r="5">
      <c r="A5" s="5" t="inlineStr">
        <is>
          <t>yasak-nesne</t>
        </is>
      </c>
      <c r="B5" s="5" t="n">
        <v>1</v>
      </c>
      <c r="C5" s="5" t="inlineStr">
        <is>
          <t>10 ay</t>
        </is>
      </c>
      <c r="D5" s="5" t="inlineStr">
        <is>
          <t>💎</t>
        </is>
      </c>
      <c r="E5" s="6" t="inlineStr">
        <is>
          <t>Yasak Nesne</t>
        </is>
      </c>
      <c r="F5" s="6" t="inlineStr">
        <is>
          <t>Sehpada dokunmaman gereken parlak bir şey var: misafir gelince vitrinden inen kristal şekerlik. Bu bilgi şekerliği daha çekici yaptı.</t>
        </is>
      </c>
      <c r="G5" s="5" t="inlineStr"/>
      <c r="H5" s="5" t="inlineStr">
        <is>
          <t>ev</t>
        </is>
      </c>
      <c r="I5" s="5" t="inlineStr"/>
      <c r="J5" s="5" t="inlineStr"/>
      <c r="K5" s="5" t="inlineStr"/>
      <c r="L5" s="5" t="inlineStr"/>
      <c r="M5" s="5" t="inlineStr"/>
      <c r="N5" s="5" t="inlineStr"/>
      <c r="O5" s="5" t="inlineStr"/>
      <c r="P5" s="5" t="inlineStr"/>
      <c r="Q5" s="5" t="inlineStr"/>
      <c r="R5" s="6" t="inlineStr"/>
      <c r="S5" s="5" t="inlineStr"/>
      <c r="T5" s="5" t="inlineStr"/>
      <c r="U5" s="5" t="inlineStr"/>
      <c r="V5" s="5" t="inlineStr"/>
    </row>
    <row r="6">
      <c r="A6" s="5" t="inlineStr">
        <is>
          <t>ilk-kelime</t>
        </is>
      </c>
      <c r="B6" s="5" t="n">
        <v>1</v>
      </c>
      <c r="C6" s="5" t="inlineStr">
        <is>
          <t>1 yaş</t>
        </is>
      </c>
      <c r="D6" s="5" t="inlineStr">
        <is>
          <t>💬</t>
        </is>
      </c>
      <c r="E6" s="6" t="inlineStr">
        <is>
          <t>İlk Kelime</t>
        </is>
      </c>
      <c r="F6" s="6" t="inlineStr">
        <is>
          <t>Salon sessizleşti. Herkes ağzından çıkacak ilk anlamlı kelimeyi bekliyor.</t>
        </is>
      </c>
      <c r="G6" s="5" t="inlineStr"/>
      <c r="H6" s="5" t="inlineStr">
        <is>
          <t>ev</t>
        </is>
      </c>
      <c r="I6" s="5" t="inlineStr">
        <is>
          <t>E</t>
        </is>
      </c>
      <c r="J6" s="5" t="inlineStr"/>
      <c r="K6" s="5" t="inlineStr"/>
      <c r="L6" s="5" t="inlineStr"/>
      <c r="M6" s="5" t="inlineStr"/>
      <c r="N6" s="5" t="inlineStr"/>
      <c r="O6" s="5" t="inlineStr"/>
      <c r="P6" s="5" t="inlineStr"/>
      <c r="Q6" s="5" t="inlineStr"/>
      <c r="R6" s="6" t="inlineStr"/>
      <c r="S6" s="5" t="inlineStr"/>
      <c r="T6" s="5" t="inlineStr"/>
      <c r="U6" s="5" t="inlineStr"/>
      <c r="V6" s="5" t="inlineStr"/>
    </row>
    <row r="7">
      <c r="A7" s="5" t="inlineStr">
        <is>
          <t>ilk-adimlar</t>
        </is>
      </c>
      <c r="B7" s="5" t="n">
        <v>1</v>
      </c>
      <c r="C7" s="5" t="inlineStr">
        <is>
          <t>15 ay</t>
        </is>
      </c>
      <c r="D7" s="5" t="inlineStr">
        <is>
          <t>👣</t>
        </is>
      </c>
      <c r="E7" s="6" t="inlineStr">
        <is>
          <t>İlk Adımlar</t>
        </is>
      </c>
      <c r="F7" s="6" t="inlineStr">
        <is>
          <t>Ayaktasın. Bu, teoride ilerleme sayılıyor.</t>
        </is>
      </c>
      <c r="G7" s="5" t="inlineStr"/>
      <c r="H7" s="5" t="inlineStr"/>
      <c r="I7" s="5" t="inlineStr"/>
      <c r="J7" s="5" t="inlineStr"/>
      <c r="K7" s="5" t="inlineStr"/>
      <c r="L7" s="5" t="inlineStr"/>
      <c r="M7" s="5" t="inlineStr"/>
      <c r="N7" s="5" t="inlineStr"/>
      <c r="O7" s="5" t="inlineStr"/>
      <c r="P7" s="5" t="inlineStr"/>
      <c r="Q7" s="5" t="inlineStr"/>
      <c r="R7" s="6" t="inlineStr"/>
      <c r="S7" s="5" t="inlineStr"/>
      <c r="T7" s="5" t="inlineStr"/>
      <c r="U7" s="5" t="inlineStr"/>
      <c r="V7" s="5" t="inlineStr"/>
    </row>
    <row r="8">
      <c r="A8" s="5" t="inlineStr">
        <is>
          <t>masadaki-telefon</t>
        </is>
      </c>
      <c r="B8" s="5" t="n">
        <v>1</v>
      </c>
      <c r="C8" s="5" t="inlineStr">
        <is>
          <t>17 ay</t>
        </is>
      </c>
      <c r="D8" s="5" t="inlineStr">
        <is>
          <t>📱</t>
        </is>
      </c>
      <c r="E8" s="6" t="inlineStr">
        <is>
          <t>Masadaki Telefon</t>
        </is>
      </c>
      <c r="F8" s="6" t="inlineStr">
        <is>
          <t>Ekran parlıyor. Yetişkinler bu nesneye günün önemli bölümünü ayırıyor.</t>
        </is>
      </c>
      <c r="G8" s="5" t="inlineStr"/>
      <c r="H8" s="5" t="inlineStr"/>
      <c r="I8" s="5" t="inlineStr"/>
      <c r="J8" s="5" t="inlineStr"/>
      <c r="K8" s="5" t="inlineStr"/>
      <c r="L8" s="5" t="inlineStr"/>
      <c r="M8" s="5" t="inlineStr"/>
      <c r="N8" s="5" t="inlineStr"/>
      <c r="O8" s="5" t="inlineStr"/>
      <c r="P8" s="5" t="inlineStr"/>
      <c r="Q8" s="5" t="inlineStr"/>
      <c r="R8" s="6" t="inlineStr"/>
      <c r="S8" s="5" t="inlineStr"/>
      <c r="T8" s="5" t="inlineStr"/>
      <c r="U8" s="5" t="inlineStr"/>
      <c r="V8" s="5" t="inlineStr"/>
    </row>
    <row r="9">
      <c r="A9" s="5" t="inlineStr">
        <is>
          <t>dogum-gunu-pastasi</t>
        </is>
      </c>
      <c r="B9" s="5" t="n">
        <v>1</v>
      </c>
      <c r="C9" s="5" t="inlineStr">
        <is>
          <t>19 ay</t>
        </is>
      </c>
      <c r="D9" s="5" t="inlineStr">
        <is>
          <t>🎂</t>
        </is>
      </c>
      <c r="E9" s="6" t="inlineStr">
        <is>
          <t>Doğum Günü Pastası</t>
        </is>
      </c>
      <c r="F9" s="6" t="inlineStr">
        <is>
          <t>Kuzeninin doğum günü. Masada bir pasta, bir mum ve seni ilgilendirmeyen bir sürü kural: önce şarkı, sonra mum, sonra dilim. Sen sadece pastayı gördün.</t>
        </is>
      </c>
      <c r="G9" s="5" t="inlineStr"/>
      <c r="H9" s="5" t="inlineStr">
        <is>
          <t>sosyal</t>
        </is>
      </c>
      <c r="I9" s="5" t="inlineStr"/>
      <c r="J9" s="5" t="inlineStr"/>
      <c r="K9" s="5" t="inlineStr"/>
      <c r="L9" s="5" t="inlineStr"/>
      <c r="M9" s="5" t="inlineStr"/>
      <c r="N9" s="5" t="inlineStr"/>
      <c r="O9" s="5" t="inlineStr"/>
      <c r="P9" s="5" t="inlineStr"/>
      <c r="Q9" s="5" t="inlineStr"/>
      <c r="R9" s="6" t="inlineStr"/>
      <c r="S9" s="5" t="inlineStr"/>
      <c r="T9" s="5" t="inlineStr"/>
      <c r="U9" s="5" t="inlineStr"/>
      <c r="V9" s="5" t="inlineStr"/>
    </row>
    <row r="10">
      <c r="A10" s="5" t="inlineStr">
        <is>
          <t>vazo-kirildi</t>
        </is>
      </c>
      <c r="B10" s="5" t="n">
        <v>1</v>
      </c>
      <c r="C10" s="5" t="inlineStr">
        <is>
          <t>2 yaş</t>
        </is>
      </c>
      <c r="D10" s="5" t="inlineStr">
        <is>
          <t>🏺</t>
        </is>
      </c>
      <c r="E10" s="6" t="inlineStr">
        <is>
          <t>Vazo Kırıldı</t>
        </is>
      </c>
      <c r="F10" s="6" t="inlineStr">
        <is>
          <t>Vazoyu kırdın. Parçalar yerde, sessizlik ağır. Kedi sana bakıyor.</t>
        </is>
      </c>
      <c r="G10" s="5" t="inlineStr"/>
      <c r="H10" s="5" t="inlineStr">
        <is>
          <t>ev</t>
        </is>
      </c>
      <c r="I10" s="5" t="inlineStr">
        <is>
          <t>E</t>
        </is>
      </c>
      <c r="J10" s="5" t="inlineStr"/>
      <c r="K10" s="5" t="inlineStr"/>
      <c r="L10" s="5" t="inlineStr"/>
      <c r="M10" s="5" t="inlineStr"/>
      <c r="N10" s="5" t="inlineStr"/>
      <c r="O10" s="5" t="inlineStr"/>
      <c r="P10" s="5" t="inlineStr"/>
      <c r="Q10" s="5" t="inlineStr"/>
      <c r="R10" s="6" t="inlineStr"/>
      <c r="S10" s="5" t="inlineStr"/>
      <c r="T10" s="5" t="inlineStr"/>
      <c r="U10" s="5" t="inlineStr"/>
      <c r="V10" s="5" t="inlineStr"/>
    </row>
    <row r="11">
      <c r="A11" s="5" t="inlineStr">
        <is>
          <t>ilk-harclik</t>
        </is>
      </c>
      <c r="B11" s="5" t="n">
        <v>1</v>
      </c>
      <c r="C11" s="5" t="inlineStr">
        <is>
          <t>2 yaş 2 ay</t>
        </is>
      </c>
      <c r="D11" s="5" t="inlineStr">
        <is>
          <t>🪙</t>
        </is>
      </c>
      <c r="E11" s="6" t="inlineStr">
        <is>
          <t>İlk Harçlık</t>
        </is>
      </c>
      <c r="F11" s="6" t="inlineStr">
        <is>
          <t>Avucuna birkaç bozuk para bırakıldı. Deden “Kimseye verme” dedi. Annen “Ağzına atma” dedi. İki kural, bir avuç.</t>
        </is>
      </c>
      <c r="G11" s="5" t="inlineStr"/>
      <c r="H11" s="5" t="inlineStr">
        <is>
          <t>para</t>
        </is>
      </c>
      <c r="I11" s="5" t="inlineStr"/>
      <c r="J11" s="5" t="n">
        <v>2</v>
      </c>
      <c r="K11" s="5" t="inlineStr"/>
      <c r="L11" s="5" t="inlineStr"/>
      <c r="M11" s="5" t="inlineStr"/>
      <c r="N11" s="5" t="inlineStr"/>
      <c r="O11" s="5" t="inlineStr"/>
      <c r="P11" s="5" t="inlineStr"/>
      <c r="Q11" s="5" t="inlineStr"/>
      <c r="R11" s="6" t="inlineStr"/>
      <c r="S11" s="5" t="inlineStr"/>
      <c r="T11" s="5" t="inlineStr"/>
      <c r="U11" s="5" t="inlineStr"/>
      <c r="V11" s="5" t="inlineStr"/>
    </row>
    <row r="12">
      <c r="A12" s="5" t="inlineStr">
        <is>
          <t>oyuncak-krizi</t>
        </is>
      </c>
      <c r="B12" s="5" t="n">
        <v>1</v>
      </c>
      <c r="C12" s="5" t="inlineStr">
        <is>
          <t>2 yaş 4 ay</t>
        </is>
      </c>
      <c r="D12" s="5" t="inlineStr">
        <is>
          <t>🧸</t>
        </is>
      </c>
      <c r="E12" s="6" t="inlineStr">
        <is>
          <t>Oyuncak Krizi</t>
        </is>
      </c>
      <c r="F12" s="6" t="inlineStr">
        <is>
          <t>Kum havuzunda başka bir çocuk kovanı aldı. Onun annesi görmedi; seninki gördü ve “Paylaş” dedi. Yalnızsın.</t>
        </is>
      </c>
      <c r="G12" s="5" t="inlineStr"/>
      <c r="H12" s="5" t="inlineStr">
        <is>
          <t>sosyal</t>
        </is>
      </c>
      <c r="I12" s="5" t="inlineStr"/>
      <c r="J12" s="5" t="inlineStr"/>
      <c r="K12" s="5" t="inlineStr"/>
      <c r="L12" s="5" t="inlineStr"/>
      <c r="M12" s="5" t="inlineStr"/>
      <c r="N12" s="5" t="inlineStr"/>
      <c r="O12" s="5" t="inlineStr"/>
      <c r="P12" s="5" t="inlineStr"/>
      <c r="Q12" s="5" t="inlineStr"/>
      <c r="R12" s="6" t="inlineStr"/>
      <c r="S12" s="5" t="inlineStr"/>
      <c r="T12" s="5" t="inlineStr"/>
      <c r="U12" s="5" t="inlineStr"/>
      <c r="V12" s="5" t="inlineStr"/>
    </row>
    <row r="13">
      <c r="A13" s="5" t="inlineStr">
        <is>
          <t>aile-toplantisi</t>
        </is>
      </c>
      <c r="B13" s="5" t="n">
        <v>1</v>
      </c>
      <c r="C13" s="5" t="inlineStr">
        <is>
          <t>2 yaş 7 ay</t>
        </is>
      </c>
      <c r="D13" s="5" t="inlineStr">
        <is>
          <t>🛋️</t>
        </is>
      </c>
      <c r="E13" s="6" t="inlineStr">
        <is>
          <t>Büyükler Konuşuyor</t>
        </is>
      </c>
      <c r="F13" s="6" t="inlineStr">
        <is>
          <t>Salonda büyükler konuşuyor; çay ikinci demde, sesler alçak. Sana “Sen git oyna” dendi. Adın iki kez geçti.</t>
        </is>
      </c>
      <c r="G13" s="5" t="inlineStr"/>
      <c r="H13" s="5" t="inlineStr">
        <is>
          <t>ev</t>
        </is>
      </c>
      <c r="I13" s="5" t="inlineStr"/>
      <c r="J13" s="5" t="inlineStr"/>
      <c r="K13" s="5" t="inlineStr"/>
      <c r="L13" s="5" t="inlineStr"/>
      <c r="M13" s="5" t="inlineStr"/>
      <c r="N13" s="5" t="inlineStr"/>
      <c r="O13" s="5" t="inlineStr"/>
      <c r="P13" s="5" t="inlineStr"/>
      <c r="Q13" s="5" t="inlineStr"/>
      <c r="R13" s="6" t="inlineStr"/>
      <c r="S13" s="5" t="inlineStr"/>
      <c r="T13" s="5" t="inlineStr"/>
      <c r="U13" s="5" t="inlineStr"/>
      <c r="V13" s="5" t="inlineStr"/>
    </row>
    <row r="14">
      <c r="A14" s="5" t="inlineStr">
        <is>
          <t>parkta-sira</t>
        </is>
      </c>
      <c r="B14" s="5" t="n">
        <v>1</v>
      </c>
      <c r="C14" s="5" t="inlineStr">
        <is>
          <t>2 yaş 10 ay</t>
        </is>
      </c>
      <c r="D14" s="5" t="inlineStr">
        <is>
          <t>🛝</t>
        </is>
      </c>
      <c r="E14" s="6" t="inlineStr">
        <is>
          <t>Parkta Sıra</t>
        </is>
      </c>
      <c r="F14" s="6" t="inlineStr">
        <is>
          <t>Kaydırakta sıra var. Kural basit görünüyor. İnsanlar yüzünden değil.</t>
        </is>
      </c>
      <c r="G14" s="5" t="inlineStr"/>
      <c r="H14" s="5" t="inlineStr"/>
      <c r="I14" s="5" t="inlineStr"/>
      <c r="J14" s="5" t="inlineStr"/>
      <c r="K14" s="5" t="inlineStr"/>
      <c r="L14" s="5" t="inlineStr"/>
      <c r="M14" s="5" t="inlineStr"/>
      <c r="N14" s="5" t="inlineStr"/>
      <c r="O14" s="5" t="inlineStr"/>
      <c r="P14" s="5" t="inlineStr"/>
      <c r="Q14" s="5" t="inlineStr"/>
      <c r="R14" s="6" t="inlineStr"/>
      <c r="S14" s="5" t="inlineStr"/>
      <c r="T14" s="5" t="inlineStr"/>
      <c r="U14" s="5" t="inlineStr"/>
      <c r="V14" s="5" t="inlineStr"/>
    </row>
    <row r="15">
      <c r="A15" s="5" t="inlineStr">
        <is>
          <t>kim-yapti</t>
        </is>
      </c>
      <c r="B15" s="5" t="n">
        <v>1</v>
      </c>
      <c r="C15" s="5" t="inlineStr">
        <is>
          <t>2 yaş 11 ay</t>
        </is>
      </c>
      <c r="D15" s="5" t="inlineStr">
        <is>
          <t>🔍</t>
        </is>
      </c>
      <c r="E15" s="6" t="inlineStr">
        <is>
          <t>Kim Yaptı?</t>
        </is>
      </c>
      <c r="F15" s="6" t="inlineStr">
        <is>
          <t>Salon duvarında keçeli kalemle çizilmiş kocaman bir güneş var. Altında imzaya benzeyen bir karalama. Baban elinde kalemin kapağıyla tek bir soru soruyor: “Kim yaptı?”</t>
        </is>
      </c>
      <c r="G15" s="5" t="inlineStr"/>
      <c r="H15" s="5" t="inlineStr">
        <is>
          <t>ev</t>
        </is>
      </c>
      <c r="I15" s="5" t="inlineStr"/>
      <c r="J15" s="5" t="n">
        <v>2</v>
      </c>
      <c r="K15" s="5" t="inlineStr"/>
      <c r="L15" s="5" t="inlineStr"/>
      <c r="M15" s="5" t="inlineStr"/>
      <c r="N15" s="5" t="inlineStr"/>
      <c r="O15" s="5" t="inlineStr"/>
      <c r="P15" s="5" t="inlineStr"/>
      <c r="Q15" s="5" t="inlineStr"/>
      <c r="R15" s="6" t="inlineStr"/>
      <c r="S15" s="5" t="inlineStr"/>
      <c r="T15" s="5" t="inlineStr"/>
      <c r="U15" s="5" t="inlineStr"/>
      <c r="V15" s="5" t="inlineStr"/>
    </row>
    <row r="16">
      <c r="A16" s="5" t="inlineStr">
        <is>
          <t>kres-kapisi</t>
        </is>
      </c>
      <c r="B16" s="5" t="n">
        <v>1</v>
      </c>
      <c r="C16" s="5" t="inlineStr">
        <is>
          <t>3 yaş</t>
        </is>
      </c>
      <c r="D16" s="5" t="inlineStr">
        <is>
          <t>🏫</t>
        </is>
      </c>
      <c r="E16" s="6" t="inlineStr">
        <is>
          <t>Kreş Kapısı</t>
        </is>
      </c>
      <c r="F16" s="6" t="inlineStr">
        <is>
          <t>Kapının arkasında başka çocuklar, katı kurallar ve paylaşılması gereken oyuncaklar var.</t>
        </is>
      </c>
      <c r="G16" s="5" t="inlineStr"/>
      <c r="H16" s="5" t="inlineStr">
        <is>
          <t>okul-iş</t>
        </is>
      </c>
      <c r="I16" s="5" t="inlineStr">
        <is>
          <t>E</t>
        </is>
      </c>
      <c r="J16" s="5" t="inlineStr"/>
      <c r="K16" s="5" t="inlineStr"/>
      <c r="L16" s="5" t="inlineStr"/>
      <c r="M16" s="5" t="inlineStr"/>
      <c r="N16" s="5" t="inlineStr"/>
      <c r="O16" s="5" t="inlineStr"/>
      <c r="P16" s="5" t="inlineStr"/>
      <c r="Q16" s="5" t="inlineStr"/>
      <c r="R16" s="6" t="inlineStr"/>
      <c r="S16" s="5" t="inlineStr"/>
      <c r="T16" s="5" t="inlineStr"/>
      <c r="U16" s="5" t="inlineStr"/>
      <c r="V16" s="5" t="inlineStr"/>
    </row>
    <row r="17">
      <c r="A17" s="5" t="inlineStr">
        <is>
          <t>ilk-arkadas</t>
        </is>
      </c>
      <c r="B17" s="5" t="n">
        <v>2</v>
      </c>
      <c r="C17" s="5" t="inlineStr">
        <is>
          <t>3 yaş 1 ay</t>
        </is>
      </c>
      <c r="D17" s="5" t="inlineStr">
        <is>
          <t>🤝</t>
        </is>
      </c>
      <c r="E17" s="6" t="inlineStr">
        <is>
          <t>İlk Arkadaş</t>
        </is>
      </c>
      <c r="F17" s="6" t="inlineStr">
        <is>
          <t>Kreşin ilk haftası. Kum havuzunda senin boyunda bir çocuk var: elinde kürek, burnunda sümük, gözü sende. Öğretmen ikinizi yan yana oturttu: “Hadi bakalım, arkadaş olun.” Emirle arkadaş olunur mu, ikiniz de bilmiyorsunuz.</t>
        </is>
      </c>
      <c r="G17" s="5" t="inlineStr"/>
      <c r="H17" s="5" t="inlineStr"/>
      <c r="I17" s="5" t="inlineStr"/>
      <c r="J17" s="5" t="inlineStr"/>
      <c r="K17" s="5" t="inlineStr"/>
      <c r="L17" s="5" t="inlineStr"/>
      <c r="M17" s="5" t="inlineStr"/>
      <c r="N17" s="5" t="inlineStr"/>
      <c r="O17" s="5" t="inlineStr"/>
      <c r="P17" s="5" t="inlineStr"/>
      <c r="Q17" s="5" t="inlineStr"/>
      <c r="R17" s="6" t="inlineStr"/>
      <c r="S17" s="5" t="inlineStr"/>
      <c r="T17" s="5" t="inlineStr"/>
      <c r="U17" s="5" t="inlineStr"/>
      <c r="V17" s="5" t="inlineStr"/>
    </row>
    <row r="18">
      <c r="A18" s="5" t="inlineStr">
        <is>
          <t>oyuncagimi-aldi</t>
        </is>
      </c>
      <c r="B18" s="5" t="n">
        <v>2</v>
      </c>
      <c r="C18" s="5" t="inlineStr">
        <is>
          <t>3 yaş 2 ay</t>
        </is>
      </c>
      <c r="D18" s="5" t="inlineStr">
        <is>
          <t>😤</t>
        </is>
      </c>
      <c r="E18" s="6" t="inlineStr">
        <is>
          <t>Oyuncağımı Aldı</t>
        </is>
      </c>
      <c r="F18" s="6" t="inlineStr">
        <is>
          <t>Kreşte bir çocuk elindeki arabayı aldı ve “Bu kreşin” dedi. Haklı. Ama araba senin elindeydi.</t>
        </is>
      </c>
      <c r="G18" s="5" t="inlineStr"/>
      <c r="H18" s="5" t="inlineStr">
        <is>
          <t>sosyal</t>
        </is>
      </c>
      <c r="I18" s="5" t="inlineStr"/>
      <c r="J18" s="5" t="inlineStr"/>
      <c r="K18" s="5" t="inlineStr"/>
      <c r="L18" s="5" t="inlineStr"/>
      <c r="M18" s="5" t="inlineStr"/>
      <c r="N18" s="5" t="inlineStr"/>
      <c r="O18" s="5" t="inlineStr"/>
      <c r="P18" s="5" t="inlineStr"/>
      <c r="Q18" s="5" t="inlineStr"/>
      <c r="R18" s="6" t="inlineStr"/>
      <c r="S18" s="5" t="inlineStr"/>
      <c r="T18" s="5" t="inlineStr"/>
      <c r="U18" s="5" t="inlineStr"/>
      <c r="V18" s="5" t="inlineStr"/>
    </row>
    <row r="19">
      <c r="A19" s="5" t="inlineStr">
        <is>
          <t>ogretmen-yanlis-anladi</t>
        </is>
      </c>
      <c r="B19" s="5" t="n">
        <v>2</v>
      </c>
      <c r="C19" s="5" t="inlineStr">
        <is>
          <t>3 yaş 4 ay</t>
        </is>
      </c>
      <c r="D19" s="5" t="inlineStr">
        <is>
          <t>👩‍🏫</t>
        </is>
      </c>
      <c r="E19" s="6" t="inlineStr">
        <is>
          <t>Öğretmen Seni Yanlış Anladı</t>
        </is>
      </c>
      <c r="F19" s="6" t="inlineStr">
        <is>
          <t>Öğretmen suyu senin döktüğünü sanıyor. Dökmedin; ama bardak senin önündeydi, elin de ıslak. Büyükler de yanılıyormuş.</t>
        </is>
      </c>
      <c r="G19" s="5" t="inlineStr"/>
      <c r="H19" s="5" t="inlineStr">
        <is>
          <t>okul-iş</t>
        </is>
      </c>
      <c r="I19" s="5" t="inlineStr"/>
      <c r="J19" s="5" t="inlineStr"/>
      <c r="K19" s="5" t="inlineStr"/>
      <c r="L19" s="5" t="inlineStr"/>
      <c r="M19" s="5" t="inlineStr"/>
      <c r="N19" s="5" t="inlineStr"/>
      <c r="O19" s="5" t="inlineStr"/>
      <c r="P19" s="5" t="inlineStr"/>
      <c r="Q19" s="5" t="inlineStr"/>
      <c r="R19" s="6" t="inlineStr"/>
      <c r="S19" s="5" t="inlineStr"/>
      <c r="T19" s="5" t="inlineStr"/>
      <c r="U19" s="5" t="inlineStr"/>
      <c r="V19" s="5" t="inlineStr"/>
    </row>
    <row r="20">
      <c r="A20" s="5" t="inlineStr">
        <is>
          <t>parkin-buyuk-cocugu</t>
        </is>
      </c>
      <c r="B20" s="5" t="n">
        <v>2</v>
      </c>
      <c r="C20" s="5" t="inlineStr">
        <is>
          <t>3 yaş 6 ay</t>
        </is>
      </c>
      <c r="D20" s="5" t="inlineStr">
        <is>
          <t>🧗</t>
        </is>
      </c>
      <c r="E20" s="6" t="inlineStr">
        <is>
          <t>Parkın Büyük Çocuğu</t>
        </is>
      </c>
      <c r="F20" s="6" t="inlineStr">
        <is>
          <t>Kaydırağın tepesinde koca bir çocuk oturuyor; yedi yaşında var, ön dişi yok. Ne kayıyor ne kimseyi çıkarıyor. Aşağıdan “Hadi ama!” diyen küçüklere tek bir cevabı var: “Burası benim.”</t>
        </is>
      </c>
      <c r="G20" s="5" t="inlineStr"/>
      <c r="H20" s="5" t="inlineStr"/>
      <c r="I20" s="5" t="inlineStr"/>
      <c r="J20" s="5" t="inlineStr"/>
      <c r="K20" s="5" t="inlineStr"/>
      <c r="L20" s="5" t="inlineStr"/>
      <c r="M20" s="5" t="inlineStr"/>
      <c r="N20" s="5" t="inlineStr"/>
      <c r="O20" s="5" t="inlineStr"/>
      <c r="P20" s="5" t="inlineStr"/>
      <c r="Q20" s="5" t="inlineStr"/>
      <c r="R20" s="6" t="inlineStr"/>
      <c r="S20" s="5" t="inlineStr"/>
      <c r="T20" s="5" t="inlineStr"/>
      <c r="U20" s="5" t="inlineStr"/>
      <c r="V20" s="5" t="inlineStr"/>
    </row>
    <row r="21">
      <c r="A21" s="5" t="inlineStr">
        <is>
          <t>market-kasasi</t>
        </is>
      </c>
      <c r="B21" s="5" t="n">
        <v>2</v>
      </c>
      <c r="C21" s="5" t="inlineStr">
        <is>
          <t>3 yaş 8 ay</t>
        </is>
      </c>
      <c r="D21" s="5" t="inlineStr">
        <is>
          <t>🍬</t>
        </is>
      </c>
      <c r="E21" s="6" t="inlineStr">
        <is>
          <t>Market Kasası</t>
        </is>
      </c>
      <c r="F21" s="6" t="inlineStr">
        <is>
          <t>Kasa sırasındasın; şekerler tam senin göz hizana dizilmiş, annenin değil. Annen markete girmeden uyarmıştı: “Bugün şeker yok, anlaştık mı?” Anlaşmamıştınız; sen sadece başını sallamıştın.</t>
        </is>
      </c>
      <c r="G21" s="5" t="inlineStr"/>
      <c r="H21" s="5" t="inlineStr">
        <is>
          <t>para</t>
        </is>
      </c>
      <c r="I21" s="5" t="inlineStr"/>
      <c r="J21" s="5" t="inlineStr"/>
      <c r="K21" s="5" t="inlineStr"/>
      <c r="L21" s="5" t="inlineStr"/>
      <c r="M21" s="5" t="inlineStr"/>
      <c r="N21" s="5" t="inlineStr"/>
      <c r="O21" s="5" t="inlineStr"/>
      <c r="P21" s="5" t="inlineStr"/>
      <c r="Q21" s="5" t="inlineStr"/>
      <c r="R21" s="6" t="inlineStr"/>
      <c r="S21" s="5" t="inlineStr"/>
      <c r="T21" s="5" t="inlineStr"/>
      <c r="U21" s="5" t="inlineStr"/>
      <c r="V21" s="5" t="inlineStr"/>
    </row>
    <row r="22">
      <c r="A22" s="5" t="inlineStr">
        <is>
          <t>baskasinin-dogum-gunu</t>
        </is>
      </c>
      <c r="B22" s="5" t="n">
        <v>2</v>
      </c>
      <c r="C22" s="5" t="inlineStr">
        <is>
          <t>4 yaş</t>
        </is>
      </c>
      <c r="D22" s="5" t="inlineStr">
        <is>
          <t>🎁</t>
        </is>
      </c>
      <c r="E22" s="6" t="inlineStr">
        <is>
          <t>Başkasının Doğum Günü</t>
        </is>
      </c>
      <c r="F22" s="6" t="inlineStr">
        <is>
          <t>Alt kattaki çocuğun doğum günü. Pasta onun, balonlar onun, hediyeler onun. Annen kapıda son kez fısıldadı: “Hediyeleri o açacak, sen değil.”</t>
        </is>
      </c>
      <c r="G22" s="5" t="inlineStr"/>
      <c r="H22" s="5" t="inlineStr">
        <is>
          <t>sosyal</t>
        </is>
      </c>
      <c r="I22" s="5" t="inlineStr"/>
      <c r="J22" s="5" t="inlineStr"/>
      <c r="K22" s="5" t="inlineStr"/>
      <c r="L22" s="5" t="inlineStr"/>
      <c r="M22" s="5" t="inlineStr"/>
      <c r="N22" s="5" t="inlineStr"/>
      <c r="O22" s="5" t="inlineStr"/>
      <c r="P22" s="5" t="inlineStr"/>
      <c r="Q22" s="5" t="inlineStr"/>
      <c r="R22" s="6" t="inlineStr"/>
      <c r="S22" s="5" t="inlineStr"/>
      <c r="T22" s="5" t="inlineStr"/>
      <c r="U22" s="5" t="inlineStr"/>
      <c r="V22" s="5" t="inlineStr"/>
    </row>
    <row r="23">
      <c r="A23" s="5" t="inlineStr">
        <is>
          <t>en-guzel-oyuncak</t>
        </is>
      </c>
      <c r="B23" s="5" t="n">
        <v>2</v>
      </c>
      <c r="C23" s="5" t="inlineStr">
        <is>
          <t>4 yaş 1 ay</t>
        </is>
      </c>
      <c r="D23" s="5" t="inlineStr">
        <is>
          <t>🤖</t>
        </is>
      </c>
      <c r="E23" s="6" t="inlineStr">
        <is>
          <t>En Güzel Oyuncak</t>
        </is>
      </c>
      <c r="F23" s="6" t="inlineStr">
        <is>
          <t>Kuzeninin odasında, rafın en üstünde kocaman, parlak kırmızı bir itfaiye arabası duruyor. Halan kapıdan uyardı: “O yeni, dokunmayın.” Odadaki dört çocuk o andan beri yalnızca ona bakıyor.</t>
        </is>
      </c>
      <c r="G23" s="5" t="inlineStr"/>
      <c r="H23" s="5" t="inlineStr"/>
      <c r="I23" s="5" t="inlineStr"/>
      <c r="J23" s="5" t="inlineStr"/>
      <c r="K23" s="5" t="inlineStr"/>
      <c r="L23" s="5" t="inlineStr"/>
      <c r="M23" s="5" t="inlineStr"/>
      <c r="N23" s="5" t="inlineStr"/>
      <c r="O23" s="5" t="inlineStr"/>
      <c r="P23" s="5" t="inlineStr"/>
      <c r="Q23" s="5" t="inlineStr"/>
      <c r="R23" s="6" t="inlineStr"/>
      <c r="S23" s="5" t="inlineStr"/>
      <c r="T23" s="5" t="inlineStr"/>
      <c r="U23" s="5" t="inlineStr"/>
      <c r="V23" s="5" t="inlineStr"/>
    </row>
    <row r="24">
      <c r="A24" s="5" t="inlineStr">
        <is>
          <t>ilk-gercek-yalan</t>
        </is>
      </c>
      <c r="B24" s="5" t="n">
        <v>2</v>
      </c>
      <c r="C24" s="5" t="inlineStr">
        <is>
          <t>4 yaş 2 ay</t>
        </is>
      </c>
      <c r="D24" s="5" t="inlineStr">
        <is>
          <t>🤥</t>
        </is>
      </c>
      <c r="E24" s="6" t="inlineStr">
        <is>
          <t>İlk Gerçek Yalan</t>
        </is>
      </c>
      <c r="F24" s="6" t="inlineStr">
        <is>
          <t>Buzdolabındaki misafir pastasının bir köşesi eksik; tam çikolatalı köşesi. Annen pastaya baktı, sonra senin dudağının kenarına: “Bunu kim yedi?” Bu kez ne yaptığını biliyorsun. Annen de biliyor gibi bakıyor.</t>
        </is>
      </c>
      <c r="G24" s="5" t="inlineStr"/>
      <c r="H24" s="5" t="inlineStr">
        <is>
          <t>ev</t>
        </is>
      </c>
      <c r="I24" s="5" t="inlineStr"/>
      <c r="J24" s="5" t="inlineStr"/>
      <c r="K24" s="5" t="inlineStr"/>
      <c r="L24" s="5" t="inlineStr"/>
      <c r="M24" s="5" t="inlineStr"/>
      <c r="N24" s="5" t="inlineStr"/>
      <c r="O24" s="5" t="inlineStr"/>
      <c r="P24" s="5" t="inlineStr"/>
      <c r="Q24" s="5" t="inlineStr"/>
      <c r="R24" s="6" t="inlineStr"/>
      <c r="S24" s="5" t="inlineStr"/>
      <c r="T24" s="5" t="inlineStr"/>
      <c r="U24" s="5" t="inlineStr"/>
      <c r="V24" s="5" t="inlineStr"/>
    </row>
    <row r="25">
      <c r="A25" s="5" t="inlineStr">
        <is>
          <t>mahalle-bakkali</t>
        </is>
      </c>
      <c r="B25" s="5" t="n">
        <v>2</v>
      </c>
      <c r="C25" s="5" t="inlineStr">
        <is>
          <t>4 yaş 4 ay</t>
        </is>
      </c>
      <c r="D25" s="5" t="inlineStr">
        <is>
          <t>🏪</t>
        </is>
      </c>
      <c r="E25" s="6" t="inlineStr">
        <is>
          <t>Mahalle Bakkalı</t>
        </is>
      </c>
      <c r="F25" s="6" t="inlineStr">
        <is>
          <t>Liste elinde, para cebinde. Bakkal apartmanın altında; annen balkondan izliyor. Bakkal her şeyi biliyor gibi bakıyor; annen de.</t>
        </is>
      </c>
      <c r="G25" s="5" t="inlineStr"/>
      <c r="H25" s="5" t="inlineStr">
        <is>
          <t>para</t>
        </is>
      </c>
      <c r="I25" s="5" t="inlineStr"/>
      <c r="J25" s="5" t="inlineStr"/>
      <c r="K25" s="5" t="inlineStr"/>
      <c r="L25" s="5" t="inlineStr"/>
      <c r="M25" s="5" t="inlineStr"/>
      <c r="N25" s="5" t="inlineStr"/>
      <c r="O25" s="5" t="inlineStr"/>
      <c r="P25" s="5" t="inlineStr"/>
      <c r="Q25" s="5" t="inlineStr"/>
      <c r="R25" s="6" t="inlineStr"/>
      <c r="S25" s="5" t="inlineStr"/>
      <c r="T25" s="5" t="inlineStr"/>
      <c r="U25" s="5" t="inlineStr"/>
      <c r="V25" s="5" t="inlineStr"/>
    </row>
    <row r="26">
      <c r="A26" s="5" t="inlineStr">
        <is>
          <t>kaybolan-bozuk-para</t>
        </is>
      </c>
      <c r="B26" s="5" t="n">
        <v>2</v>
      </c>
      <c r="C26" s="5" t="inlineStr">
        <is>
          <t>4 yaş 5 ay</t>
        </is>
      </c>
      <c r="D26" s="5" t="inlineStr">
        <is>
          <t>🔎</t>
        </is>
      </c>
      <c r="E26" s="6" t="inlineStr">
        <is>
          <t>Kaybolan Bozuk Para</t>
        </is>
      </c>
      <c r="F26" s="6" t="inlineStr">
        <is>
          <t>Parkta, ayağının dibinde parlak bir bozuk para var. Sahibi görünmüyor. Annen de görünmüyor; bankta komşu teyzeyle termostan üçüncü çayı içiyor.</t>
        </is>
      </c>
      <c r="G26" s="5" t="inlineStr"/>
      <c r="H26" s="5" t="inlineStr">
        <is>
          <t>para</t>
        </is>
      </c>
      <c r="I26" s="5" t="inlineStr"/>
      <c r="J26" s="5" t="inlineStr"/>
      <c r="K26" s="5" t="inlineStr"/>
      <c r="L26" s="5" t="inlineStr"/>
      <c r="M26" s="5" t="inlineStr"/>
      <c r="N26" s="5" t="inlineStr"/>
      <c r="O26" s="5" t="inlineStr"/>
      <c r="P26" s="5" t="inlineStr"/>
      <c r="Q26" s="5" t="inlineStr"/>
      <c r="R26" s="6" t="inlineStr"/>
      <c r="S26" s="5" t="inlineStr"/>
      <c r="T26" s="5" t="inlineStr"/>
      <c r="U26" s="5" t="inlineStr"/>
      <c r="V26" s="5" t="inlineStr"/>
    </row>
    <row r="27">
      <c r="A27" s="5" t="inlineStr">
        <is>
          <t>takim-seciliyor</t>
        </is>
      </c>
      <c r="B27" s="5" t="n">
        <v>3</v>
      </c>
      <c r="C27" s="5" t="inlineStr">
        <is>
          <t>7 yaş</t>
        </is>
      </c>
      <c r="D27" s="5" t="inlineStr">
        <is>
          <t>⚽</t>
        </is>
      </c>
      <c r="E27" s="6" t="inlineStr">
        <is>
          <t>Takım Seçiliyor</t>
        </is>
      </c>
      <c r="F27" s="6" t="inlineStr">
        <is>
          <t>Teneffüste maç. İki kaptan karşılıklı ayak ayak yürüyor; ayağı üste gelen ilk seçecek. Sen kale direği yapılan çantaların yanında bekliyorsun.</t>
        </is>
      </c>
      <c r="G27" s="5" t="inlineStr"/>
      <c r="H27" s="5" t="inlineStr"/>
      <c r="I27" s="5" t="inlineStr"/>
      <c r="J27" s="5" t="inlineStr"/>
      <c r="K27" s="5" t="inlineStr"/>
      <c r="L27" s="5" t="inlineStr"/>
      <c r="M27" s="5" t="inlineStr"/>
      <c r="N27" s="5" t="inlineStr"/>
      <c r="O27" s="5" t="inlineStr"/>
      <c r="P27" s="5" t="inlineStr"/>
      <c r="Q27" s="5" t="inlineStr"/>
      <c r="R27" s="6" t="inlineStr"/>
      <c r="S27" s="5" t="inlineStr"/>
      <c r="T27" s="5" t="inlineStr"/>
      <c r="U27" s="5" t="inlineStr"/>
      <c r="V27" s="5" t="inlineStr"/>
    </row>
    <row r="28">
      <c r="A28" s="5" t="inlineStr">
        <is>
          <t>sana-guluyorlar</t>
        </is>
      </c>
      <c r="B28" s="5" t="n">
        <v>2</v>
      </c>
      <c r="C28" s="5" t="inlineStr">
        <is>
          <t>4 yaş 9 ay</t>
        </is>
      </c>
      <c r="D28" s="5" t="inlineStr">
        <is>
          <t>😅</t>
        </is>
      </c>
      <c r="E28" s="6" t="inlineStr">
        <is>
          <t>Sana Gülüyorlar</t>
        </is>
      </c>
      <c r="F28" s="6" t="inlineStr">
        <is>
          <t>Kreşte öğretmen sordu: “Büyüyünce ne olacaksın?” “Kedi” dedin; bütün gün uyuyor, kimse kızmıyor. Üç çocuk kahkahayı bastı. Neyin komik olduğunu hâlâ anlamadın.</t>
        </is>
      </c>
      <c r="G28" s="5" t="inlineStr"/>
      <c r="H28" s="5" t="inlineStr">
        <is>
          <t>sosyal</t>
        </is>
      </c>
      <c r="I28" s="5" t="inlineStr"/>
      <c r="J28" s="5" t="inlineStr"/>
      <c r="K28" s="5" t="inlineStr"/>
      <c r="L28" s="5" t="inlineStr"/>
      <c r="M28" s="5" t="inlineStr"/>
      <c r="N28" s="5" t="inlineStr"/>
      <c r="O28" s="5" t="inlineStr"/>
      <c r="P28" s="5" t="inlineStr"/>
      <c r="Q28" s="5" t="inlineStr"/>
      <c r="R28" s="6" t="inlineStr"/>
      <c r="S28" s="5" t="inlineStr"/>
      <c r="T28" s="5" t="inlineStr"/>
      <c r="U28" s="5" t="inlineStr"/>
      <c r="V28" s="5" t="inlineStr"/>
    </row>
    <row r="29">
      <c r="A29" s="5" t="inlineStr">
        <is>
          <t>ilk-kucuk-sir</t>
        </is>
      </c>
      <c r="B29" s="5" t="n">
        <v>2</v>
      </c>
      <c r="C29" s="5" t="inlineStr">
        <is>
          <t>5 yaş</t>
        </is>
      </c>
      <c r="D29" s="5" t="inlineStr">
        <is>
          <t>🤫</t>
        </is>
      </c>
      <c r="E29" s="6" t="inlineStr">
        <is>
          <t>İlk Küçük Sır</t>
        </is>
      </c>
      <c r="F29" s="6" t="inlineStr">
        <is>
          <t>Sıra arkadaşın kulağına eğildi, eliyle ağzını kapattı: “Benim dedemin dişleri çıkıyor. Geceleri bardağa koyuyor.” Sonra ekledi: “Kimseye söyleme.” Hayatında duyduğun en büyük sır bu.</t>
        </is>
      </c>
      <c r="G29" s="5" t="inlineStr"/>
      <c r="H29" s="5" t="inlineStr">
        <is>
          <t>sosyal</t>
        </is>
      </c>
      <c r="I29" s="5" t="inlineStr"/>
      <c r="J29" s="5" t="inlineStr"/>
      <c r="K29" s="5" t="inlineStr"/>
      <c r="L29" s="5" t="inlineStr"/>
      <c r="M29" s="5" t="inlineStr"/>
      <c r="N29" s="5" t="inlineStr"/>
      <c r="O29" s="5" t="inlineStr"/>
      <c r="P29" s="5" t="inlineStr"/>
      <c r="Q29" s="5" t="inlineStr"/>
      <c r="R29" s="6" t="inlineStr"/>
      <c r="S29" s="5" t="inlineStr"/>
      <c r="T29" s="5" t="inlineStr"/>
      <c r="U29" s="5" t="inlineStr"/>
      <c r="V29" s="5" t="inlineStr"/>
    </row>
    <row r="30">
      <c r="A30" s="5" t="inlineStr">
        <is>
          <t>aileler-kiyasliyor</t>
        </is>
      </c>
      <c r="B30" s="5" t="n">
        <v>2</v>
      </c>
      <c r="C30" s="5" t="inlineStr">
        <is>
          <t>5 yaş 2 ay</t>
        </is>
      </c>
      <c r="D30" s="5" t="inlineStr">
        <is>
          <t>📏</t>
        </is>
      </c>
      <c r="E30" s="6" t="inlineStr">
        <is>
          <t>Aileler Kıyaslıyor</t>
        </is>
      </c>
      <c r="F30" s="6" t="inlineStr">
        <is>
          <t>Komşu teyze çaya geldi, oğlunu da getirdi. Çaylar gelmeden başladı: “Bizimki okumayı söktü.” Annen elindeki şekerliği bıraktı: “Bizimki de alfabeyi tersten söylüyor.” Bu senin için de haberdi.</t>
        </is>
      </c>
      <c r="G30" s="5" t="inlineStr"/>
      <c r="H30" s="5" t="inlineStr">
        <is>
          <t>okul-iş</t>
        </is>
      </c>
      <c r="I30" s="5" t="inlineStr"/>
      <c r="J30" s="5" t="inlineStr"/>
      <c r="K30" s="5" t="inlineStr"/>
      <c r="L30" s="5" t="inlineStr"/>
      <c r="M30" s="5" t="inlineStr"/>
      <c r="N30" s="5" t="inlineStr"/>
      <c r="O30" s="5" t="inlineStr"/>
      <c r="P30" s="5" t="inlineStr"/>
      <c r="Q30" s="5" t="inlineStr"/>
      <c r="R30" s="6" t="inlineStr"/>
      <c r="S30" s="5" t="inlineStr"/>
      <c r="T30" s="5" t="inlineStr"/>
      <c r="U30" s="5" t="inlineStr"/>
      <c r="V30" s="5" t="inlineStr"/>
    </row>
    <row r="31">
      <c r="A31" s="5" t="inlineStr">
        <is>
          <t>kirilan-oyuncak</t>
        </is>
      </c>
      <c r="B31" s="5" t="n">
        <v>2</v>
      </c>
      <c r="C31" s="5" t="inlineStr">
        <is>
          <t>5 yaş 4 ay</t>
        </is>
      </c>
      <c r="D31" s="5" t="inlineStr">
        <is>
          <t>🔧</t>
        </is>
      </c>
      <c r="E31" s="6" t="inlineStr">
        <is>
          <t>Kırılan Oyuncak</t>
        </is>
      </c>
      <c r="F31" s="6" t="inlineStr">
        <is>
          <t>Babanın bayramda aldığı konuşan robotun kolu elinde kaldı. Kırmak istememiştin; kolu bir tur daha çevirmiştin, o kadar. Robot son kez “Merhaba dostum!” dedi ve sustu.</t>
        </is>
      </c>
      <c r="G31" s="5" t="inlineStr"/>
      <c r="H31" s="5" t="inlineStr"/>
      <c r="I31" s="5" t="inlineStr"/>
      <c r="J31" s="5" t="inlineStr"/>
      <c r="K31" s="5" t="inlineStr"/>
      <c r="L31" s="5" t="inlineStr"/>
      <c r="M31" s="5" t="inlineStr"/>
      <c r="N31" s="5" t="inlineStr"/>
      <c r="O31" s="5" t="inlineStr"/>
      <c r="P31" s="5" t="inlineStr"/>
      <c r="Q31" s="5" t="inlineStr"/>
      <c r="R31" s="6" t="inlineStr"/>
      <c r="S31" s="5" t="inlineStr"/>
      <c r="T31" s="5" t="inlineStr"/>
      <c r="U31" s="5" t="inlineStr"/>
      <c r="V31" s="5" t="inlineStr"/>
    </row>
    <row r="32">
      <c r="A32" s="5" t="inlineStr">
        <is>
          <t>mahalle-turnuvasi</t>
        </is>
      </c>
      <c r="B32" s="5" t="n">
        <v>2</v>
      </c>
      <c r="C32" s="5" t="inlineStr">
        <is>
          <t>5 yaş 5 ay</t>
        </is>
      </c>
      <c r="D32" s="5" t="inlineStr">
        <is>
          <t>🏃</t>
        </is>
      </c>
      <c r="E32" s="6" t="inlineStr">
        <is>
          <t>Mahalle Turnuvası</t>
        </is>
      </c>
      <c r="F32" s="6" t="inlineStr">
        <is>
          <t>Sokakta yarış var: apartmanın kapısından bakkalın önüne kadar. Kurallar her dakika değişiyor; en büyük çocuk ne derse o. Bakkal sandalyesini kapıya çekti; bitiş çizgisi artık o.</t>
        </is>
      </c>
      <c r="G32" s="5" t="inlineStr"/>
      <c r="H32" s="5" t="inlineStr"/>
      <c r="I32" s="5" t="inlineStr"/>
      <c r="J32" s="5" t="n">
        <v>2</v>
      </c>
      <c r="K32" s="5" t="inlineStr"/>
      <c r="L32" s="5" t="inlineStr"/>
      <c r="M32" s="5" t="inlineStr"/>
      <c r="N32" s="5" t="inlineStr"/>
      <c r="O32" s="5" t="inlineStr"/>
      <c r="P32" s="5" t="inlineStr"/>
      <c r="Q32" s="5" t="inlineStr"/>
      <c r="R32" s="6" t="inlineStr"/>
      <c r="S32" s="5" t="inlineStr"/>
      <c r="T32" s="5" t="inlineStr"/>
      <c r="U32" s="5" t="inlineStr"/>
      <c r="V32" s="5" t="inlineStr"/>
    </row>
    <row r="33">
      <c r="A33" s="5" t="inlineStr">
        <is>
          <t>harclik-pazarligi</t>
        </is>
      </c>
      <c r="B33" s="5" t="n">
        <v>2</v>
      </c>
      <c r="C33" s="5" t="inlineStr">
        <is>
          <t>5 yaş 7 ay</t>
        </is>
      </c>
      <c r="D33" s="5" t="inlineStr">
        <is>
          <t>💰</t>
        </is>
      </c>
      <c r="E33" s="6" t="inlineStr">
        <is>
          <t>İlk Harçlık Pazarlığı</t>
        </is>
      </c>
      <c r="F33" s="6" t="inlineStr">
        <is>
          <t>Pazar akşamı. Baban cüzdanını açtı: “Bundan sonra her hafta harçlığın var.” Avucuna iki bozukluk koydu. Sen bozukluklara baktın, sonra cüzdana; cüzdanda daha çok vardı.</t>
        </is>
      </c>
      <c r="G33" s="5" t="inlineStr"/>
      <c r="H33" s="5" t="inlineStr">
        <is>
          <t>para</t>
        </is>
      </c>
      <c r="I33" s="5" t="inlineStr"/>
      <c r="J33" s="5" t="inlineStr"/>
      <c r="K33" s="5" t="inlineStr"/>
      <c r="L33" s="5" t="inlineStr"/>
      <c r="M33" s="5" t="inlineStr"/>
      <c r="N33" s="5" t="inlineStr"/>
      <c r="O33" s="5" t="inlineStr"/>
      <c r="P33" s="5" t="inlineStr"/>
      <c r="Q33" s="5" t="inlineStr"/>
      <c r="R33" s="6" t="inlineStr"/>
      <c r="S33" s="5" t="inlineStr"/>
      <c r="T33" s="5" t="inlineStr"/>
      <c r="U33" s="5" t="inlineStr"/>
      <c r="V33" s="5" t="inlineStr"/>
    </row>
    <row r="34">
      <c r="A34" s="5" t="inlineStr">
        <is>
          <t>okul-hazirligi</t>
        </is>
      </c>
      <c r="B34" s="5" t="n">
        <v>2</v>
      </c>
      <c r="C34" s="5" t="inlineStr">
        <is>
          <t>5 yaş 9 ay</t>
        </is>
      </c>
      <c r="D34" s="5" t="inlineStr">
        <is>
          <t>🎒</t>
        </is>
      </c>
      <c r="E34" s="6" t="inlineStr">
        <is>
          <t>Okul Hazırlığı</t>
        </is>
      </c>
      <c r="F34" s="6" t="inlineStr">
        <is>
          <t>Çanta, harfler, defterler. Annen önlüğü üçüncü kez ütüledi; okula daha koca bir kış var.</t>
        </is>
      </c>
      <c r="G34" s="5" t="inlineStr"/>
      <c r="H34" s="5" t="inlineStr">
        <is>
          <t>okul-iş</t>
        </is>
      </c>
      <c r="I34" s="5" t="inlineStr"/>
      <c r="J34" s="5" t="n">
        <v>2</v>
      </c>
      <c r="K34" s="5" t="inlineStr"/>
      <c r="L34" s="5" t="inlineStr"/>
      <c r="M34" s="5" t="inlineStr"/>
      <c r="N34" s="5" t="inlineStr"/>
      <c r="O34" s="5" t="inlineStr"/>
      <c r="P34" s="5" t="inlineStr"/>
      <c r="Q34" s="5" t="inlineStr"/>
      <c r="R34" s="6" t="inlineStr"/>
      <c r="S34" s="5" t="inlineStr"/>
      <c r="T34" s="5" t="inlineStr"/>
      <c r="U34" s="5" t="inlineStr"/>
      <c r="V34" s="5" t="inlineStr"/>
    </row>
    <row r="35">
      <c r="A35" s="5" t="inlineStr">
        <is>
          <t>tepsiyle-kayak</t>
        </is>
      </c>
      <c r="B35" s="5" t="n">
        <v>2</v>
      </c>
      <c r="C35" s="5" t="inlineStr">
        <is>
          <t>5 yaş 10 ay</t>
        </is>
      </c>
      <c r="D35" s="5" t="inlineStr">
        <is>
          <t>🛷</t>
        </is>
      </c>
      <c r="E35" s="6" t="inlineStr">
        <is>
          <t>Tepsiyle Kayak</t>
        </is>
      </c>
      <c r="F35" s="6" t="inlineStr">
        <is>
          <t>Kar yağdı. Mahallenin en dik yokuşu trafiğe kapandı. Çocuklar mutfaklardan tepsi kaçırıyor.</t>
        </is>
      </c>
      <c r="G35" s="5" t="inlineStr"/>
      <c r="H35" s="5" t="inlineStr"/>
      <c r="I35" s="5" t="inlineStr"/>
      <c r="J35" s="5" t="inlineStr"/>
      <c r="K35" s="5" t="inlineStr"/>
      <c r="L35" s="5" t="inlineStr"/>
      <c r="M35" s="5" t="inlineStr"/>
      <c r="N35" s="5" t="inlineStr"/>
      <c r="O35" s="5" t="inlineStr"/>
      <c r="P35" s="5" t="inlineStr"/>
      <c r="Q35" s="5" t="inlineStr"/>
      <c r="R35" s="6" t="inlineStr"/>
      <c r="S35" s="5" t="inlineStr"/>
      <c r="T35" s="5" t="inlineStr"/>
      <c r="U35" s="5" t="inlineStr"/>
      <c r="V35" s="5" t="inlineStr"/>
    </row>
    <row r="36">
      <c r="A36" s="5" t="inlineStr">
        <is>
          <t>ilkokul-kapisi</t>
        </is>
      </c>
      <c r="B36" s="5" t="n">
        <v>2</v>
      </c>
      <c r="C36" s="5" t="inlineStr">
        <is>
          <t>6 yaş</t>
        </is>
      </c>
      <c r="D36" s="5" t="inlineStr">
        <is>
          <t>🏫</t>
        </is>
      </c>
      <c r="E36" s="6" t="inlineStr">
        <is>
          <t>İlkokul Kapısı</t>
        </is>
      </c>
      <c r="F36" s="6" t="inlineStr">
        <is>
          <t>Büyük bina, küçük sıralar, bir sürü kural. Üstünde yepyeni bir önlük, yakanda annenin iğneyle taktığı nazar boncuğu. Kapıda ağlayan veliler var; ağlayanlar sizinkiler.</t>
        </is>
      </c>
      <c r="G36" s="5" t="inlineStr"/>
      <c r="H36" s="5" t="inlineStr">
        <is>
          <t>okul-iş</t>
        </is>
      </c>
      <c r="I36" s="5" t="inlineStr">
        <is>
          <t>E</t>
        </is>
      </c>
      <c r="J36" s="5" t="inlineStr"/>
      <c r="K36" s="5" t="inlineStr"/>
      <c r="L36" s="5" t="inlineStr"/>
      <c r="M36" s="5" t="inlineStr"/>
      <c r="N36" s="5" t="inlineStr"/>
      <c r="O36" s="5" t="inlineStr"/>
      <c r="P36" s="5" t="inlineStr"/>
      <c r="Q36" s="5" t="inlineStr"/>
      <c r="R36" s="6" t="inlineStr"/>
      <c r="S36" s="5" t="inlineStr"/>
      <c r="T36" s="5" t="inlineStr"/>
      <c r="U36" s="5" t="inlineStr"/>
      <c r="V36" s="5" t="inlineStr"/>
    </row>
    <row r="37">
      <c r="A37" s="5" t="inlineStr">
        <is>
          <t>ilk-ders</t>
        </is>
      </c>
      <c r="B37" s="5" t="n">
        <v>3</v>
      </c>
      <c r="C37" s="5" t="inlineStr">
        <is>
          <t>6 yaş 1 ay</t>
        </is>
      </c>
      <c r="D37" s="5" t="inlineStr">
        <is>
          <t>✏️</t>
        </is>
      </c>
      <c r="E37" s="6" t="inlineStr">
        <is>
          <t>İlk Ders</t>
        </is>
      </c>
      <c r="F37" s="6" t="inlineStr">
        <is>
          <t>Okulun ilk günü. Annen hâlâ camın arkasından el sallıyor; öğretmen perdeyi çekti ve sordu: “Kim okumayı biliyor?” Yirmi sekiz çocuğun yarısı el kaldırdı, yarısı perdeye baktı.</t>
        </is>
      </c>
      <c r="G37" s="5" t="inlineStr"/>
      <c r="H37" s="5" t="inlineStr">
        <is>
          <t>okul-iş</t>
        </is>
      </c>
      <c r="I37" s="5" t="inlineStr">
        <is>
          <t>E</t>
        </is>
      </c>
      <c r="J37" s="5" t="inlineStr"/>
      <c r="K37" s="5" t="inlineStr"/>
      <c r="L37" s="5" t="inlineStr"/>
      <c r="M37" s="5" t="inlineStr"/>
      <c r="N37" s="5" t="inlineStr"/>
      <c r="O37" s="5" t="inlineStr"/>
      <c r="P37" s="5" t="inlineStr"/>
      <c r="Q37" s="5" t="inlineStr"/>
      <c r="R37" s="6" t="inlineStr"/>
      <c r="S37" s="5" t="inlineStr"/>
      <c r="T37" s="5" t="inlineStr"/>
      <c r="U37" s="5" t="inlineStr"/>
      <c r="V37" s="5" t="inlineStr"/>
    </row>
    <row r="38">
      <c r="A38" s="5" t="inlineStr">
        <is>
          <t>sira-arkadasi</t>
        </is>
      </c>
      <c r="B38" s="5" t="n">
        <v>3</v>
      </c>
      <c r="C38" s="5" t="inlineStr">
        <is>
          <t>6 yaş 2 ay</t>
        </is>
      </c>
      <c r="D38" s="5" t="inlineStr">
        <is>
          <t>🪑</t>
        </is>
      </c>
      <c r="E38" s="6" t="inlineStr">
        <is>
          <t>Sıra Arkadaşı</t>
        </is>
      </c>
      <c r="F38" s="6" t="inlineStr">
        <is>
          <t>Yanına oturan çocuk kalemlerini sayıyor. Senin kalemlerini de.</t>
        </is>
      </c>
      <c r="G38" s="5" t="inlineStr"/>
      <c r="H38" s="5" t="inlineStr">
        <is>
          <t>sosyal</t>
        </is>
      </c>
      <c r="I38" s="5" t="inlineStr"/>
      <c r="J38" s="5" t="inlineStr"/>
      <c r="K38" s="5" t="inlineStr"/>
      <c r="L38" s="5" t="inlineStr"/>
      <c r="M38" s="5" t="inlineStr"/>
      <c r="N38" s="5" t="inlineStr"/>
      <c r="O38" s="5" t="inlineStr"/>
      <c r="P38" s="5" t="inlineStr"/>
      <c r="Q38" s="5" t="inlineStr"/>
      <c r="R38" s="6" t="inlineStr"/>
      <c r="S38" s="5" t="inlineStr"/>
      <c r="T38" s="5" t="inlineStr"/>
      <c r="U38" s="5" t="inlineStr"/>
      <c r="V38" s="5" t="inlineStr"/>
    </row>
    <row r="39">
      <c r="A39" s="5" t="inlineStr">
        <is>
          <t>teneffus-kantini</t>
        </is>
      </c>
      <c r="B39" s="5" t="n">
        <v>3</v>
      </c>
      <c r="C39" s="5" t="inlineStr">
        <is>
          <t>6 yaş 4 ay</t>
        </is>
      </c>
      <c r="D39" s="5" t="inlineStr">
        <is>
          <t>🥪</t>
        </is>
      </c>
      <c r="E39" s="6" t="inlineStr">
        <is>
          <t>Kantin Kuyruğu</t>
        </is>
      </c>
      <c r="F39" s="6" t="inlineStr">
        <is>
          <t>Teneffüs on dakika, kantin kuyruğu on iki dakika. Kantinci tek başına: bir elinde tost makinesinin kapağı, öbüründe para üstü. Öndeki üçüncü sınıflar seni görmüyor bile.</t>
        </is>
      </c>
      <c r="G39" s="5" t="inlineStr"/>
      <c r="H39" s="5" t="inlineStr">
        <is>
          <t>para</t>
        </is>
      </c>
      <c r="I39" s="5" t="inlineStr">
        <is>
          <t>E</t>
        </is>
      </c>
      <c r="J39" s="5" t="inlineStr"/>
      <c r="K39" s="5" t="inlineStr"/>
      <c r="L39" s="5" t="inlineStr"/>
      <c r="M39" s="5" t="inlineStr"/>
      <c r="N39" s="5" t="inlineStr"/>
      <c r="O39" s="5" t="inlineStr"/>
      <c r="P39" s="5" t="inlineStr"/>
      <c r="Q39" s="5" t="inlineStr"/>
      <c r="R39" s="6" t="inlineStr"/>
      <c r="S39" s="5" t="inlineStr"/>
      <c r="T39" s="5" t="inlineStr"/>
      <c r="U39" s="5" t="inlineStr"/>
      <c r="V39" s="5" t="inlineStr"/>
    </row>
    <row r="40">
      <c r="A40" s="5" t="inlineStr">
        <is>
          <t>odev-nerede</t>
        </is>
      </c>
      <c r="B40" s="5" t="n">
        <v>3</v>
      </c>
      <c r="C40" s="5" t="inlineStr">
        <is>
          <t>6 yaş 7 ay</t>
        </is>
      </c>
      <c r="D40" s="5" t="inlineStr">
        <is>
          <t>📚</t>
        </is>
      </c>
      <c r="E40" s="6" t="inlineStr">
        <is>
          <t>Ödev Nerede?</t>
        </is>
      </c>
      <c r="F40" s="6" t="inlineStr">
        <is>
          <t>Sabah 07.40, servis kapıda korna çalıyor. Ödev defteri ne çantada ne masada. Annen bir yandan saçını tarıyor, bir yandan soruyor: “Yaptın, değil mi?”</t>
        </is>
      </c>
      <c r="G40" s="5" t="inlineStr"/>
      <c r="H40" s="5" t="inlineStr">
        <is>
          <t>ev</t>
        </is>
      </c>
      <c r="I40" s="5" t="inlineStr"/>
      <c r="J40" s="5" t="inlineStr"/>
      <c r="K40" s="5" t="inlineStr"/>
      <c r="L40" s="5" t="inlineStr"/>
      <c r="M40" s="5" t="inlineStr"/>
      <c r="N40" s="5" t="inlineStr"/>
      <c r="O40" s="5" t="inlineStr"/>
      <c r="P40" s="5" t="inlineStr"/>
      <c r="Q40" s="5" t="inlineStr"/>
      <c r="R40" s="6" t="inlineStr"/>
      <c r="S40" s="5" t="inlineStr"/>
      <c r="T40" s="5" t="inlineStr"/>
      <c r="U40" s="5" t="inlineStr"/>
      <c r="V40" s="5" t="inlineStr"/>
    </row>
    <row r="41">
      <c r="A41" s="5" t="inlineStr">
        <is>
          <t>sinif-baskani</t>
        </is>
      </c>
      <c r="B41" s="5" t="n">
        <v>3</v>
      </c>
      <c r="C41" s="5" t="inlineStr">
        <is>
          <t>7 yaş</t>
        </is>
      </c>
      <c r="D41" s="5" t="inlineStr">
        <is>
          <t>🗳️</t>
        </is>
      </c>
      <c r="E41" s="6" t="inlineStr">
        <is>
          <t>Sınıf Başkanlığı Seçimi</t>
        </is>
      </c>
      <c r="F41" s="6" t="inlineStr">
        <is>
          <t>Seçim var. Vaatler belli: daha uzun teneffüs, daha az ödev, sınıfa bir akvaryum.</t>
        </is>
      </c>
      <c r="G41" s="5" t="inlineStr"/>
      <c r="H41" s="5" t="inlineStr">
        <is>
          <t>sosyal</t>
        </is>
      </c>
      <c r="I41" s="5" t="inlineStr">
        <is>
          <t>E</t>
        </is>
      </c>
      <c r="J41" s="5" t="inlineStr"/>
      <c r="K41" s="5" t="inlineStr"/>
      <c r="L41" s="5" t="inlineStr"/>
      <c r="M41" s="5" t="inlineStr"/>
      <c r="N41" s="5" t="inlineStr"/>
      <c r="O41" s="5" t="inlineStr"/>
      <c r="P41" s="5" t="inlineStr"/>
      <c r="Q41" s="5" t="inlineStr"/>
      <c r="R41" s="6" t="inlineStr"/>
      <c r="S41" s="5" t="inlineStr"/>
      <c r="T41" s="5" t="inlineStr"/>
      <c r="U41" s="5" t="inlineStr"/>
      <c r="V41" s="5" t="inlineStr"/>
    </row>
    <row r="42">
      <c r="A42" s="5" t="inlineStr">
        <is>
          <t>davetiyeler</t>
        </is>
      </c>
      <c r="B42" s="5" t="n">
        <v>3</v>
      </c>
      <c r="C42" s="5" t="inlineStr">
        <is>
          <t>7 yaş 3 ay</t>
        </is>
      </c>
      <c r="D42" s="5" t="inlineStr">
        <is>
          <t>💌</t>
        </is>
      </c>
      <c r="E42" s="6" t="inlineStr">
        <is>
          <t>Davetiyeler Dağıtıldı</t>
        </is>
      </c>
      <c r="F42" s="6" t="inlineStr">
        <is>
          <t>Sınıfta doğum günü davetiyeleri dağıtılıyor. Sende yok. Henüz.</t>
        </is>
      </c>
      <c r="G42" s="5" t="inlineStr"/>
      <c r="H42" s="5" t="inlineStr">
        <is>
          <t>sosyal</t>
        </is>
      </c>
      <c r="I42" s="5" t="inlineStr"/>
      <c r="J42" s="5" t="inlineStr"/>
      <c r="K42" s="5" t="inlineStr"/>
      <c r="L42" s="5" t="inlineStr"/>
      <c r="M42" s="5" t="inlineStr"/>
      <c r="N42" s="5" t="inlineStr"/>
      <c r="O42" s="5" t="inlineStr"/>
      <c r="P42" s="5" t="inlineStr"/>
      <c r="Q42" s="5" t="inlineStr"/>
      <c r="R42" s="6" t="inlineStr"/>
      <c r="S42" s="5" t="inlineStr"/>
      <c r="T42" s="5" t="inlineStr"/>
      <c r="U42" s="5" t="inlineStr"/>
      <c r="V42" s="5" t="inlineStr"/>
    </row>
    <row r="43">
      <c r="A43" s="5" t="inlineStr">
        <is>
          <t>bayram-harcligi</t>
        </is>
      </c>
      <c r="B43" s="5" t="n">
        <v>3</v>
      </c>
      <c r="C43" s="5" t="inlineStr">
        <is>
          <t>7 yaş 6 ay</t>
        </is>
      </c>
      <c r="D43" s="5" t="inlineStr">
        <is>
          <t>✉️</t>
        </is>
      </c>
      <c r="E43" s="6" t="inlineStr">
        <is>
          <t>Bayram Harçlığı</t>
        </is>
      </c>
      <c r="F43" s="6" t="inlineStr">
        <is>
          <t>Bayram. Eller öpüldü, kolonyalar döküldü, zarflar cebe girdi. Cebin hiç bu kadar kalın olmamıştı.</t>
        </is>
      </c>
      <c r="G43" s="5" t="inlineStr"/>
      <c r="H43" s="5" t="inlineStr">
        <is>
          <t>para</t>
        </is>
      </c>
      <c r="I43" s="5" t="inlineStr"/>
      <c r="J43" s="5" t="inlineStr"/>
      <c r="K43" s="5" t="inlineStr"/>
      <c r="L43" s="5" t="inlineStr"/>
      <c r="M43" s="5" t="inlineStr"/>
      <c r="N43" s="5" t="inlineStr"/>
      <c r="O43" s="5" t="inlineStr"/>
      <c r="P43" s="5" t="inlineStr"/>
      <c r="Q43" s="5" t="inlineStr"/>
      <c r="R43" s="6" t="inlineStr"/>
      <c r="S43" s="5" t="inlineStr"/>
      <c r="T43" s="5" t="inlineStr"/>
      <c r="U43" s="5" t="inlineStr"/>
      <c r="V43" s="5" t="inlineStr"/>
    </row>
    <row r="44">
      <c r="A44" s="5" t="inlineStr">
        <is>
          <t>balkondaki-ucurtma</t>
        </is>
      </c>
      <c r="B44" s="5" t="n">
        <v>3</v>
      </c>
      <c r="C44" s="5" t="inlineStr">
        <is>
          <t>7 yaş 8 ay</t>
        </is>
      </c>
      <c r="D44" s="5" t="inlineStr">
        <is>
          <t>🪁</t>
        </is>
      </c>
      <c r="E44" s="6" t="inlineStr">
        <is>
          <t>Balkondaki Uçurtma</t>
        </is>
      </c>
      <c r="F44" s="6" t="inlineStr">
        <is>
          <t>Uçurtman birinci kattaki balkonun korkuluğuna takıldı. Balkonun sahibi teyze memlekette. Bahçedeki dut ağacının bir dalı tam o korkuluğa uzanıyor.</t>
        </is>
      </c>
      <c r="G44" s="5" t="inlineStr"/>
      <c r="H44" s="5" t="inlineStr"/>
      <c r="I44" s="5" t="inlineStr"/>
      <c r="J44" s="5" t="inlineStr"/>
      <c r="K44" s="5" t="inlineStr"/>
      <c r="L44" s="5" t="inlineStr"/>
      <c r="M44" s="5" t="inlineStr"/>
      <c r="N44" s="5" t="inlineStr"/>
      <c r="O44" s="5" t="inlineStr"/>
      <c r="P44" s="5" t="inlineStr"/>
      <c r="Q44" s="5" t="inlineStr"/>
      <c r="R44" s="6" t="inlineStr"/>
      <c r="S44" s="5" t="inlineStr"/>
      <c r="T44" s="5" t="inlineStr"/>
      <c r="U44" s="5" t="inlineStr"/>
      <c r="V44" s="5" t="inlineStr"/>
    </row>
    <row r="45">
      <c r="A45" s="5" t="inlineStr">
        <is>
          <t>mahalle-maci</t>
        </is>
      </c>
      <c r="B45" s="5" t="n">
        <v>3</v>
      </c>
      <c r="C45" s="5" t="inlineStr">
        <is>
          <t>7 yaş 10 ay</t>
        </is>
      </c>
      <c r="D45" s="5" t="inlineStr">
        <is>
          <t>🥅</t>
        </is>
      </c>
      <c r="E45" s="6" t="inlineStr">
        <is>
          <t>Mahalle Maçı</t>
        </is>
      </c>
      <c r="F45" s="6" t="inlineStr">
        <is>
          <t>Maç berabere. Son vuruş sende. Kalenin arkasında komşunun camı parlıyor.</t>
        </is>
      </c>
      <c r="G45" s="5" t="inlineStr"/>
      <c r="H45" s="5" t="inlineStr"/>
      <c r="I45" s="5" t="inlineStr"/>
      <c r="J45" s="5" t="inlineStr"/>
      <c r="K45" s="5" t="inlineStr"/>
      <c r="L45" s="5" t="inlineStr"/>
      <c r="M45" s="5" t="inlineStr"/>
      <c r="N45" s="5" t="inlineStr"/>
      <c r="O45" s="5" t="inlineStr"/>
      <c r="P45" s="5" t="inlineStr"/>
      <c r="Q45" s="5" t="inlineStr"/>
      <c r="R45" s="6" t="inlineStr"/>
      <c r="S45" s="5" t="inlineStr"/>
      <c r="T45" s="5" t="inlineStr"/>
      <c r="U45" s="5" t="inlineStr"/>
      <c r="V45" s="5" t="inlineStr"/>
    </row>
    <row r="46">
      <c r="A46" s="5" t="inlineStr">
        <is>
          <t>kedi-istiyoruz</t>
        </is>
      </c>
      <c r="B46" s="5" t="n">
        <v>3</v>
      </c>
      <c r="C46" s="5" t="inlineStr">
        <is>
          <t>8 yaş</t>
        </is>
      </c>
      <c r="D46" s="5" t="inlineStr">
        <is>
          <t>🐱</t>
        </is>
      </c>
      <c r="E46" s="6" t="inlineStr">
        <is>
          <t>Bir Kedi Daha</t>
        </is>
      </c>
      <c r="F46" s="6" t="inlineStr">
        <is>
          <t>Bakkalın kedisi doğurdu; yavrular dağıtılıyor. Akşam yemeğinde konu açıldı: Bir tane de bize mi? Evin kedisi peteğin üstünden kulak kabartıyor. Babaannen şimdiden kaşlarını çattı.</t>
        </is>
      </c>
      <c r="G46" s="5" t="inlineStr"/>
      <c r="H46" s="5" t="inlineStr">
        <is>
          <t>ev</t>
        </is>
      </c>
      <c r="I46" s="5" t="inlineStr"/>
      <c r="J46" s="5" t="inlineStr"/>
      <c r="K46" s="5" t="inlineStr"/>
      <c r="L46" s="5" t="inlineStr"/>
      <c r="M46" s="5" t="inlineStr"/>
      <c r="N46" s="5" t="inlineStr"/>
      <c r="O46" s="5" t="inlineStr"/>
      <c r="P46" s="5" t="inlineStr"/>
      <c r="Q46" s="5" t="inlineStr"/>
      <c r="R46" s="6" t="inlineStr"/>
      <c r="S46" s="5" t="inlineStr"/>
      <c r="T46" s="5" t="inlineStr"/>
      <c r="U46" s="5" t="inlineStr"/>
      <c r="V46" s="5" t="inlineStr"/>
    </row>
    <row r="47">
      <c r="A47" s="5" t="inlineStr">
        <is>
          <t>tablet-saati</t>
        </is>
      </c>
      <c r="B47" s="5" t="n">
        <v>3</v>
      </c>
      <c r="C47" s="5" t="inlineStr">
        <is>
          <t>8 yaş 4 ay</t>
        </is>
      </c>
      <c r="D47" s="5" t="inlineStr">
        <is>
          <t>🎮</t>
        </is>
      </c>
      <c r="E47" s="6" t="inlineStr">
        <is>
          <t>Tablet Saati</t>
        </is>
      </c>
      <c r="F47" s="6" t="inlineStr">
        <is>
          <t>Ekran süresi günde bir saat. Oyunun bölüm sonu canavarı ise 61. dakikada.</t>
        </is>
      </c>
      <c r="G47" s="5" t="inlineStr"/>
      <c r="H47" s="5" t="inlineStr">
        <is>
          <t>ev</t>
        </is>
      </c>
      <c r="I47" s="5" t="inlineStr"/>
      <c r="J47" s="5" t="inlineStr"/>
      <c r="K47" s="5" t="inlineStr"/>
      <c r="L47" s="5" t="inlineStr"/>
      <c r="M47" s="5" t="inlineStr"/>
      <c r="N47" s="5" t="inlineStr"/>
      <c r="O47" s="5" t="inlineStr"/>
      <c r="P47" s="5" t="inlineStr"/>
      <c r="Q47" s="5" t="inlineStr"/>
      <c r="R47" s="6" t="inlineStr"/>
      <c r="S47" s="5" t="inlineStr"/>
      <c r="T47" s="5" t="inlineStr"/>
      <c r="U47" s="5" t="inlineStr"/>
      <c r="V47" s="5" t="inlineStr"/>
    </row>
    <row r="48">
      <c r="A48" s="5" t="inlineStr">
        <is>
          <t>veli-toplantisi</t>
        </is>
      </c>
      <c r="B48" s="5" t="n">
        <v>3</v>
      </c>
      <c r="C48" s="5" t="inlineStr">
        <is>
          <t>8 yaş 8 ay</t>
        </is>
      </c>
      <c r="D48" s="5" t="inlineStr">
        <is>
          <t>🚪</t>
        </is>
      </c>
      <c r="E48" s="6" t="inlineStr">
        <is>
          <t>Veli Toplantısı</t>
        </is>
      </c>
      <c r="F48" s="6" t="inlineStr">
        <is>
          <t>Annen içeride, öğretmenin karşısında. Sen koridorda, kapının önündeki sandalyedesin. İçeriden arada bir adın duyuluyor, arada bir de annenin “Yok canım!” demesi.</t>
        </is>
      </c>
      <c r="G48" s="5" t="inlineStr"/>
      <c r="H48" s="5" t="inlineStr">
        <is>
          <t>okul-iş</t>
        </is>
      </c>
      <c r="I48" s="5" t="inlineStr"/>
      <c r="J48" s="5" t="inlineStr"/>
      <c r="K48" s="5" t="inlineStr"/>
      <c r="L48" s="5" t="inlineStr"/>
      <c r="M48" s="5" t="inlineStr"/>
      <c r="N48" s="5" t="inlineStr"/>
      <c r="O48" s="5" t="inlineStr"/>
      <c r="P48" s="5" t="inlineStr"/>
      <c r="Q48" s="5" t="inlineStr"/>
      <c r="R48" s="6" t="inlineStr"/>
      <c r="S48" s="5" t="inlineStr"/>
      <c r="T48" s="5" t="inlineStr"/>
      <c r="U48" s="5" t="inlineStr"/>
      <c r="V48" s="5" t="inlineStr"/>
    </row>
    <row r="49">
      <c r="A49" s="5" t="inlineStr">
        <is>
          <t>karne-gunu</t>
        </is>
      </c>
      <c r="B49" s="5" t="n">
        <v>3</v>
      </c>
      <c r="C49" s="5" t="inlineStr">
        <is>
          <t>9 yaş</t>
        </is>
      </c>
      <c r="D49" s="5" t="inlineStr">
        <is>
          <t>📜</t>
        </is>
      </c>
      <c r="E49" s="6" t="inlineStr">
        <is>
          <t>Karne Günü</t>
        </is>
      </c>
      <c r="F49" s="6" t="inlineStr">
        <is>
          <t>Yılın son günü. Karne elinde. Eve kadar 800 metre, düşünmek için bolca zaman.</t>
        </is>
      </c>
      <c r="G49" s="5" t="inlineStr"/>
      <c r="H49" s="5" t="inlineStr">
        <is>
          <t>okul-iş</t>
        </is>
      </c>
      <c r="I49" s="5" t="inlineStr">
        <is>
          <t>E</t>
        </is>
      </c>
      <c r="J49" s="5" t="inlineStr"/>
      <c r="K49" s="5" t="inlineStr"/>
      <c r="L49" s="5" t="inlineStr"/>
      <c r="M49" s="5" t="inlineStr"/>
      <c r="N49" s="5" t="inlineStr"/>
      <c r="O49" s="5" t="inlineStr"/>
      <c r="P49" s="5" t="inlineStr"/>
      <c r="Q49" s="5" t="inlineStr"/>
      <c r="R49" s="6" t="inlineStr"/>
      <c r="S49" s="5" t="inlineStr"/>
      <c r="T49" s="5" t="inlineStr"/>
      <c r="U49" s="5" t="inlineStr"/>
      <c r="V49" s="5" t="inlineStr"/>
    </row>
    <row r="50">
      <c r="A50" s="5" t="inlineStr">
        <is>
          <t>b4-ilk-telefon</t>
        </is>
      </c>
      <c r="B50" s="5" t="n">
        <v>4</v>
      </c>
      <c r="C50" s="5" t="inlineStr">
        <is>
          <t>10 yaş</t>
        </is>
      </c>
      <c r="D50" s="5" t="inlineStr">
        <is>
          <t>📱</t>
        </is>
      </c>
      <c r="E50" s="6" t="inlineStr">
        <is>
          <t>İlk Akıllı Telefon</t>
        </is>
      </c>
      <c r="F50" s="6" t="inlineStr">
        <is>
          <t>İlk akıllı telefonun kutudan çıktı. Daha ekran koruyucusu takılmadan baban telefonu aldı, gözlüğünü taktı ve bir saat boyunca “ebeveyn denetimi” kurdu. Sonra uzattı: “Güle güle kullan.”</t>
        </is>
      </c>
      <c r="G50" s="5" t="inlineStr">
        <is>
          <t>ev</t>
        </is>
      </c>
      <c r="H50" s="5" t="inlineStr">
        <is>
          <t>ev</t>
        </is>
      </c>
      <c r="I50" s="5" t="inlineStr">
        <is>
          <t>E</t>
        </is>
      </c>
      <c r="J50" s="5" t="inlineStr"/>
      <c r="K50" s="5" t="inlineStr"/>
      <c r="L50" s="5" t="inlineStr"/>
      <c r="M50" s="5" t="inlineStr"/>
      <c r="N50" s="5" t="inlineStr"/>
      <c r="O50" s="5" t="inlineStr"/>
      <c r="P50" s="5" t="inlineStr"/>
      <c r="Q50" s="5" t="inlineStr"/>
      <c r="R50" s="6" t="inlineStr"/>
      <c r="S50" s="5" t="inlineStr"/>
      <c r="T50" s="5" t="inlineStr"/>
      <c r="U50" s="5" t="inlineStr"/>
      <c r="V50" s="5" t="inlineStr"/>
    </row>
    <row r="51">
      <c r="A51" s="5" t="inlineStr">
        <is>
          <t>b4-aile-grubu</t>
        </is>
      </c>
      <c r="B51" s="5" t="n">
        <v>4</v>
      </c>
      <c r="C51" s="5" t="inlineStr">
        <is>
          <t>10 yaş 2 ay</t>
        </is>
      </c>
      <c r="D51" s="5" t="inlineStr">
        <is>
          <t>👨‍👩‍👧</t>
        </is>
      </c>
      <c r="E51" s="6" t="inlineStr">
        <is>
          <t>Aile Mesaj Grubu</t>
        </is>
      </c>
      <c r="F51" s="6" t="inlineStr">
        <is>
          <t>Aile mesaj grubuna eklendin. Grupta 34 kişi, sabah yedide atılmış on bir çiçekli günaydın ve kimsenin açmadığı bir sesli mesaj var.</t>
        </is>
      </c>
      <c r="G51" s="5" t="inlineStr">
        <is>
          <t>ev</t>
        </is>
      </c>
      <c r="H51" s="5" t="inlineStr">
        <is>
          <t>ev</t>
        </is>
      </c>
      <c r="I51" s="5" t="inlineStr"/>
      <c r="J51" s="5" t="inlineStr"/>
      <c r="K51" s="5" t="inlineStr"/>
      <c r="L51" s="5" t="inlineStr"/>
      <c r="M51" s="5" t="inlineStr"/>
      <c r="N51" s="5" t="inlineStr"/>
      <c r="O51" s="5" t="inlineStr"/>
      <c r="P51" s="5" t="inlineStr"/>
      <c r="Q51" s="5" t="inlineStr"/>
      <c r="R51" s="6" t="inlineStr"/>
      <c r="S51" s="5" t="inlineStr"/>
      <c r="T51" s="5" t="inlineStr"/>
      <c r="U51" s="5" t="inlineStr"/>
      <c r="V51" s="5" t="inlineStr"/>
    </row>
    <row r="52">
      <c r="A52" s="5" t="inlineStr">
        <is>
          <t>b4-oyun-faturasi</t>
        </is>
      </c>
      <c r="B52" s="5" t="n">
        <v>4</v>
      </c>
      <c r="C52" s="5" t="inlineStr">
        <is>
          <t>10 yaş 5 ay</t>
        </is>
      </c>
      <c r="D52" s="5" t="inlineStr">
        <is>
          <t>💎</t>
        </is>
      </c>
      <c r="E52" s="6" t="inlineStr">
        <is>
          <t>Oyun İçi Satın Alma</t>
        </is>
      </c>
      <c r="F52" s="6" t="inlineStr">
        <is>
          <t>Oyundaki parlak kılıç yalnızca 'birkaç elmas'. Elmaslar gerçek parayla alınıyor. Kart, annenin telefonunda kayıtlı.</t>
        </is>
      </c>
      <c r="G52" s="5" t="inlineStr">
        <is>
          <t>ev</t>
        </is>
      </c>
      <c r="H52" s="5" t="inlineStr">
        <is>
          <t>para</t>
        </is>
      </c>
      <c r="I52" s="5" t="inlineStr"/>
      <c r="J52" s="5" t="inlineStr"/>
      <c r="K52" s="5" t="inlineStr"/>
      <c r="L52" s="5" t="inlineStr"/>
      <c r="M52" s="5" t="inlineStr"/>
      <c r="N52" s="5" t="inlineStr"/>
      <c r="O52" s="5" t="inlineStr"/>
      <c r="P52" s="5" t="inlineStr"/>
      <c r="Q52" s="5" t="inlineStr"/>
      <c r="R52" s="6" t="inlineStr"/>
      <c r="S52" s="5" t="inlineStr"/>
      <c r="T52" s="5" t="inlineStr"/>
      <c r="U52" s="5" t="inlineStr"/>
      <c r="V52" s="5" t="inlineStr"/>
    </row>
    <row r="53">
      <c r="A53" s="5" t="inlineStr">
        <is>
          <t>b4-flut</t>
        </is>
      </c>
      <c r="B53" s="5" t="n">
        <v>4</v>
      </c>
      <c r="C53" s="5" t="inlineStr">
        <is>
          <t>10 yaş 6 ay</t>
        </is>
      </c>
      <c r="D53" s="5" t="inlineStr">
        <is>
          <t>🎵</t>
        </is>
      </c>
      <c r="E53" s="6" t="inlineStr">
        <is>
          <t>Müzik Dersi Flütü</t>
        </is>
      </c>
      <c r="F53" s="6" t="inlineStr">
        <is>
          <t>Müzik dersi için flüt alındı. Evdeki herkes önümüzdeki üç ayı sessizce kabullendi.</t>
        </is>
      </c>
      <c r="G53" s="5" t="inlineStr">
        <is>
          <t>ev</t>
        </is>
      </c>
      <c r="H53" s="5" t="inlineStr">
        <is>
          <t>okul-iş</t>
        </is>
      </c>
      <c r="I53" s="5" t="inlineStr"/>
      <c r="J53" s="5" t="inlineStr"/>
      <c r="K53" s="5" t="inlineStr"/>
      <c r="L53" s="5" t="inlineStr"/>
      <c r="M53" s="5" t="inlineStr"/>
      <c r="N53" s="5" t="inlineStr"/>
      <c r="O53" s="5" t="inlineStr"/>
      <c r="P53" s="5" t="inlineStr"/>
      <c r="Q53" s="5" t="inlineStr"/>
      <c r="R53" s="6" t="inlineStr"/>
      <c r="S53" s="5" t="inlineStr"/>
      <c r="T53" s="5" t="inlineStr"/>
      <c r="U53" s="5" t="inlineStr"/>
      <c r="V53" s="5" t="inlineStr"/>
    </row>
    <row r="54">
      <c r="A54" s="5" t="inlineStr">
        <is>
          <t>b4-sinif-grubu</t>
        </is>
      </c>
      <c r="B54" s="5" t="n">
        <v>4</v>
      </c>
      <c r="C54" s="5" t="inlineStr">
        <is>
          <t>10 yaş 8 ay</t>
        </is>
      </c>
      <c r="D54" s="5" t="inlineStr">
        <is>
          <t>💬</t>
        </is>
      </c>
      <c r="E54" s="6" t="inlineStr">
        <is>
          <t>Sınıf Mesaj Grubu</t>
        </is>
      </c>
      <c r="F54" s="6" t="inlineStr">
        <is>
          <t>Sınıf mesaj grubu gece yarısı kaynıyor. Sen de yazıyorsun. Parmağın 'Gönder' tuşunun üstünde.</t>
        </is>
      </c>
      <c r="G54" s="5" t="inlineStr">
        <is>
          <t>sinif</t>
        </is>
      </c>
      <c r="H54" s="5" t="inlineStr">
        <is>
          <t>sosyal</t>
        </is>
      </c>
      <c r="I54" s="5" t="inlineStr"/>
      <c r="J54" s="5" t="inlineStr"/>
      <c r="K54" s="5" t="inlineStr"/>
      <c r="L54" s="5" t="inlineStr"/>
      <c r="M54" s="5" t="inlineStr"/>
      <c r="N54" s="5" t="inlineStr"/>
      <c r="O54" s="5" t="inlineStr"/>
      <c r="P54" s="5" t="inlineStr"/>
      <c r="Q54" s="5" t="inlineStr"/>
      <c r="R54" s="6" t="inlineStr"/>
      <c r="S54" s="5" t="inlineStr"/>
      <c r="T54" s="5" t="inlineStr"/>
      <c r="U54" s="5" t="inlineStr"/>
      <c r="V54" s="5" t="inlineStr"/>
    </row>
    <row r="55">
      <c r="A55" s="5" t="inlineStr">
        <is>
          <t>b4-kisa-video</t>
        </is>
      </c>
      <c r="B55" s="5" t="n">
        <v>4</v>
      </c>
      <c r="C55" s="5" t="inlineStr">
        <is>
          <t>10 yaş 11 ay</t>
        </is>
      </c>
      <c r="D55" s="5" t="inlineStr">
        <is>
          <t>🎬</t>
        </is>
      </c>
      <c r="E55" s="6" t="inlineStr">
        <is>
          <t>Dans Trendi</t>
        </is>
      </c>
      <c r="F55" s="6" t="inlineStr">
        <is>
          <t>Kısa video uygulamasında yeni bir dans trendi var. Herkes yapıyor. Salonda yeterince yer, evde yeterince utanma yok.</t>
        </is>
      </c>
      <c r="G55" s="5" t="inlineStr">
        <is>
          <t>ev</t>
        </is>
      </c>
      <c r="H55" s="5" t="inlineStr">
        <is>
          <t>sosyal</t>
        </is>
      </c>
      <c r="I55" s="5" t="inlineStr"/>
      <c r="J55" s="5" t="inlineStr"/>
      <c r="K55" s="5" t="inlineStr"/>
      <c r="L55" s="5" t="inlineStr"/>
      <c r="M55" s="5" t="inlineStr"/>
      <c r="N55" s="5" t="inlineStr"/>
      <c r="O55" s="5" t="inlineStr"/>
      <c r="P55" s="5" t="inlineStr"/>
      <c r="Q55" s="5" t="inlineStr"/>
      <c r="R55" s="6" t="inlineStr"/>
      <c r="S55" s="5" t="inlineStr"/>
      <c r="T55" s="5" t="inlineStr"/>
      <c r="U55" s="5" t="inlineStr"/>
      <c r="V55" s="5" t="inlineStr"/>
    </row>
    <row r="56">
      <c r="A56" s="5" t="inlineStr">
        <is>
          <t>b4-kuzen-kiyaslama</t>
        </is>
      </c>
      <c r="B56" s="5" t="n">
        <v>4</v>
      </c>
      <c r="C56" s="5" t="inlineStr">
        <is>
          <t>11 yaş</t>
        </is>
      </c>
      <c r="D56" s="5" t="inlineStr">
        <is>
          <t>🏆</t>
        </is>
      </c>
      <c r="E56" s="6" t="inlineStr">
        <is>
          <t>Kuzen Kıyaslaması</t>
        </is>
      </c>
      <c r="F56" s="6" t="inlineStr">
        <is>
          <t>Bayram ziyareti. Teyzenin oğlu matematik yarışmasında birinci olmuş. Bu bilgi sofraya üç kez servis edildi.</t>
        </is>
      </c>
      <c r="G56" s="5" t="inlineStr">
        <is>
          <t>ev</t>
        </is>
      </c>
      <c r="H56" s="5" t="inlineStr">
        <is>
          <t>ev</t>
        </is>
      </c>
      <c r="I56" s="5" t="inlineStr"/>
      <c r="J56" s="5" t="inlineStr"/>
      <c r="K56" s="5" t="inlineStr"/>
      <c r="L56" s="5" t="inlineStr"/>
      <c r="M56" s="5" t="inlineStr"/>
      <c r="N56" s="5" t="inlineStr"/>
      <c r="O56" s="5" t="inlineStr"/>
      <c r="P56" s="5" t="inlineStr"/>
      <c r="Q56" s="5" t="inlineStr"/>
      <c r="R56" s="6" t="inlineStr"/>
      <c r="S56" s="5" t="inlineStr"/>
      <c r="T56" s="5" t="inlineStr"/>
      <c r="U56" s="5" t="inlineStr"/>
      <c r="V56" s="5" t="inlineStr"/>
    </row>
    <row r="57">
      <c r="A57" s="5" t="inlineStr">
        <is>
          <t>b4-ekran-suresi</t>
        </is>
      </c>
      <c r="B57" s="5" t="n">
        <v>4</v>
      </c>
      <c r="C57" s="5" t="inlineStr">
        <is>
          <t>11 yaş 1 ay</t>
        </is>
      </c>
      <c r="D57" s="5" t="inlineStr">
        <is>
          <t>📊</t>
        </is>
      </c>
      <c r="E57" s="6" t="inlineStr">
        <is>
          <t>Ekran Süresi Raporu</t>
        </is>
      </c>
      <c r="F57" s="6" t="inlineStr">
        <is>
          <t>Ailen haftalık ekran süresi raporunu açtı. Ortalama: günde 6 saat 12 dakika. En çok kullanılan uygulama: Hesap Makinesi.</t>
        </is>
      </c>
      <c r="G57" s="5" t="inlineStr">
        <is>
          <t>ev</t>
        </is>
      </c>
      <c r="H57" s="5" t="inlineStr">
        <is>
          <t>ev</t>
        </is>
      </c>
      <c r="I57" s="5" t="inlineStr"/>
      <c r="J57" s="5" t="inlineStr"/>
      <c r="K57" s="5" t="inlineStr"/>
      <c r="L57" s="5" t="inlineStr"/>
      <c r="M57" s="5" t="inlineStr"/>
      <c r="N57" s="5" t="inlineStr"/>
      <c r="O57" s="5" t="inlineStr"/>
      <c r="P57" s="5" t="inlineStr"/>
      <c r="Q57" s="5" t="inlineStr"/>
      <c r="R57" s="6" t="inlineStr"/>
      <c r="S57" s="5" t="inlineStr"/>
      <c r="T57" s="5" t="inlineStr"/>
      <c r="U57" s="5" t="inlineStr"/>
      <c r="V57" s="5" t="inlineStr"/>
    </row>
    <row r="58">
      <c r="A58" s="5" t="inlineStr">
        <is>
          <t>b4-mahalle-haraccilari</t>
        </is>
      </c>
      <c r="B58" s="5" t="n">
        <v>4</v>
      </c>
      <c r="C58" s="5" t="inlineStr">
        <is>
          <t>11 yaş 3 ay</t>
        </is>
      </c>
      <c r="D58" s="5" t="inlineStr">
        <is>
          <t>🧢</t>
        </is>
      </c>
      <c r="E58" s="6" t="inlineStr">
        <is>
          <t>Köşedeki Üç Kişi</t>
        </is>
      </c>
      <c r="F58" s="6" t="inlineStr">
        <is>
          <t>Köşede üç büyük çocuk. 'Harçlığın var mı?' diye sordular. Telefonuna da ayrıca, uzun uzun baktılar.</t>
        </is>
      </c>
      <c r="G58" s="5" t="inlineStr">
        <is>
          <t>sokak</t>
        </is>
      </c>
      <c r="H58" s="5" t="inlineStr">
        <is>
          <t>para</t>
        </is>
      </c>
      <c r="I58" s="5" t="inlineStr">
        <is>
          <t>E</t>
        </is>
      </c>
      <c r="J58" s="5" t="inlineStr"/>
      <c r="K58" s="5" t="inlineStr"/>
      <c r="L58" s="5" t="inlineStr"/>
      <c r="M58" s="5" t="inlineStr"/>
      <c r="N58" s="5" t="inlineStr"/>
      <c r="O58" s="5" t="inlineStr"/>
      <c r="P58" s="5" t="inlineStr"/>
      <c r="Q58" s="5" t="inlineStr"/>
      <c r="R58" s="6" t="inlineStr"/>
      <c r="S58" s="5" t="inlineStr"/>
      <c r="T58" s="5" t="inlineStr"/>
      <c r="U58" s="5" t="inlineStr"/>
      <c r="V58" s="5" t="inlineStr"/>
    </row>
    <row r="59">
      <c r="A59" s="5" t="inlineStr">
        <is>
          <t>b4-sivilce</t>
        </is>
      </c>
      <c r="B59" s="5" t="n">
        <v>4</v>
      </c>
      <c r="C59" s="5" t="inlineStr">
        <is>
          <t>11 yaş 6 ay</t>
        </is>
      </c>
      <c r="D59" s="5" t="inlineStr">
        <is>
          <t>🪞</t>
        </is>
      </c>
      <c r="E59" s="6" t="inlineStr">
        <is>
          <t>Alındaki Misafir</t>
        </is>
      </c>
      <c r="F59" s="6" t="inlineStr">
        <is>
          <t>Sabah aynada bir misafir var: alnının tam ortasında. Bugün okul fotoğrafı çekilecek.</t>
        </is>
      </c>
      <c r="G59" s="5" t="inlineStr">
        <is>
          <t>ev</t>
        </is>
      </c>
      <c r="H59" s="5" t="inlineStr">
        <is>
          <t>ev</t>
        </is>
      </c>
      <c r="I59" s="5" t="inlineStr"/>
      <c r="J59" s="5" t="inlineStr"/>
      <c r="K59" s="5" t="inlineStr"/>
      <c r="L59" s="5" t="inlineStr"/>
      <c r="M59" s="5" t="inlineStr"/>
      <c r="N59" s="5" t="inlineStr"/>
      <c r="O59" s="5" t="inlineStr"/>
      <c r="P59" s="5" t="inlineStr"/>
      <c r="Q59" s="5" t="inlineStr"/>
      <c r="R59" s="6" t="inlineStr"/>
      <c r="S59" s="5" t="inlineStr"/>
      <c r="T59" s="5" t="inlineStr"/>
      <c r="U59" s="5" t="inlineStr"/>
      <c r="V59" s="5" t="inlineStr"/>
    </row>
    <row r="60">
      <c r="A60" s="5" t="inlineStr">
        <is>
          <t>b4-ses-catlamasi</t>
        </is>
      </c>
      <c r="B60" s="5" t="n">
        <v>4</v>
      </c>
      <c r="C60" s="5" t="inlineStr">
        <is>
          <t>11 yaş 9 ay</t>
        </is>
      </c>
      <c r="D60" s="5" t="inlineStr">
        <is>
          <t>🎤</t>
        </is>
      </c>
      <c r="E60" s="6" t="inlineStr">
        <is>
          <t>Ses Çatlaması</t>
        </is>
      </c>
      <c r="F60" s="6" t="inlineStr">
        <is>
          <t>Sesli okuma sırası sana geldi. Sesin cümlenin ortasında bir oktav yukarı çıkacak mı, belli değil.</t>
        </is>
      </c>
      <c r="G60" s="5" t="inlineStr">
        <is>
          <t>sinif</t>
        </is>
      </c>
      <c r="H60" s="5" t="inlineStr">
        <is>
          <t>okul-iş</t>
        </is>
      </c>
      <c r="I60" s="5" t="inlineStr"/>
      <c r="J60" s="5" t="inlineStr"/>
      <c r="K60" s="5" t="inlineStr"/>
      <c r="L60" s="5" t="inlineStr"/>
      <c r="M60" s="5" t="inlineStr"/>
      <c r="N60" s="5" t="inlineStr">
        <is>
          <t>erkek</t>
        </is>
      </c>
      <c r="O60" s="5" t="inlineStr"/>
      <c r="P60" s="5" t="inlineStr"/>
      <c r="Q60" s="5" t="inlineStr"/>
      <c r="R60" s="6" t="inlineStr"/>
      <c r="S60" s="5" t="inlineStr"/>
      <c r="T60" s="5" t="inlineStr"/>
      <c r="U60" s="5" t="inlineStr"/>
      <c r="V60" s="5" t="inlineStr"/>
    </row>
    <row r="61">
      <c r="A61" s="5" t="inlineStr">
        <is>
          <t>b4-ogretmenler-gunu</t>
        </is>
      </c>
      <c r="B61" s="5" t="n">
        <v>4</v>
      </c>
      <c r="C61" s="5" t="inlineStr">
        <is>
          <t>11 yaş 11 ay</t>
        </is>
      </c>
      <c r="D61" s="5" t="inlineStr">
        <is>
          <t>🎁</t>
        </is>
      </c>
      <c r="E61" s="6" t="inlineStr">
        <is>
          <t>Öğretmenler Günü</t>
        </is>
      </c>
      <c r="F61" s="6" t="inlineStr">
        <is>
          <t>Veli grubunda öğretmen hediyesi için para toplanıyor. Bir anne “Herkes eşit versin” yazdı, öbür anne “Gönüllü olsun” diye cevap verdi. Üç baba ikisine birden başparmak bıraktı.</t>
        </is>
      </c>
      <c r="G61" s="5" t="inlineStr">
        <is>
          <t>sinif</t>
        </is>
      </c>
      <c r="H61" s="5" t="inlineStr">
        <is>
          <t>okul-iş</t>
        </is>
      </c>
      <c r="I61" s="5" t="inlineStr"/>
      <c r="J61" s="5" t="inlineStr"/>
      <c r="K61" s="5" t="inlineStr"/>
      <c r="L61" s="5" t="inlineStr"/>
      <c r="M61" s="5" t="inlineStr"/>
      <c r="N61" s="5" t="inlineStr"/>
      <c r="O61" s="5" t="inlineStr"/>
      <c r="P61" s="5" t="inlineStr"/>
      <c r="Q61" s="5" t="inlineStr"/>
      <c r="R61" s="6" t="inlineStr"/>
      <c r="S61" s="5" t="inlineStr"/>
      <c r="T61" s="5" t="inlineStr"/>
      <c r="U61" s="5" t="inlineStr"/>
      <c r="V61" s="5" t="inlineStr"/>
    </row>
    <row r="62">
      <c r="A62" s="5" t="inlineStr">
        <is>
          <t>b4-ilk-hoslanti</t>
        </is>
      </c>
      <c r="B62" s="5" t="n">
        <v>4</v>
      </c>
      <c r="C62" s="5" t="inlineStr">
        <is>
          <t>12 yaş</t>
        </is>
      </c>
      <c r="D62" s="5" t="inlineStr">
        <is>
          <t>💌</t>
        </is>
      </c>
      <c r="E62" s="6" t="inlineStr">
        <is>
          <t>İlk Hoşlantı</t>
        </is>
      </c>
      <c r="F62" s="6" t="inlineStr">
        <is>
          <t>Sınıftaki biri hikâyeni beğendi. Saat 23.14'te. Bu saatte gelen beğeni sıradan bir beğeni değildir. Ekranı yirminci kez açtın.</t>
        </is>
      </c>
      <c r="G62" s="5" t="inlineStr">
        <is>
          <t>okul</t>
        </is>
      </c>
      <c r="H62" s="5" t="inlineStr">
        <is>
          <t>sosyal</t>
        </is>
      </c>
      <c r="I62" s="5" t="inlineStr"/>
      <c r="J62" s="5" t="inlineStr"/>
      <c r="K62" s="5" t="inlineStr"/>
      <c r="L62" s="5" t="inlineStr"/>
      <c r="M62" s="5" t="inlineStr"/>
      <c r="N62" s="5" t="inlineStr"/>
      <c r="O62" s="5" t="inlineStr"/>
      <c r="P62" s="5" t="inlineStr"/>
      <c r="Q62" s="5" t="inlineStr"/>
      <c r="R62" s="6" t="inlineStr"/>
      <c r="S62" s="5" t="inlineStr"/>
      <c r="T62" s="5" t="inlineStr"/>
      <c r="U62" s="5" t="inlineStr"/>
      <c r="V62" s="5" t="inlineStr"/>
    </row>
    <row r="63">
      <c r="A63" s="5" t="inlineStr">
        <is>
          <t>b4-grup-odevi</t>
        </is>
      </c>
      <c r="B63" s="5" t="n">
        <v>4</v>
      </c>
      <c r="C63" s="5" t="inlineStr">
        <is>
          <t>12 yaş 1 ay</t>
        </is>
      </c>
      <c r="D63" s="5" t="inlineStr">
        <is>
          <t>📝</t>
        </is>
      </c>
      <c r="E63" s="6" t="inlineStr">
        <is>
          <t>Dört Kişilik Grup Ödevi</t>
        </is>
      </c>
      <c r="F63" s="6" t="inlineStr">
        <is>
          <t>Dört kişilik grup ödevi. Biri yapar, üçü 'katkı sağlar'. Hangisi olacağın bu akşamki mesajlarda belirlenecek.</t>
        </is>
      </c>
      <c r="G63" s="5" t="inlineStr">
        <is>
          <t>sinif</t>
        </is>
      </c>
      <c r="H63" s="5" t="inlineStr">
        <is>
          <t>okul-iş</t>
        </is>
      </c>
      <c r="I63" s="5" t="inlineStr"/>
      <c r="J63" s="5" t="inlineStr"/>
      <c r="K63" s="5" t="inlineStr"/>
      <c r="L63" s="5" t="inlineStr"/>
      <c r="M63" s="5" t="inlineStr"/>
      <c r="N63" s="5" t="inlineStr"/>
      <c r="O63" s="5" t="inlineStr"/>
      <c r="P63" s="5" t="inlineStr"/>
      <c r="Q63" s="5" t="inlineStr"/>
      <c r="R63" s="6" t="inlineStr"/>
      <c r="S63" s="5" t="inlineStr"/>
      <c r="T63" s="5" t="inlineStr"/>
      <c r="U63" s="5" t="inlineStr"/>
      <c r="V63" s="5" t="inlineStr"/>
    </row>
    <row r="64">
      <c r="A64" s="5" t="inlineStr">
        <is>
          <t>b4-okul-gezisi</t>
        </is>
      </c>
      <c r="B64" s="5" t="n">
        <v>4</v>
      </c>
      <c r="C64" s="5" t="inlineStr">
        <is>
          <t>12 yaş 2 ay</t>
        </is>
      </c>
      <c r="D64" s="5" t="inlineStr">
        <is>
          <t>🚌</t>
        </is>
      </c>
      <c r="E64" s="6" t="inlineStr">
        <is>
          <t>Okul Gezisi</t>
        </is>
      </c>
      <c r="F64" s="6" t="inlineStr">
        <is>
          <t>Okul gezisi. Otobüsün arka koltukları ilk on saniyede kapıldı. Öğretmen sayım yapıyor; sayı tutmuyor.</t>
        </is>
      </c>
      <c r="G64" s="5" t="inlineStr">
        <is>
          <t>toplu-tasima</t>
        </is>
      </c>
      <c r="H64" s="5" t="inlineStr">
        <is>
          <t>sosyal</t>
        </is>
      </c>
      <c r="I64" s="5" t="inlineStr"/>
      <c r="J64" s="5" t="inlineStr"/>
      <c r="K64" s="5" t="inlineStr"/>
      <c r="L64" s="5" t="inlineStr"/>
      <c r="M64" s="5" t="inlineStr"/>
      <c r="N64" s="5" t="inlineStr"/>
      <c r="O64" s="5" t="inlineStr"/>
      <c r="P64" s="5" t="inlineStr"/>
      <c r="Q64" s="5" t="inlineStr"/>
      <c r="R64" s="6" t="inlineStr"/>
      <c r="S64" s="5" t="inlineStr"/>
      <c r="T64" s="5" t="inlineStr"/>
      <c r="U64" s="5" t="inlineStr"/>
      <c r="V64" s="5" t="inlineStr"/>
    </row>
    <row r="65">
      <c r="A65" s="5" t="inlineStr">
        <is>
          <t>b4-ayna</t>
        </is>
      </c>
      <c r="B65" s="5" t="n">
        <v>4</v>
      </c>
      <c r="C65" s="5" t="inlineStr">
        <is>
          <t>12 yaş 3 ay</t>
        </is>
      </c>
      <c r="D65" s="5" t="inlineStr">
        <is>
          <t>💇</t>
        </is>
      </c>
      <c r="E65" s="6" t="inlineStr">
        <is>
          <t>Ayna Karşısında</t>
        </is>
      </c>
      <c r="F65" s="6" t="inlineStr">
        <is>
          <t>Bayram tatili, kuzenin yatıya kaldı. Banyoda aynanın karşısında saçını on beşinci kez düzelttin; kapının dışında üç kişi sıra bekliyor.</t>
        </is>
      </c>
      <c r="G65" s="5" t="inlineStr">
        <is>
          <t>ev</t>
        </is>
      </c>
      <c r="H65" s="5" t="inlineStr">
        <is>
          <t>ev</t>
        </is>
      </c>
      <c r="I65" s="5" t="inlineStr"/>
      <c r="J65" s="5" t="inlineStr"/>
      <c r="K65" s="5" t="inlineStr"/>
      <c r="L65" s="5" t="inlineStr"/>
      <c r="M65" s="5" t="inlineStr"/>
      <c r="N65" s="5" t="inlineStr"/>
      <c r="O65" s="5" t="inlineStr"/>
      <c r="P65" s="5" t="inlineStr"/>
      <c r="Q65" s="5" t="inlineStr"/>
      <c r="R65" s="6" t="inlineStr"/>
      <c r="S65" s="5" t="inlineStr"/>
      <c r="T65" s="5" t="inlineStr"/>
      <c r="U65" s="5" t="inlineStr"/>
      <c r="V65" s="5" t="inlineStr"/>
    </row>
    <row r="66">
      <c r="A66" s="5" t="inlineStr">
        <is>
          <t>b4-bilim-fuari</t>
        </is>
      </c>
      <c r="B66" s="5" t="n">
        <v>4</v>
      </c>
      <c r="C66" s="5" t="inlineStr">
        <is>
          <t>12 yaş 5 ay</t>
        </is>
      </c>
      <c r="D66" s="5" t="inlineStr">
        <is>
          <t>🌋</t>
        </is>
      </c>
      <c r="E66" s="6" t="inlineStr">
        <is>
          <t>Bilim Fuarı</t>
        </is>
      </c>
      <c r="F66" s="6" t="inlineStr">
        <is>
          <t>Bilim fuarı. Masaların yarısında karbonatlı yanardağ var. Diğer yarısında ailelerin gece yaptığı projeler.</t>
        </is>
      </c>
      <c r="G66" s="5" t="inlineStr">
        <is>
          <t>okul</t>
        </is>
      </c>
      <c r="H66" s="5" t="inlineStr">
        <is>
          <t>okul-iş</t>
        </is>
      </c>
      <c r="I66" s="5" t="inlineStr"/>
      <c r="J66" s="5" t="inlineStr"/>
      <c r="K66" s="5" t="inlineStr"/>
      <c r="L66" s="5" t="inlineStr"/>
      <c r="M66" s="5" t="inlineStr"/>
      <c r="N66" s="5" t="inlineStr"/>
      <c r="O66" s="5" t="inlineStr"/>
      <c r="P66" s="5" t="inlineStr"/>
      <c r="Q66" s="5" t="inlineStr"/>
      <c r="R66" s="6" t="inlineStr"/>
      <c r="S66" s="5" t="inlineStr"/>
      <c r="T66" s="5" t="inlineStr"/>
      <c r="U66" s="5" t="inlineStr"/>
      <c r="V66" s="5" t="inlineStr"/>
    </row>
    <row r="67">
      <c r="A67" s="5" t="inlineStr">
        <is>
          <t>b4-kotu-not</t>
        </is>
      </c>
      <c r="B67" s="5" t="n">
        <v>4</v>
      </c>
      <c r="C67" s="5" t="inlineStr">
        <is>
          <t>12 yaş 6 ay</t>
        </is>
      </c>
      <c r="D67" s="5" t="inlineStr">
        <is>
          <t>📄</t>
        </is>
      </c>
      <c r="E67" s="6" t="inlineStr">
        <is>
          <t>Sınav Kâğıdı</t>
        </is>
      </c>
      <c r="F67" s="6" t="inlineStr">
        <is>
          <t>Matematikten düşük not. Kâğıt veli imzası istiyor ve akşam yemeğinde biri mutlaka 'Okul nasıl?' diye soracak.</t>
        </is>
      </c>
      <c r="G67" s="5" t="inlineStr">
        <is>
          <t>mutfak</t>
        </is>
      </c>
      <c r="H67" s="5" t="inlineStr">
        <is>
          <t>okul-iş</t>
        </is>
      </c>
      <c r="I67" s="5" t="inlineStr"/>
      <c r="J67" s="5" t="inlineStr"/>
      <c r="K67" s="5" t="inlineStr"/>
      <c r="L67" s="5" t="inlineStr"/>
      <c r="M67" s="5" t="inlineStr"/>
      <c r="N67" s="5" t="inlineStr"/>
      <c r="O67" s="5" t="inlineStr"/>
      <c r="P67" s="5" t="inlineStr"/>
      <c r="Q67" s="5" t="inlineStr"/>
      <c r="R67" s="6" t="inlineStr"/>
      <c r="S67" s="5" t="inlineStr"/>
      <c r="T67" s="5" t="inlineStr"/>
      <c r="U67" s="5" t="inlineStr"/>
      <c r="V67" s="5" t="inlineStr"/>
    </row>
    <row r="68">
      <c r="A68" s="5" t="inlineStr">
        <is>
          <t>b4-kedinin-hesabi</t>
        </is>
      </c>
      <c r="B68" s="5" t="n">
        <v>4</v>
      </c>
      <c r="C68" s="5" t="inlineStr">
        <is>
          <t>12 yaş 7 ay</t>
        </is>
      </c>
      <c r="D68" s="5" t="inlineStr">
        <is>
          <t>🐈</t>
        </is>
      </c>
      <c r="E68" s="6" t="inlineStr">
        <is>
          <t>Kedinin Hesabı</t>
        </is>
      </c>
      <c r="F68" s="6" t="inlineStr">
        <is>
          <t>Kediye bir video hesabı açtın. Kedinin hesabı bir haftada seninkini geçti. Kedi durumdan habersiz. Ya da öyle görünüyor.</t>
        </is>
      </c>
      <c r="G68" s="5" t="inlineStr">
        <is>
          <t>ev</t>
        </is>
      </c>
      <c r="H68" s="5" t="inlineStr">
        <is>
          <t>sosyal</t>
        </is>
      </c>
      <c r="I68" s="5" t="inlineStr"/>
      <c r="J68" s="5" t="inlineStr"/>
      <c r="K68" s="5" t="inlineStr">
        <is>
          <t>kediGeldi</t>
        </is>
      </c>
      <c r="L68" s="5" t="inlineStr"/>
      <c r="M68" s="5" t="inlineStr"/>
      <c r="N68" s="5" t="inlineStr"/>
      <c r="O68" s="5" t="inlineStr"/>
      <c r="P68" s="5" t="inlineStr"/>
      <c r="Q68" s="5" t="inlineStr"/>
      <c r="R68" s="6" t="inlineStr"/>
      <c r="S68" s="5" t="inlineStr"/>
      <c r="T68" s="5" t="inlineStr"/>
      <c r="U68" s="5" t="inlineStr"/>
      <c r="V68" s="5" t="inlineStr"/>
    </row>
    <row r="69">
      <c r="A69" s="5" t="inlineStr">
        <is>
          <t>b4-dershane</t>
        </is>
      </c>
      <c r="B69" s="5" t="n">
        <v>4</v>
      </c>
      <c r="C69" s="5" t="inlineStr">
        <is>
          <t>12 yaş 8 ay</t>
        </is>
      </c>
      <c r="D69" s="5" t="inlineStr">
        <is>
          <t>📚</t>
        </is>
      </c>
      <c r="E69" s="6" t="inlineStr">
        <is>
          <t>Dershane Broşürü</t>
        </is>
      </c>
      <c r="F69" s="6" t="inlineStr">
        <is>
          <t>Baban akşam eve bir dershane broşürüyle geldi, sofraya bıraktı: “Bir bak hele.” Broşürde gülümseyen öğrenciler var, fiyat küçük puntolu. Annen gözlüğünü taktı, fiyata baktı, gözlüğünü çıkardı.</t>
        </is>
      </c>
      <c r="G69" s="5" t="inlineStr">
        <is>
          <t>ev</t>
        </is>
      </c>
      <c r="H69" s="5" t="inlineStr">
        <is>
          <t>okul-iş</t>
        </is>
      </c>
      <c r="I69" s="5" t="inlineStr"/>
      <c r="J69" s="5" t="inlineStr"/>
      <c r="K69" s="5" t="inlineStr"/>
      <c r="L69" s="5" t="inlineStr"/>
      <c r="M69" s="5" t="inlineStr"/>
      <c r="N69" s="5" t="inlineStr"/>
      <c r="O69" s="5" t="inlineStr"/>
      <c r="P69" s="5" t="inlineStr"/>
      <c r="Q69" s="5" t="inlineStr"/>
      <c r="R69" s="6" t="inlineStr"/>
      <c r="S69" s="5" t="inlineStr"/>
      <c r="T69" s="5" t="inlineStr"/>
      <c r="U69" s="5" t="inlineStr"/>
      <c r="V69" s="5" t="inlineStr"/>
    </row>
    <row r="70">
      <c r="A70" s="5" t="inlineStr">
        <is>
          <t>b4-yanlis-grup</t>
        </is>
      </c>
      <c r="B70" s="5" t="n">
        <v>4</v>
      </c>
      <c r="C70" s="5" t="inlineStr">
        <is>
          <t>12 yaş 9 ay</t>
        </is>
      </c>
      <c r="D70" s="5" t="inlineStr">
        <is>
          <t>🙈</t>
        </is>
      </c>
      <c r="E70" s="6" t="inlineStr">
        <is>
          <t>Yanlış Grup</t>
        </is>
      </c>
      <c r="F70" s="6" t="inlineStr">
        <is>
          <t>Arkadaşına 'Annem yine aynı yemeği yaptı' yazdın. Mesaj aile grubunda görünüyor. İki tik mavi.</t>
        </is>
      </c>
      <c r="G70" s="5" t="inlineStr">
        <is>
          <t>ev</t>
        </is>
      </c>
      <c r="H70" s="5" t="inlineStr">
        <is>
          <t>ev</t>
        </is>
      </c>
      <c r="I70" s="5" t="inlineStr"/>
      <c r="J70" s="5" t="inlineStr"/>
      <c r="K70" s="5" t="inlineStr"/>
      <c r="L70" s="5" t="inlineStr"/>
      <c r="M70" s="5" t="inlineStr"/>
      <c r="N70" s="5" t="inlineStr"/>
      <c r="O70" s="5" t="inlineStr"/>
      <c r="P70" s="5" t="inlineStr"/>
      <c r="Q70" s="5" t="inlineStr"/>
      <c r="R70" s="6" t="inlineStr"/>
      <c r="S70" s="5" t="inlineStr"/>
      <c r="T70" s="5" t="inlineStr"/>
      <c r="U70" s="5" t="inlineStr"/>
      <c r="V70" s="5" t="inlineStr"/>
    </row>
    <row r="71">
      <c r="A71" s="5" t="inlineStr">
        <is>
          <t>b4-apartman-toplantisi</t>
        </is>
      </c>
      <c r="B71" s="5" t="n">
        <v>4</v>
      </c>
      <c r="C71" s="5" t="inlineStr">
        <is>
          <t>12 yaş 10 ay</t>
        </is>
      </c>
      <c r="D71" s="5" t="inlineStr">
        <is>
          <t>🏢</t>
        </is>
      </c>
      <c r="E71" s="6" t="inlineStr">
        <is>
          <t>Aidat Kuryesi</t>
        </is>
      </c>
      <c r="F71" s="6" t="inlineStr">
        <is>
          <t>Annen aidat zarfını sana verdi: “Yöneticiye götür, makbuz al.” Yönetici kapıyı açınca salonda sekiz komşunun oturduğunu gördün. Aidat artışı konuşuluyor; ortada bir tabak kuru pasta, kapıda sen ve zarf.</t>
        </is>
      </c>
      <c r="G71" s="5" t="inlineStr">
        <is>
          <t>apartman</t>
        </is>
      </c>
      <c r="H71" s="5" t="inlineStr">
        <is>
          <t>ev</t>
        </is>
      </c>
      <c r="I71" s="5" t="inlineStr"/>
      <c r="J71" s="5" t="inlineStr"/>
      <c r="K71" s="5" t="inlineStr"/>
      <c r="L71" s="5" t="inlineStr"/>
      <c r="M71" s="5" t="inlineStr"/>
      <c r="N71" s="5" t="inlineStr"/>
      <c r="O71" s="5" t="inlineStr"/>
      <c r="P71" s="5" t="inlineStr"/>
      <c r="Q71" s="5" t="inlineStr"/>
      <c r="R71" s="6" t="inlineStr"/>
      <c r="S71" s="5" t="inlineStr"/>
      <c r="T71" s="5" t="inlineStr"/>
      <c r="U71" s="5" t="inlineStr"/>
      <c r="V71" s="5" t="inlineStr"/>
    </row>
    <row r="72">
      <c r="A72" s="5" t="inlineStr">
        <is>
          <t>b4-yz-odev</t>
        </is>
      </c>
      <c r="B72" s="5" t="n">
        <v>4</v>
      </c>
      <c r="C72" s="5" t="inlineStr">
        <is>
          <t>12 yaş 11 ay</t>
        </is>
      </c>
      <c r="D72" s="5" t="inlineStr">
        <is>
          <t>🤖</t>
        </is>
      </c>
      <c r="E72" s="6" t="inlineStr">
        <is>
          <t>Yapay Zekâ Ödevi</t>
        </is>
      </c>
      <c r="F72" s="6" t="inlineStr">
        <is>
          <t>Kompozisyon ödevi: 'Yaz tatilimi nasıl geçirdim.' Yapay zekâ bunu on saniyede yazar. Yazar ama senin tatilini bilmez.</t>
        </is>
      </c>
      <c r="G72" s="5" t="inlineStr">
        <is>
          <t>cocuk-odasi</t>
        </is>
      </c>
      <c r="H72" s="5" t="inlineStr">
        <is>
          <t>okul-iş</t>
        </is>
      </c>
      <c r="I72" s="5" t="inlineStr"/>
      <c r="J72" s="5" t="inlineStr"/>
      <c r="K72" s="5" t="inlineStr"/>
      <c r="L72" s="5" t="inlineStr"/>
      <c r="M72" s="5" t="inlineStr"/>
      <c r="N72" s="5" t="inlineStr"/>
      <c r="O72" s="5" t="inlineStr"/>
      <c r="P72" s="5" t="inlineStr"/>
      <c r="Q72" s="5" t="inlineStr"/>
      <c r="R72" s="6" t="inlineStr"/>
      <c r="S72" s="5" t="inlineStr"/>
      <c r="T72" s="5" t="inlineStr"/>
      <c r="U72" s="5" t="inlineStr"/>
      <c r="V72" s="5" t="inlineStr"/>
    </row>
    <row r="73">
      <c r="A73" s="5" t="inlineStr">
        <is>
          <t>b4-kisisel-oda</t>
        </is>
      </c>
      <c r="B73" s="5" t="n">
        <v>4</v>
      </c>
      <c r="C73" s="5" t="inlineStr">
        <is>
          <t>13 yaş</t>
        </is>
      </c>
      <c r="D73" s="5" t="inlineStr">
        <is>
          <t>🚪</t>
        </is>
      </c>
      <c r="E73" s="6" t="inlineStr">
        <is>
          <t>Boş Oda</t>
        </is>
      </c>
      <c r="F73" s="6" t="inlineStr">
        <is>
          <t>Evdeki küçük oda boşaldı. Üç aday var: sen, annenin dikiş makinesi ve babanın koşu bandı.</t>
        </is>
      </c>
      <c r="G73" s="5" t="inlineStr">
        <is>
          <t>ev</t>
        </is>
      </c>
      <c r="H73" s="5" t="inlineStr">
        <is>
          <t>ev</t>
        </is>
      </c>
      <c r="I73" s="5" t="inlineStr"/>
      <c r="J73" s="5" t="inlineStr"/>
      <c r="K73" s="5" t="inlineStr"/>
      <c r="L73" s="5" t="inlineStr"/>
      <c r="M73" s="5" t="inlineStr"/>
      <c r="N73" s="5" t="inlineStr"/>
      <c r="O73" s="5" t="inlineStr"/>
      <c r="P73" s="5" t="inlineStr"/>
      <c r="Q73" s="5" t="inlineStr"/>
      <c r="R73" s="6" t="inlineStr"/>
      <c r="S73" s="5" t="inlineStr"/>
      <c r="T73" s="5" t="inlineStr"/>
      <c r="U73" s="5" t="inlineStr"/>
      <c r="V73" s="5" t="inlineStr"/>
    </row>
    <row r="74">
      <c r="A74" s="5" t="inlineStr">
        <is>
          <t>b4-fenomen-denemesi</t>
        </is>
      </c>
      <c r="B74" s="5" t="n">
        <v>4</v>
      </c>
      <c r="C74" s="5" t="inlineStr">
        <is>
          <t>13 yaş 2 ay</t>
        </is>
      </c>
      <c r="D74" s="5" t="inlineStr">
        <is>
          <t>🤳</t>
        </is>
      </c>
      <c r="E74" s="6" t="inlineStr">
        <is>
          <t>Takipçi Avı</t>
        </is>
      </c>
      <c r="F74" s="6" t="inlineStr">
        <is>
          <t>Kısa video hesabının 47 takipçisi var. On ikisi akraba, üçü sensin, biri köşedeki bakkal. Kırk sekizinci kişiyi nereden bulacaksın?</t>
        </is>
      </c>
      <c r="G74" s="5" t="inlineStr">
        <is>
          <t>ev</t>
        </is>
      </c>
      <c r="H74" s="5" t="inlineStr">
        <is>
          <t>sosyal</t>
        </is>
      </c>
      <c r="I74" s="5" t="inlineStr"/>
      <c r="J74" s="5" t="n">
        <v>2</v>
      </c>
      <c r="K74" s="5" t="inlineStr"/>
      <c r="L74" s="5" t="inlineStr"/>
      <c r="M74" s="5" t="inlineStr"/>
      <c r="N74" s="5" t="inlineStr"/>
      <c r="O74" s="5" t="inlineStr"/>
      <c r="P74" s="5" t="inlineStr"/>
      <c r="Q74" s="5" t="inlineStr"/>
      <c r="R74" s="6" t="inlineStr"/>
      <c r="S74" s="5" t="inlineStr"/>
      <c r="T74" s="5" t="inlineStr"/>
      <c r="U74" s="5" t="inlineStr"/>
      <c r="V74" s="5" t="inlineStr"/>
    </row>
    <row r="75">
      <c r="A75" s="5" t="inlineStr">
        <is>
          <t>b4-haracci-rovans</t>
        </is>
      </c>
      <c r="B75" s="5" t="n">
        <v>4</v>
      </c>
      <c r="C75" s="5" t="inlineStr">
        <is>
          <t>13 yaş 3 ay</t>
        </is>
      </c>
      <c r="D75" s="5" t="inlineStr">
        <is>
          <t>🧢</t>
        </is>
      </c>
      <c r="E75" s="6" t="inlineStr">
        <is>
          <t>Eski Tanıdıklar</t>
        </is>
      </c>
      <c r="F75" s="6" t="inlineStr">
        <is>
          <t>Köşedeki üç çocuk iki yaş büyümüş. Sen de. Köşeyi dönerken göz göze geldiniz; bu sefer ellerinde bir top var.</t>
        </is>
      </c>
      <c r="G75" s="5" t="inlineStr">
        <is>
          <t>sokak</t>
        </is>
      </c>
      <c r="H75" s="5" t="inlineStr">
        <is>
          <t>sosyal</t>
        </is>
      </c>
      <c r="I75" s="5" t="inlineStr"/>
      <c r="J75" s="5" t="inlineStr"/>
      <c r="K75" s="5" t="inlineStr">
        <is>
          <t>haracci-dusmani</t>
        </is>
      </c>
      <c r="L75" s="5" t="inlineStr"/>
      <c r="M75" s="5" t="inlineStr"/>
      <c r="N75" s="5" t="inlineStr"/>
      <c r="O75" s="5" t="inlineStr"/>
      <c r="P75" s="5" t="inlineStr"/>
      <c r="Q75" s="5" t="inlineStr"/>
      <c r="R75" s="6" t="inlineStr"/>
      <c r="S75" s="5" t="inlineStr"/>
      <c r="T75" s="5" t="inlineStr"/>
      <c r="U75" s="5" t="inlineStr"/>
      <c r="V75" s="5" t="inlineStr"/>
    </row>
    <row r="76">
      <c r="A76" s="5" t="inlineStr">
        <is>
          <t>b4-kantin-ekonomisi</t>
        </is>
      </c>
      <c r="B76" s="5" t="n">
        <v>4</v>
      </c>
      <c r="C76" s="5" t="inlineStr">
        <is>
          <t>13 yaş 4 ay</t>
        </is>
      </c>
      <c r="D76" s="5" t="inlineStr">
        <is>
          <t>🥪</t>
        </is>
      </c>
      <c r="E76" s="6" t="inlineStr">
        <is>
          <t>Kantin Ekonomisi</t>
        </is>
      </c>
      <c r="F76" s="6" t="inlineStr">
        <is>
          <t>Kantinde tost fiyatı yine arttı. Teneffüs kuyruğu on dakika. Teneffüs de on dakika.</t>
        </is>
      </c>
      <c r="G76" s="5" t="inlineStr">
        <is>
          <t>okul-bahcesi</t>
        </is>
      </c>
      <c r="H76" s="5" t="inlineStr">
        <is>
          <t>para</t>
        </is>
      </c>
      <c r="I76" s="5" t="inlineStr"/>
      <c r="J76" s="5" t="inlineStr"/>
      <c r="K76" s="5" t="inlineStr"/>
      <c r="L76" s="5" t="inlineStr"/>
      <c r="M76" s="5" t="inlineStr"/>
      <c r="N76" s="5" t="inlineStr"/>
      <c r="O76" s="5" t="inlineStr"/>
      <c r="P76" s="5" t="inlineStr"/>
      <c r="Q76" s="5" t="inlineStr"/>
      <c r="R76" s="6" t="inlineStr"/>
      <c r="S76" s="5" t="inlineStr"/>
      <c r="T76" s="5" t="inlineStr"/>
      <c r="U76" s="5" t="inlineStr"/>
      <c r="V76" s="5" t="inlineStr"/>
    </row>
    <row r="77">
      <c r="A77" s="5" t="inlineStr">
        <is>
          <t>b4-bayram-yatirim</t>
        </is>
      </c>
      <c r="B77" s="5" t="n">
        <v>4</v>
      </c>
      <c r="C77" s="5" t="inlineStr">
        <is>
          <t>13 yaş 6 ay</t>
        </is>
      </c>
      <c r="D77" s="5" t="inlineStr">
        <is>
          <t>✉️</t>
        </is>
      </c>
      <c r="E77" s="6" t="inlineStr">
        <is>
          <t>Bayram Harçlığı Yönetimi</t>
        </is>
      </c>
      <c r="F77" s="6" t="inlineStr">
        <is>
          <t>Bayram geçti, zarflar toplandı. Bu yıl ilk kez 'Bu parayla ne yapacaksın?' diye soruldu. Cevap bekleniyor.</t>
        </is>
      </c>
      <c r="G77" s="5" t="inlineStr">
        <is>
          <t>ev</t>
        </is>
      </c>
      <c r="H77" s="5" t="inlineStr">
        <is>
          <t>para</t>
        </is>
      </c>
      <c r="I77" s="5" t="inlineStr"/>
      <c r="J77" s="5" t="inlineStr"/>
      <c r="K77" s="5" t="inlineStr"/>
      <c r="L77" s="5" t="inlineStr"/>
      <c r="M77" s="5" t="inlineStr"/>
      <c r="N77" s="5" t="inlineStr"/>
      <c r="O77" s="5" t="inlineStr"/>
      <c r="P77" s="5" t="inlineStr"/>
      <c r="Q77" s="5" t="inlineStr"/>
      <c r="R77" s="6" t="inlineStr"/>
      <c r="S77" s="5" t="inlineStr"/>
      <c r="T77" s="5" t="inlineStr"/>
      <c r="U77" s="5" t="inlineStr"/>
      <c r="V77" s="5" t="inlineStr"/>
    </row>
    <row r="78">
      <c r="A78" s="5" t="inlineStr">
        <is>
          <t>b4-ilk-bulusma</t>
        </is>
      </c>
      <c r="B78" s="5" t="n">
        <v>4</v>
      </c>
      <c r="C78" s="5" t="inlineStr">
        <is>
          <t>13 yaş 7 ay</t>
        </is>
      </c>
      <c r="D78" s="5" t="inlineStr">
        <is>
          <t>🍦</t>
        </is>
      </c>
      <c r="E78" s="6" t="inlineStr">
        <is>
          <t>İlk Buluşma</t>
        </is>
      </c>
      <c r="F78" s="6" t="inlineStr">
        <is>
          <t>“Selam”dan bu yana bir buçuk yıl geçti: dört yüz mesaj, sıfır buluşma. Sonunda ekranda: “Hafta sonu çarşıda buluşalım mı?” Yanında arkadaş getirmek serbest.</t>
        </is>
      </c>
      <c r="G78" s="5" t="inlineStr">
        <is>
          <t>carsi</t>
        </is>
      </c>
      <c r="H78" s="5" t="inlineStr">
        <is>
          <t>sosyal</t>
        </is>
      </c>
      <c r="I78" s="5" t="inlineStr"/>
      <c r="J78" s="5" t="n">
        <v>0.8</v>
      </c>
      <c r="K78" s="5" t="inlineStr">
        <is>
          <t>ilk-mesaj</t>
        </is>
      </c>
      <c r="L78" s="5" t="inlineStr"/>
      <c r="M78" s="5" t="inlineStr"/>
      <c r="N78" s="5" t="inlineStr"/>
      <c r="O78" s="5" t="inlineStr"/>
      <c r="P78" s="5" t="inlineStr"/>
      <c r="Q78" s="5" t="inlineStr"/>
      <c r="R78" s="6" t="inlineStr"/>
      <c r="S78" s="5" t="inlineStr"/>
      <c r="T78" s="5" t="inlineStr"/>
      <c r="U78" s="5" t="inlineStr"/>
      <c r="V78" s="5" t="inlineStr"/>
    </row>
    <row r="79">
      <c r="A79" s="5" t="inlineStr">
        <is>
          <t>b4-spor-secmeleri</t>
        </is>
      </c>
      <c r="B79" s="5" t="n">
        <v>4</v>
      </c>
      <c r="C79" s="5" t="inlineStr">
        <is>
          <t>13 yaş 8 ay</t>
        </is>
      </c>
      <c r="D79" s="5" t="inlineStr">
        <is>
          <t>⚽</t>
        </is>
      </c>
      <c r="E79" s="6" t="inlineStr">
        <is>
          <t>Takım Seçmeleri</t>
        </is>
      </c>
      <c r="F79" s="6" t="inlineStr">
        <is>
          <t>Okul takımı seçmeleri. Beden eğitimi öğretmeninin elinde düdük ve bir liste var. Listede şimdilik yalnızca onun yeğeni var.</t>
        </is>
      </c>
      <c r="G79" s="5" t="inlineStr">
        <is>
          <t>okul-bahcesi</t>
        </is>
      </c>
      <c r="H79" s="5" t="inlineStr">
        <is>
          <t>okul-iş</t>
        </is>
      </c>
      <c r="I79" s="5" t="inlineStr">
        <is>
          <t>E</t>
        </is>
      </c>
      <c r="J79" s="5" t="inlineStr"/>
      <c r="K79" s="5" t="inlineStr"/>
      <c r="L79" s="5" t="inlineStr"/>
      <c r="M79" s="5" t="inlineStr"/>
      <c r="N79" s="5" t="inlineStr"/>
      <c r="O79" s="5" t="inlineStr"/>
      <c r="P79" s="5" t="inlineStr"/>
      <c r="Q79" s="5" t="inlineStr"/>
      <c r="R79" s="6" t="inlineStr"/>
      <c r="S79" s="5" t="inlineStr"/>
      <c r="T79" s="5" t="inlineStr"/>
      <c r="U79" s="5" t="inlineStr"/>
      <c r="V79" s="5" t="inlineStr"/>
    </row>
    <row r="80">
      <c r="A80" s="5" t="inlineStr">
        <is>
          <t>b4-eski-telefon</t>
        </is>
      </c>
      <c r="B80" s="5" t="n">
        <v>4</v>
      </c>
      <c r="C80" s="5" t="inlineStr">
        <is>
          <t>13 yaş 9 ay</t>
        </is>
      </c>
      <c r="D80" s="5" t="inlineStr">
        <is>
          <t>📦</t>
        </is>
      </c>
      <c r="E80" s="6" t="inlineStr">
        <is>
          <t>İkinci El İlanı</t>
        </is>
      </c>
      <c r="F80" s="6" t="inlineStr">
        <is>
          <t>Yeni telefon için eskisini satmak lazım. İlan verdin. İlk mesaj: 'Son fiyat?' İkincisi: 'Bisikletle takas olur mu?'</t>
        </is>
      </c>
      <c r="G80" s="5" t="inlineStr">
        <is>
          <t>ev</t>
        </is>
      </c>
      <c r="H80" s="5" t="inlineStr">
        <is>
          <t>para</t>
        </is>
      </c>
      <c r="I80" s="5" t="inlineStr"/>
      <c r="J80" s="5" t="inlineStr"/>
      <c r="K80" s="5" t="inlineStr"/>
      <c r="L80" s="5" t="inlineStr"/>
      <c r="M80" s="5" t="inlineStr"/>
      <c r="N80" s="5" t="inlineStr"/>
      <c r="O80" s="5" t="inlineStr"/>
      <c r="P80" s="5" t="inlineStr"/>
      <c r="Q80" s="5" t="inlineStr"/>
      <c r="R80" s="6" t="inlineStr"/>
      <c r="S80" s="5" t="inlineStr"/>
      <c r="T80" s="5" t="inlineStr"/>
      <c r="U80" s="5" t="inlineStr"/>
      <c r="V80" s="5" t="inlineStr"/>
    </row>
    <row r="81">
      <c r="A81" s="5" t="inlineStr">
        <is>
          <t>b4-yaz-tatili</t>
        </is>
      </c>
      <c r="B81" s="5" t="n">
        <v>4</v>
      </c>
      <c r="C81" s="5" t="inlineStr">
        <is>
          <t>13 yaş 10 ay</t>
        </is>
      </c>
      <c r="D81" s="5" t="inlineStr">
        <is>
          <t>🏖️</t>
        </is>
      </c>
      <c r="E81" s="6" t="inlineStr">
        <is>
          <t>Sinyalsiz Yaz</t>
        </is>
      </c>
      <c r="F81" s="6" t="inlineStr">
        <is>
          <t>Yazlığa gidildi. İnternet çekmiyor. Tek sinyal, balkonun köşesinde, tek ayak üstünde durunca.</t>
        </is>
      </c>
      <c r="G81" s="5" t="inlineStr">
        <is>
          <t>yazlik</t>
        </is>
      </c>
      <c r="H81" s="5" t="inlineStr">
        <is>
          <t>ev</t>
        </is>
      </c>
      <c r="I81" s="5" t="inlineStr"/>
      <c r="J81" s="5" t="inlineStr"/>
      <c r="K81" s="5" t="inlineStr"/>
      <c r="L81" s="5" t="inlineStr"/>
      <c r="M81" s="5" t="inlineStr"/>
      <c r="N81" s="5" t="inlineStr"/>
      <c r="O81" s="5" t="inlineStr"/>
      <c r="P81" s="5" t="inlineStr"/>
      <c r="Q81" s="5" t="inlineStr"/>
      <c r="R81" s="6" t="inlineStr"/>
      <c r="S81" s="5" t="inlineStr"/>
      <c r="T81" s="5" t="inlineStr"/>
      <c r="U81" s="5" t="inlineStr"/>
      <c r="V81" s="5" t="inlineStr"/>
    </row>
    <row r="82">
      <c r="A82" s="5" t="inlineStr">
        <is>
          <t>b4-dershane-denemesi</t>
        </is>
      </c>
      <c r="B82" s="5" t="n">
        <v>4</v>
      </c>
      <c r="C82" s="5" t="inlineStr">
        <is>
          <t>13 yaş 11 ay</t>
        </is>
      </c>
      <c r="D82" s="5" t="inlineStr">
        <is>
          <t>📋</t>
        </is>
      </c>
      <c r="E82" s="6" t="inlineStr">
        <is>
          <t>Deneme Sonuçları</t>
        </is>
      </c>
      <c r="F82" s="6" t="inlineStr">
        <is>
          <t>Dershanede deneme sonuçları panoya asıldı. Herkes listeye yukarıdan bakmaya başladı. Sen aşağıdan başladın; daha hızlı.</t>
        </is>
      </c>
      <c r="G82" s="5" t="inlineStr">
        <is>
          <t>okul</t>
        </is>
      </c>
      <c r="H82" s="5" t="inlineStr">
        <is>
          <t>okul-iş</t>
        </is>
      </c>
      <c r="I82" s="5" t="inlineStr"/>
      <c r="J82" s="5" t="inlineStr"/>
      <c r="K82" s="5" t="inlineStr">
        <is>
          <t>dershaneli</t>
        </is>
      </c>
      <c r="L82" s="5" t="inlineStr"/>
      <c r="M82" s="5" t="inlineStr"/>
      <c r="N82" s="5" t="inlineStr"/>
      <c r="O82" s="5" t="inlineStr"/>
      <c r="P82" s="5" t="inlineStr"/>
      <c r="Q82" s="5" t="inlineStr"/>
      <c r="R82" s="6" t="inlineStr"/>
      <c r="S82" s="5" t="inlineStr"/>
      <c r="T82" s="5" t="inlineStr"/>
      <c r="U82" s="5" t="inlineStr"/>
      <c r="V82" s="5" t="inlineStr"/>
    </row>
    <row r="83">
      <c r="A83" s="5" t="inlineStr">
        <is>
          <t>b4-lise-sinavi</t>
        </is>
      </c>
      <c r="B83" s="5" t="n">
        <v>4</v>
      </c>
      <c r="C83" s="5" t="inlineStr">
        <is>
          <t>14 yaş</t>
        </is>
      </c>
      <c r="D83" s="5" t="inlineStr">
        <is>
          <t>✏️</t>
        </is>
      </c>
      <c r="E83" s="6" t="inlineStr">
        <is>
          <t>Lise Sınavı</t>
        </is>
      </c>
      <c r="F83" s="6" t="inlineStr">
        <is>
          <t>Lise sınavı günü. Binanın önünde veliler, termoslar ve son dakika tekrarı yapan bir kalabalık. Cebinde üç kalem; ikisi yedeğin yedeği.</t>
        </is>
      </c>
      <c r="G83" s="5" t="inlineStr">
        <is>
          <t>okul</t>
        </is>
      </c>
      <c r="H83" s="5" t="inlineStr">
        <is>
          <t>okul-iş</t>
        </is>
      </c>
      <c r="I83" s="5" t="inlineStr">
        <is>
          <t>E</t>
        </is>
      </c>
      <c r="J83" s="5" t="inlineStr"/>
      <c r="K83" s="5" t="inlineStr"/>
      <c r="L83" s="5" t="inlineStr"/>
      <c r="M83" s="5" t="inlineStr"/>
      <c r="N83" s="5" t="inlineStr"/>
      <c r="O83" s="5" t="inlineStr"/>
      <c r="P83" s="5" t="inlineStr"/>
      <c r="Q83" s="5" t="n">
        <v>1</v>
      </c>
      <c r="R83" s="6" t="inlineStr">
        <is>
          <t>Üç yıllık test kitabı bu sabaha çıkıyordu. Buradan sonra dört yıl boyunca her sabah hangi kapıdan gireceğin belli olacak.</t>
        </is>
      </c>
      <c r="S83" s="5" t="inlineStr">
        <is>
          <t>İyi bir lise</t>
        </is>
      </c>
      <c r="T83" s="5" t="inlineStr">
        <is>
          <t>Mahallenin lisesi</t>
        </is>
      </c>
      <c r="U83" s="5" t="inlineStr"/>
      <c r="V83" s="5" t="inlineStr"/>
    </row>
    <row r="84">
      <c r="A84" s="5" t="inlineStr">
        <is>
          <t>b5-lise-ilk-gun</t>
        </is>
      </c>
      <c r="B84" s="5" t="n">
        <v>5</v>
      </c>
      <c r="C84" s="5" t="inlineStr">
        <is>
          <t>15 yaş</t>
        </is>
      </c>
      <c r="D84" s="5" t="inlineStr">
        <is>
          <t>🏫</t>
        </is>
      </c>
      <c r="E84" s="6" t="inlineStr">
        <is>
          <t>Lisede İlk Gün</t>
        </is>
      </c>
      <c r="F84" s="6" t="inlineStr">
        <is>
          <t>Lise kapısındasın. Yeni koridorlar, yeni öğretmenler; kimse seni tanımıyor. Annen arkandan son kez seslendi: “Sıra arkadaşını iyi seç!” Bütün koridor duydu.</t>
        </is>
      </c>
      <c r="G84" s="5" t="inlineStr">
        <is>
          <t>okul</t>
        </is>
      </c>
      <c r="H84" s="5" t="inlineStr">
        <is>
          <t>okul-iş</t>
        </is>
      </c>
      <c r="I84" s="5" t="inlineStr"/>
      <c r="J84" s="5" t="inlineStr"/>
      <c r="K84" s="5" t="inlineStr"/>
      <c r="L84" s="5" t="inlineStr">
        <is>
          <t>okulu-birakti</t>
        </is>
      </c>
      <c r="M84" s="5" t="inlineStr"/>
      <c r="N84" s="5" t="inlineStr"/>
      <c r="O84" s="5" t="inlineStr"/>
      <c r="P84" s="5" t="inlineStr"/>
      <c r="Q84" s="5" t="inlineStr"/>
      <c r="R84" s="6" t="inlineStr"/>
      <c r="S84" s="5" t="inlineStr"/>
      <c r="T84" s="5" t="inlineStr"/>
      <c r="U84" s="5" t="inlineStr"/>
      <c r="V84" s="5" t="inlineStr"/>
    </row>
    <row r="85">
      <c r="A85" s="5" t="inlineStr">
        <is>
          <t>b5-sac-devrimi</t>
        </is>
      </c>
      <c r="B85" s="5" t="n">
        <v>5</v>
      </c>
      <c r="C85" s="5" t="inlineStr">
        <is>
          <t>15 yaş 1 ay</t>
        </is>
      </c>
      <c r="D85" s="5" t="inlineStr">
        <is>
          <t>💇</t>
        </is>
      </c>
      <c r="E85" s="6" t="inlineStr">
        <is>
          <t>Saç Devrimi</t>
        </is>
      </c>
      <c r="F85" s="6" t="inlineStr">
        <is>
          <t>Aynaya baktın ve karar verdin: artık yeni bir sen gerekiyor. Berberin elindeki fotoğraf bir ünlüye ait. Kafa sana ait.</t>
        </is>
      </c>
      <c r="G85" s="5" t="inlineStr">
        <is>
          <t>carsi</t>
        </is>
      </c>
      <c r="H85" s="5" t="inlineStr">
        <is>
          <t>ev</t>
        </is>
      </c>
      <c r="I85" s="5" t="inlineStr"/>
      <c r="J85" s="5" t="inlineStr"/>
      <c r="K85" s="5" t="inlineStr"/>
      <c r="L85" s="5" t="inlineStr"/>
      <c r="M85" s="5" t="inlineStr"/>
      <c r="N85" s="5" t="inlineStr"/>
      <c r="O85" s="5" t="inlineStr"/>
      <c r="P85" s="5" t="inlineStr"/>
      <c r="Q85" s="5" t="inlineStr"/>
      <c r="R85" s="6" t="inlineStr"/>
      <c r="S85" s="5" t="inlineStr"/>
      <c r="T85" s="5" t="inlineStr"/>
      <c r="U85" s="5" t="inlineStr"/>
      <c r="V85" s="5" t="inlineStr"/>
    </row>
    <row r="86">
      <c r="A86" s="5" t="inlineStr">
        <is>
          <t>b5-kulup-secimi</t>
        </is>
      </c>
      <c r="B86" s="5" t="n">
        <v>5</v>
      </c>
      <c r="C86" s="5" t="inlineStr">
        <is>
          <t>15 yaş 2 ay</t>
        </is>
      </c>
      <c r="D86" s="5" t="inlineStr">
        <is>
          <t>🎭</t>
        </is>
      </c>
      <c r="E86" s="6" t="inlineStr">
        <is>
          <t>Kulüp Seçimi</t>
        </is>
      </c>
      <c r="F86" s="6" t="inlineStr">
        <is>
          <t>Kulüp formu dağıtıldı. Seçenekler: tiyatro, münazara, satranç, fotoğrafçılık ve boş kalanlar için otomatik atama.</t>
        </is>
      </c>
      <c r="G86" s="5" t="inlineStr">
        <is>
          <t>okul</t>
        </is>
      </c>
      <c r="H86" s="5" t="inlineStr">
        <is>
          <t>okul-iş</t>
        </is>
      </c>
      <c r="I86" s="5" t="inlineStr"/>
      <c r="J86" s="5" t="inlineStr"/>
      <c r="K86" s="5" t="inlineStr"/>
      <c r="L86" s="5" t="inlineStr">
        <is>
          <t>okulu-birakti</t>
        </is>
      </c>
      <c r="M86" s="5" t="inlineStr"/>
      <c r="N86" s="5" t="inlineStr"/>
      <c r="O86" s="5" t="inlineStr"/>
      <c r="P86" s="5" t="inlineStr"/>
      <c r="Q86" s="5" t="inlineStr"/>
      <c r="R86" s="6" t="inlineStr"/>
      <c r="S86" s="5" t="inlineStr"/>
      <c r="T86" s="5" t="inlineStr"/>
      <c r="U86" s="5" t="inlineStr"/>
      <c r="V86" s="5" t="inlineStr"/>
    </row>
    <row r="87">
      <c r="A87" s="5" t="inlineStr">
        <is>
          <t>b5-dershane-kaydi</t>
        </is>
      </c>
      <c r="B87" s="5" t="n">
        <v>5</v>
      </c>
      <c r="C87" s="5" t="inlineStr">
        <is>
          <t>15 yaş 4 ay</t>
        </is>
      </c>
      <c r="D87" s="5" t="inlineStr">
        <is>
          <t>📚</t>
        </is>
      </c>
      <c r="E87" s="6" t="inlineStr">
        <is>
          <t>Dershane Kaydı</t>
        </is>
      </c>
      <c r="F87" s="6" t="inlineStr">
        <is>
          <t>Aile kararı: dershaneye yazılacaksın. Kayıt masasındaki danışman sana değil, babanın cüzdanına bakarak konuşuyor: “Bu yaş çok kritik.” Baban cüzdanı yavaşça arka cebine geri koydu.</t>
        </is>
      </c>
      <c r="G87" s="5" t="inlineStr">
        <is>
          <t>carsi</t>
        </is>
      </c>
      <c r="H87" s="5" t="inlineStr">
        <is>
          <t>para</t>
        </is>
      </c>
      <c r="I87" s="5" t="inlineStr"/>
      <c r="J87" s="5" t="n">
        <v>1.5</v>
      </c>
      <c r="K87" s="5" t="inlineStr"/>
      <c r="L87" s="5" t="inlineStr">
        <is>
          <t>okulu-birakti</t>
        </is>
      </c>
      <c r="M87" s="5" t="inlineStr"/>
      <c r="N87" s="5" t="inlineStr"/>
      <c r="O87" s="5" t="inlineStr"/>
      <c r="P87" s="5" t="inlineStr"/>
      <c r="Q87" s="5" t="inlineStr"/>
      <c r="R87" s="6" t="inlineStr"/>
      <c r="S87" s="5" t="inlineStr"/>
      <c r="T87" s="5" t="inlineStr"/>
      <c r="U87" s="5" t="inlineStr"/>
      <c r="V87" s="5" t="inlineStr"/>
    </row>
    <row r="88">
      <c r="A88" s="5" t="inlineStr">
        <is>
          <t>b5-sigara-teklifi</t>
        </is>
      </c>
      <c r="B88" s="5" t="n">
        <v>5</v>
      </c>
      <c r="C88" s="5" t="inlineStr">
        <is>
          <t>15 yaş 6 ay</t>
        </is>
      </c>
      <c r="D88" s="5" t="inlineStr">
        <is>
          <t>🚬</t>
        </is>
      </c>
      <c r="E88" s="6" t="inlineStr">
        <is>
          <t>Arka Duvar</t>
        </is>
      </c>
      <c r="F88" s="6" t="inlineStr">
        <is>
          <t>Okulun arka duvarı. Biri paketi uzattı: 'Bir tane al.' Beş kişi bakıyor. Bakanların üçü aslında öksürüyor.</t>
        </is>
      </c>
      <c r="G88" s="5" t="inlineStr">
        <is>
          <t>okul-bahcesi</t>
        </is>
      </c>
      <c r="H88" s="5" t="inlineStr">
        <is>
          <t>sosyal</t>
        </is>
      </c>
      <c r="I88" s="5" t="inlineStr"/>
      <c r="J88" s="5" t="inlineStr"/>
      <c r="K88" s="5" t="inlineStr"/>
      <c r="L88" s="5" t="inlineStr">
        <is>
          <t>okulu-birakti</t>
        </is>
      </c>
      <c r="M88" s="5" t="inlineStr"/>
      <c r="N88" s="5" t="inlineStr"/>
      <c r="O88" s="5" t="inlineStr"/>
      <c r="P88" s="5" t="inlineStr"/>
      <c r="Q88" s="5" t="inlineStr"/>
      <c r="R88" s="6" t="inlineStr"/>
      <c r="S88" s="5" t="inlineStr"/>
      <c r="T88" s="5" t="inlineStr"/>
      <c r="U88" s="5" t="inlineStr"/>
      <c r="V88" s="5" t="inlineStr"/>
    </row>
    <row r="89">
      <c r="A89" s="5" t="inlineStr">
        <is>
          <t>b5-mesaj-grubu</t>
        </is>
      </c>
      <c r="B89" s="5" t="n">
        <v>5</v>
      </c>
      <c r="C89" s="5" t="inlineStr">
        <is>
          <t>15 yaş 8 ay</t>
        </is>
      </c>
      <c r="D89" s="5" t="inlineStr">
        <is>
          <t>📱</t>
        </is>
      </c>
      <c r="E89" s="6" t="inlineStr">
        <is>
          <t>Asıl Grup</t>
        </is>
      </c>
      <c r="F89" s="6" t="inlineStr">
        <is>
          <t>Sınıfın mesaj grubunun yanında bir de 'asıl grup' varmış. Sen yeni öğrendin. Yani sen asıl grupta değilsin.</t>
        </is>
      </c>
      <c r="G89" s="5" t="inlineStr">
        <is>
          <t>cocuk-odasi</t>
        </is>
      </c>
      <c r="H89" s="5" t="inlineStr">
        <is>
          <t>sosyal</t>
        </is>
      </c>
      <c r="I89" s="5" t="inlineStr"/>
      <c r="J89" s="5" t="inlineStr"/>
      <c r="K89" s="5" t="inlineStr"/>
      <c r="L89" s="5" t="inlineStr">
        <is>
          <t>okulu-birakti</t>
        </is>
      </c>
      <c r="M89" s="5" t="inlineStr"/>
      <c r="N89" s="5" t="inlineStr"/>
      <c r="O89" s="5" t="inlineStr"/>
      <c r="P89" s="5" t="inlineStr"/>
      <c r="Q89" s="5" t="inlineStr"/>
      <c r="R89" s="6" t="inlineStr"/>
      <c r="S89" s="5" t="inlineStr"/>
      <c r="T89" s="5" t="inlineStr"/>
      <c r="U89" s="5" t="inlineStr"/>
      <c r="V89" s="5" t="inlineStr"/>
    </row>
    <row r="90">
      <c r="A90" s="5" t="inlineStr">
        <is>
          <t>b5-kantin-vergisi</t>
        </is>
      </c>
      <c r="B90" s="5" t="n">
        <v>5</v>
      </c>
      <c r="C90" s="5" t="inlineStr">
        <is>
          <t>15 yaş 10 ay</t>
        </is>
      </c>
      <c r="D90" s="5" t="inlineStr">
        <is>
          <t>🧾</t>
        </is>
      </c>
      <c r="E90" s="6" t="inlineStr">
        <is>
          <t>Kapı Geçiş Ücreti</t>
        </is>
      </c>
      <c r="F90" s="6" t="inlineStr">
        <is>
          <t>Okul çıkışında üç kişi yolunu kesti: “Bu kapıdan geçiş haftalık. Bir tost parası.” Tarife tanıdık; tahsildarlar gençleşmiş.</t>
        </is>
      </c>
      <c r="G90" s="5" t="inlineStr">
        <is>
          <t>okul-bahcesi</t>
        </is>
      </c>
      <c r="H90" s="5" t="inlineStr">
        <is>
          <t>para</t>
        </is>
      </c>
      <c r="I90" s="5" t="inlineStr"/>
      <c r="J90" s="5" t="inlineStr"/>
      <c r="K90" s="5" t="inlineStr"/>
      <c r="L90" s="5" t="inlineStr">
        <is>
          <t>okulu-birakti</t>
        </is>
      </c>
      <c r="M90" s="5" t="inlineStr"/>
      <c r="N90" s="5" t="inlineStr"/>
      <c r="O90" s="5" t="inlineStr"/>
      <c r="P90" s="5" t="inlineStr"/>
      <c r="Q90" s="5" t="inlineStr"/>
      <c r="R90" s="6" t="inlineStr"/>
      <c r="S90" s="5" t="inlineStr"/>
      <c r="T90" s="5" t="inlineStr"/>
      <c r="U90" s="5" t="inlineStr"/>
      <c r="V90" s="5" t="inlineStr"/>
    </row>
    <row r="91">
      <c r="A91" s="5" t="inlineStr">
        <is>
          <t>b5-ilk-sevgili</t>
        </is>
      </c>
      <c r="B91" s="5" t="n">
        <v>5</v>
      </c>
      <c r="C91" s="5" t="inlineStr">
        <is>
          <t>16 yaş</t>
        </is>
      </c>
      <c r="D91" s="5" t="inlineStr">
        <is>
          <t>💌</t>
        </is>
      </c>
      <c r="E91" s="6" t="inlineStr">
        <is>
          <t>Parkta İlk Yüz Yüze</t>
        </is>
      </c>
      <c r="F91" s="6" t="inlineStr">
        <is>
          <t>Biriyle üç haftadır mesajlaşıyorsun. Bugün ilk kez yüz yüze buluşuyorsunuz. Parkta, bankta, arada bir karış mesafe var.</t>
        </is>
      </c>
      <c r="G91" s="5" t="inlineStr">
        <is>
          <t>park</t>
        </is>
      </c>
      <c r="H91" s="5" t="inlineStr">
        <is>
          <t>sosyal</t>
        </is>
      </c>
      <c r="I91" s="5" t="inlineStr">
        <is>
          <t>E</t>
        </is>
      </c>
      <c r="J91" s="5" t="inlineStr"/>
      <c r="K91" s="5" t="inlineStr"/>
      <c r="L91" s="5" t="inlineStr">
        <is>
          <t>ilk-bulusma-oldu</t>
        </is>
      </c>
      <c r="M91" s="5" t="inlineStr"/>
      <c r="N91" s="5" t="inlineStr"/>
      <c r="O91" s="5" t="inlineStr"/>
      <c r="P91" s="5" t="inlineStr"/>
      <c r="Q91" s="5" t="n">
        <v>2</v>
      </c>
      <c r="R91" s="6" t="inlineStr">
        <is>
          <t>Üç haftalık mesajlaşma bir bankta sınava dönüşüyor. Buradan ya bir sevgiliyle ya da yıllarca anlatılacak bir hikâyeyle çıkacaksın.</t>
        </is>
      </c>
      <c r="S91" s="5" t="inlineStr">
        <is>
          <t>İlk sevgili</t>
        </is>
      </c>
      <c r="T91" s="5" t="inlineStr">
        <is>
          <t>Anlatmalık bir hikâye</t>
        </is>
      </c>
      <c r="U91" s="5" t="inlineStr"/>
      <c r="V91" s="5" t="inlineStr"/>
    </row>
    <row r="92">
      <c r="A92" s="5" t="inlineStr">
        <is>
          <t>b5-veli-bilgilendirme</t>
        </is>
      </c>
      <c r="B92" s="5" t="n">
        <v>5</v>
      </c>
      <c r="C92" s="5" t="inlineStr">
        <is>
          <t>16 yaş 1 ay</t>
        </is>
      </c>
      <c r="D92" s="5" t="inlineStr">
        <is>
          <t>📲</t>
        </is>
      </c>
      <c r="E92" s="6" t="inlineStr">
        <is>
          <t>Canlı Yayın</t>
        </is>
      </c>
      <c r="F92" s="6" t="inlineStr">
        <is>
          <t>Okul yeni bir uygulamaya geçti: her not, girildiği saniye annenin telefonuna düşüyor. Annen bildirim sesini sonuna kadar açtı. Ev artık canlı yayında.</t>
        </is>
      </c>
      <c r="G92" s="5" t="inlineStr">
        <is>
          <t>ev</t>
        </is>
      </c>
      <c r="H92" s="5" t="inlineStr">
        <is>
          <t>okul-iş</t>
        </is>
      </c>
      <c r="I92" s="5" t="inlineStr"/>
      <c r="J92" s="5" t="inlineStr"/>
      <c r="K92" s="5" t="inlineStr"/>
      <c r="L92" s="5" t="inlineStr">
        <is>
          <t>okulu-birakti</t>
        </is>
      </c>
      <c r="M92" s="5" t="inlineStr"/>
      <c r="N92" s="5" t="inlineStr"/>
      <c r="O92" s="5" t="inlineStr"/>
      <c r="P92" s="5" t="inlineStr"/>
      <c r="Q92" s="5" t="inlineStr"/>
      <c r="R92" s="6" t="inlineStr"/>
      <c r="S92" s="5" t="inlineStr"/>
      <c r="T92" s="5" t="inlineStr"/>
      <c r="U92" s="5" t="inlineStr"/>
      <c r="V92" s="5" t="inlineStr"/>
    </row>
    <row r="93">
      <c r="A93" s="5" t="inlineStr">
        <is>
          <t>b5-okul-temsilcisi</t>
        </is>
      </c>
      <c r="B93" s="5" t="n">
        <v>5</v>
      </c>
      <c r="C93" s="5" t="inlineStr">
        <is>
          <t>16 yaş 2 ay</t>
        </is>
      </c>
      <c r="D93" s="5" t="inlineStr">
        <is>
          <t>🗳️</t>
        </is>
      </c>
      <c r="E93" s="6" t="inlineStr">
        <is>
          <t>Okul Temsilciliği</t>
        </is>
      </c>
      <c r="F93" s="6" t="inlineStr">
        <is>
          <t>Okul temsilcisi seçimi. Vaatler bu sefer daha büyük: kantine ikinci tost makinesi ve teneffüste telefon serbestisi.</t>
        </is>
      </c>
      <c r="G93" s="5" t="inlineStr">
        <is>
          <t>okul</t>
        </is>
      </c>
      <c r="H93" s="5" t="inlineStr">
        <is>
          <t>sosyal</t>
        </is>
      </c>
      <c r="I93" s="5" t="inlineStr">
        <is>
          <t>E</t>
        </is>
      </c>
      <c r="J93" s="5" t="inlineStr"/>
      <c r="K93" s="5" t="inlineStr"/>
      <c r="L93" s="5" t="inlineStr">
        <is>
          <t>okulu-birakti</t>
        </is>
      </c>
      <c r="M93" s="5" t="inlineStr"/>
      <c r="N93" s="5" t="inlineStr"/>
      <c r="O93" s="5" t="inlineStr"/>
      <c r="P93" s="5" t="inlineStr"/>
      <c r="Q93" s="5" t="inlineStr"/>
      <c r="R93" s="6" t="inlineStr"/>
      <c r="S93" s="5" t="inlineStr"/>
      <c r="T93" s="5" t="inlineStr"/>
      <c r="U93" s="5" t="inlineStr"/>
      <c r="V93" s="5" t="inlineStr"/>
    </row>
    <row r="94">
      <c r="A94" s="5" t="inlineStr">
        <is>
          <t>b5-yapay-zeka-odev</t>
        </is>
      </c>
      <c r="B94" s="5" t="n">
        <v>5</v>
      </c>
      <c r="C94" s="5" t="inlineStr">
        <is>
          <t>16 yaş 3 ay</t>
        </is>
      </c>
      <c r="D94" s="5" t="inlineStr">
        <is>
          <t>🤖</t>
        </is>
      </c>
      <c r="E94" s="6" t="inlineStr">
        <is>
          <t>Ödev Asistanı</t>
        </is>
      </c>
      <c r="F94" s="6" t="inlineStr">
        <is>
          <t>Tarih ödevi yarın teslim. Yapay zekâ asistanı açık. İmleç yanıp sönüyor; vicdanın da.</t>
        </is>
      </c>
      <c r="G94" s="5" t="inlineStr">
        <is>
          <t>cocuk-odasi</t>
        </is>
      </c>
      <c r="H94" s="5" t="inlineStr">
        <is>
          <t>okul-iş</t>
        </is>
      </c>
      <c r="I94" s="5" t="inlineStr"/>
      <c r="J94" s="5" t="inlineStr"/>
      <c r="K94" s="5" t="inlineStr"/>
      <c r="L94" s="5" t="inlineStr">
        <is>
          <t>okulu-birakti</t>
        </is>
      </c>
      <c r="M94" s="5" t="inlineStr"/>
      <c r="N94" s="5" t="inlineStr"/>
      <c r="O94" s="5" t="inlineStr"/>
      <c r="P94" s="5" t="inlineStr"/>
      <c r="Q94" s="5" t="inlineStr"/>
      <c r="R94" s="6" t="inlineStr"/>
      <c r="S94" s="5" t="inlineStr"/>
      <c r="T94" s="5" t="inlineStr"/>
      <c r="U94" s="5" t="inlineStr"/>
      <c r="V94" s="5" t="inlineStr"/>
    </row>
    <row r="95">
      <c r="A95" s="5" t="inlineStr">
        <is>
          <t>b5-akraba-sorgusu</t>
        </is>
      </c>
      <c r="B95" s="5" t="n">
        <v>5</v>
      </c>
      <c r="C95" s="5" t="inlineStr">
        <is>
          <t>16 yaş 4 ay</t>
        </is>
      </c>
      <c r="D95" s="5" t="inlineStr">
        <is>
          <t>🍽️</t>
        </is>
      </c>
      <c r="E95" s="6" t="inlineStr">
        <is>
          <t>Ne Olacaksın?</t>
        </is>
      </c>
      <c r="F95" s="6" t="inlineStr">
        <is>
          <t>Bayram ziyareti. Salonda on bir akraba, bir tabak kuruyemiş ve tek bir soru: 'Ne olacaksın bakalım?'</t>
        </is>
      </c>
      <c r="G95" s="5" t="inlineStr">
        <is>
          <t>ev</t>
        </is>
      </c>
      <c r="H95" s="5" t="inlineStr">
        <is>
          <t>ev</t>
        </is>
      </c>
      <c r="I95" s="5" t="inlineStr"/>
      <c r="J95" s="5" t="inlineStr"/>
      <c r="K95" s="5" t="inlineStr"/>
      <c r="L95" s="5" t="inlineStr"/>
      <c r="M95" s="5" t="inlineStr"/>
      <c r="N95" s="5" t="inlineStr"/>
      <c r="O95" s="5" t="inlineStr"/>
      <c r="P95" s="5" t="inlineStr"/>
      <c r="Q95" s="5" t="inlineStr"/>
      <c r="R95" s="6" t="inlineStr"/>
      <c r="S95" s="5" t="inlineStr"/>
      <c r="T95" s="5" t="inlineStr"/>
      <c r="U95" s="5" t="inlineStr"/>
      <c r="V95" s="5" t="inlineStr"/>
    </row>
    <row r="96">
      <c r="A96" s="5" t="inlineStr">
        <is>
          <t>b5-okul-gezisi</t>
        </is>
      </c>
      <c r="B96" s="5" t="n">
        <v>5</v>
      </c>
      <c r="C96" s="5" t="inlineStr">
        <is>
          <t>16 yaş 5 ay</t>
        </is>
      </c>
      <c r="D96" s="5" t="inlineStr">
        <is>
          <t>🚌</t>
        </is>
      </c>
      <c r="E96" s="6" t="inlineStr">
        <is>
          <t>Lise Gezisi</t>
        </is>
      </c>
      <c r="F96" s="6" t="inlineStr">
        <is>
          <t>Sınıf gezisi. Otobüs okulun önünde, annen camdan poğaça uzatıyor. Arka koltuk boş değil; tapulu.</t>
        </is>
      </c>
      <c r="G96" s="5" t="inlineStr">
        <is>
          <t>toplu-tasima</t>
        </is>
      </c>
      <c r="H96" s="5" t="inlineStr">
        <is>
          <t>sosyal</t>
        </is>
      </c>
      <c r="I96" s="5" t="inlineStr"/>
      <c r="J96" s="5" t="inlineStr"/>
      <c r="K96" s="5" t="inlineStr"/>
      <c r="L96" s="5" t="inlineStr">
        <is>
          <t>okulu-birakti</t>
        </is>
      </c>
      <c r="M96" s="5" t="inlineStr"/>
      <c r="N96" s="5" t="inlineStr"/>
      <c r="O96" s="5" t="inlineStr"/>
      <c r="P96" s="5" t="inlineStr"/>
      <c r="Q96" s="5" t="inlineStr"/>
      <c r="R96" s="6" t="inlineStr"/>
      <c r="S96" s="5" t="inlineStr"/>
      <c r="T96" s="5" t="inlineStr"/>
      <c r="U96" s="5" t="inlineStr"/>
      <c r="V96" s="5" t="inlineStr"/>
    </row>
    <row r="97">
      <c r="A97" s="5" t="inlineStr">
        <is>
          <t>b5-fenomen-video</t>
        </is>
      </c>
      <c r="B97" s="5" t="n">
        <v>5</v>
      </c>
      <c r="C97" s="5" t="inlineStr">
        <is>
          <t>16 yaş 6 ay</t>
        </is>
      </c>
      <c r="D97" s="5" t="inlineStr">
        <is>
          <t>🎬</t>
        </is>
      </c>
      <c r="E97" s="6" t="inlineStr">
        <is>
          <t>Bir Gecede</t>
        </is>
      </c>
      <c r="F97" s="6" t="inlineStr">
        <is>
          <t>Saç kurutma makinesini mikrofon yapıp söylediğin on beş saniyelik şarkı bir gecede patladı. Sayı her yenilemede artıyor. Kahvaltıda baban telefonu sana çevirdi: “Bu sen misin?”</t>
        </is>
      </c>
      <c r="G97" s="5" t="inlineStr">
        <is>
          <t>sokak</t>
        </is>
      </c>
      <c r="H97" s="5" t="inlineStr">
        <is>
          <t>sosyal</t>
        </is>
      </c>
      <c r="I97" s="5" t="inlineStr"/>
      <c r="J97" s="5" t="inlineStr"/>
      <c r="K97" s="5" t="inlineStr"/>
      <c r="L97" s="5" t="inlineStr"/>
      <c r="M97" s="5" t="inlineStr"/>
      <c r="N97" s="5" t="inlineStr"/>
      <c r="O97" s="5" t="inlineStr"/>
      <c r="P97" s="5" t="inlineStr"/>
      <c r="Q97" s="5" t="inlineStr"/>
      <c r="R97" s="6" t="inlineStr"/>
      <c r="S97" s="5" t="inlineStr"/>
      <c r="T97" s="5" t="inlineStr"/>
      <c r="U97" s="5" t="inlineStr"/>
      <c r="V97" s="5" t="inlineStr"/>
    </row>
    <row r="98">
      <c r="A98" s="5" t="inlineStr">
        <is>
          <t>b5-yaz-isi-garson</t>
        </is>
      </c>
      <c r="B98" s="5" t="n">
        <v>5</v>
      </c>
      <c r="C98" s="5" t="inlineStr">
        <is>
          <t>16 yaş 7 ay</t>
        </is>
      </c>
      <c r="D98" s="5" t="inlineStr">
        <is>
          <t>🫖</t>
        </is>
      </c>
      <c r="E98" s="6" t="inlineStr">
        <is>
          <t>Yaz İşi: Çay Bahçesi</t>
        </is>
      </c>
      <c r="F98" s="6" t="inlineStr">
        <is>
          <t>Sahil çay bahçesinde garsonluk. Patron ilk gün tepsiyi eline verdi. On iki bardak, bir şekerlik, sıfır eğitim.</t>
        </is>
      </c>
      <c r="G98" s="5" t="inlineStr">
        <is>
          <t>sahil</t>
        </is>
      </c>
      <c r="H98" s="5" t="inlineStr">
        <is>
          <t>para</t>
        </is>
      </c>
      <c r="I98" s="5" t="inlineStr"/>
      <c r="J98" s="5" t="inlineStr"/>
      <c r="K98" s="5" t="inlineStr"/>
      <c r="L98" s="5" t="inlineStr"/>
      <c r="M98" s="5" t="inlineStr"/>
      <c r="N98" s="5" t="inlineStr"/>
      <c r="O98" s="5" t="inlineStr"/>
      <c r="P98" s="5" t="inlineStr"/>
      <c r="Q98" s="5" t="inlineStr"/>
      <c r="R98" s="6" t="inlineStr"/>
      <c r="S98" s="5" t="inlineStr"/>
      <c r="T98" s="5" t="inlineStr"/>
      <c r="U98" s="5" t="inlineStr"/>
      <c r="V98" s="5" t="inlineStr"/>
    </row>
    <row r="99">
      <c r="A99" s="5" t="inlineStr">
        <is>
          <t>b5-ilk-maas</t>
        </is>
      </c>
      <c r="B99" s="5" t="n">
        <v>5</v>
      </c>
      <c r="C99" s="5" t="inlineStr">
        <is>
          <t>16 yaş 9 ay</t>
        </is>
      </c>
      <c r="D99" s="5" t="inlineStr">
        <is>
          <t>💵</t>
        </is>
      </c>
      <c r="E99" s="6" t="inlineStr">
        <is>
          <t>Yaz İşinin Zarfı</t>
        </is>
      </c>
      <c r="F99" s="6" t="inlineStr">
        <is>
          <t>Yaz boyunca çalıştın ve eline ilk zarf geçti. Zarf ince, ama senin.</t>
        </is>
      </c>
      <c r="G99" s="5" t="inlineStr">
        <is>
          <t>ev</t>
        </is>
      </c>
      <c r="H99" s="5" t="inlineStr">
        <is>
          <t>para</t>
        </is>
      </c>
      <c r="I99" s="5" t="inlineStr"/>
      <c r="J99" s="5" t="inlineStr"/>
      <c r="K99" s="5" t="inlineStr"/>
      <c r="L99" s="5" t="inlineStr"/>
      <c r="M99" s="5" t="inlineStr"/>
      <c r="N99" s="5" t="inlineStr"/>
      <c r="O99" s="5" t="inlineStr"/>
      <c r="P99" s="5" t="inlineStr"/>
      <c r="Q99" s="5" t="inlineStr"/>
      <c r="R99" s="6" t="inlineStr"/>
      <c r="S99" s="5" t="inlineStr"/>
      <c r="T99" s="5" t="inlineStr"/>
      <c r="U99" s="5" t="inlineStr"/>
      <c r="V99" s="5" t="inlineStr"/>
    </row>
    <row r="100">
      <c r="A100" s="5" t="inlineStr">
        <is>
          <t>b5-ayrilik</t>
        </is>
      </c>
      <c r="B100" s="5" t="n">
        <v>5</v>
      </c>
      <c r="C100" s="5" t="inlineStr">
        <is>
          <t>16 yaş 10 ay</t>
        </is>
      </c>
      <c r="D100" s="5" t="inlineStr">
        <is>
          <t>💔</t>
        </is>
      </c>
      <c r="E100" s="6" t="inlineStr">
        <is>
          <t>Biraz Konuşabilir miyiz?</t>
        </is>
      </c>
      <c r="F100" s="6" t="inlineStr">
        <is>
          <t>Mesaj geldi: “Biraz konuşabilir miyiz?” Üç nokta göründü, kayboldu, yeniden göründü. Bu cümleyle başlayıp iyi biten bir konuşma bu mahallede hiç duyulmadı.</t>
        </is>
      </c>
      <c r="G100" s="5" t="inlineStr">
        <is>
          <t>kafe</t>
        </is>
      </c>
      <c r="H100" s="5" t="inlineStr">
        <is>
          <t>sosyal</t>
        </is>
      </c>
      <c r="I100" s="5" t="inlineStr"/>
      <c r="J100" s="5" t="inlineStr"/>
      <c r="K100" s="5" t="inlineStr">
        <is>
          <t>ilk-sevgili</t>
        </is>
      </c>
      <c r="L100" s="5" t="inlineStr"/>
      <c r="M100" s="5" t="inlineStr"/>
      <c r="N100" s="5" t="inlineStr"/>
      <c r="O100" s="5" t="inlineStr"/>
      <c r="P100" s="5" t="inlineStr"/>
      <c r="Q100" s="5" t="inlineStr"/>
      <c r="R100" s="6" t="inlineStr"/>
      <c r="S100" s="5" t="inlineStr"/>
      <c r="T100" s="5" t="inlineStr"/>
      <c r="U100" s="5" t="inlineStr"/>
      <c r="V100" s="5" t="inlineStr"/>
    </row>
    <row r="101">
      <c r="A101" s="5" t="inlineStr">
        <is>
          <t>b5-beden-dersi</t>
        </is>
      </c>
      <c r="B101" s="5" t="n">
        <v>5</v>
      </c>
      <c r="C101" s="5" t="inlineStr">
        <is>
          <t>16 yaş 11 ay</t>
        </is>
      </c>
      <c r="D101" s="5" t="inlineStr">
        <is>
          <t>🏐</t>
        </is>
      </c>
      <c r="E101" s="6" t="inlineStr">
        <is>
          <t>Voleybol Turnuvası</t>
        </is>
      </c>
      <c r="F101" s="6" t="inlineStr">
        <is>
          <t>Beden eğitiminde voleybol turnuvası. İki kaptan sırayla takım seçiyor. Sen hâlâ ayaktasın ve sayı azalıyor.</t>
        </is>
      </c>
      <c r="G101" s="5" t="inlineStr">
        <is>
          <t>okul-bahcesi</t>
        </is>
      </c>
      <c r="H101" s="5" t="inlineStr">
        <is>
          <t>okul-iş</t>
        </is>
      </c>
      <c r="I101" s="5" t="inlineStr"/>
      <c r="J101" s="5" t="inlineStr"/>
      <c r="K101" s="5" t="inlineStr"/>
      <c r="L101" s="5" t="inlineStr">
        <is>
          <t>okulu-birakti</t>
        </is>
      </c>
      <c r="M101" s="5" t="inlineStr"/>
      <c r="N101" s="5" t="inlineStr"/>
      <c r="O101" s="5" t="inlineStr"/>
      <c r="P101" s="5" t="inlineStr"/>
      <c r="Q101" s="5" t="inlineStr"/>
      <c r="R101" s="6" t="inlineStr"/>
      <c r="S101" s="5" t="inlineStr"/>
      <c r="T101" s="5" t="inlineStr"/>
      <c r="U101" s="5" t="inlineStr"/>
      <c r="V101" s="5" t="inlineStr"/>
    </row>
    <row r="102">
      <c r="A102" s="5" t="inlineStr">
        <is>
          <t>b5-kafede-ders</t>
        </is>
      </c>
      <c r="B102" s="5" t="n">
        <v>5</v>
      </c>
      <c r="C102" s="5" t="inlineStr">
        <is>
          <t>17 yaş</t>
        </is>
      </c>
      <c r="D102" s="5" t="inlineStr">
        <is>
          <t>☕</t>
        </is>
      </c>
      <c r="E102" s="6" t="inlineStr">
        <is>
          <t>Kafede Ders Çalışma</t>
        </is>
      </c>
      <c r="F102" s="6" t="inlineStr">
        <is>
          <t>Arkadaşlarla 'kafede ders çalışma' planı yapıldı. Masada dört kitap, dört telefon ve beş saat önce söylenmiş tek bir çay.</t>
        </is>
      </c>
      <c r="G102" s="5" t="inlineStr">
        <is>
          <t>kafe</t>
        </is>
      </c>
      <c r="H102" s="5" t="inlineStr">
        <is>
          <t>okul-iş</t>
        </is>
      </c>
      <c r="I102" s="5" t="inlineStr"/>
      <c r="J102" s="5" t="inlineStr"/>
      <c r="K102" s="5" t="inlineStr"/>
      <c r="L102" s="5" t="inlineStr">
        <is>
          <t>okulu-birakti</t>
        </is>
      </c>
      <c r="M102" s="5" t="inlineStr"/>
      <c r="N102" s="5" t="inlineStr"/>
      <c r="O102" s="5" t="inlineStr"/>
      <c r="P102" s="5" t="inlineStr"/>
      <c r="Q102" s="5" t="inlineStr"/>
      <c r="R102" s="6" t="inlineStr"/>
      <c r="S102" s="5" t="inlineStr"/>
      <c r="T102" s="5" t="inlineStr"/>
      <c r="U102" s="5" t="inlineStr"/>
      <c r="V102" s="5" t="inlineStr"/>
    </row>
    <row r="103">
      <c r="A103" s="5" t="inlineStr">
        <is>
          <t>b5-deneme-sinavi</t>
        </is>
      </c>
      <c r="B103" s="5" t="n">
        <v>5</v>
      </c>
      <c r="C103" s="5" t="inlineStr">
        <is>
          <t>17 yaş 1 ay</t>
        </is>
      </c>
      <c r="D103" s="5" t="inlineStr">
        <is>
          <t>📝</t>
        </is>
      </c>
      <c r="E103" s="6" t="inlineStr">
        <is>
          <t>Deneme Sınavı</t>
        </is>
      </c>
      <c r="F103" s="6" t="inlineStr">
        <is>
          <t>Dershanenin deneme sınavı. Kitapçık önünde, optik form yanında. Biri silgi düşürdü; salondaki herkes irkildi.</t>
        </is>
      </c>
      <c r="G103" s="5" t="inlineStr">
        <is>
          <t>sinif</t>
        </is>
      </c>
      <c r="H103" s="5" t="inlineStr">
        <is>
          <t>okul-iş</t>
        </is>
      </c>
      <c r="I103" s="5" t="inlineStr"/>
      <c r="J103" s="5" t="n">
        <v>1.5</v>
      </c>
      <c r="K103" s="5" t="inlineStr"/>
      <c r="L103" s="5" t="inlineStr">
        <is>
          <t>okulu-birakti</t>
        </is>
      </c>
      <c r="M103" s="5" t="inlineStr"/>
      <c r="N103" s="5" t="inlineStr"/>
      <c r="O103" s="5" t="inlineStr"/>
      <c r="P103" s="5" t="inlineStr"/>
      <c r="Q103" s="5" t="inlineStr"/>
      <c r="R103" s="6" t="inlineStr"/>
      <c r="S103" s="5" t="inlineStr"/>
      <c r="T103" s="5" t="inlineStr"/>
      <c r="U103" s="5" t="inlineStr"/>
      <c r="V103" s="5" t="inlineStr"/>
    </row>
    <row r="104">
      <c r="A104" s="5" t="inlineStr">
        <is>
          <t>b5-doktor-ol</t>
        </is>
      </c>
      <c r="B104" s="5" t="n">
        <v>5</v>
      </c>
      <c r="C104" s="5" t="inlineStr">
        <is>
          <t>17 yaş 2 ay</t>
        </is>
      </c>
      <c r="D104" s="5" t="inlineStr">
        <is>
          <t>🩺</t>
        </is>
      </c>
      <c r="E104" s="6" t="inlineStr">
        <is>
          <t>Doktor Ol</t>
        </is>
      </c>
      <c r="F104" s="6" t="inlineStr">
        <is>
          <t>Akşam yemeği. Babanın cümlesi tartışmaya kapalı başladı: 'Doktor olursan hayatın kurtulur.' Kimin hayatı olduğu belirtilmedi.</t>
        </is>
      </c>
      <c r="G104" s="5" t="inlineStr">
        <is>
          <t>mutfak</t>
        </is>
      </c>
      <c r="H104" s="5" t="inlineStr">
        <is>
          <t>ev</t>
        </is>
      </c>
      <c r="I104" s="5" t="inlineStr"/>
      <c r="J104" s="5" t="inlineStr"/>
      <c r="K104" s="5" t="inlineStr"/>
      <c r="L104" s="5" t="inlineStr">
        <is>
          <t>okulu-birakti</t>
        </is>
      </c>
      <c r="M104" s="5" t="inlineStr"/>
      <c r="N104" s="5" t="inlineStr"/>
      <c r="O104" s="5" t="inlineStr"/>
      <c r="P104" s="5" t="inlineStr"/>
      <c r="Q104" s="5" t="inlineStr"/>
      <c r="R104" s="6" t="inlineStr"/>
      <c r="S104" s="5" t="inlineStr"/>
      <c r="T104" s="5" t="inlineStr"/>
      <c r="U104" s="5" t="inlineStr"/>
      <c r="V104" s="5" t="inlineStr"/>
    </row>
    <row r="105">
      <c r="A105" s="5" t="inlineStr">
        <is>
          <t>b5-yurt-disi</t>
        </is>
      </c>
      <c r="B105" s="5" t="n">
        <v>5</v>
      </c>
      <c r="C105" s="5" t="inlineStr">
        <is>
          <t>17 yaş 3 ay</t>
        </is>
      </c>
      <c r="D105" s="5" t="inlineStr">
        <is>
          <t>✈️</t>
        </is>
      </c>
      <c r="E105" s="6" t="inlineStr">
        <is>
          <t>Öte Diyar Hayali</t>
        </is>
      </c>
      <c r="F105" s="6" t="inlineStr">
        <is>
          <t>Gece üç. Öte Diyar'daki bir üniversitenin tanıtım videosu açık. Kampüste kimse sınava çalışmıyor; herkes çimlerde gülüyor.</t>
        </is>
      </c>
      <c r="G105" s="5" t="inlineStr">
        <is>
          <t>cocuk-odasi</t>
        </is>
      </c>
      <c r="H105" s="5" t="inlineStr">
        <is>
          <t>para</t>
        </is>
      </c>
      <c r="I105" s="5" t="inlineStr">
        <is>
          <t>E</t>
        </is>
      </c>
      <c r="J105" s="5" t="n">
        <v>0.7</v>
      </c>
      <c r="K105" s="5" t="inlineStr"/>
      <c r="L105" s="5" t="inlineStr"/>
      <c r="M105" s="5" t="inlineStr"/>
      <c r="N105" s="5" t="inlineStr"/>
      <c r="O105" s="5" t="inlineStr"/>
      <c r="P105" s="5" t="inlineStr"/>
      <c r="Q105" s="5" t="inlineStr"/>
      <c r="R105" s="6" t="inlineStr"/>
      <c r="S105" s="5" t="inlineStr"/>
      <c r="T105" s="5" t="inlineStr"/>
      <c r="U105" s="5" t="inlineStr"/>
      <c r="V105" s="5" t="inlineStr"/>
    </row>
    <row r="106">
      <c r="A106" s="5" t="inlineStr">
        <is>
          <t>b5-ilk-konser</t>
        </is>
      </c>
      <c r="B106" s="5" t="n">
        <v>5</v>
      </c>
      <c r="C106" s="5" t="inlineStr">
        <is>
          <t>17 yaş 4 ay</t>
        </is>
      </c>
      <c r="D106" s="5" t="inlineStr">
        <is>
          <t>🎤</t>
        </is>
      </c>
      <c r="E106" s="6" t="inlineStr">
        <is>
          <t>İlk Konser</t>
        </is>
      </c>
      <c r="F106" s="6" t="inlineStr">
        <is>
          <t>Hayatının ilk konseri. Kapılar açılalı iki saat oldu, sahneye çıkılmasına iki saat var. Sen dört saattir aynı yerdesin.</t>
        </is>
      </c>
      <c r="G106" s="5" t="inlineStr">
        <is>
          <t>stadyum</t>
        </is>
      </c>
      <c r="H106" s="5" t="inlineStr">
        <is>
          <t>sosyal</t>
        </is>
      </c>
      <c r="I106" s="5" t="inlineStr"/>
      <c r="J106" s="5" t="inlineStr"/>
      <c r="K106" s="5" t="inlineStr"/>
      <c r="L106" s="5" t="inlineStr"/>
      <c r="M106" s="5" t="inlineStr"/>
      <c r="N106" s="5" t="inlineStr"/>
      <c r="O106" s="5" t="inlineStr"/>
      <c r="P106" s="5" t="inlineStr"/>
      <c r="Q106" s="5" t="inlineStr"/>
      <c r="R106" s="6" t="inlineStr"/>
      <c r="S106" s="5" t="inlineStr"/>
      <c r="T106" s="5" t="inlineStr"/>
      <c r="U106" s="5" t="inlineStr"/>
      <c r="V106" s="5" t="inlineStr"/>
    </row>
    <row r="107">
      <c r="A107" s="5" t="inlineStr">
        <is>
          <t>b5-ev-partisi</t>
        </is>
      </c>
      <c r="B107" s="5" t="n">
        <v>5</v>
      </c>
      <c r="C107" s="5" t="inlineStr">
        <is>
          <t>17 yaş 5 ay</t>
        </is>
      </c>
      <c r="D107" s="5" t="inlineStr">
        <is>
          <t>🎉</t>
        </is>
      </c>
      <c r="E107" s="6" t="inlineStr">
        <is>
          <t>Ev Boş</t>
        </is>
      </c>
      <c r="F107" s="6" t="inlineStr">
        <is>
          <t>Bir arkadaşın ailesi hafta sonu memlekete gitti. “Küçük bir şey yapıyoruz” dendi. Davetli sayısı mesaj grubunda saatte ikiye katlanıyor.</t>
        </is>
      </c>
      <c r="G107" s="5" t="inlineStr">
        <is>
          <t>apartman</t>
        </is>
      </c>
      <c r="H107" s="5" t="inlineStr">
        <is>
          <t>sosyal</t>
        </is>
      </c>
      <c r="I107" s="5" t="inlineStr"/>
      <c r="J107" s="5" t="inlineStr"/>
      <c r="K107" s="5" t="inlineStr"/>
      <c r="L107" s="5" t="inlineStr"/>
      <c r="M107" s="5" t="inlineStr"/>
      <c r="N107" s="5" t="inlineStr"/>
      <c r="O107" s="5" t="inlineStr"/>
      <c r="P107" s="5" t="inlineStr"/>
      <c r="Q107" s="5" t="inlineStr"/>
      <c r="R107" s="6" t="inlineStr"/>
      <c r="S107" s="5" t="inlineStr"/>
      <c r="T107" s="5" t="inlineStr"/>
      <c r="U107" s="5" t="inlineStr"/>
      <c r="V107" s="5" t="inlineStr"/>
    </row>
    <row r="108">
      <c r="A108" s="5" t="inlineStr">
        <is>
          <t>b5-kurye-isi</t>
        </is>
      </c>
      <c r="B108" s="5" t="n">
        <v>5</v>
      </c>
      <c r="C108" s="5" t="inlineStr">
        <is>
          <t>17 yaş 6 ay</t>
        </is>
      </c>
      <c r="D108" s="5" t="inlineStr">
        <is>
          <t>🚲</t>
        </is>
      </c>
      <c r="E108" s="6" t="inlineStr">
        <is>
          <t>Bisikletli Kurye</t>
        </is>
      </c>
      <c r="F108" s="6" t="inlineStr">
        <is>
          <t>Mahalledeki pidecinin bisikletli kuryesi oldun. Siparişler uygulamadan düşüyor, pideci arkandan bağırıyor: “On dört dakika demişler, koş!” Yokuştan kimse bahsetmedi.</t>
        </is>
      </c>
      <c r="G108" s="5" t="inlineStr">
        <is>
          <t>trafik</t>
        </is>
      </c>
      <c r="H108" s="5" t="inlineStr">
        <is>
          <t>para</t>
        </is>
      </c>
      <c r="I108" s="5" t="inlineStr"/>
      <c r="J108" s="5" t="inlineStr"/>
      <c r="K108" s="5" t="inlineStr"/>
      <c r="L108" s="5" t="inlineStr"/>
      <c r="M108" s="5" t="inlineStr"/>
      <c r="N108" s="5" t="inlineStr"/>
      <c r="O108" s="5" t="inlineStr"/>
      <c r="P108" s="5" t="inlineStr"/>
      <c r="Q108" s="5" t="inlineStr"/>
      <c r="R108" s="6" t="inlineStr"/>
      <c r="S108" s="5" t="inlineStr"/>
      <c r="T108" s="5" t="inlineStr"/>
      <c r="U108" s="5" t="inlineStr"/>
      <c r="V108" s="5" t="inlineStr"/>
    </row>
    <row r="109">
      <c r="A109" s="5" t="inlineStr">
        <is>
          <t>b5-ozel-ders</t>
        </is>
      </c>
      <c r="B109" s="5" t="n">
        <v>5</v>
      </c>
      <c r="C109" s="5" t="inlineStr">
        <is>
          <t>17 yaş 7 ay</t>
        </is>
      </c>
      <c r="D109" s="5" t="inlineStr">
        <is>
          <t>📐</t>
        </is>
      </c>
      <c r="E109" s="6" t="inlineStr">
        <is>
          <t>Özel Ders</t>
        </is>
      </c>
      <c r="F109" s="6" t="inlineStr">
        <is>
          <t>Matematik için özel öğretmen tutuldu. Ders salonda, misafir masasında yapılacak. Annen öğretmen için kristal şekerliği çıkardı; sana bir şey çıkarmadı.</t>
        </is>
      </c>
      <c r="G109" s="5" t="inlineStr">
        <is>
          <t>ev</t>
        </is>
      </c>
      <c r="H109" s="5" t="inlineStr">
        <is>
          <t>para</t>
        </is>
      </c>
      <c r="I109" s="5" t="inlineStr"/>
      <c r="J109" s="5" t="inlineStr"/>
      <c r="K109" s="5" t="inlineStr"/>
      <c r="L109" s="5" t="inlineStr">
        <is>
          <t>okulu-birakti</t>
        </is>
      </c>
      <c r="M109" s="5" t="inlineStr"/>
      <c r="N109" s="5" t="inlineStr"/>
      <c r="O109" s="5" t="inlineStr"/>
      <c r="P109" s="5" t="inlineStr"/>
      <c r="Q109" s="5" t="inlineStr"/>
      <c r="R109" s="6" t="inlineStr"/>
      <c r="S109" s="5" t="inlineStr"/>
      <c r="T109" s="5" t="inlineStr"/>
      <c r="U109" s="5" t="inlineStr"/>
      <c r="V109" s="5" t="inlineStr"/>
    </row>
    <row r="110">
      <c r="A110" s="5" t="inlineStr">
        <is>
          <t>b5-rehberlik</t>
        </is>
      </c>
      <c r="B110" s="5" t="n">
        <v>5</v>
      </c>
      <c r="C110" s="5" t="inlineStr">
        <is>
          <t>17 yaş 8 ay</t>
        </is>
      </c>
      <c r="D110" s="5" t="inlineStr">
        <is>
          <t>🧭</t>
        </is>
      </c>
      <c r="E110" s="6" t="inlineStr">
        <is>
          <t>Meslek Testi</t>
        </is>
      </c>
      <c r="F110" s="6" t="inlineStr">
        <is>
          <t>Rehberlik servisi meslek eğilim testi uyguladı. Sonuca göre sana en uygun meslek: deniz feneri bekçisi. Fenerler otomatik çalışıyor artık.</t>
        </is>
      </c>
      <c r="G110" s="5" t="inlineStr">
        <is>
          <t>sinif</t>
        </is>
      </c>
      <c r="H110" s="5" t="inlineStr">
        <is>
          <t>okul-iş</t>
        </is>
      </c>
      <c r="I110" s="5" t="inlineStr"/>
      <c r="J110" s="5" t="inlineStr"/>
      <c r="K110" s="5" t="inlineStr"/>
      <c r="L110" s="5" t="inlineStr">
        <is>
          <t>okulu-birakti</t>
        </is>
      </c>
      <c r="M110" s="5" t="inlineStr"/>
      <c r="N110" s="5" t="inlineStr"/>
      <c r="O110" s="5" t="inlineStr"/>
      <c r="P110" s="5" t="inlineStr"/>
      <c r="Q110" s="5" t="inlineStr"/>
      <c r="R110" s="6" t="inlineStr"/>
      <c r="S110" s="5" t="inlineStr"/>
      <c r="T110" s="5" t="inlineStr"/>
      <c r="U110" s="5" t="inlineStr"/>
      <c r="V110" s="5" t="inlineStr"/>
    </row>
    <row r="111">
      <c r="A111" s="5" t="inlineStr">
        <is>
          <t>b5-telefon-detoksu</t>
        </is>
      </c>
      <c r="B111" s="5" t="n">
        <v>5</v>
      </c>
      <c r="C111" s="5" t="inlineStr">
        <is>
          <t>17 yaş 8 ay</t>
        </is>
      </c>
      <c r="D111" s="5" t="inlineStr">
        <is>
          <t>📵</t>
        </is>
      </c>
      <c r="E111" s="6" t="inlineStr">
        <is>
          <t>Telefon Emanette</t>
        </is>
      </c>
      <c r="F111" s="6" t="inlineStr">
        <is>
          <t>Sınava iki ay kala aile kararı: telefonun emanete alındı. Baban telefonu çekmeceye kilitledi: “Sınavdan sonra.” Annen arkasından ekledi: “Biz de sana mesaj atmayız, merak etme.”</t>
        </is>
      </c>
      <c r="G111" s="5" t="inlineStr">
        <is>
          <t>ev</t>
        </is>
      </c>
      <c r="H111" s="5" t="inlineStr">
        <is>
          <t>ev</t>
        </is>
      </c>
      <c r="I111" s="5" t="inlineStr"/>
      <c r="J111" s="5" t="inlineStr"/>
      <c r="K111" s="5" t="inlineStr"/>
      <c r="L111" s="5" t="inlineStr">
        <is>
          <t>okulu-birakti</t>
        </is>
      </c>
      <c r="M111" s="5" t="inlineStr"/>
      <c r="N111" s="5" t="inlineStr"/>
      <c r="O111" s="5" t="inlineStr"/>
      <c r="P111" s="5" t="inlineStr"/>
      <c r="Q111" s="5" t="inlineStr"/>
      <c r="R111" s="6" t="inlineStr"/>
      <c r="S111" s="5" t="inlineStr"/>
      <c r="T111" s="5" t="inlineStr"/>
      <c r="U111" s="5" t="inlineStr"/>
      <c r="V111" s="5" t="inlineStr"/>
    </row>
    <row r="112">
      <c r="A112" s="5" t="inlineStr">
        <is>
          <t>b5-universite-sinavi</t>
        </is>
      </c>
      <c r="B112" s="5" t="n">
        <v>5</v>
      </c>
      <c r="C112" s="5" t="inlineStr">
        <is>
          <t>17 yaş 10 ay</t>
        </is>
      </c>
      <c r="D112" s="5" t="inlineStr">
        <is>
          <t>✏️</t>
        </is>
      </c>
      <c r="E112" s="6" t="inlineStr">
        <is>
          <t>Büyük Makarya Sınavı</t>
        </is>
      </c>
      <c r="F112" s="6" t="inlineStr">
        <is>
          <t>Üniversite sınavı sabahı. Kalem, silgi, kimlik ve on yedi yıllık aile beklentisi. Son ikisi sıraya sığmıyor.</t>
        </is>
      </c>
      <c r="G112" s="5" t="inlineStr">
        <is>
          <t>sinif</t>
        </is>
      </c>
      <c r="H112" s="5" t="inlineStr">
        <is>
          <t>okul-iş</t>
        </is>
      </c>
      <c r="I112" s="5" t="inlineStr">
        <is>
          <t>E</t>
        </is>
      </c>
      <c r="J112" s="5" t="inlineStr"/>
      <c r="K112" s="5" t="inlineStr"/>
      <c r="L112" s="5" t="inlineStr">
        <is>
          <t>okulu-birakti</t>
        </is>
      </c>
      <c r="M112" s="5" t="inlineStr"/>
      <c r="N112" s="5" t="inlineStr"/>
      <c r="O112" s="5" t="inlineStr"/>
      <c r="P112" s="5" t="inlineStr"/>
      <c r="Q112" s="5" t="n">
        <v>3</v>
      </c>
      <c r="R112" s="6" t="inlineStr">
        <is>
          <t>On yedi yıl bu sabaha çıkıyordu. Bu salondan iki ayrı hayat çıkar ve geri dönüş yok.</t>
        </is>
      </c>
      <c r="S112" s="5" t="inlineStr">
        <is>
          <t>Üniversiteli hayat</t>
        </is>
      </c>
      <c r="T112" s="5" t="inlineStr">
        <is>
          <t>Başka bir gençlik</t>
        </is>
      </c>
      <c r="U112" s="5" t="inlineStr"/>
      <c r="V112" s="5" t="inlineStr"/>
    </row>
    <row r="113">
      <c r="A113" s="5" t="inlineStr">
        <is>
          <t>b5-mezuniyet-balosu</t>
        </is>
      </c>
      <c r="B113" s="5" t="n">
        <v>5</v>
      </c>
      <c r="C113" s="5" t="inlineStr">
        <is>
          <t>17 yaş 11 ay</t>
        </is>
      </c>
      <c r="D113" s="5" t="inlineStr">
        <is>
          <t>🕺</t>
        </is>
      </c>
      <c r="E113" s="6" t="inlineStr">
        <is>
          <t>Mezuniyet Balosu</t>
        </is>
      </c>
      <c r="F113" s="6" t="inlineStr">
        <is>
          <t>Mezuniyet balosu. Salon kiralandı, kıyafetler alındı, fotoğrafçı hazır. Dans pistine ilk adımı atacak kişi henüz belli değil.</t>
        </is>
      </c>
      <c r="G113" s="5" t="inlineStr">
        <is>
          <t>dugun-salonu</t>
        </is>
      </c>
      <c r="H113" s="5" t="inlineStr">
        <is>
          <t>sosyal</t>
        </is>
      </c>
      <c r="I113" s="5" t="inlineStr"/>
      <c r="J113" s="5" t="inlineStr"/>
      <c r="K113" s="5" t="inlineStr"/>
      <c r="L113" s="5" t="inlineStr">
        <is>
          <t>okulu-birakti</t>
        </is>
      </c>
      <c r="M113" s="5" t="inlineStr"/>
      <c r="N113" s="5" t="inlineStr"/>
      <c r="O113" s="5" t="inlineStr"/>
      <c r="P113" s="5" t="inlineStr"/>
      <c r="Q113" s="5" t="inlineStr"/>
      <c r="R113" s="6" t="inlineStr"/>
      <c r="S113" s="5" t="inlineStr"/>
      <c r="T113" s="5" t="inlineStr"/>
      <c r="U113" s="5" t="inlineStr"/>
      <c r="V113" s="5" t="inlineStr"/>
    </row>
    <row r="114">
      <c r="A114" s="5" t="inlineStr">
        <is>
          <t>b5-tercih-listesi</t>
        </is>
      </c>
      <c r="B114" s="5" t="n">
        <v>5</v>
      </c>
      <c r="C114" s="5" t="inlineStr">
        <is>
          <t>17 yaş 11 ay</t>
        </is>
      </c>
      <c r="D114" s="5" t="inlineStr">
        <is>
          <t>📋</t>
        </is>
      </c>
      <c r="E114" s="6" t="inlineStr">
        <is>
          <t>Tercih Listesi</t>
        </is>
      </c>
      <c r="F114" s="6" t="inlineStr">
        <is>
          <t>Tercih dönemi. Yirmi dört satırlık bir liste, bir aile meclisi ve bir kuzen: 'Ben olsam şöyle yapardım.' Kuzen hiç tercih yapmamış.</t>
        </is>
      </c>
      <c r="G114" s="5" t="inlineStr">
        <is>
          <t>ev</t>
        </is>
      </c>
      <c r="H114" s="5" t="inlineStr">
        <is>
          <t>ev</t>
        </is>
      </c>
      <c r="I114" s="5" t="inlineStr">
        <is>
          <t>E</t>
        </is>
      </c>
      <c r="J114" s="5" t="inlineStr"/>
      <c r="K114" s="5" t="inlineStr">
        <is>
          <t>universiteli</t>
        </is>
      </c>
      <c r="L114" s="5" t="inlineStr">
        <is>
          <t>okulu-birakti</t>
        </is>
      </c>
      <c r="M114" s="5" t="inlineStr"/>
      <c r="N114" s="5" t="inlineStr"/>
      <c r="O114" s="5" t="inlineStr"/>
      <c r="P114" s="5" t="inlineStr"/>
      <c r="Q114" s="5" t="inlineStr"/>
      <c r="R114" s="6" t="inlineStr"/>
      <c r="S114" s="5" t="inlineStr"/>
      <c r="T114" s="5" t="inlineStr"/>
      <c r="U114" s="5" t="inlineStr"/>
      <c r="V114" s="5" t="inlineStr"/>
    </row>
    <row r="115">
      <c r="A115" s="5" t="inlineStr">
        <is>
          <t>b5-mezuniyet</t>
        </is>
      </c>
      <c r="B115" s="5" t="n">
        <v>5</v>
      </c>
      <c r="C115" s="5" t="inlineStr">
        <is>
          <t>18 yaş</t>
        </is>
      </c>
      <c r="D115" s="5" t="inlineStr">
        <is>
          <t>🎓</t>
        </is>
      </c>
      <c r="E115" s="6" t="inlineStr">
        <is>
          <t>Lise Mezuniyeti</t>
        </is>
      </c>
      <c r="F115" s="6" t="inlineStr">
        <is>
          <t>Lise mezuniyet töreni. Kepler birazdan havaya atılacak ve kimse kendi kepini geri bulamayacak. Annen ön sırada; telefonu bir saattir kayıtta.</t>
        </is>
      </c>
      <c r="G115" s="5" t="inlineStr">
        <is>
          <t>okul-bahcesi</t>
        </is>
      </c>
      <c r="H115" s="5" t="inlineStr">
        <is>
          <t>okul-iş</t>
        </is>
      </c>
      <c r="I115" s="5" t="inlineStr">
        <is>
          <t>E</t>
        </is>
      </c>
      <c r="J115" s="5" t="inlineStr"/>
      <c r="K115" s="5" t="inlineStr"/>
      <c r="L115" s="5" t="inlineStr">
        <is>
          <t>okulu-birakti</t>
        </is>
      </c>
      <c r="M115" s="5" t="inlineStr"/>
      <c r="N115" s="5" t="inlineStr"/>
      <c r="O115" s="5" t="inlineStr"/>
      <c r="P115" s="5" t="inlineStr"/>
      <c r="Q115" s="5" t="inlineStr"/>
      <c r="R115" s="6" t="inlineStr"/>
      <c r="S115" s="5" t="inlineStr"/>
      <c r="T115" s="5" t="inlineStr"/>
      <c r="U115" s="5" t="inlineStr"/>
      <c r="V115" s="5" t="inlineStr"/>
    </row>
    <row r="116">
      <c r="A116" s="5" t="inlineStr">
        <is>
          <t>b5-ehliyet-kursu</t>
        </is>
      </c>
      <c r="B116" s="5" t="n">
        <v>5</v>
      </c>
      <c r="C116" s="5" t="inlineStr">
        <is>
          <t>18 yaş</t>
        </is>
      </c>
      <c r="D116" s="5" t="inlineStr">
        <is>
          <t>🚗</t>
        </is>
      </c>
      <c r="E116" s="6" t="inlineStr">
        <is>
          <t>Ehliyet Kursu</t>
        </is>
      </c>
      <c r="F116" s="6" t="inlineStr">
        <is>
          <t>Ehliyet kursuna yazıldın. Direksiyon hocası ilk derste frene kendi ayağını bastı. İkinci derste de. Bu bir alışkanlık.</t>
        </is>
      </c>
      <c r="G116" s="5" t="inlineStr">
        <is>
          <t>trafik</t>
        </is>
      </c>
      <c r="H116" s="5" t="inlineStr">
        <is>
          <t>para</t>
        </is>
      </c>
      <c r="I116" s="5" t="inlineStr"/>
      <c r="J116" s="5" t="inlineStr"/>
      <c r="K116" s="5" t="inlineStr"/>
      <c r="L116" s="5" t="inlineStr"/>
      <c r="M116" s="5" t="inlineStr"/>
      <c r="N116" s="5" t="inlineStr"/>
      <c r="O116" s="5" t="inlineStr"/>
      <c r="P116" s="5" t="inlineStr"/>
      <c r="Q116" s="5" t="inlineStr"/>
      <c r="R116" s="6" t="inlineStr"/>
      <c r="S116" s="5" t="inlineStr"/>
      <c r="T116" s="5" t="inlineStr"/>
      <c r="U116" s="5" t="inlineStr"/>
      <c r="V116" s="5" t="inlineStr"/>
    </row>
    <row r="117">
      <c r="A117" s="5" t="inlineStr">
        <is>
          <t>b5-tek-basina-tatil</t>
        </is>
      </c>
      <c r="B117" s="5" t="n">
        <v>5</v>
      </c>
      <c r="C117" s="5" t="inlineStr">
        <is>
          <t>18 yaş</t>
        </is>
      </c>
      <c r="D117" s="5" t="inlineStr">
        <is>
          <t>🧳</t>
        </is>
      </c>
      <c r="E117" s="6" t="inlineStr">
        <is>
          <t>Ailesiz İlk Tatil</t>
        </is>
      </c>
      <c r="F117" s="6" t="inlineStr">
        <is>
          <t>İlk kez ailesiz tatil. Arkadaşlarla sahil kasabasında bir pansiyon. Aile grubu saat başı 'Vardınız mı?' yazıyor. Varalı iki gün oldu.</t>
        </is>
      </c>
      <c r="G117" s="5" t="inlineStr">
        <is>
          <t>yazlik</t>
        </is>
      </c>
      <c r="H117" s="5" t="inlineStr">
        <is>
          <t>para</t>
        </is>
      </c>
      <c r="I117" s="5" t="inlineStr"/>
      <c r="J117" s="5" t="inlineStr"/>
      <c r="K117" s="5" t="inlineStr"/>
      <c r="L117" s="5" t="inlineStr"/>
      <c r="M117" s="5" t="inlineStr"/>
      <c r="N117" s="5" t="inlineStr"/>
      <c r="O117" s="5" t="inlineStr"/>
      <c r="P117" s="5" t="inlineStr"/>
      <c r="Q117" s="5" t="inlineStr"/>
      <c r="R117" s="6" t="inlineStr"/>
      <c r="S117" s="5" t="inlineStr"/>
      <c r="T117" s="5" t="inlineStr"/>
      <c r="U117" s="5" t="inlineStr"/>
      <c r="V117" s="5" t="inlineStr"/>
    </row>
    <row r="118">
      <c r="A118" s="5" t="inlineStr">
        <is>
          <t>b6-yurt-odasi</t>
        </is>
      </c>
      <c r="B118" s="5" t="n">
        <v>6</v>
      </c>
      <c r="C118" s="5" t="inlineStr">
        <is>
          <t>18 yaş 1 ay</t>
        </is>
      </c>
      <c r="D118" s="5" t="inlineStr">
        <is>
          <t>🛏️</t>
        </is>
      </c>
      <c r="E118" s="6" t="inlineStr">
        <is>
          <t>Yurt Odası</t>
        </is>
      </c>
      <c r="F118" s="6" t="inlineStr">
        <is>
          <t>Dört kişilik odaya yerleştirildin. Dolap iki kişilik, priz bir kişilik, uyku düzenleri dört ayrı saat diliminde.</t>
        </is>
      </c>
      <c r="G118" s="5" t="inlineStr">
        <is>
          <t>universite</t>
        </is>
      </c>
      <c r="H118" s="5" t="inlineStr"/>
      <c r="I118" s="5" t="inlineStr">
        <is>
          <t>E</t>
        </is>
      </c>
      <c r="J118" s="5" t="inlineStr"/>
      <c r="K118" s="5" t="inlineStr">
        <is>
          <t>universiteli, baska-sehir</t>
        </is>
      </c>
      <c r="L118" s="5" t="inlineStr"/>
      <c r="M118" s="5" t="inlineStr"/>
      <c r="N118" s="5" t="inlineStr"/>
      <c r="O118" s="5" t="inlineStr"/>
      <c r="P118" s="5" t="inlineStr"/>
      <c r="Q118" s="5" t="inlineStr"/>
      <c r="R118" s="6" t="inlineStr"/>
      <c r="S118" s="5" t="inlineStr"/>
      <c r="T118" s="5" t="inlineStr"/>
      <c r="U118" s="5" t="inlineStr"/>
      <c r="V118" s="5" t="inlineStr"/>
    </row>
    <row r="119">
      <c r="A119" s="5" t="inlineStr">
        <is>
          <t>b6-ilk-tam-zamanli-is</t>
        </is>
      </c>
      <c r="B119" s="5" t="n">
        <v>6</v>
      </c>
      <c r="C119" s="5" t="inlineStr">
        <is>
          <t>18 yaş 3 ay</t>
        </is>
      </c>
      <c r="D119" s="5" t="inlineStr">
        <is>
          <t>🧾</t>
        </is>
      </c>
      <c r="E119" s="6" t="inlineStr">
        <is>
          <t>İlk Tam Zamanlı İş</t>
        </is>
      </c>
      <c r="F119" s="6" t="inlineStr">
        <is>
          <t>İlk tam zamanlı işin: mahallenin büyük hırdavatçısı. Sabah sekiz, akşam sekiz, arada bin kere 'Bir bakar mısın?'</t>
        </is>
      </c>
      <c r="G119" s="5" t="inlineStr">
        <is>
          <t>dukkan</t>
        </is>
      </c>
      <c r="H119" s="5" t="inlineStr"/>
      <c r="I119" s="5" t="inlineStr"/>
      <c r="J119" s="5" t="inlineStr"/>
      <c r="K119" s="5" t="inlineStr">
        <is>
          <t>universitesiz</t>
        </is>
      </c>
      <c r="L119" s="5" t="inlineStr">
        <is>
          <t>erken-askerlik, tezgah, abinin-adami</t>
        </is>
      </c>
      <c r="M119" s="5" t="inlineStr"/>
      <c r="N119" s="5" t="inlineStr"/>
      <c r="O119" s="5" t="inlineStr"/>
      <c r="P119" s="5" t="inlineStr"/>
      <c r="Q119" s="5" t="inlineStr"/>
      <c r="R119" s="6" t="inlineStr"/>
      <c r="S119" s="5" t="inlineStr"/>
      <c r="T119" s="5" t="inlineStr"/>
      <c r="U119" s="5" t="inlineStr"/>
      <c r="V119" s="5" t="inlineStr"/>
    </row>
    <row r="120">
      <c r="A120" s="5" t="inlineStr">
        <is>
          <t>b6-ehliyet</t>
        </is>
      </c>
      <c r="B120" s="5" t="n">
        <v>6</v>
      </c>
      <c r="C120" s="5" t="inlineStr">
        <is>
          <t>18 yaş 2 ay</t>
        </is>
      </c>
      <c r="D120" s="5" t="inlineStr">
        <is>
          <t>🚗</t>
        </is>
      </c>
      <c r="E120" s="6" t="inlineStr">
        <is>
          <t>Direksiyon Sınavı</t>
        </is>
      </c>
      <c r="F120" s="6" t="inlineStr">
        <is>
          <t>Direksiyon sınavı. Görevlinin elinde bir kalem, yüzünde otuz yıllık yorgunluk. Yokuş kalkışı seni bekliyor.</t>
        </is>
      </c>
      <c r="G120" s="5" t="inlineStr">
        <is>
          <t>trafik</t>
        </is>
      </c>
      <c r="H120" s="5" t="inlineStr"/>
      <c r="I120" s="5" t="inlineStr"/>
      <c r="J120" s="5" t="inlineStr"/>
      <c r="K120" s="5" t="inlineStr"/>
      <c r="L120" s="5" t="inlineStr"/>
      <c r="M120" s="5" t="inlineStr"/>
      <c r="N120" s="5" t="inlineStr"/>
      <c r="O120" s="5" t="inlineStr"/>
      <c r="P120" s="5" t="inlineStr"/>
      <c r="Q120" s="5" t="inlineStr"/>
      <c r="R120" s="6" t="inlineStr"/>
      <c r="S120" s="5" t="inlineStr"/>
      <c r="T120" s="5" t="inlineStr"/>
      <c r="U120" s="5" t="inlineStr"/>
      <c r="V120" s="5" t="inlineStr"/>
    </row>
    <row r="121">
      <c r="A121" s="5" t="inlineStr">
        <is>
          <t>b6-ilk-maas</t>
        </is>
      </c>
      <c r="B121" s="5" t="n">
        <v>6</v>
      </c>
      <c r="C121" s="5" t="inlineStr">
        <is>
          <t>18 yaş 11 ay</t>
        </is>
      </c>
      <c r="D121" s="5" t="inlineStr">
        <is>
          <t>💸</t>
        </is>
      </c>
      <c r="E121" s="6" t="inlineStr">
        <is>
          <t>Hesaba Yatan İlk Maaş</t>
        </is>
      </c>
      <c r="F121" s="6" t="inlineStr">
        <is>
          <t>Bankadan mesaj: 'Hesabınıza para yatırılmıştır.' Hayatının en güzel cümlesi. Şimdilik.</t>
        </is>
      </c>
      <c r="G121" s="5" t="inlineStr">
        <is>
          <t>banka</t>
        </is>
      </c>
      <c r="H121" s="5" t="inlineStr"/>
      <c r="I121" s="5" t="inlineStr"/>
      <c r="J121" s="5" t="inlineStr"/>
      <c r="K121" s="5" t="inlineStr"/>
      <c r="L121" s="5" t="inlineStr">
        <is>
          <t>erken-askerlik</t>
        </is>
      </c>
      <c r="M121" s="5" t="inlineStr"/>
      <c r="N121" s="5" t="inlineStr"/>
      <c r="O121" s="5" t="inlineStr"/>
      <c r="P121" s="5" t="inlineStr"/>
      <c r="Q121" s="5" t="inlineStr"/>
      <c r="R121" s="6" t="inlineStr"/>
      <c r="S121" s="5" t="inlineStr"/>
      <c r="T121" s="5" t="inlineStr"/>
      <c r="U121" s="5" t="inlineStr"/>
      <c r="V121" s="5" t="inlineStr"/>
    </row>
    <row r="122">
      <c r="A122" s="5" t="inlineStr">
        <is>
          <t>b6-usta-cirak</t>
        </is>
      </c>
      <c r="B122" s="5" t="n">
        <v>6</v>
      </c>
      <c r="C122" s="5" t="inlineStr">
        <is>
          <t>19 yaş 2 ay</t>
        </is>
      </c>
      <c r="D122" s="5" t="inlineStr">
        <is>
          <t>🔧</t>
        </is>
      </c>
      <c r="E122" s="6" t="inlineStr">
        <is>
          <t>Usta ile Çırak</t>
        </is>
      </c>
      <c r="F122" s="6" t="inlineStr">
        <is>
          <t>Usta seni yanına aldı. İlk ders: 'Çay demlemeyi bilmeyen motor sökemez.' İkinci ders on dört gündür gelmedi.</t>
        </is>
      </c>
      <c r="G122" s="5" t="inlineStr">
        <is>
          <t>dukkan</t>
        </is>
      </c>
      <c r="H122" s="5" t="inlineStr"/>
      <c r="I122" s="5" t="inlineStr"/>
      <c r="J122" s="5" t="inlineStr"/>
      <c r="K122" s="5" t="inlineStr">
        <is>
          <t>universitesiz</t>
        </is>
      </c>
      <c r="L122" s="5" t="inlineStr">
        <is>
          <t>erken-askerlik</t>
        </is>
      </c>
      <c r="M122" s="5" t="inlineStr"/>
      <c r="N122" s="5" t="inlineStr"/>
      <c r="O122" s="5" t="inlineStr"/>
      <c r="P122" s="5" t="inlineStr"/>
      <c r="Q122" s="5" t="inlineStr"/>
      <c r="R122" s="6" t="inlineStr"/>
      <c r="S122" s="5" t="inlineStr"/>
      <c r="T122" s="5" t="inlineStr"/>
      <c r="U122" s="5" t="inlineStr"/>
      <c r="V122" s="5" t="inlineStr"/>
    </row>
    <row r="123">
      <c r="A123" s="5" t="inlineStr">
        <is>
          <t>b6-final-haftasi</t>
        </is>
      </c>
      <c r="B123" s="5" t="n">
        <v>6</v>
      </c>
      <c r="C123" s="5" t="inlineStr">
        <is>
          <t>19 yaş 5 ay</t>
        </is>
      </c>
      <c r="D123" s="5" t="inlineStr">
        <is>
          <t>📚</t>
        </is>
      </c>
      <c r="E123" s="6" t="inlineStr">
        <is>
          <t>Final Haftası</t>
        </is>
      </c>
      <c r="F123" s="6" t="inlineStr">
        <is>
          <t>Final haftası. Kütüphanede yer kalmadı, kafede priz kalmadı, sende not kalmadı.</t>
        </is>
      </c>
      <c r="G123" s="5" t="inlineStr">
        <is>
          <t>universite</t>
        </is>
      </c>
      <c r="H123" s="5" t="inlineStr"/>
      <c r="I123" s="5" t="inlineStr"/>
      <c r="J123" s="5" t="inlineStr"/>
      <c r="K123" s="5" t="inlineStr">
        <is>
          <t>universiteli</t>
        </is>
      </c>
      <c r="L123" s="5" t="inlineStr"/>
      <c r="M123" s="5" t="inlineStr"/>
      <c r="N123" s="5" t="inlineStr"/>
      <c r="O123" s="5" t="inlineStr"/>
      <c r="P123" s="5" t="inlineStr"/>
      <c r="Q123" s="5" t="inlineStr"/>
      <c r="R123" s="6" t="inlineStr"/>
      <c r="S123" s="5" t="inlineStr"/>
      <c r="T123" s="5" t="inlineStr"/>
      <c r="U123" s="5" t="inlineStr"/>
      <c r="V123" s="5" t="inlineStr"/>
    </row>
    <row r="124">
      <c r="A124" s="5" t="inlineStr">
        <is>
          <t>b6-kredi-karti</t>
        </is>
      </c>
      <c r="B124" s="5" t="n">
        <v>6</v>
      </c>
      <c r="C124" s="5" t="inlineStr">
        <is>
          <t>19 yaş 8 ay</t>
        </is>
      </c>
      <c r="D124" s="5" t="inlineStr">
        <is>
          <t>💳</t>
        </is>
      </c>
      <c r="E124" s="6" t="inlineStr">
        <is>
          <t>Size Özel Limit</t>
        </is>
      </c>
      <c r="F124" s="6" t="inlineStr">
        <is>
          <t>Banka aradı: 'Size özel limitli bir kart tanımladık.' Daha önce kimse sana özel bir şey tanımlamamıştı.</t>
        </is>
      </c>
      <c r="G124" s="5" t="inlineStr">
        <is>
          <t>banka</t>
        </is>
      </c>
      <c r="H124" s="5" t="inlineStr"/>
      <c r="I124" s="5" t="inlineStr"/>
      <c r="J124" s="5" t="inlineStr"/>
      <c r="K124" s="5" t="inlineStr"/>
      <c r="L124" s="5" t="inlineStr"/>
      <c r="M124" s="5" t="inlineStr"/>
      <c r="N124" s="5" t="inlineStr"/>
      <c r="O124" s="5" t="inlineStr"/>
      <c r="P124" s="5" t="inlineStr"/>
      <c r="Q124" s="5" t="inlineStr"/>
      <c r="R124" s="6" t="inlineStr"/>
      <c r="S124" s="5" t="inlineStr"/>
      <c r="T124" s="5" t="inlineStr"/>
      <c r="U124" s="5" t="inlineStr"/>
      <c r="V124" s="5" t="inlineStr"/>
    </row>
    <row r="125">
      <c r="A125" s="5" t="inlineStr">
        <is>
          <t>b6-ogrenci-kulubu</t>
        </is>
      </c>
      <c r="B125" s="5" t="n">
        <v>6</v>
      </c>
      <c r="C125" s="5" t="inlineStr">
        <is>
          <t>19 yaş 1 ay</t>
        </is>
      </c>
      <c r="D125" s="5" t="inlineStr">
        <is>
          <t>🎭</t>
        </is>
      </c>
      <c r="E125" s="6" t="inlineStr">
        <is>
          <t>Kulüp Tanıtım Günü</t>
        </is>
      </c>
      <c r="F125" s="6" t="inlineStr">
        <is>
          <t>Kulüp tanıtım günü. Kırk masa, kırk broşür, kırk ayrı 'Sadece bir toplantıya gel'.</t>
        </is>
      </c>
      <c r="G125" s="5" t="inlineStr">
        <is>
          <t>universite</t>
        </is>
      </c>
      <c r="H125" s="5" t="inlineStr"/>
      <c r="I125" s="5" t="inlineStr"/>
      <c r="J125" s="5" t="inlineStr"/>
      <c r="K125" s="5" t="inlineStr">
        <is>
          <t>universiteli</t>
        </is>
      </c>
      <c r="L125" s="5" t="inlineStr"/>
      <c r="M125" s="5" t="inlineStr"/>
      <c r="N125" s="5" t="inlineStr"/>
      <c r="O125" s="5" t="inlineStr"/>
      <c r="P125" s="5" t="inlineStr"/>
      <c r="Q125" s="5" t="inlineStr"/>
      <c r="R125" s="6" t="inlineStr"/>
      <c r="S125" s="5" t="inlineStr"/>
      <c r="T125" s="5" t="inlineStr"/>
      <c r="U125" s="5" t="inlineStr"/>
      <c r="V125" s="5" t="inlineStr"/>
    </row>
    <row r="126">
      <c r="A126" s="5" t="inlineStr">
        <is>
          <t>b6-gece-motor</t>
        </is>
      </c>
      <c r="B126" s="5" t="n">
        <v>6</v>
      </c>
      <c r="C126" s="5" t="inlineStr">
        <is>
          <t>19 yaş 11 ay</t>
        </is>
      </c>
      <c r="D126" s="5" t="inlineStr">
        <is>
          <t>🏍️</t>
        </is>
      </c>
      <c r="E126" s="6" t="inlineStr">
        <is>
          <t>Sahil Yolu, Gece Yarısı</t>
        </is>
      </c>
      <c r="F126" s="6" t="inlineStr">
        <is>
          <t>Gece yarısı sahil yolu. Arkadaşın ikinci el motosikletini gösteriyor: 'Sadece bir tur. Kim önce köprüye?'</t>
        </is>
      </c>
      <c r="G126" s="5" t="inlineStr">
        <is>
          <t>sahil</t>
        </is>
      </c>
      <c r="H126" s="5" t="inlineStr"/>
      <c r="I126" s="5" t="inlineStr"/>
      <c r="J126" s="5" t="inlineStr"/>
      <c r="K126" s="5" t="inlineStr"/>
      <c r="L126" s="5" t="inlineStr"/>
      <c r="M126" s="5" t="inlineStr"/>
      <c r="N126" s="5" t="inlineStr"/>
      <c r="O126" s="5" t="inlineStr"/>
      <c r="P126" s="5" t="inlineStr"/>
      <c r="Q126" s="5" t="inlineStr"/>
      <c r="R126" s="6" t="inlineStr"/>
      <c r="S126" s="5" t="inlineStr"/>
      <c r="T126" s="5" t="inlineStr"/>
      <c r="U126" s="5" t="inlineStr"/>
      <c r="V126" s="5" t="inlineStr"/>
    </row>
    <row r="127">
      <c r="A127" s="5" t="inlineStr">
        <is>
          <t>b6-gece-vardiyasi</t>
        </is>
      </c>
      <c r="B127" s="5" t="n">
        <v>6</v>
      </c>
      <c r="C127" s="5" t="inlineStr">
        <is>
          <t>20 yaş 1 ay</t>
        </is>
      </c>
      <c r="D127" s="5" t="inlineStr">
        <is>
          <t>🌙</t>
        </is>
      </c>
      <c r="E127" s="6" t="inlineStr">
        <is>
          <t>Gece Vardiyası</t>
        </is>
      </c>
      <c r="F127" s="6" t="inlineStr">
        <is>
          <t>Gece vardiyası başladı. Saat üçte gelen müşteriler iki türdür: ekmek arayanlar ve anlam arayanlar.</t>
        </is>
      </c>
      <c r="G127" s="5" t="inlineStr">
        <is>
          <t>market</t>
        </is>
      </c>
      <c r="H127" s="5" t="inlineStr"/>
      <c r="I127" s="5" t="inlineStr"/>
      <c r="J127" s="5" t="inlineStr"/>
      <c r="K127" s="5" t="inlineStr">
        <is>
          <t>universitesiz</t>
        </is>
      </c>
      <c r="L127" s="5" t="inlineStr"/>
      <c r="M127" s="5" t="inlineStr"/>
      <c r="N127" s="5" t="inlineStr"/>
      <c r="O127" s="5" t="inlineStr"/>
      <c r="P127" s="5" t="inlineStr"/>
      <c r="Q127" s="5" t="inlineStr"/>
      <c r="R127" s="6" t="inlineStr"/>
      <c r="S127" s="5" t="inlineStr"/>
      <c r="T127" s="5" t="inlineStr"/>
      <c r="U127" s="5" t="inlineStr"/>
      <c r="V127" s="5" t="inlineStr"/>
    </row>
    <row r="128">
      <c r="A128" s="5" t="inlineStr">
        <is>
          <t>b6-kiralik-ev</t>
        </is>
      </c>
      <c r="B128" s="5" t="n">
        <v>6</v>
      </c>
      <c r="C128" s="5" t="inlineStr">
        <is>
          <t>21 yaş 10 ay</t>
        </is>
      </c>
      <c r="D128" s="5" t="inlineStr">
        <is>
          <t>🏠</t>
        </is>
      </c>
      <c r="E128" s="6" t="inlineStr">
        <is>
          <t>İlk Kiralık Ev</t>
        </is>
      </c>
      <c r="F128" s="6" t="inlineStr">
        <is>
          <t>İlanda 'ferah, aydınlık, ulaşıma yakın' yazıyordu. Gerçekte: dar, loş, ileride durak yapılacak bir arsaya yakın.</t>
        </is>
      </c>
      <c r="G128" s="5" t="inlineStr">
        <is>
          <t>apartman</t>
        </is>
      </c>
      <c r="H128" s="5" t="inlineStr"/>
      <c r="I128" s="5" t="inlineStr"/>
      <c r="J128" s="5" t="inlineStr"/>
      <c r="K128" s="5" t="inlineStr">
        <is>
          <t>kiraci</t>
        </is>
      </c>
      <c r="L128" s="5" t="inlineStr"/>
      <c r="M128" s="5" t="inlineStr"/>
      <c r="N128" s="5" t="inlineStr"/>
      <c r="O128" s="5" t="inlineStr"/>
      <c r="P128" s="5" t="inlineStr"/>
      <c r="Q128" s="5" t="inlineStr"/>
      <c r="R128" s="6" t="inlineStr"/>
      <c r="S128" s="5" t="inlineStr"/>
      <c r="T128" s="5" t="inlineStr"/>
      <c r="U128" s="5" t="inlineStr"/>
      <c r="V128" s="5" t="inlineStr"/>
    </row>
    <row r="129">
      <c r="A129" s="5" t="inlineStr">
        <is>
          <t>b6-tasinma</t>
        </is>
      </c>
      <c r="B129" s="5" t="n">
        <v>6</v>
      </c>
      <c r="C129" s="5" t="inlineStr">
        <is>
          <t>21 yaş 11 ay</t>
        </is>
      </c>
      <c r="D129" s="5" t="inlineStr">
        <is>
          <t>📦</t>
        </is>
      </c>
      <c r="E129" s="6" t="inlineStr">
        <is>
          <t>Taşınma Günü</t>
        </is>
      </c>
      <c r="F129" s="6" t="inlineStr">
        <is>
          <t>Taşınma günü. Asansör yok, dördüncü kat, bir buzdolabı ve saat birde gelmesi gerekirken üçte 'Yoldayım' yazan arkadaşlar.</t>
        </is>
      </c>
      <c r="G129" s="5" t="inlineStr">
        <is>
          <t>apartman</t>
        </is>
      </c>
      <c r="H129" s="5" t="inlineStr"/>
      <c r="I129" s="5" t="inlineStr"/>
      <c r="J129" s="5" t="inlineStr"/>
      <c r="K129" s="5" t="inlineStr"/>
      <c r="L129" s="5" t="inlineStr">
        <is>
          <t>evde-kaldi, yurtdisi-universite</t>
        </is>
      </c>
      <c r="M129" s="5" t="inlineStr"/>
      <c r="N129" s="5" t="inlineStr"/>
      <c r="O129" s="5" t="inlineStr"/>
      <c r="P129" s="5" t="inlineStr"/>
      <c r="Q129" s="5" t="inlineStr"/>
      <c r="R129" s="6" t="inlineStr"/>
      <c r="S129" s="5" t="inlineStr"/>
      <c r="T129" s="5" t="inlineStr"/>
      <c r="U129" s="5" t="inlineStr">
        <is>
          <t>kiraci, ev-arkadasli, aile-dairesi</t>
        </is>
      </c>
      <c r="V129" s="5" t="inlineStr"/>
    </row>
    <row r="130">
      <c r="A130" s="5" t="inlineStr">
        <is>
          <t>b6-ev-arkadasi</t>
        </is>
      </c>
      <c r="B130" s="5" t="n">
        <v>6</v>
      </c>
      <c r="C130" s="5" t="inlineStr">
        <is>
          <t>22 yaş 2 ay</t>
        </is>
      </c>
      <c r="D130" s="5" t="inlineStr">
        <is>
          <t>🧽</t>
        </is>
      </c>
      <c r="E130" s="6" t="inlineStr">
        <is>
          <t>Ev Arkadaşı</t>
        </is>
      </c>
      <c r="F130" s="6" t="inlineStr">
        <is>
          <t>Ev arkadaşın harika biri. Tek sorun: bulaşık. Lavabodaki tabak kulesi kendi site yönetimini kurmak üzere.</t>
        </is>
      </c>
      <c r="G130" s="5" t="inlineStr">
        <is>
          <t>ev</t>
        </is>
      </c>
      <c r="H130" s="5" t="inlineStr"/>
      <c r="I130" s="5" t="inlineStr"/>
      <c r="J130" s="5" t="inlineStr"/>
      <c r="K130" s="5" t="inlineStr">
        <is>
          <t>ev-arkadasli</t>
        </is>
      </c>
      <c r="L130" s="5" t="inlineStr"/>
      <c r="M130" s="5" t="inlineStr"/>
      <c r="N130" s="5" t="inlineStr"/>
      <c r="O130" s="5" t="inlineStr"/>
      <c r="P130" s="5" t="inlineStr"/>
      <c r="Q130" s="5" t="inlineStr"/>
      <c r="R130" s="6" t="inlineStr"/>
      <c r="S130" s="5" t="inlineStr"/>
      <c r="T130" s="5" t="inlineStr"/>
      <c r="U130" s="5" t="inlineStr"/>
      <c r="V130" s="5" t="inlineStr"/>
    </row>
    <row r="131">
      <c r="A131" s="5" t="inlineStr">
        <is>
          <t>b6-staj</t>
        </is>
      </c>
      <c r="B131" s="5" t="n">
        <v>6</v>
      </c>
      <c r="C131" s="5" t="inlineStr">
        <is>
          <t>20 yaş 11 ay</t>
        </is>
      </c>
      <c r="D131" s="5" t="inlineStr">
        <is>
          <t>🗂️</t>
        </is>
      </c>
      <c r="E131" s="6" t="inlineStr">
        <is>
          <t>Zorunlu Staj</t>
        </is>
      </c>
      <c r="F131" s="6" t="inlineStr">
        <is>
          <t>Staj başladı. İlk gün bir masa, bir şifre ve 'Şimdilik etrafı izle' talimatı verildi. Şimdilik üç hafta sürdü.</t>
        </is>
      </c>
      <c r="G131" s="5" t="inlineStr">
        <is>
          <t>ofis</t>
        </is>
      </c>
      <c r="H131" s="5" t="inlineStr"/>
      <c r="I131" s="5" t="inlineStr"/>
      <c r="J131" s="5" t="inlineStr"/>
      <c r="K131" s="5" t="inlineStr">
        <is>
          <t>universiteli</t>
        </is>
      </c>
      <c r="L131" s="5" t="inlineStr"/>
      <c r="M131" s="5" t="inlineStr"/>
      <c r="N131" s="5" t="inlineStr"/>
      <c r="O131" s="5" t="inlineStr"/>
      <c r="P131" s="5" t="inlineStr"/>
      <c r="Q131" s="5" t="inlineStr"/>
      <c r="R131" s="6" t="inlineStr"/>
      <c r="S131" s="5" t="inlineStr"/>
      <c r="T131" s="5" t="inlineStr"/>
      <c r="U131" s="5" t="inlineStr"/>
      <c r="V131" s="5" t="inlineStr"/>
    </row>
    <row r="132">
      <c r="A132" s="5" t="inlineStr">
        <is>
          <t>b6-spor-salonu</t>
        </is>
      </c>
      <c r="B132" s="5" t="n">
        <v>6</v>
      </c>
      <c r="C132" s="5" t="inlineStr">
        <is>
          <t>21 yaş 4 ay</t>
        </is>
      </c>
      <c r="D132" s="5" t="inlineStr">
        <is>
          <t>🏋️</t>
        </is>
      </c>
      <c r="E132" s="6" t="inlineStr">
        <is>
          <t>Yıllık Üyelik</t>
        </is>
      </c>
      <c r="F132" s="6" t="inlineStr">
        <is>
          <t>Yılbaşı kampanyası: aylık fiyatın yarısına bir yıl. Yeni yıldaki kendine güvendin. O hâlâ gelmedi.</t>
        </is>
      </c>
      <c r="G132" s="5" t="inlineStr">
        <is>
          <t>carsi</t>
        </is>
      </c>
      <c r="H132" s="5" t="inlineStr"/>
      <c r="I132" s="5" t="inlineStr"/>
      <c r="J132" s="5" t="inlineStr"/>
      <c r="K132" s="5" t="inlineStr"/>
      <c r="L132" s="5" t="inlineStr"/>
      <c r="M132" s="5" t="inlineStr"/>
      <c r="N132" s="5" t="inlineStr"/>
      <c r="O132" s="5" t="inlineStr"/>
      <c r="P132" s="5" t="inlineStr"/>
      <c r="Q132" s="5" t="inlineStr"/>
      <c r="R132" s="6" t="inlineStr"/>
      <c r="S132" s="5" t="inlineStr"/>
      <c r="T132" s="5" t="inlineStr"/>
      <c r="U132" s="5" t="inlineStr"/>
      <c r="V132" s="5" t="inlineStr"/>
    </row>
    <row r="133">
      <c r="A133" s="5" t="inlineStr">
        <is>
          <t>b6-degisim-programi</t>
        </is>
      </c>
      <c r="B133" s="5" t="n">
        <v>6</v>
      </c>
      <c r="C133" s="5" t="inlineStr">
        <is>
          <t>21 yaş 2 ay</t>
        </is>
      </c>
      <c r="D133" s="5" t="inlineStr">
        <is>
          <t>✈️</t>
        </is>
      </c>
      <c r="E133" s="6" t="inlineStr">
        <is>
          <t>Değişim Programı</t>
        </is>
      </c>
      <c r="F133" s="6" t="inlineStr">
        <is>
          <t>Değişim programı ilanı çıktı: bir dönem Öte Diyar'da. Başvuru formu sekiz sayfa; burs, oradaki kiranın yarısı. Annen ilanı görünce önce “Orada ne yiyeceksin?” diye sordu.</t>
        </is>
      </c>
      <c r="G133" s="5" t="inlineStr">
        <is>
          <t>universite</t>
        </is>
      </c>
      <c r="H133" s="5" t="inlineStr"/>
      <c r="I133" s="5" t="inlineStr"/>
      <c r="J133" s="5" t="inlineStr"/>
      <c r="K133" s="5" t="inlineStr">
        <is>
          <t>universiteli</t>
        </is>
      </c>
      <c r="L133" s="5" t="inlineStr"/>
      <c r="M133" s="5" t="inlineStr"/>
      <c r="N133" s="5" t="inlineStr"/>
      <c r="O133" s="5" t="inlineStr"/>
      <c r="P133" s="5" t="inlineStr"/>
      <c r="Q133" s="5" t="inlineStr"/>
      <c r="R133" s="6" t="inlineStr"/>
      <c r="S133" s="5" t="inlineStr"/>
      <c r="T133" s="5" t="inlineStr"/>
      <c r="U133" s="5" t="inlineStr"/>
      <c r="V133" s="5" t="inlineStr"/>
    </row>
    <row r="134">
      <c r="A134" s="5" t="inlineStr">
        <is>
          <t>b6-askerlik</t>
        </is>
      </c>
      <c r="B134" s="5" t="n">
        <v>6</v>
      </c>
      <c r="C134" s="5" t="inlineStr">
        <is>
          <t>20 yaş 3 ay</t>
        </is>
      </c>
      <c r="D134" s="5" t="inlineStr">
        <is>
          <t>🪖</t>
        </is>
      </c>
      <c r="E134" s="6" t="inlineStr">
        <is>
          <t>Celp Kâğıdı</t>
        </is>
      </c>
      <c r="F134" s="6" t="inlineStr">
        <is>
          <t>Posta kutusunda resmî bir zarf var. Annen zarfı ışığa tutup okudu, sonra ağladı, sonra “Saçını ben keserim” dedi. Mahallede üç yol konuşuluyor: gitmek, ödemek, bir de heyet.</t>
        </is>
      </c>
      <c r="G134" s="5" t="inlineStr">
        <is>
          <t>kisla</t>
        </is>
      </c>
      <c r="H134" s="5" t="inlineStr"/>
      <c r="I134" s="5" t="inlineStr">
        <is>
          <t>E</t>
        </is>
      </c>
      <c r="J134" s="5" t="inlineStr"/>
      <c r="K134" s="5" t="inlineStr">
        <is>
          <t>universitesiz</t>
        </is>
      </c>
      <c r="L134" s="5" t="inlineStr">
        <is>
          <t>erken-askerlik</t>
        </is>
      </c>
      <c r="M134" s="5" t="inlineStr"/>
      <c r="N134" s="5" t="inlineStr">
        <is>
          <t>erkek</t>
        </is>
      </c>
      <c r="O134" s="5" t="inlineStr"/>
      <c r="P134" s="5" t="inlineStr"/>
      <c r="Q134" s="5" t="n">
        <v>4</v>
      </c>
      <c r="R134" s="6" t="inlineStr">
        <is>
          <t>Celp kâğıdı geldi. Kimi kışlaya gider, kimi bankaya, kimi de heyete bir hikâye anlatır. Hangisinden döndüğün, sonraki yıllarda sofrada anlatacağın hikâyeyi belirler.</t>
        </is>
      </c>
      <c r="S134" s="5" t="inlineStr"/>
      <c r="T134" s="5" t="inlineStr"/>
      <c r="U134" s="5" t="inlineStr"/>
      <c r="V134" s="5" t="inlineStr"/>
    </row>
    <row r="135">
      <c r="A135" s="5" t="inlineStr">
        <is>
          <t>b6-okusaydin</t>
        </is>
      </c>
      <c r="B135" s="5" t="n">
        <v>6</v>
      </c>
      <c r="C135" s="5" t="inlineStr">
        <is>
          <t>21 yaş 5 ay</t>
        </is>
      </c>
      <c r="D135" s="5" t="inlineStr">
        <is>
          <t>👵</t>
        </is>
      </c>
      <c r="E135" s="6" t="inlineStr">
        <is>
          <t>Okusaydın Keşke</t>
        </is>
      </c>
      <c r="F135" s="6" t="inlineStr">
        <is>
          <t>Kuzenin düğünü. Masada dört akraba, dört ayrı cümle, tek anlam: 'Okusaydın keşke.'</t>
        </is>
      </c>
      <c r="G135" s="5" t="inlineStr">
        <is>
          <t>dugun-salonu</t>
        </is>
      </c>
      <c r="H135" s="5" t="inlineStr">
        <is>
          <t>sosyal</t>
        </is>
      </c>
      <c r="I135" s="5" t="inlineStr"/>
      <c r="J135" s="5" t="inlineStr"/>
      <c r="K135" s="5" t="inlineStr">
        <is>
          <t>universitesiz</t>
        </is>
      </c>
      <c r="L135" s="5" t="inlineStr"/>
      <c r="M135" s="5" t="inlineStr"/>
      <c r="N135" s="5" t="inlineStr"/>
      <c r="O135" s="5" t="inlineStr"/>
      <c r="P135" s="5" t="inlineStr"/>
      <c r="Q135" s="5" t="inlineStr"/>
      <c r="R135" s="6" t="inlineStr"/>
      <c r="S135" s="5" t="inlineStr"/>
      <c r="T135" s="5" t="inlineStr"/>
      <c r="U135" s="5" t="inlineStr"/>
      <c r="V135" s="5" t="inlineStr"/>
    </row>
    <row r="136">
      <c r="A136" s="5" t="inlineStr">
        <is>
          <t>b6-mezuniyet</t>
        </is>
      </c>
      <c r="B136" s="5" t="n">
        <v>6</v>
      </c>
      <c r="C136" s="5" t="inlineStr">
        <is>
          <t>21 yaş 11 ay</t>
        </is>
      </c>
      <c r="D136" s="5" t="inlineStr">
        <is>
          <t>🎓</t>
        </is>
      </c>
      <c r="E136" s="6" t="inlineStr">
        <is>
          <t>Mezuniyet Töreni</t>
        </is>
      </c>
      <c r="F136" s="6" t="inlineStr">
        <is>
          <t>Mezuniyet. Kep havaya atılacak, kılıf boş verilecek, asıl diplomayı üç hafta sonra bir memurdan alacaksın.</t>
        </is>
      </c>
      <c r="G136" s="5" t="inlineStr">
        <is>
          <t>universite</t>
        </is>
      </c>
      <c r="H136" s="5" t="inlineStr"/>
      <c r="I136" s="5" t="inlineStr"/>
      <c r="J136" s="5" t="inlineStr"/>
      <c r="K136" s="5" t="inlineStr">
        <is>
          <t>universiteli</t>
        </is>
      </c>
      <c r="L136" s="5" t="inlineStr">
        <is>
          <t>bolum-tip</t>
        </is>
      </c>
      <c r="M136" s="5" t="inlineStr"/>
      <c r="N136" s="5" t="inlineStr"/>
      <c r="O136" s="5" t="inlineStr"/>
      <c r="P136" s="5" t="inlineStr"/>
      <c r="Q136" s="5" t="inlineStr"/>
      <c r="R136" s="6" t="inlineStr"/>
      <c r="S136" s="5" t="inlineStr"/>
      <c r="T136" s="5" t="inlineStr"/>
      <c r="U136" s="5" t="inlineStr"/>
      <c r="V136" s="5" t="inlineStr"/>
    </row>
    <row r="137">
      <c r="A137" s="5" t="inlineStr">
        <is>
          <t>b6-meslek-secimi</t>
        </is>
      </c>
      <c r="B137" s="5" t="n">
        <v>6</v>
      </c>
      <c r="C137" s="5" t="inlineStr">
        <is>
          <t>22 yaş</t>
        </is>
      </c>
      <c r="D137" s="5" t="inlineStr">
        <is>
          <t>🧭</t>
        </is>
      </c>
      <c r="E137" s="6" t="inlineStr">
        <is>
          <t>Hayat Yolu</t>
        </is>
      </c>
      <c r="F137" s="6" t="inlineStr">
        <is>
          <t>Diploma çerçevede. Aile masasında dört öneri var ve herkes kendi önerisinin “en garanti” olduğundan emin. Kuzen de bir öneri getirdi; kimse sormadı.</t>
        </is>
      </c>
      <c r="G137" s="5" t="inlineStr">
        <is>
          <t>ev</t>
        </is>
      </c>
      <c r="H137" s="5" t="inlineStr">
        <is>
          <t>okul-iş</t>
        </is>
      </c>
      <c r="I137" s="5" t="inlineStr">
        <is>
          <t>E</t>
        </is>
      </c>
      <c r="J137" s="5" t="inlineStr"/>
      <c r="K137" s="5" t="inlineStr">
        <is>
          <t>universiteli</t>
        </is>
      </c>
      <c r="L137" s="5" t="inlineStr">
        <is>
          <t>bolum-tip</t>
        </is>
      </c>
      <c r="M137" s="5" t="inlineStr"/>
      <c r="N137" s="5" t="inlineStr"/>
      <c r="O137" s="5" t="inlineStr"/>
      <c r="P137" s="5" t="inlineStr"/>
      <c r="Q137" s="5" t="n">
        <v>6</v>
      </c>
      <c r="R137" s="6" t="inlineStr">
        <is>
          <t>Diploman bir kapı açtı, önünde birkaç koridor var. Hangisine girersen gir, bir sonraki on beş yılın büyük kısmı o koridorda geçecek.</t>
        </is>
      </c>
      <c r="S137" s="5" t="inlineStr"/>
      <c r="T137" s="5" t="inlineStr"/>
      <c r="U137" s="5" t="inlineStr"/>
      <c r="V137" s="5" t="inlineStr"/>
    </row>
    <row r="138">
      <c r="A138" s="5" t="inlineStr">
        <is>
          <t>b6-flort-uygulamasi</t>
        </is>
      </c>
      <c r="B138" s="5" t="n">
        <v>6</v>
      </c>
      <c r="C138" s="5" t="inlineStr">
        <is>
          <t>22 yaş 7 ay</t>
        </is>
      </c>
      <c r="D138" s="5" t="inlineStr">
        <is>
          <t>📱</t>
        </is>
      </c>
      <c r="E138" s="6" t="inlineStr">
        <is>
          <t>Flört Uygulaması</t>
        </is>
      </c>
      <c r="F138" s="6" t="inlineStr">
        <is>
          <t>Arkadaşların seni bir flört uygulamasına kaydetti. Profil fotoğrafı lazım. Seçenekler: bulanık, eski, kuzenli.</t>
        </is>
      </c>
      <c r="G138" s="5" t="inlineStr">
        <is>
          <t>kafe</t>
        </is>
      </c>
      <c r="H138" s="5" t="inlineStr"/>
      <c r="I138" s="5" t="inlineStr"/>
      <c r="J138" s="5" t="inlineStr"/>
      <c r="K138" s="5" t="inlineStr"/>
      <c r="L138" s="5" t="inlineStr"/>
      <c r="M138" s="5" t="inlineStr"/>
      <c r="N138" s="5" t="inlineStr"/>
      <c r="O138" s="5" t="inlineStr"/>
      <c r="P138" s="5" t="inlineStr"/>
      <c r="Q138" s="5" t="inlineStr"/>
      <c r="R138" s="6" t="inlineStr"/>
      <c r="S138" s="5" t="inlineStr"/>
      <c r="T138" s="5" t="inlineStr"/>
      <c r="U138" s="5" t="inlineStr"/>
      <c r="V138" s="5" t="inlineStr"/>
    </row>
    <row r="139">
      <c r="A139" s="5" t="inlineStr">
        <is>
          <t>b6-kamp-atesi</t>
        </is>
      </c>
      <c r="B139" s="5" t="n">
        <v>6</v>
      </c>
      <c r="C139" s="5" t="inlineStr">
        <is>
          <t>22 yaş 11 ay</t>
        </is>
      </c>
      <c r="D139" s="5" t="inlineStr">
        <is>
          <t>🔥</t>
        </is>
      </c>
      <c r="E139" s="6" t="inlineStr">
        <is>
          <t>Kesin Güvenli</t>
        </is>
      </c>
      <c r="F139" s="6" t="inlineStr">
        <is>
          <t>Sahilde kamp. Biri odun topladı, biri çadır kurdu, biri 'Ben bu işi bilirim, kesin güvenli' dedi. Bu cümle hep aynı kişiden çıkar.</t>
        </is>
      </c>
      <c r="G139" s="5" t="inlineStr">
        <is>
          <t>sahil</t>
        </is>
      </c>
      <c r="H139" s="5" t="inlineStr"/>
      <c r="I139" s="5" t="inlineStr"/>
      <c r="J139" s="5" t="inlineStr"/>
      <c r="K139" s="5" t="inlineStr"/>
      <c r="L139" s="5" t="inlineStr"/>
      <c r="M139" s="5" t="inlineStr"/>
      <c r="N139" s="5" t="inlineStr"/>
      <c r="O139" s="5" t="inlineStr"/>
      <c r="P139" s="5" t="inlineStr"/>
      <c r="Q139" s="5" t="inlineStr"/>
      <c r="R139" s="6" t="inlineStr"/>
      <c r="S139" s="5" t="inlineStr"/>
      <c r="T139" s="5" t="inlineStr"/>
      <c r="U139" s="5" t="inlineStr"/>
      <c r="V139" s="5" t="inlineStr"/>
    </row>
    <row r="140">
      <c r="A140" s="5" t="inlineStr">
        <is>
          <t>mb-ilk-gun-karti</t>
        </is>
      </c>
      <c r="B140" s="5" t="n">
        <v>6</v>
      </c>
      <c r="C140" s="5" t="inlineStr">
        <is>
          <t>22 yaş 6 ay</t>
        </is>
      </c>
      <c r="D140" s="5" t="inlineStr">
        <is>
          <t>🪪</t>
        </is>
      </c>
      <c r="E140" s="6" t="inlineStr">
        <is>
          <t>İlk İş Günü</t>
        </is>
      </c>
      <c r="F140" s="6" t="inlineStr">
        <is>
          <t>İlk iş günün. Erişim kartın henüz tanımlanmadı. Turnike seni tanımıyor. Güvenlik de. Yeni ekibin de, henüz.</t>
        </is>
      </c>
      <c r="G140" s="5" t="inlineStr">
        <is>
          <t>ofis</t>
        </is>
      </c>
      <c r="H140" s="5" t="inlineStr"/>
      <c r="I140" s="5" t="inlineStr"/>
      <c r="J140" s="5" t="n">
        <v>1</v>
      </c>
      <c r="K140" s="5" t="inlineStr">
        <is>
          <t>meslek-beyazyaka</t>
        </is>
      </c>
      <c r="L140" s="5" t="inlineStr"/>
      <c r="M140" s="5" t="inlineStr"/>
      <c r="N140" s="5" t="inlineStr"/>
      <c r="O140" s="5" t="inlineStr"/>
      <c r="P140" s="5" t="inlineStr"/>
      <c r="Q140" s="5" t="inlineStr"/>
      <c r="R140" s="6" t="inlineStr"/>
      <c r="S140" s="5" t="inlineStr"/>
      <c r="T140" s="5" t="inlineStr"/>
      <c r="U140" s="5" t="inlineStr"/>
      <c r="V140" s="5" t="inlineStr"/>
    </row>
    <row r="141">
      <c r="A141" s="5" t="inlineStr">
        <is>
          <t>me-dukkan-acilisi</t>
        </is>
      </c>
      <c r="B141" s="5" t="n">
        <v>6</v>
      </c>
      <c r="C141" s="5" t="inlineStr">
        <is>
          <t>22 yaş 6 ay</t>
        </is>
      </c>
      <c r="D141" s="5" t="inlineStr">
        <is>
          <t>🏪</t>
        </is>
      </c>
      <c r="E141" s="6" t="inlineStr">
        <is>
          <t>Kepenk Açılıyor</t>
        </is>
      </c>
      <c r="F141" s="6" t="inlineStr">
        <is>
          <t>Dükkânın kepengi ilk kez kalktı. Raflar dolu, kasada bozuk para var, kapıda ilk müşteri bekliyor: sokak kedisi.</t>
        </is>
      </c>
      <c r="G141" s="5" t="inlineStr">
        <is>
          <t>dukkan</t>
        </is>
      </c>
      <c r="H141" s="5" t="inlineStr"/>
      <c r="I141" s="5" t="inlineStr">
        <is>
          <t>E</t>
        </is>
      </c>
      <c r="J141" s="5" t="inlineStr"/>
      <c r="K141" s="5" t="inlineStr">
        <is>
          <t>meslek-esnaf</t>
        </is>
      </c>
      <c r="L141" s="5" t="inlineStr">
        <is>
          <t>hat-koy</t>
        </is>
      </c>
      <c r="M141" s="5" t="inlineStr"/>
      <c r="N141" s="5" t="inlineStr"/>
      <c r="O141" s="5" t="inlineStr"/>
      <c r="P141" s="5" t="inlineStr"/>
      <c r="Q141" s="5" t="inlineStr"/>
      <c r="R141" s="6" t="inlineStr"/>
      <c r="S141" s="5" t="inlineStr"/>
      <c r="T141" s="5" t="inlineStr"/>
      <c r="U141" s="5" t="inlineStr"/>
      <c r="V141" s="5" t="inlineStr"/>
    </row>
    <row r="142">
      <c r="A142" s="5" t="inlineStr">
        <is>
          <t>mm-ilk-atama</t>
        </is>
      </c>
      <c r="B142" s="5" t="n">
        <v>6</v>
      </c>
      <c r="C142" s="5" t="inlineStr">
        <is>
          <t>22 yaş 6 ay</t>
        </is>
      </c>
      <c r="D142" s="5" t="inlineStr">
        <is>
          <t>🚌</t>
        </is>
      </c>
      <c r="E142" s="6" t="inlineStr">
        <is>
          <t>İlk Atama</t>
        </is>
      </c>
      <c r="F142" s="6" t="inlineStr">
        <is>
          <t>Atama sonucu açıklandı. Görev yerin, haritada üç kez yakınlaştırınca çıkan bir kasaba. Otobüs haftada iki gün.</t>
        </is>
      </c>
      <c r="G142" s="5" t="inlineStr">
        <is>
          <t>devlet-dairesi</t>
        </is>
      </c>
      <c r="H142" s="5" t="inlineStr"/>
      <c r="I142" s="5" t="inlineStr">
        <is>
          <t>E</t>
        </is>
      </c>
      <c r="J142" s="5" t="inlineStr"/>
      <c r="K142" s="5" t="inlineStr">
        <is>
          <t>meslek-memur</t>
        </is>
      </c>
      <c r="L142" s="5" t="inlineStr"/>
      <c r="M142" s="5" t="inlineStr"/>
      <c r="N142" s="5" t="inlineStr"/>
      <c r="O142" s="5" t="inlineStr"/>
      <c r="P142" s="5" t="inlineStr"/>
      <c r="Q142" s="5" t="inlineStr"/>
      <c r="R142" s="6" t="inlineStr"/>
      <c r="S142" s="5" t="inlineStr"/>
      <c r="T142" s="5" t="inlineStr"/>
      <c r="U142" s="5" t="inlineStr"/>
      <c r="V142" s="5" t="inlineStr"/>
    </row>
    <row r="143">
      <c r="A143" s="5" t="inlineStr">
        <is>
          <t>ms-ilk-musteri</t>
        </is>
      </c>
      <c r="B143" s="5" t="n">
        <v>6</v>
      </c>
      <c r="C143" s="5" t="inlineStr">
        <is>
          <t>22 yaş 8 ay</t>
        </is>
      </c>
      <c r="D143" s="5" t="inlineStr">
        <is>
          <t>☕</t>
        </is>
      </c>
      <c r="E143" s="6" t="inlineStr">
        <is>
          <t>İlk Müşteri</t>
        </is>
      </c>
      <c r="F143" s="6" t="inlineStr">
        <is>
          <t>İlk müşterin kafede buluşmak istedi. İşi uzun uzun anlattı, bütçeyi hiç anlatmadı. Sonra sordu: 'Siz ne kadar istersiniz?'</t>
        </is>
      </c>
      <c r="G143" s="5" t="inlineStr">
        <is>
          <t>kafe</t>
        </is>
      </c>
      <c r="H143" s="5" t="inlineStr"/>
      <c r="I143" s="5" t="inlineStr"/>
      <c r="J143" s="5" t="n">
        <v>1</v>
      </c>
      <c r="K143" s="5" t="inlineStr">
        <is>
          <t>meslek-serbest</t>
        </is>
      </c>
      <c r="L143" s="5" t="inlineStr"/>
      <c r="M143" s="5" t="inlineStr"/>
      <c r="N143" s="5" t="inlineStr"/>
      <c r="O143" s="5" t="inlineStr"/>
      <c r="P143" s="5" t="inlineStr"/>
      <c r="Q143" s="5" t="inlineStr"/>
      <c r="R143" s="6" t="inlineStr"/>
      <c r="S143" s="5" t="inlineStr"/>
      <c r="T143" s="5" t="inlineStr"/>
      <c r="U143" s="5" t="inlineStr"/>
      <c r="V143" s="5" t="inlineStr"/>
    </row>
    <row r="144">
      <c r="A144" s="5" t="inlineStr">
        <is>
          <t>b6-is-gorusmesi</t>
        </is>
      </c>
      <c r="B144" s="5" t="n">
        <v>6</v>
      </c>
      <c r="C144" s="5" t="inlineStr">
        <is>
          <t>23 yaş 2 ay</t>
        </is>
      </c>
      <c r="D144" s="5" t="inlineStr">
        <is>
          <t>🤝</t>
        </is>
      </c>
      <c r="E144" s="6" t="inlineStr">
        <is>
          <t>İş Görüşmesi</t>
        </is>
      </c>
      <c r="F144" s="6" t="inlineStr">
        <is>
          <t>Karşında üç kişi, önünde bir bardak su ve cevabı hiç bilinmeyen soru: 'Kendinizi beş yıl sonra nerede görüyorsunuz?'</t>
        </is>
      </c>
      <c r="G144" s="5" t="inlineStr">
        <is>
          <t>ofis</t>
        </is>
      </c>
      <c r="H144" s="5" t="inlineStr"/>
      <c r="I144" s="5" t="inlineStr"/>
      <c r="J144" s="5" t="inlineStr"/>
      <c r="K144" s="5" t="inlineStr"/>
      <c r="L144" s="5" t="inlineStr">
        <is>
          <t>hat-polis, hat-yargi, meslek-memur, hat-hekim, meslek-esnaf, hat-koy, hat-cete</t>
        </is>
      </c>
      <c r="M144" s="5" t="inlineStr"/>
      <c r="N144" s="5" t="inlineStr"/>
      <c r="O144" s="5" t="inlineStr"/>
      <c r="P144" s="5" t="inlineStr"/>
      <c r="Q144" s="5" t="inlineStr"/>
      <c r="R144" s="6" t="inlineStr"/>
      <c r="S144" s="5" t="inlineStr"/>
      <c r="T144" s="5" t="inlineStr"/>
      <c r="U144" s="5" t="inlineStr">
        <is>
          <t>meslek-beyazyaka</t>
        </is>
      </c>
      <c r="V144" s="5" t="inlineStr"/>
    </row>
    <row r="145">
      <c r="A145" s="5" t="inlineStr">
        <is>
          <t>mb-acik-ofis</t>
        </is>
      </c>
      <c r="B145" s="5" t="n">
        <v>6</v>
      </c>
      <c r="C145" s="5" t="inlineStr">
        <is>
          <t>23 yaş 6 ay</t>
        </is>
      </c>
      <c r="D145" s="5" t="inlineStr">
        <is>
          <t>🪑</t>
        </is>
      </c>
      <c r="E145" s="6" t="inlineStr">
        <is>
          <t>Açık Ofis</t>
        </is>
      </c>
      <c r="F145" s="6" t="inlineStr">
        <is>
          <t>İletişimi güçlendirmek için bütün duvarlar kaldırıldı. Artık herkes kulaklık takıyor.</t>
        </is>
      </c>
      <c r="G145" s="5" t="inlineStr">
        <is>
          <t>ofis</t>
        </is>
      </c>
      <c r="H145" s="5" t="inlineStr"/>
      <c r="I145" s="5" t="inlineStr"/>
      <c r="J145" s="5" t="n">
        <v>1</v>
      </c>
      <c r="K145" s="5" t="inlineStr">
        <is>
          <t>meslek-beyazyaka</t>
        </is>
      </c>
      <c r="L145" s="5" t="inlineStr"/>
      <c r="M145" s="5" t="inlineStr"/>
      <c r="N145" s="5" t="inlineStr"/>
      <c r="O145" s="5" t="inlineStr"/>
      <c r="P145" s="5" t="inlineStr"/>
      <c r="Q145" s="5" t="inlineStr"/>
      <c r="R145" s="6" t="inlineStr"/>
      <c r="S145" s="5" t="inlineStr"/>
      <c r="T145" s="5" t="inlineStr"/>
      <c r="U145" s="5" t="inlineStr"/>
      <c r="V145" s="5" t="inlineStr"/>
    </row>
    <row r="146">
      <c r="A146" s="5" t="inlineStr">
        <is>
          <t>b6-dugun-yagmuru</t>
        </is>
      </c>
      <c r="B146" s="5" t="n">
        <v>6</v>
      </c>
      <c r="C146" s="5" t="inlineStr">
        <is>
          <t>23 yaş 11 ay</t>
        </is>
      </c>
      <c r="D146" s="5" t="inlineStr">
        <is>
          <t>💍</t>
        </is>
      </c>
      <c r="E146" s="6" t="inlineStr">
        <is>
          <t>Dokuzuncu Düğün</t>
        </is>
      </c>
      <c r="F146" s="6" t="inlineStr">
        <is>
          <t>Bu yaz dokuzuncu düğün. Aynı salon, aynı orkestra, aynı pilav. Her masada aynı soru: 'Sıra sende, değil mi?'</t>
        </is>
      </c>
      <c r="G146" s="5" t="inlineStr">
        <is>
          <t>dugun-salonu</t>
        </is>
      </c>
      <c r="H146" s="5" t="inlineStr"/>
      <c r="I146" s="5" t="inlineStr"/>
      <c r="J146" s="5" t="n">
        <v>1.5</v>
      </c>
      <c r="K146" s="5" t="inlineStr"/>
      <c r="L146" s="5" t="inlineStr"/>
      <c r="M146" s="5" t="inlineStr"/>
      <c r="N146" s="5" t="inlineStr"/>
      <c r="O146" s="5" t="inlineStr"/>
      <c r="P146" s="5" t="inlineStr"/>
      <c r="Q146" s="5" t="inlineStr"/>
      <c r="R146" s="6" t="inlineStr"/>
      <c r="S146" s="5" t="inlineStr"/>
      <c r="T146" s="5" t="inlineStr"/>
      <c r="U146" s="5" t="inlineStr"/>
      <c r="V146" s="5" t="inlineStr"/>
    </row>
    <row r="147">
      <c r="A147" s="5" t="inlineStr">
        <is>
          <t>b6-dukkan-anahtari</t>
        </is>
      </c>
      <c r="B147" s="5" t="n">
        <v>6</v>
      </c>
      <c r="C147" s="5" t="inlineStr">
        <is>
          <t>21 yaş 6 ay</t>
        </is>
      </c>
      <c r="D147" s="5" t="inlineStr">
        <is>
          <t>🔑</t>
        </is>
      </c>
      <c r="E147" s="6" t="inlineStr">
        <is>
          <t>Dükkan Sana Emanet</t>
        </is>
      </c>
      <c r="F147" s="6" t="inlineStr">
        <is>
          <t>Usta bir haftalığına memlekete gidiyor. Anahtarı uzattı: 'Dükkan sana emanet. Kasaya dokunma.'</t>
        </is>
      </c>
      <c r="G147" s="5" t="inlineStr">
        <is>
          <t>dukkan</t>
        </is>
      </c>
      <c r="H147" s="5" t="inlineStr"/>
      <c r="I147" s="5" t="inlineStr"/>
      <c r="J147" s="5" t="inlineStr"/>
      <c r="K147" s="5" t="inlineStr">
        <is>
          <t>universitesiz, usta-eli</t>
        </is>
      </c>
      <c r="L147" s="5" t="inlineStr">
        <is>
          <t>hat-usta</t>
        </is>
      </c>
      <c r="M147" s="5" t="inlineStr"/>
      <c r="N147" s="5" t="inlineStr"/>
      <c r="O147" s="5" t="inlineStr"/>
      <c r="P147" s="5" t="inlineStr"/>
      <c r="Q147" s="5" t="inlineStr"/>
      <c r="R147" s="6" t="inlineStr"/>
      <c r="S147" s="5" t="inlineStr"/>
      <c r="T147" s="5" t="inlineStr"/>
      <c r="U147" s="5" t="inlineStr"/>
      <c r="V147" s="5" t="inlineStr"/>
    </row>
    <row r="148">
      <c r="A148" s="5" t="inlineStr">
        <is>
          <t>me-veresiye-defteri</t>
        </is>
      </c>
      <c r="B148" s="5" t="n">
        <v>6</v>
      </c>
      <c r="C148" s="5" t="inlineStr">
        <is>
          <t>23 yaş 8 ay</t>
        </is>
      </c>
      <c r="D148" s="5" t="inlineStr">
        <is>
          <t>📒</t>
        </is>
      </c>
      <c r="E148" s="6" t="inlineStr">
        <is>
          <t>Veresiye Defteri</t>
        </is>
      </c>
      <c r="F148" s="6" t="inlineStr">
        <is>
          <t>Tanıdık bir yüz kasaya geldi: 'Deftere yaz, ay başı veririm.' Takvimde ay başı var. Dükkânda henüz defter yok.</t>
        </is>
      </c>
      <c r="G148" s="5" t="inlineStr">
        <is>
          <t>dukkan</t>
        </is>
      </c>
      <c r="H148" s="5" t="inlineStr"/>
      <c r="I148" s="5" t="inlineStr"/>
      <c r="J148" s="5" t="inlineStr"/>
      <c r="K148" s="5" t="inlineStr">
        <is>
          <t>meslek-esnaf</t>
        </is>
      </c>
      <c r="L148" s="5" t="inlineStr"/>
      <c r="M148" s="5" t="inlineStr"/>
      <c r="N148" s="5" t="inlineStr"/>
      <c r="O148" s="5" t="inlineStr"/>
      <c r="P148" s="5" t="inlineStr"/>
      <c r="Q148" s="5" t="inlineStr"/>
      <c r="R148" s="6" t="inlineStr"/>
      <c r="S148" s="5" t="inlineStr"/>
      <c r="T148" s="5" t="inlineStr"/>
      <c r="U148" s="5" t="inlineStr"/>
      <c r="V148" s="5" t="inlineStr"/>
    </row>
    <row r="149">
      <c r="A149" s="5" t="inlineStr">
        <is>
          <t>mm-islak-imza</t>
        </is>
      </c>
      <c r="B149" s="5" t="n">
        <v>6</v>
      </c>
      <c r="C149" s="5" t="inlineStr">
        <is>
          <t>23 yaş 9 ay</t>
        </is>
      </c>
      <c r="D149" s="5" t="inlineStr">
        <is>
          <t>🖋️</t>
        </is>
      </c>
      <c r="E149" s="6" t="inlineStr">
        <is>
          <t>Islak İmza</t>
        </is>
      </c>
      <c r="F149" s="6" t="inlineStr">
        <is>
          <t>Masaya bir yığın evrak kondu, hepsi ıslak imza bekliyor. Kapının önünde de bir sıra insan; hepsi senin imzanı bekliyor.</t>
        </is>
      </c>
      <c r="G149" s="5" t="inlineStr">
        <is>
          <t>devlet-dairesi</t>
        </is>
      </c>
      <c r="H149" s="5" t="inlineStr"/>
      <c r="I149" s="5" t="inlineStr"/>
      <c r="J149" s="5" t="inlineStr"/>
      <c r="K149" s="5" t="inlineStr">
        <is>
          <t>meslek-memur</t>
        </is>
      </c>
      <c r="L149" s="5" t="inlineStr"/>
      <c r="M149" s="5" t="inlineStr"/>
      <c r="N149" s="5" t="inlineStr"/>
      <c r="O149" s="5" t="inlineStr"/>
      <c r="P149" s="5" t="inlineStr"/>
      <c r="Q149" s="5" t="inlineStr"/>
      <c r="R149" s="6" t="inlineStr"/>
      <c r="S149" s="5" t="inlineStr"/>
      <c r="T149" s="5" t="inlineStr"/>
      <c r="U149" s="5" t="inlineStr"/>
      <c r="V149" s="5" t="inlineStr"/>
    </row>
    <row r="150">
      <c r="A150" s="5" t="inlineStr">
        <is>
          <t>ms-gorunurluk-teklifi</t>
        </is>
      </c>
      <c r="B150" s="5" t="n">
        <v>6</v>
      </c>
      <c r="C150" s="5" t="inlineStr">
        <is>
          <t>24 yaş</t>
        </is>
      </c>
      <c r="D150" s="5" t="inlineStr">
        <is>
          <t>👀</t>
        </is>
      </c>
      <c r="E150" s="6" t="inlineStr">
        <is>
          <t>Görünürlük Teklifi</t>
        </is>
      </c>
      <c r="F150" s="6" t="inlineStr">
        <is>
          <t>Tanınmış bir etkinlik şirketi yazdı: 'Bütçemiz yok ama size müthiş bir görünürlük sağlarız.'</t>
        </is>
      </c>
      <c r="G150" s="5" t="inlineStr">
        <is>
          <t>ev</t>
        </is>
      </c>
      <c r="H150" s="5" t="inlineStr"/>
      <c r="I150" s="5" t="inlineStr"/>
      <c r="J150" s="5" t="n">
        <v>1</v>
      </c>
      <c r="K150" s="5" t="inlineStr">
        <is>
          <t>meslek-serbest</t>
        </is>
      </c>
      <c r="L150" s="5" t="inlineStr"/>
      <c r="M150" s="5" t="inlineStr"/>
      <c r="N150" s="5" t="inlineStr"/>
      <c r="O150" s="5" t="inlineStr"/>
      <c r="P150" s="5" t="inlineStr"/>
      <c r="Q150" s="5" t="inlineStr"/>
      <c r="R150" s="6" t="inlineStr"/>
      <c r="S150" s="5" t="inlineStr"/>
      <c r="T150" s="5" t="inlineStr"/>
      <c r="U150" s="5" t="inlineStr"/>
      <c r="V150" s="5" t="inlineStr"/>
    </row>
    <row r="151">
      <c r="A151" s="5" t="inlineStr">
        <is>
          <t>b6-taki-butcesi</t>
        </is>
      </c>
      <c r="B151" s="5" t="n">
        <v>6</v>
      </c>
      <c r="C151" s="5" t="inlineStr">
        <is>
          <t>24 yaş 1 ay</t>
        </is>
      </c>
      <c r="D151" s="5" t="inlineStr">
        <is>
          <t>💌</t>
        </is>
      </c>
      <c r="E151" s="6" t="inlineStr">
        <is>
          <t>Takı Bütçesi</t>
        </is>
      </c>
      <c r="F151" s="6" t="inlineStr">
        <is>
          <t>Kapıda üç davetiye var. Üçü aynı ay. 'Takı bütçesi' ve 'kira' aynı cümlede kullanılmaya başlandı.</t>
        </is>
      </c>
      <c r="G151" s="5" t="inlineStr">
        <is>
          <t>carsi</t>
        </is>
      </c>
      <c r="H151" s="5" t="inlineStr"/>
      <c r="I151" s="5" t="inlineStr"/>
      <c r="J151" s="5" t="inlineStr"/>
      <c r="K151" s="5" t="inlineStr"/>
      <c r="L151" s="5" t="inlineStr"/>
      <c r="M151" s="5" t="inlineStr"/>
      <c r="N151" s="5" t="inlineStr"/>
      <c r="O151" s="5" t="inlineStr"/>
      <c r="P151" s="5" t="inlineStr"/>
      <c r="Q151" s="5" t="inlineStr"/>
      <c r="R151" s="6" t="inlineStr"/>
      <c r="S151" s="5" t="inlineStr"/>
      <c r="T151" s="5" t="inlineStr"/>
      <c r="U151" s="5" t="inlineStr"/>
      <c r="V151" s="5" t="inlineStr"/>
    </row>
    <row r="152">
      <c r="A152" s="5" t="inlineStr">
        <is>
          <t>b6-ilk-araba</t>
        </is>
      </c>
      <c r="B152" s="5" t="n">
        <v>6</v>
      </c>
      <c r="C152" s="5" t="inlineStr">
        <is>
          <t>24 yaş 4 ay</t>
        </is>
      </c>
      <c r="D152" s="5" t="inlineStr">
        <is>
          <t>🚙</t>
        </is>
      </c>
      <c r="E152" s="6" t="inlineStr">
        <is>
          <t>İkinci El Araba</t>
        </is>
      </c>
      <c r="F152" s="6" t="inlineStr">
        <is>
          <t>İlan: “Doktordan, garajda durdu, hiç boya yok.” Araba sana üç kez göz kırptı: biri far, ikisi arıza lambası.</t>
        </is>
      </c>
      <c r="G152" s="5" t="inlineStr">
        <is>
          <t>trafik</t>
        </is>
      </c>
      <c r="H152" s="5" t="inlineStr"/>
      <c r="I152" s="5" t="inlineStr"/>
      <c r="J152" s="5" t="inlineStr"/>
      <c r="K152" s="5" t="inlineStr"/>
      <c r="L152" s="5" t="inlineStr"/>
      <c r="M152" s="5" t="inlineStr"/>
      <c r="N152" s="5" t="inlineStr"/>
      <c r="O152" s="5" t="inlineStr"/>
      <c r="P152" s="5" t="inlineStr"/>
      <c r="Q152" s="5" t="inlineStr"/>
      <c r="R152" s="6" t="inlineStr"/>
      <c r="S152" s="5" t="inlineStr"/>
      <c r="T152" s="5" t="inlineStr"/>
      <c r="U152" s="5" t="inlineStr"/>
      <c r="V152" s="5" t="inlineStr"/>
    </row>
    <row r="153">
      <c r="A153" s="5" t="inlineStr">
        <is>
          <t>b6-uzaktan-calisma</t>
        </is>
      </c>
      <c r="B153" s="5" t="n">
        <v>6</v>
      </c>
      <c r="C153" s="5" t="inlineStr">
        <is>
          <t>24 yaş 9 ay</t>
        </is>
      </c>
      <c r="D153" s="5" t="inlineStr">
        <is>
          <t>💻</t>
        </is>
      </c>
      <c r="E153" s="6" t="inlineStr">
        <is>
          <t>Uzaktan Çalışma</t>
        </is>
      </c>
      <c r="F153" s="6" t="inlineStr">
        <is>
          <t>Şirket uzaktan çalışmaya geçti. Ofisin artık yatağın. Kamera açık, altında pijama, arkada kuruyan çamaşırlar.</t>
        </is>
      </c>
      <c r="G153" s="5" t="inlineStr">
        <is>
          <t>ev</t>
        </is>
      </c>
      <c r="H153" s="5" t="inlineStr"/>
      <c r="I153" s="5" t="inlineStr"/>
      <c r="J153" s="5" t="inlineStr"/>
      <c r="K153" s="5" t="inlineStr">
        <is>
          <t>meslek-beyazyaka</t>
        </is>
      </c>
      <c r="L153" s="5" t="inlineStr"/>
      <c r="M153" s="5" t="inlineStr"/>
      <c r="N153" s="5" t="inlineStr"/>
      <c r="O153" s="5" t="inlineStr"/>
      <c r="P153" s="5" t="inlineStr"/>
      <c r="Q153" s="5" t="inlineStr"/>
      <c r="R153" s="6" t="inlineStr"/>
      <c r="S153" s="5" t="inlineStr"/>
      <c r="T153" s="5" t="inlineStr"/>
      <c r="U153" s="5" t="inlineStr">
        <is>
          <t>meslek-beyazyaka, meslek-serbest</t>
        </is>
      </c>
      <c r="V153" s="5" t="inlineStr"/>
    </row>
    <row r="154">
      <c r="A154" s="5" t="inlineStr">
        <is>
          <t>mb-kamera-kapali</t>
        </is>
      </c>
      <c r="B154" s="5" t="n">
        <v>6</v>
      </c>
      <c r="C154" s="5" t="inlineStr">
        <is>
          <t>25 yaş</t>
        </is>
      </c>
      <c r="D154" s="5" t="inlineStr">
        <is>
          <t>📹</t>
        </is>
      </c>
      <c r="E154" s="6" t="inlineStr">
        <is>
          <t>Kamera Kapalı</t>
        </is>
      </c>
      <c r="F154" s="6" t="inlineStr">
        <is>
          <t>Çevrim içi toplantı. Kameralar kapalı, mikrofonlar kapalı. Yöneticin adını söyledi. Pijamalısın.</t>
        </is>
      </c>
      <c r="G154" s="5" t="inlineStr">
        <is>
          <t>ev</t>
        </is>
      </c>
      <c r="H154" s="5" t="inlineStr"/>
      <c r="I154" s="5" t="inlineStr"/>
      <c r="J154" s="5" t="n">
        <v>1</v>
      </c>
      <c r="K154" s="5" t="inlineStr">
        <is>
          <t>meslek-beyazyaka</t>
        </is>
      </c>
      <c r="L154" s="5" t="inlineStr"/>
      <c r="M154" s="5" t="inlineStr"/>
      <c r="N154" s="5" t="inlineStr"/>
      <c r="O154" s="5" t="inlineStr"/>
      <c r="P154" s="5" t="inlineStr"/>
      <c r="Q154" s="5" t="inlineStr"/>
      <c r="R154" s="6" t="inlineStr"/>
      <c r="S154" s="5" t="inlineStr"/>
      <c r="T154" s="5" t="inlineStr"/>
      <c r="U154" s="5" t="inlineStr"/>
      <c r="V154" s="5" t="inlineStr"/>
    </row>
    <row r="155">
      <c r="A155" s="5" t="inlineStr">
        <is>
          <t>me-karsi-dukkan</t>
        </is>
      </c>
      <c r="B155" s="5" t="n">
        <v>6</v>
      </c>
      <c r="C155" s="5" t="inlineStr">
        <is>
          <t>25 yaş</t>
        </is>
      </c>
      <c r="D155" s="5" t="inlineStr">
        <is>
          <t>🎈</t>
        </is>
      </c>
      <c r="E155" s="6" t="inlineStr">
        <is>
          <t>Karşıya Aynısı Açıldı</t>
        </is>
      </c>
      <c r="F155" s="6" t="inlineStr">
        <is>
          <t>Tam karşına aynı işi yapan bir dükkân açıldı. Tabelası seninkinden büyük, açılış balonları seninkinden fazla.</t>
        </is>
      </c>
      <c r="G155" s="5" t="inlineStr">
        <is>
          <t>carsi</t>
        </is>
      </c>
      <c r="H155" s="5" t="inlineStr"/>
      <c r="I155" s="5" t="inlineStr"/>
      <c r="J155" s="5" t="inlineStr"/>
      <c r="K155" s="5" t="inlineStr">
        <is>
          <t>meslek-esnaf</t>
        </is>
      </c>
      <c r="L155" s="5" t="inlineStr"/>
      <c r="M155" s="5" t="inlineStr"/>
      <c r="N155" s="5" t="inlineStr"/>
      <c r="O155" s="5" t="inlineStr"/>
      <c r="P155" s="5" t="inlineStr"/>
      <c r="Q155" s="5" t="inlineStr"/>
      <c r="R155" s="6" t="inlineStr"/>
      <c r="S155" s="5" t="inlineStr"/>
      <c r="T155" s="5" t="inlineStr"/>
      <c r="U155" s="5" t="inlineStr"/>
      <c r="V155" s="5" t="inlineStr"/>
    </row>
    <row r="156">
      <c r="A156" s="5" t="inlineStr">
        <is>
          <t>mm-saat-1658</t>
        </is>
      </c>
      <c r="B156" s="5" t="n">
        <v>6</v>
      </c>
      <c r="C156" s="5" t="inlineStr">
        <is>
          <t>25 yaş</t>
        </is>
      </c>
      <c r="D156" s="5" t="inlineStr">
        <is>
          <t>🕔</t>
        </is>
      </c>
      <c r="E156" s="6" t="inlineStr">
        <is>
          <t>Saat 16.58</t>
        </is>
      </c>
      <c r="F156" s="6" t="inlineStr">
        <is>
          <t>Saat 16.58. Mesai 17.00'de bitiyor. Kapıdan elinde dosyayla bir vatandaş giriyor: 'Bir imza sadece.'</t>
        </is>
      </c>
      <c r="G156" s="5" t="inlineStr">
        <is>
          <t>devlet-dairesi</t>
        </is>
      </c>
      <c r="H156" s="5" t="inlineStr"/>
      <c r="I156" s="5" t="inlineStr"/>
      <c r="J156" s="5" t="inlineStr"/>
      <c r="K156" s="5" t="inlineStr">
        <is>
          <t>meslek-memur</t>
        </is>
      </c>
      <c r="L156" s="5" t="inlineStr"/>
      <c r="M156" s="5" t="inlineStr"/>
      <c r="N156" s="5" t="inlineStr"/>
      <c r="O156" s="5" t="inlineStr"/>
      <c r="P156" s="5" t="inlineStr"/>
      <c r="Q156" s="5" t="inlineStr"/>
      <c r="R156" s="6" t="inlineStr"/>
      <c r="S156" s="5" t="inlineStr"/>
      <c r="T156" s="5" t="inlineStr"/>
      <c r="U156" s="5" t="inlineStr"/>
      <c r="V156" s="5" t="inlineStr"/>
    </row>
    <row r="157">
      <c r="A157" s="5" t="inlineStr">
        <is>
          <t>b6-ev-sahibi-kavgasi</t>
        </is>
      </c>
      <c r="B157" s="5" t="n">
        <v>6</v>
      </c>
      <c r="C157" s="5" t="inlineStr">
        <is>
          <t>25 yaş 1 ay</t>
        </is>
      </c>
      <c r="D157" s="5" t="inlineStr">
        <is>
          <t>📜</t>
        </is>
      </c>
      <c r="E157" s="6" t="inlineStr">
        <is>
          <t>Kirayı Güncelleyelim</t>
        </is>
      </c>
      <c r="F157" s="6" t="inlineStr">
        <is>
          <t>Ev sahibi aradı: 'Kirayı biraz güncelleyelim.' Güncelleme neredeyse iki kat. Sözleşme bir kolide, koli bir dolapta.</t>
        </is>
      </c>
      <c r="G157" s="5" t="inlineStr">
        <is>
          <t>apartman</t>
        </is>
      </c>
      <c r="H157" s="5" t="inlineStr"/>
      <c r="I157" s="5" t="inlineStr"/>
      <c r="J157" s="5" t="inlineStr"/>
      <c r="K157" s="5" t="inlineStr"/>
      <c r="L157" s="5" t="inlineStr">
        <is>
          <t>evde-kaldi, aile-dairesi, hat-koy</t>
        </is>
      </c>
      <c r="M157" s="5" t="inlineStr"/>
      <c r="N157" s="5" t="inlineStr"/>
      <c r="O157" s="5" t="inlineStr"/>
      <c r="P157" s="5" t="inlineStr"/>
      <c r="Q157" s="5" t="inlineStr"/>
      <c r="R157" s="6" t="inlineStr"/>
      <c r="S157" s="5" t="inlineStr"/>
      <c r="T157" s="5" t="inlineStr"/>
      <c r="U157" s="5" t="inlineStr">
        <is>
          <t>kiraci, ev-arkadasli</t>
        </is>
      </c>
      <c r="V157" s="5" t="inlineStr"/>
    </row>
    <row r="158">
      <c r="A158" s="5" t="inlineStr">
        <is>
          <t>b6-kargo-takibi</t>
        </is>
      </c>
      <c r="B158" s="5" t="n">
        <v>6</v>
      </c>
      <c r="C158" s="5" t="inlineStr">
        <is>
          <t>25 yaş 4 ay</t>
        </is>
      </c>
      <c r="D158" s="5" t="inlineStr">
        <is>
          <t>📦</t>
        </is>
      </c>
      <c r="E158" s="6" t="inlineStr">
        <is>
          <t>Dağıtıma Çıktı</t>
        </is>
      </c>
      <c r="F158" s="6" t="inlineStr">
        <is>
          <t>Kargo üç gündür “Dağıtıma çıktı”. Son hareket: “Alıcı adreste bulunamadı.” Adrestesin. Kapıdasın. Terliklisin.</t>
        </is>
      </c>
      <c r="G158" s="5" t="inlineStr">
        <is>
          <t>ev</t>
        </is>
      </c>
      <c r="H158" s="5" t="inlineStr"/>
      <c r="I158" s="5" t="inlineStr"/>
      <c r="J158" s="5" t="n">
        <v>1.5</v>
      </c>
      <c r="K158" s="5" t="inlineStr"/>
      <c r="L158" s="5" t="inlineStr"/>
      <c r="M158" s="5" t="inlineStr"/>
      <c r="N158" s="5" t="inlineStr"/>
      <c r="O158" s="5" t="inlineStr"/>
      <c r="P158" s="5" t="inlineStr"/>
      <c r="Q158" s="5" t="inlineStr"/>
      <c r="R158" s="6" t="inlineStr"/>
      <c r="S158" s="5" t="inlineStr"/>
      <c r="T158" s="5" t="inlineStr"/>
      <c r="U158" s="5" t="inlineStr"/>
      <c r="V158" s="5" t="inlineStr"/>
    </row>
    <row r="159">
      <c r="A159" s="5" t="inlineStr">
        <is>
          <t>ms-pijama-ekonomisi</t>
        </is>
      </c>
      <c r="B159" s="5" t="n">
        <v>6</v>
      </c>
      <c r="C159" s="5" t="inlineStr">
        <is>
          <t>25 yaş 6 ay</t>
        </is>
      </c>
      <c r="D159" s="5" t="inlineStr">
        <is>
          <t>🛋️</t>
        </is>
      </c>
      <c r="E159" s="6" t="inlineStr">
        <is>
          <t>Pijama Ekonomisi</t>
        </is>
      </c>
      <c r="F159" s="6" t="inlineStr">
        <is>
          <t>Ev ofistesin. Mesai saatin yok, bitişi de yok. Saat on beş, hâlâ pijamalısın ve bugün üç ayrı teslim tarihi var.</t>
        </is>
      </c>
      <c r="G159" s="5" t="inlineStr">
        <is>
          <t>ev</t>
        </is>
      </c>
      <c r="H159" s="5" t="inlineStr"/>
      <c r="I159" s="5" t="inlineStr"/>
      <c r="J159" s="5" t="n">
        <v>1</v>
      </c>
      <c r="K159" s="5" t="inlineStr">
        <is>
          <t>meslek-serbest</t>
        </is>
      </c>
      <c r="L159" s="5" t="inlineStr"/>
      <c r="M159" s="5" t="inlineStr"/>
      <c r="N159" s="5" t="inlineStr"/>
      <c r="O159" s="5" t="inlineStr"/>
      <c r="P159" s="5" t="inlineStr"/>
      <c r="Q159" s="5" t="inlineStr"/>
      <c r="R159" s="6" t="inlineStr"/>
      <c r="S159" s="5" t="inlineStr"/>
      <c r="T159" s="5" t="inlineStr"/>
      <c r="U159" s="5" t="inlineStr"/>
      <c r="V159" s="5" t="inlineStr"/>
    </row>
    <row r="160">
      <c r="A160" s="5" t="inlineStr">
        <is>
          <t>b6-ilk-vergi</t>
        </is>
      </c>
      <c r="B160" s="5" t="n">
        <v>6</v>
      </c>
      <c r="C160" s="5" t="inlineStr">
        <is>
          <t>25 yaş 8 ay</t>
        </is>
      </c>
      <c r="D160" s="5" t="inlineStr">
        <is>
          <t>🏛️</t>
        </is>
      </c>
      <c r="E160" s="6" t="inlineStr">
        <is>
          <t>İlk Vergi</t>
        </is>
      </c>
      <c r="F160" s="6" t="inlineStr">
        <is>
          <t>Vergi dairesinden bir yazı geldi. Konu: 'Bildirim.' İçinde üç sayfa, hiç cümle yok, sadece madde.</t>
        </is>
      </c>
      <c r="G160" s="5" t="inlineStr">
        <is>
          <t>devlet-dairesi</t>
        </is>
      </c>
      <c r="H160" s="5" t="inlineStr"/>
      <c r="I160" s="5" t="inlineStr"/>
      <c r="J160" s="5" t="inlineStr"/>
      <c r="K160" s="5" t="inlineStr"/>
      <c r="L160" s="5" t="inlineStr">
        <is>
          <t>hat-polis, hat-yargi, meslek-memur, hat-hekim</t>
        </is>
      </c>
      <c r="M160" s="5" t="inlineStr"/>
      <c r="N160" s="5" t="inlineStr"/>
      <c r="O160" s="5" t="inlineStr"/>
      <c r="P160" s="5" t="inlineStr"/>
      <c r="Q160" s="5" t="inlineStr"/>
      <c r="R160" s="6" t="inlineStr"/>
      <c r="S160" s="5" t="inlineStr"/>
      <c r="T160" s="5" t="inlineStr"/>
      <c r="U160" s="5" t="inlineStr"/>
      <c r="V160" s="5" t="inlineStr"/>
    </row>
    <row r="161">
      <c r="A161" s="5" t="inlineStr">
        <is>
          <t>b6-kombi</t>
        </is>
      </c>
      <c r="B161" s="5" t="n">
        <v>6</v>
      </c>
      <c r="C161" s="5" t="inlineStr">
        <is>
          <t>25 yaş 5 ay</t>
        </is>
      </c>
      <c r="D161" s="5" t="inlineStr">
        <is>
          <t>🛠️</t>
        </is>
      </c>
      <c r="E161" s="6" t="inlineStr">
        <is>
          <t>Kombi Arızası</t>
        </is>
      </c>
      <c r="F161" s="6" t="inlineStr">
        <is>
          <t>Kış ortası. Kombi bir arıza lambası yakıp sustu. Tamirci üç gün sonraya randevu verdi. Bir video 'Çok basit, iki vida' diyor.</t>
        </is>
      </c>
      <c r="G161" s="5" t="inlineStr">
        <is>
          <t>ev</t>
        </is>
      </c>
      <c r="H161" s="5" t="inlineStr"/>
      <c r="I161" s="5" t="inlineStr"/>
      <c r="J161" s="5" t="inlineStr"/>
      <c r="K161" s="5" t="inlineStr"/>
      <c r="L161" s="5" t="inlineStr"/>
      <c r="M161" s="5" t="inlineStr"/>
      <c r="N161" s="5" t="inlineStr"/>
      <c r="O161" s="5" t="inlineStr"/>
      <c r="P161" s="5" t="inlineStr"/>
      <c r="Q161" s="5" t="inlineStr"/>
      <c r="R161" s="6" t="inlineStr"/>
      <c r="S161" s="5" t="inlineStr"/>
      <c r="T161" s="5" t="inlineStr"/>
      <c r="U161" s="5" t="inlineStr"/>
      <c r="V161" s="5" t="inlineStr"/>
    </row>
    <row r="162">
      <c r="A162" s="5" t="inlineStr">
        <is>
          <t>b7-kira-artisi</t>
        </is>
      </c>
      <c r="B162" s="5" t="n">
        <v>7</v>
      </c>
      <c r="C162" s="5" t="inlineStr">
        <is>
          <t>26 yaş 3 ay</t>
        </is>
      </c>
      <c r="D162" s="5" t="inlineStr">
        <is>
          <t>🏠</t>
        </is>
      </c>
      <c r="E162" s="6" t="inlineStr">
        <is>
          <t>Kira Artışı</t>
        </is>
      </c>
      <c r="F162" s="6" t="inlineStr">
        <is>
          <t>Ev sahibi mesaj attı: 'Müsaitsen bir konuşalım.' Bu cümle tarih boyunca hiç iyi bir şeyle bitmedi.</t>
        </is>
      </c>
      <c r="G162" s="5" t="inlineStr">
        <is>
          <t>apartman</t>
        </is>
      </c>
      <c r="H162" s="5" t="inlineStr">
        <is>
          <t>para</t>
        </is>
      </c>
      <c r="I162" s="5" t="inlineStr"/>
      <c r="J162" s="5" t="n">
        <v>1</v>
      </c>
      <c r="K162" s="5" t="inlineStr"/>
      <c r="L162" s="5" t="inlineStr">
        <is>
          <t>ev-sahibi, evde-kaldi, aile-dairesi, hapis, hat-koy</t>
        </is>
      </c>
      <c r="M162" s="5" t="inlineStr"/>
      <c r="N162" s="5" t="inlineStr"/>
      <c r="O162" s="5" t="inlineStr"/>
      <c r="P162" s="5" t="inlineStr"/>
      <c r="Q162" s="5" t="inlineStr"/>
      <c r="R162" s="6" t="inlineStr"/>
      <c r="S162" s="5" t="inlineStr"/>
      <c r="T162" s="5" t="inlineStr"/>
      <c r="U162" s="5" t="inlineStr"/>
      <c r="V162" s="5" t="inlineStr"/>
    </row>
    <row r="163">
      <c r="A163" s="5" t="inlineStr">
        <is>
          <t>b7-eski-sinif-arkadasi</t>
        </is>
      </c>
      <c r="B163" s="5" t="n">
        <v>7</v>
      </c>
      <c r="C163" s="5" t="inlineStr">
        <is>
          <t>26 yaş 9 ay</t>
        </is>
      </c>
      <c r="D163" s="5" t="inlineStr">
        <is>
          <t>📱</t>
        </is>
      </c>
      <c r="E163" s="6" t="inlineStr">
        <is>
          <t>Eski Sınıf Arkadaşı</t>
        </is>
      </c>
      <c r="F163" s="6" t="inlineStr">
        <is>
          <t>Sınıfın en sessizi, kendi şirketinin açılış fotoğrafını paylaştı; altında 400 tebrik var. Annen fotoğrafı sana iletmiş, altına tek satır yazmış: “Bak, o da senin sınıfındaydı.”</t>
        </is>
      </c>
      <c r="G163" s="5" t="inlineStr">
        <is>
          <t>kafe</t>
        </is>
      </c>
      <c r="H163" s="5" t="inlineStr">
        <is>
          <t>sosyal</t>
        </is>
      </c>
      <c r="I163" s="5" t="inlineStr"/>
      <c r="J163" s="5" t="n">
        <v>1</v>
      </c>
      <c r="K163" s="5" t="inlineStr"/>
      <c r="L163" s="5" t="inlineStr">
        <is>
          <t>hapis</t>
        </is>
      </c>
      <c r="M163" s="5" t="inlineStr"/>
      <c r="N163" s="5" t="inlineStr"/>
      <c r="O163" s="5" t="inlineStr"/>
      <c r="P163" s="5" t="inlineStr"/>
      <c r="Q163" s="5" t="inlineStr"/>
      <c r="R163" s="6" t="inlineStr"/>
      <c r="S163" s="5" t="inlineStr"/>
      <c r="T163" s="5" t="inlineStr"/>
      <c r="U163" s="5" t="inlineStr"/>
      <c r="V163" s="5" t="inlineStr"/>
    </row>
    <row r="164">
      <c r="A164" s="5" t="inlineStr">
        <is>
          <t>mb-eposta-yagmuru</t>
        </is>
      </c>
      <c r="B164" s="5" t="n">
        <v>7</v>
      </c>
      <c r="C164" s="5" t="inlineStr">
        <is>
          <t>27 yaş</t>
        </is>
      </c>
      <c r="D164" s="5" t="inlineStr">
        <is>
          <t>📧</t>
        </is>
      </c>
      <c r="E164" s="6" t="inlineStr">
        <is>
          <t>E-posta Yağmuru</t>
        </is>
      </c>
      <c r="F164" s="6" t="inlineStr">
        <is>
          <t>Tatilden döndün. Gelen kutunda bin dört yüz okunmamış e-posta var. Hepsinin konusunda 'ACİL' yazıyor.</t>
        </is>
      </c>
      <c r="G164" s="5" t="inlineStr">
        <is>
          <t>ofis</t>
        </is>
      </c>
      <c r="H164" s="5" t="inlineStr"/>
      <c r="I164" s="5" t="inlineStr"/>
      <c r="J164" s="5" t="n">
        <v>1</v>
      </c>
      <c r="K164" s="5" t="inlineStr">
        <is>
          <t>meslek-beyazyaka</t>
        </is>
      </c>
      <c r="L164" s="5" t="inlineStr">
        <is>
          <t>hapis</t>
        </is>
      </c>
      <c r="M164" s="5" t="inlineStr"/>
      <c r="N164" s="5" t="inlineStr"/>
      <c r="O164" s="5" t="inlineStr"/>
      <c r="P164" s="5" t="inlineStr"/>
      <c r="Q164" s="5" t="inlineStr"/>
      <c r="R164" s="6" t="inlineStr"/>
      <c r="S164" s="5" t="inlineStr"/>
      <c r="T164" s="5" t="inlineStr"/>
      <c r="U164" s="5" t="inlineStr"/>
      <c r="V164" s="5" t="inlineStr"/>
    </row>
    <row r="165">
      <c r="A165" s="5" t="inlineStr">
        <is>
          <t>me-kira-artisi</t>
        </is>
      </c>
      <c r="B165" s="5" t="n">
        <v>7</v>
      </c>
      <c r="C165" s="5" t="inlineStr">
        <is>
          <t>27 yaş</t>
        </is>
      </c>
      <c r="D165" s="5" t="inlineStr">
        <is>
          <t>🔑</t>
        </is>
      </c>
      <c r="E165" s="6" t="inlineStr">
        <is>
          <t>Dükkân Sahibinin Ziyareti</t>
        </is>
      </c>
      <c r="F165" s="6" t="inlineStr">
        <is>
          <t>Dükkân sahibi kapıda: 'Piyasa malum.' Piyasa malum değil ama rakam birazdan malum olacak.</t>
        </is>
      </c>
      <c r="G165" s="5" t="inlineStr">
        <is>
          <t>dukkan</t>
        </is>
      </c>
      <c r="H165" s="5" t="inlineStr"/>
      <c r="I165" s="5" t="inlineStr"/>
      <c r="J165" s="5" t="inlineStr"/>
      <c r="K165" s="5" t="inlineStr">
        <is>
          <t>meslek-esnaf</t>
        </is>
      </c>
      <c r="L165" s="5" t="inlineStr">
        <is>
          <t>hapis</t>
        </is>
      </c>
      <c r="M165" s="5" t="inlineStr"/>
      <c r="N165" s="5" t="inlineStr"/>
      <c r="O165" s="5" t="inlineStr"/>
      <c r="P165" s="5" t="inlineStr"/>
      <c r="Q165" s="5" t="inlineStr"/>
      <c r="R165" s="6" t="inlineStr"/>
      <c r="S165" s="5" t="inlineStr"/>
      <c r="T165" s="5" t="inlineStr"/>
      <c r="U165" s="5" t="inlineStr"/>
      <c r="V165" s="5" t="inlineStr"/>
    </row>
    <row r="166">
      <c r="A166" s="5" t="inlineStr">
        <is>
          <t>mm-yeni-mudur</t>
        </is>
      </c>
      <c r="B166" s="5" t="n">
        <v>7</v>
      </c>
      <c r="C166" s="5" t="inlineStr">
        <is>
          <t>27 yaş</t>
        </is>
      </c>
      <c r="D166" s="5" t="inlineStr">
        <is>
          <t>👔</t>
        </is>
      </c>
      <c r="E166" s="6" t="inlineStr">
        <is>
          <t>Yeni Müdür</t>
        </is>
      </c>
      <c r="F166" s="6" t="inlineStr">
        <is>
          <t>Eski müdürün tayini çıktı, yenisi geldi. İlk toplantıda 'Burada her şey değişecek' dedi. Değişen ilk şey kahve makinesinin yeri oldu.</t>
        </is>
      </c>
      <c r="G166" s="5" t="inlineStr">
        <is>
          <t>devlet-dairesi</t>
        </is>
      </c>
      <c r="H166" s="5" t="inlineStr"/>
      <c r="I166" s="5" t="inlineStr"/>
      <c r="J166" s="5" t="inlineStr"/>
      <c r="K166" s="5" t="inlineStr">
        <is>
          <t>meslek-memur</t>
        </is>
      </c>
      <c r="L166" s="5" t="inlineStr">
        <is>
          <t>hapis</t>
        </is>
      </c>
      <c r="M166" s="5" t="inlineStr"/>
      <c r="N166" s="5" t="inlineStr"/>
      <c r="O166" s="5" t="inlineStr"/>
      <c r="P166" s="5" t="inlineStr"/>
      <c r="Q166" s="5" t="inlineStr"/>
      <c r="R166" s="6" t="inlineStr"/>
      <c r="S166" s="5" t="inlineStr"/>
      <c r="T166" s="5" t="inlineStr"/>
      <c r="U166" s="5" t="inlineStr"/>
      <c r="V166" s="5" t="inlineStr"/>
    </row>
    <row r="167">
      <c r="A167" s="5" t="inlineStr">
        <is>
          <t>b7-trafik-cezasi</t>
        </is>
      </c>
      <c r="B167" s="5" t="n">
        <v>7</v>
      </c>
      <c r="C167" s="5" t="inlineStr">
        <is>
          <t>27 yaş 4 ay</t>
        </is>
      </c>
      <c r="D167" s="5" t="inlineStr">
        <is>
          <t>📸</t>
        </is>
      </c>
      <c r="E167" s="6" t="inlineStr">
        <is>
          <t>Kırmızı Işık Tartışması</t>
        </is>
      </c>
      <c r="F167" s="6" t="inlineStr">
        <is>
          <t>Postadan bir zarf geldi: bir fotoğrafın var. Işık kırmızı. Sen çok ciddi görünüyorsun.</t>
        </is>
      </c>
      <c r="G167" s="5" t="inlineStr">
        <is>
          <t>trafik</t>
        </is>
      </c>
      <c r="H167" s="5" t="inlineStr">
        <is>
          <t>para</t>
        </is>
      </c>
      <c r="I167" s="5" t="inlineStr"/>
      <c r="J167" s="5" t="n">
        <v>1</v>
      </c>
      <c r="K167" s="5" t="inlineStr"/>
      <c r="L167" s="5" t="inlineStr">
        <is>
          <t>hapis</t>
        </is>
      </c>
      <c r="M167" s="5" t="inlineStr"/>
      <c r="N167" s="5" t="inlineStr"/>
      <c r="O167" s="5" t="inlineStr"/>
      <c r="P167" s="5" t="inlineStr"/>
      <c r="Q167" s="5" t="inlineStr"/>
      <c r="R167" s="6" t="inlineStr"/>
      <c r="S167" s="5" t="inlineStr"/>
      <c r="T167" s="5" t="inlineStr"/>
      <c r="U167" s="5" t="inlineStr"/>
      <c r="V167" s="5" t="inlineStr"/>
    </row>
    <row r="168">
      <c r="A168" s="5" t="inlineStr">
        <is>
          <t>ms-fatura-kovalamaca</t>
        </is>
      </c>
      <c r="B168" s="5" t="n">
        <v>7</v>
      </c>
      <c r="C168" s="5" t="inlineStr">
        <is>
          <t>27 yaş 6 ay</t>
        </is>
      </c>
      <c r="D168" s="5" t="inlineStr">
        <is>
          <t>🧾</t>
        </is>
      </c>
      <c r="E168" s="6" t="inlineStr">
        <is>
          <t>Fatura Kovalamacası</t>
        </is>
      </c>
      <c r="F168" s="6" t="inlineStr">
        <is>
          <t>Faturayı keseli altmış gün oldu. Muhasebe 'Sistemde onay bekliyor' diyor. Sistemin kim olduğu bilinmiyor.</t>
        </is>
      </c>
      <c r="G168" s="5" t="inlineStr">
        <is>
          <t>ev</t>
        </is>
      </c>
      <c r="H168" s="5" t="inlineStr"/>
      <c r="I168" s="5" t="inlineStr"/>
      <c r="J168" s="5" t="n">
        <v>1</v>
      </c>
      <c r="K168" s="5" t="inlineStr">
        <is>
          <t>meslek-serbest</t>
        </is>
      </c>
      <c r="L168" s="5" t="inlineStr">
        <is>
          <t>hapis</t>
        </is>
      </c>
      <c r="M168" s="5" t="inlineStr"/>
      <c r="N168" s="5" t="inlineStr"/>
      <c r="O168" s="5" t="inlineStr"/>
      <c r="P168" s="5" t="inlineStr"/>
      <c r="Q168" s="5" t="inlineStr"/>
      <c r="R168" s="6" t="inlineStr"/>
      <c r="S168" s="5" t="inlineStr"/>
      <c r="T168" s="5" t="inlineStr"/>
      <c r="U168" s="5" t="inlineStr"/>
      <c r="V168" s="5" t="inlineStr"/>
    </row>
    <row r="169">
      <c r="A169" s="5" t="inlineStr">
        <is>
          <t>b7-araba-alma</t>
        </is>
      </c>
      <c r="B169" s="5" t="n">
        <v>7</v>
      </c>
      <c r="C169" s="5" t="inlineStr">
        <is>
          <t>27 yaş 10 ay</t>
        </is>
      </c>
      <c r="D169" s="5" t="inlineStr">
        <is>
          <t>🚗</t>
        </is>
      </c>
      <c r="E169" s="6" t="inlineStr">
        <is>
          <t>Bir İkinci El Daha</t>
        </is>
      </c>
      <c r="F169" s="6" t="inlineStr">
        <is>
          <t>İlanda 'hanımefendi aracı, garaj arabası, keyif için satılık' yazıyor. Satıcı üç ayrı ilanda aynı cümleyi kullanmış.</t>
        </is>
      </c>
      <c r="G169" s="5" t="inlineStr">
        <is>
          <t>carsi</t>
        </is>
      </c>
      <c r="H169" s="5" t="inlineStr">
        <is>
          <t>para</t>
        </is>
      </c>
      <c r="I169" s="5" t="inlineStr"/>
      <c r="J169" s="5" t="n">
        <v>1</v>
      </c>
      <c r="K169" s="5" t="inlineStr"/>
      <c r="L169" s="5" t="inlineStr">
        <is>
          <t>hapis</t>
        </is>
      </c>
      <c r="M169" s="5" t="inlineStr"/>
      <c r="N169" s="5" t="inlineStr"/>
      <c r="O169" s="5" t="inlineStr"/>
      <c r="P169" s="5" t="inlineStr"/>
      <c r="Q169" s="5" t="inlineStr"/>
      <c r="R169" s="6" t="inlineStr"/>
      <c r="S169" s="5" t="inlineStr"/>
      <c r="T169" s="5" t="inlineStr"/>
      <c r="U169" s="5" t="inlineStr"/>
      <c r="V169" s="5" t="inlineStr"/>
    </row>
    <row r="170">
      <c r="A170" s="5" t="inlineStr">
        <is>
          <t>b7-ne-zaman-evleneceksin</t>
        </is>
      </c>
      <c r="B170" s="5" t="n">
        <v>7</v>
      </c>
      <c r="C170" s="5" t="inlineStr">
        <is>
          <t>28 yaş</t>
        </is>
      </c>
      <c r="D170" s="5" t="inlineStr">
        <is>
          <t>💬</t>
        </is>
      </c>
      <c r="E170" s="6" t="inlineStr">
        <is>
          <t>Ne Zaman Evleneceksin?</t>
        </is>
      </c>
      <c r="F170" s="6" t="inlineStr">
        <is>
          <t>Kuzeninin düğünü. Masaya gelen her akraba yanağını sıkıyor, aynı cümleyi kuruyor: “Sıra sende!” Cümle aynı, tonlar farklı. Biri tehdit gibi söyledi.</t>
        </is>
      </c>
      <c r="G170" s="5" t="inlineStr">
        <is>
          <t>dugun-salonu</t>
        </is>
      </c>
      <c r="H170" s="5" t="inlineStr">
        <is>
          <t>sosyal</t>
        </is>
      </c>
      <c r="I170" s="5" t="inlineStr"/>
      <c r="J170" s="5" t="n">
        <v>1</v>
      </c>
      <c r="K170" s="5" t="inlineStr"/>
      <c r="L170" s="5" t="inlineStr">
        <is>
          <t>evli, hapis</t>
        </is>
      </c>
      <c r="M170" s="5" t="inlineStr"/>
      <c r="N170" s="5" t="inlineStr"/>
      <c r="O170" s="5" t="inlineStr"/>
      <c r="P170" s="5" t="inlineStr"/>
      <c r="Q170" s="5" t="inlineStr"/>
      <c r="R170" s="6" t="inlineStr"/>
      <c r="S170" s="5" t="inlineStr"/>
      <c r="T170" s="5" t="inlineStr"/>
      <c r="U170" s="5" t="inlineStr"/>
      <c r="V170" s="5" t="inlineStr"/>
    </row>
    <row r="171">
      <c r="A171" s="5" t="inlineStr">
        <is>
          <t>b7-flort-uygulamasi</t>
        </is>
      </c>
      <c r="B171" s="5" t="n">
        <v>7</v>
      </c>
      <c r="C171" s="5" t="inlineStr">
        <is>
          <t>28 yaş 6 ay</t>
        </is>
      </c>
      <c r="D171" s="5" t="inlineStr">
        <is>
          <t>💘</t>
        </is>
      </c>
      <c r="E171" s="6" t="inlineStr">
        <is>
          <t>Flört Uygulaması Yorgunluğu</t>
        </is>
      </c>
      <c r="F171" s="6" t="inlineStr">
        <is>
          <t>Uygulamayı dördüncü kez yükledin. Profil fotoğrafın aynı. İnsanlar aynı. 'Seyahat etmeyi seviyorum' yazısı aynı.</t>
        </is>
      </c>
      <c r="G171" s="5" t="inlineStr">
        <is>
          <t>ev</t>
        </is>
      </c>
      <c r="H171" s="5" t="inlineStr"/>
      <c r="I171" s="5" t="inlineStr"/>
      <c r="J171" s="5" t="n">
        <v>1</v>
      </c>
      <c r="K171" s="5" t="inlineStr"/>
      <c r="L171" s="5" t="inlineStr">
        <is>
          <t>evli, hapis</t>
        </is>
      </c>
      <c r="M171" s="5" t="inlineStr"/>
      <c r="N171" s="5" t="inlineStr"/>
      <c r="O171" s="5" t="inlineStr"/>
      <c r="P171" s="5" t="inlineStr"/>
      <c r="Q171" s="5" t="inlineStr"/>
      <c r="R171" s="6" t="inlineStr"/>
      <c r="S171" s="5" t="inlineStr"/>
      <c r="T171" s="5" t="inlineStr"/>
      <c r="U171" s="5" t="inlineStr"/>
      <c r="V171" s="5" t="inlineStr"/>
    </row>
    <row r="172">
      <c r="A172" s="5" t="inlineStr">
        <is>
          <t>b7-evlilik-karari</t>
        </is>
      </c>
      <c r="B172" s="5" t="n">
        <v>7</v>
      </c>
      <c r="C172" s="5" t="inlineStr">
        <is>
          <t>29 yaş</t>
        </is>
      </c>
      <c r="D172" s="5" t="inlineStr">
        <is>
          <t>💍</t>
        </is>
      </c>
      <c r="E172" s="6" t="inlineStr">
        <is>
          <t>Bayram Sofrası Sorusu</t>
        </is>
      </c>
      <c r="F172" s="6" t="inlineStr">
        <is>
          <t>Bayram sofrası. Teyzen dolmayı tabağına koyarken sordu: “Eee?” Tek hece. Sofradaki on dört kişi çatalını bıraktı. Annen senin yerine cevap vermek üzere, baban kendi yerine susmak üzere.</t>
        </is>
      </c>
      <c r="G172" s="5" t="inlineStr">
        <is>
          <t>kafe</t>
        </is>
      </c>
      <c r="H172" s="5" t="inlineStr">
        <is>
          <t>sosyal</t>
        </is>
      </c>
      <c r="I172" s="5" t="inlineStr">
        <is>
          <t>E</t>
        </is>
      </c>
      <c r="J172" s="5" t="n">
        <v>1</v>
      </c>
      <c r="K172" s="5" t="inlineStr"/>
      <c r="L172" s="5" t="inlineStr">
        <is>
          <t>hapis</t>
        </is>
      </c>
      <c r="M172" s="5" t="inlineStr"/>
      <c r="N172" s="5" t="inlineStr"/>
      <c r="O172" s="5" t="inlineStr"/>
      <c r="P172" s="5" t="inlineStr"/>
      <c r="Q172" s="5" t="n">
        <v>7</v>
      </c>
      <c r="R172" s="6" t="inlineStr">
        <is>
          <t>Yirmili yaşların sonu bir soru sorar ve cevabı hayatın geri kalanında sofraya kimin oturacağını belirler. Kimi âşık olur, kimi annesine “Bir kahve içerim” der, kimi hiç evlenmez; kimi de karar vermeyi hiç bırakmaz.</t>
        </is>
      </c>
      <c r="S172" s="5" t="inlineStr"/>
      <c r="T172" s="5" t="inlineStr"/>
      <c r="U172" s="5" t="inlineStr"/>
      <c r="V172" s="5" t="inlineStr"/>
    </row>
    <row r="173">
      <c r="A173" s="5" t="inlineStr">
        <is>
          <t>mb-performans-karti</t>
        </is>
      </c>
      <c r="B173" s="5" t="n">
        <v>7</v>
      </c>
      <c r="C173" s="5" t="inlineStr">
        <is>
          <t>29 yaş</t>
        </is>
      </c>
      <c r="D173" s="5" t="inlineStr">
        <is>
          <t>📊</t>
        </is>
      </c>
      <c r="E173" s="6" t="inlineStr">
        <is>
          <t>Performans Değerlendirmesi</t>
        </is>
      </c>
      <c r="F173" s="6" t="inlineStr">
        <is>
          <t>Yıllık değerlendirme. Hedef kartında 'Sinerjiyi çeviklikle ölçeklendirmek' yazıyor. Kimse ne demek olduğunu bilmiyor.</t>
        </is>
      </c>
      <c r="G173" s="5" t="inlineStr">
        <is>
          <t>ofis</t>
        </is>
      </c>
      <c r="H173" s="5" t="inlineStr"/>
      <c r="I173" s="5" t="inlineStr"/>
      <c r="J173" s="5" t="n">
        <v>1</v>
      </c>
      <c r="K173" s="5" t="inlineStr">
        <is>
          <t>meslek-beyazyaka</t>
        </is>
      </c>
      <c r="L173" s="5" t="inlineStr">
        <is>
          <t>hapis</t>
        </is>
      </c>
      <c r="M173" s="5" t="inlineStr"/>
      <c r="N173" s="5" t="inlineStr"/>
      <c r="O173" s="5" t="inlineStr"/>
      <c r="P173" s="5" t="inlineStr"/>
      <c r="Q173" s="5" t="inlineStr"/>
      <c r="R173" s="6" t="inlineStr"/>
      <c r="S173" s="5" t="inlineStr"/>
      <c r="T173" s="5" t="inlineStr"/>
      <c r="U173" s="5" t="inlineStr"/>
      <c r="V173" s="5" t="inlineStr"/>
    </row>
    <row r="174">
      <c r="A174" s="5" t="inlineStr">
        <is>
          <t>me-zabita-denetimi</t>
        </is>
      </c>
      <c r="B174" s="5" t="n">
        <v>7</v>
      </c>
      <c r="C174" s="5" t="inlineStr">
        <is>
          <t>29 yaş</t>
        </is>
      </c>
      <c r="D174" s="5" t="inlineStr">
        <is>
          <t>📏</t>
        </is>
      </c>
      <c r="E174" s="6" t="inlineStr">
        <is>
          <t>Zabıta Denetimi</t>
        </is>
      </c>
      <c r="F174" s="6" t="inlineStr">
        <is>
          <t>Zabıta çarşıda. Kaldırıma taşan kasalar, tabelanın boyu ve tentenin gölgesi ölçülüyor. Gölgenin de yönetmeliği varmış.</t>
        </is>
      </c>
      <c r="G174" s="5" t="inlineStr">
        <is>
          <t>carsi</t>
        </is>
      </c>
      <c r="H174" s="5" t="inlineStr"/>
      <c r="I174" s="5" t="inlineStr"/>
      <c r="J174" s="5" t="inlineStr"/>
      <c r="K174" s="5" t="inlineStr">
        <is>
          <t>meslek-esnaf</t>
        </is>
      </c>
      <c r="L174" s="5" t="inlineStr">
        <is>
          <t>hapis</t>
        </is>
      </c>
      <c r="M174" s="5" t="inlineStr"/>
      <c r="N174" s="5" t="inlineStr"/>
      <c r="O174" s="5" t="inlineStr"/>
      <c r="P174" s="5" t="inlineStr"/>
      <c r="Q174" s="5" t="inlineStr"/>
      <c r="R174" s="6" t="inlineStr"/>
      <c r="S174" s="5" t="inlineStr"/>
      <c r="T174" s="5" t="inlineStr"/>
      <c r="U174" s="5" t="inlineStr"/>
      <c r="V174" s="5" t="inlineStr"/>
    </row>
    <row r="175">
      <c r="A175" s="5" t="inlineStr">
        <is>
          <t>b7-dugun-takilari</t>
        </is>
      </c>
      <c r="B175" s="5" t="n">
        <v>7</v>
      </c>
      <c r="C175" s="5" t="inlineStr">
        <is>
          <t>29 yaş 10 ay</t>
        </is>
      </c>
      <c r="D175" s="5" t="inlineStr">
        <is>
          <t>🪙</t>
        </is>
      </c>
      <c r="E175" s="6" t="inlineStr">
        <is>
          <t>Takı Merasimi</t>
        </is>
      </c>
      <c r="F175" s="6" t="inlineStr">
        <is>
          <t>Sahnedesin. Önünde yüz kişilik bir kuyruk, yanında takı defterini tutan bir amca. Orkestra her takıyı mikrofondan duyuruyor: “Gelinin halasından bir bilezik!” Kim ne taktı, defterde; kim takmadı, amcanın aklında.</t>
        </is>
      </c>
      <c r="G175" s="5" t="inlineStr">
        <is>
          <t>dugun-salonu</t>
        </is>
      </c>
      <c r="H175" s="5" t="inlineStr">
        <is>
          <t>para</t>
        </is>
      </c>
      <c r="I175" s="5" t="inlineStr"/>
      <c r="J175" s="5" t="n">
        <v>1</v>
      </c>
      <c r="K175" s="5" t="inlineStr">
        <is>
          <t>evli</t>
        </is>
      </c>
      <c r="L175" s="5" t="inlineStr">
        <is>
          <t>hapis</t>
        </is>
      </c>
      <c r="M175" s="5" t="inlineStr"/>
      <c r="N175" s="5" t="inlineStr"/>
      <c r="O175" s="5" t="inlineStr"/>
      <c r="P175" s="5" t="inlineStr"/>
      <c r="Q175" s="5" t="inlineStr"/>
      <c r="R175" s="6" t="inlineStr"/>
      <c r="S175" s="5" t="inlineStr"/>
      <c r="T175" s="5" t="inlineStr"/>
      <c r="U175" s="5" t="inlineStr"/>
      <c r="V175" s="5" t="inlineStr"/>
    </row>
    <row r="176">
      <c r="A176" s="5" t="inlineStr">
        <is>
          <t>b7-balayi</t>
        </is>
      </c>
      <c r="B176" s="5" t="n">
        <v>7</v>
      </c>
      <c r="C176" s="5" t="inlineStr">
        <is>
          <t>29 yaş 11 ay</t>
        </is>
      </c>
      <c r="D176" s="5" t="inlineStr">
        <is>
          <t>🏝️</t>
        </is>
      </c>
      <c r="E176" s="6" t="inlineStr">
        <is>
          <t>Balayı</t>
        </is>
      </c>
      <c r="F176" s="6" t="inlineStr">
        <is>
          <t>Her şey dahil otel. Bilekliğin turuncu: açık büfe sınırsız, spa'nın kapısındaki görevli ise bileğine bakıp başını iki yana sallıyor. Annen günde üç kez arayıp “Yemek yiyor musunuz?” diye soruyor.</t>
        </is>
      </c>
      <c r="G176" s="5" t="inlineStr">
        <is>
          <t>sahil</t>
        </is>
      </c>
      <c r="H176" s="5" t="inlineStr"/>
      <c r="I176" s="5" t="inlineStr"/>
      <c r="J176" s="5" t="n">
        <v>1</v>
      </c>
      <c r="K176" s="5" t="inlineStr">
        <is>
          <t>evli</t>
        </is>
      </c>
      <c r="L176" s="5" t="inlineStr">
        <is>
          <t>hapis</t>
        </is>
      </c>
      <c r="M176" s="5" t="inlineStr"/>
      <c r="N176" s="5" t="inlineStr"/>
      <c r="O176" s="5" t="inlineStr"/>
      <c r="P176" s="5" t="inlineStr"/>
      <c r="Q176" s="5" t="inlineStr"/>
      <c r="R176" s="6" t="inlineStr"/>
      <c r="S176" s="5" t="inlineStr"/>
      <c r="T176" s="5" t="inlineStr"/>
      <c r="U176" s="5" t="inlineStr"/>
      <c r="V176" s="5" t="inlineStr"/>
    </row>
    <row r="177">
      <c r="A177" s="5" t="inlineStr">
        <is>
          <t>ms-acilis-gecesi</t>
        </is>
      </c>
      <c r="B177" s="5" t="n">
        <v>7</v>
      </c>
      <c r="C177" s="5" t="inlineStr">
        <is>
          <t>29 yaş 6 ay</t>
        </is>
      </c>
      <c r="D177" s="5" t="inlineStr">
        <is>
          <t>🖼️</t>
        </is>
      </c>
      <c r="E177" s="6" t="inlineStr">
        <is>
          <t>Açılış Gecesi</t>
        </is>
      </c>
      <c r="F177" s="6" t="inlineStr">
        <is>
          <t>İlk kişisel sergin açıldı. İkramlar dizildi. Gelenler: annen, eski ev arkadaşın ve yanlış kapıya girmiş bir kurye.</t>
        </is>
      </c>
      <c r="G177" s="5" t="inlineStr">
        <is>
          <t>sahne</t>
        </is>
      </c>
      <c r="H177" s="5" t="inlineStr"/>
      <c r="I177" s="5" t="inlineStr"/>
      <c r="J177" s="5" t="n">
        <v>1</v>
      </c>
      <c r="K177" s="5" t="inlineStr">
        <is>
          <t>meslek-serbest</t>
        </is>
      </c>
      <c r="L177" s="5" t="inlineStr">
        <is>
          <t>hapis</t>
        </is>
      </c>
      <c r="M177" s="5" t="inlineStr"/>
      <c r="N177" s="5" t="inlineStr"/>
      <c r="O177" s="5" t="inlineStr"/>
      <c r="P177" s="5" t="inlineStr"/>
      <c r="Q177" s="5" t="inlineStr"/>
      <c r="R177" s="6" t="inlineStr"/>
      <c r="S177" s="5" t="inlineStr"/>
      <c r="T177" s="5" t="inlineStr"/>
      <c r="U177" s="5" t="inlineStr"/>
      <c r="V177" s="5" t="inlineStr"/>
    </row>
    <row r="178">
      <c r="A178" s="5" t="inlineStr">
        <is>
          <t>b7-bulasik-makinesi</t>
        </is>
      </c>
      <c r="B178" s="5" t="n">
        <v>7</v>
      </c>
      <c r="C178" s="5" t="inlineStr">
        <is>
          <t>30 yaş 1 ay</t>
        </is>
      </c>
      <c r="D178" s="5" t="inlineStr">
        <is>
          <t>🍽️</t>
        </is>
      </c>
      <c r="E178" s="6" t="inlineStr">
        <is>
          <t>Bulaşık Makinesi Nasıl Dizilir</t>
        </is>
      </c>
      <c r="F178" s="6" t="inlineStr">
        <is>
          <t>İlk büyük kavga. Konu: tabaklar. Eşin makineyi açtı, dizdiğin rafa baktı ve derin bir nefes aldı.</t>
        </is>
      </c>
      <c r="G178" s="5" t="inlineStr">
        <is>
          <t>mutfak</t>
        </is>
      </c>
      <c r="H178" s="5" t="inlineStr">
        <is>
          <t>ev</t>
        </is>
      </c>
      <c r="I178" s="5" t="inlineStr"/>
      <c r="J178" s="5" t="n">
        <v>1</v>
      </c>
      <c r="K178" s="5" t="inlineStr">
        <is>
          <t>evli</t>
        </is>
      </c>
      <c r="L178" s="5" t="inlineStr">
        <is>
          <t>hapis</t>
        </is>
      </c>
      <c r="M178" s="5" t="inlineStr"/>
      <c r="N178" s="5" t="inlineStr"/>
      <c r="O178" s="5" t="inlineStr"/>
      <c r="P178" s="5" t="inlineStr"/>
      <c r="Q178" s="5" t="inlineStr"/>
      <c r="R178" s="6" t="inlineStr"/>
      <c r="S178" s="5" t="inlineStr"/>
      <c r="T178" s="5" t="inlineStr"/>
      <c r="U178" s="5" t="inlineStr"/>
      <c r="V178" s="5" t="inlineStr"/>
    </row>
    <row r="179">
      <c r="A179" s="5" t="inlineStr">
        <is>
          <t>mm-sistem-coktu</t>
        </is>
      </c>
      <c r="B179" s="5" t="n">
        <v>7</v>
      </c>
      <c r="C179" s="5" t="inlineStr">
        <is>
          <t>30 yaş</t>
        </is>
      </c>
      <c r="D179" s="5" t="inlineStr">
        <is>
          <t>💻</t>
        </is>
      </c>
      <c r="E179" s="6" t="inlineStr">
        <is>
          <t>Yeni Sistem Çöktü</t>
        </is>
      </c>
      <c r="F179" s="6" t="inlineStr">
        <is>
          <t>Kurumun yeni dijital sistemi devreye girdi ve on bir dakika sonra çöktü. Ekranda 'Lütfen daha sonra tekrar deneyiniz' yazıyor. Sıra kapıya kadar.</t>
        </is>
      </c>
      <c r="G179" s="5" t="inlineStr">
        <is>
          <t>devlet-dairesi</t>
        </is>
      </c>
      <c r="H179" s="5" t="inlineStr"/>
      <c r="I179" s="5" t="inlineStr"/>
      <c r="J179" s="5" t="inlineStr"/>
      <c r="K179" s="5" t="inlineStr">
        <is>
          <t>meslek-memur</t>
        </is>
      </c>
      <c r="L179" s="5" t="inlineStr">
        <is>
          <t>hapis</t>
        </is>
      </c>
      <c r="M179" s="5" t="inlineStr"/>
      <c r="N179" s="5" t="inlineStr"/>
      <c r="O179" s="5" t="inlineStr"/>
      <c r="P179" s="5" t="inlineStr"/>
      <c r="Q179" s="5" t="inlineStr"/>
      <c r="R179" s="6" t="inlineStr"/>
      <c r="S179" s="5" t="inlineStr"/>
      <c r="T179" s="5" t="inlineStr"/>
      <c r="U179" s="5" t="inlineStr"/>
      <c r="V179" s="5" t="inlineStr"/>
    </row>
    <row r="180">
      <c r="A180" s="5" t="inlineStr">
        <is>
          <t>b7-kayinvalide</t>
        </is>
      </c>
      <c r="B180" s="5" t="n">
        <v>7</v>
      </c>
      <c r="C180" s="5" t="inlineStr">
        <is>
          <t>30 yaş 2 ay</t>
        </is>
      </c>
      <c r="D180" s="5" t="inlineStr">
        <is>
          <t>🫖</t>
        </is>
      </c>
      <c r="E180" s="6" t="inlineStr">
        <is>
          <t>Pazar Kahvaltısı</t>
        </is>
      </c>
      <c r="F180" s="6" t="inlineStr">
        <is>
          <t>Eşinin ailesi kahvaltıya geldi. Kayınvalide menemeni tattı, çatalı bıraktı ve 'Hmm' dedi. Hepsi bu.</t>
        </is>
      </c>
      <c r="G180" s="5" t="inlineStr">
        <is>
          <t>ev</t>
        </is>
      </c>
      <c r="H180" s="5" t="inlineStr">
        <is>
          <t>ev</t>
        </is>
      </c>
      <c r="I180" s="5" t="inlineStr"/>
      <c r="J180" s="5" t="n">
        <v>1</v>
      </c>
      <c r="K180" s="5" t="inlineStr">
        <is>
          <t>evli</t>
        </is>
      </c>
      <c r="L180" s="5" t="inlineStr">
        <is>
          <t>hapis</t>
        </is>
      </c>
      <c r="M180" s="5" t="inlineStr"/>
      <c r="N180" s="5" t="inlineStr"/>
      <c r="O180" s="5" t="inlineStr"/>
      <c r="P180" s="5" t="inlineStr"/>
      <c r="Q180" s="5" t="inlineStr"/>
      <c r="R180" s="6" t="inlineStr"/>
      <c r="S180" s="5" t="inlineStr"/>
      <c r="T180" s="5" t="inlineStr"/>
      <c r="U180" s="5" t="inlineStr"/>
      <c r="V180" s="5" t="inlineStr"/>
    </row>
    <row r="181">
      <c r="A181" s="5" t="inlineStr">
        <is>
          <t>b7-akraba-tanisma</t>
        </is>
      </c>
      <c r="B181" s="5" t="n">
        <v>7</v>
      </c>
      <c r="C181" s="5" t="inlineStr">
        <is>
          <t>30 yaş 4 ay</t>
        </is>
      </c>
      <c r="D181" s="5" t="inlineStr">
        <is>
          <t>☕</t>
        </is>
      </c>
      <c r="E181" s="6" t="inlineStr">
        <is>
          <t>Ayarlanmış Tanışma</t>
        </is>
      </c>
      <c r="F181" s="6" t="inlineStr">
        <is>
          <t>Teyzen 'Tesadüfen komşumun yeğeni de gelecek' dedi. Masada iki fincan, iki teyze ve hiç tesadüf yok.</t>
        </is>
      </c>
      <c r="G181" s="5" t="inlineStr">
        <is>
          <t>kafe</t>
        </is>
      </c>
      <c r="H181" s="5" t="inlineStr">
        <is>
          <t>sosyal</t>
        </is>
      </c>
      <c r="I181" s="5" t="inlineStr"/>
      <c r="J181" s="5" t="n">
        <v>1</v>
      </c>
      <c r="K181" s="5" t="inlineStr"/>
      <c r="L181" s="5" t="inlineStr">
        <is>
          <t>evli, hapis</t>
        </is>
      </c>
      <c r="M181" s="5" t="inlineStr"/>
      <c r="N181" s="5" t="inlineStr"/>
      <c r="O181" s="5" t="inlineStr"/>
      <c r="P181" s="5" t="inlineStr"/>
      <c r="Q181" s="5" t="inlineStr"/>
      <c r="R181" s="6" t="inlineStr"/>
      <c r="S181" s="5" t="inlineStr"/>
      <c r="T181" s="5" t="inlineStr"/>
      <c r="U181" s="5" t="inlineStr"/>
      <c r="V181" s="5" t="inlineStr"/>
    </row>
    <row r="182">
      <c r="A182" s="5" t="inlineStr">
        <is>
          <t>b7-ortak-hesap</t>
        </is>
      </c>
      <c r="B182" s="5" t="n">
        <v>7</v>
      </c>
      <c r="C182" s="5" t="inlineStr">
        <is>
          <t>30 yaş 7 ay</t>
        </is>
      </c>
      <c r="D182" s="5" t="inlineStr">
        <is>
          <t>🏦</t>
        </is>
      </c>
      <c r="E182" s="6" t="inlineStr">
        <is>
          <t>Ortak Hesap</t>
        </is>
      </c>
      <c r="F182" s="6" t="inlineStr">
        <is>
          <t>Bankada ortak hesap açılıyor. Temsilci soruyor: 'Harcama bildirimleri ikinize de gitsin mi?' Oda bir an sessiz.</t>
        </is>
      </c>
      <c r="G182" s="5" t="inlineStr">
        <is>
          <t>banka</t>
        </is>
      </c>
      <c r="H182" s="5" t="inlineStr">
        <is>
          <t>para</t>
        </is>
      </c>
      <c r="I182" s="5" t="inlineStr"/>
      <c r="J182" s="5" t="n">
        <v>1</v>
      </c>
      <c r="K182" s="5" t="inlineStr">
        <is>
          <t>evli</t>
        </is>
      </c>
      <c r="L182" s="5" t="inlineStr">
        <is>
          <t>hapis</t>
        </is>
      </c>
      <c r="M182" s="5" t="inlineStr"/>
      <c r="N182" s="5" t="inlineStr"/>
      <c r="O182" s="5" t="inlineStr"/>
      <c r="P182" s="5" t="inlineStr"/>
      <c r="Q182" s="5" t="inlineStr"/>
      <c r="R182" s="6" t="inlineStr"/>
      <c r="S182" s="5" t="inlineStr"/>
      <c r="T182" s="5" t="inlineStr"/>
      <c r="U182" s="5" t="inlineStr"/>
      <c r="V182" s="5" t="inlineStr"/>
    </row>
    <row r="183">
      <c r="A183" s="5" t="inlineStr">
        <is>
          <t>b7-spor-salonu</t>
        </is>
      </c>
      <c r="B183" s="5" t="n">
        <v>7</v>
      </c>
      <c r="C183" s="5" t="inlineStr">
        <is>
          <t>31 yaş 5 ay</t>
        </is>
      </c>
      <c r="D183" s="5" t="inlineStr">
        <is>
          <t>🏋️</t>
        </is>
      </c>
      <c r="E183" s="6" t="inlineStr">
        <is>
          <t>Yeni Yıl, Aynı Kampanya</t>
        </is>
      </c>
      <c r="F183" s="6" t="inlineStr">
        <is>
          <t>Geçen kışın pantolonu bu sabah kapanmadı. Salon yılbaşı kampanyası yapıyor: yıllık üyelik, aylık fiyatın yarısına. Eğitmen, karın kaslarını göstermeden konuşmayı bitiremiyor.</t>
        </is>
      </c>
      <c r="G183" s="5" t="inlineStr">
        <is>
          <t>sokak</t>
        </is>
      </c>
      <c r="H183" s="5" t="inlineStr"/>
      <c r="I183" s="5" t="inlineStr"/>
      <c r="J183" s="5" t="n">
        <v>1</v>
      </c>
      <c r="K183" s="5" t="inlineStr"/>
      <c r="L183" s="5" t="inlineStr">
        <is>
          <t>hapis, hat-koy</t>
        </is>
      </c>
      <c r="M183" s="5" t="inlineStr"/>
      <c r="N183" s="5" t="inlineStr"/>
      <c r="O183" s="5" t="inlineStr"/>
      <c r="P183" s="5" t="inlineStr"/>
      <c r="Q183" s="5" t="inlineStr"/>
      <c r="R183" s="6" t="inlineStr"/>
      <c r="S183" s="5" t="inlineStr"/>
      <c r="T183" s="5" t="inlineStr"/>
      <c r="U183" s="5" t="inlineStr"/>
      <c r="V183" s="5" t="inlineStr"/>
    </row>
    <row r="184">
      <c r="A184" s="5" t="inlineStr">
        <is>
          <t>ms-viral</t>
        </is>
      </c>
      <c r="B184" s="5" t="n">
        <v>7</v>
      </c>
      <c r="C184" s="5" t="inlineStr">
        <is>
          <t>31 yaş</t>
        </is>
      </c>
      <c r="D184" s="5" t="inlineStr">
        <is>
          <t>📱</t>
        </is>
      </c>
      <c r="E184" s="6" t="inlineStr">
        <is>
          <t>Bir Anda Viral</t>
        </is>
      </c>
      <c r="F184" s="6" t="inlineStr">
        <is>
          <t>Sokakta yaptığın beş dakikalık performans kısa video uygulamasında iki milyon kez izlendi. Yorumlar: 'Kim bu?' ve 'Bunu ben de yaparım.'</t>
        </is>
      </c>
      <c r="G184" s="5" t="inlineStr">
        <is>
          <t>sokak</t>
        </is>
      </c>
      <c r="H184" s="5" t="inlineStr"/>
      <c r="I184" s="5" t="inlineStr"/>
      <c r="J184" s="5" t="n">
        <v>1</v>
      </c>
      <c r="K184" s="5" t="inlineStr">
        <is>
          <t>meslek-serbest</t>
        </is>
      </c>
      <c r="L184" s="5" t="inlineStr">
        <is>
          <t>hapis</t>
        </is>
      </c>
      <c r="M184" s="5" t="inlineStr"/>
      <c r="N184" s="5" t="inlineStr"/>
      <c r="O184" s="5" t="inlineStr"/>
      <c r="P184" s="5" t="inlineStr"/>
      <c r="Q184" s="5" t="inlineStr"/>
      <c r="R184" s="6" t="inlineStr"/>
      <c r="S184" s="5" t="inlineStr"/>
      <c r="T184" s="5" t="inlineStr"/>
      <c r="U184" s="5" t="inlineStr"/>
      <c r="V184" s="5" t="inlineStr"/>
    </row>
    <row r="185">
      <c r="A185" s="5" t="inlineStr">
        <is>
          <t>b7-cocuk-karari</t>
        </is>
      </c>
      <c r="B185" s="5" t="n">
        <v>7</v>
      </c>
      <c r="C185" s="5" t="inlineStr">
        <is>
          <t>31 yaş 6 ay</t>
        </is>
      </c>
      <c r="D185" s="5" t="inlineStr">
        <is>
          <t>🍼</t>
        </is>
      </c>
      <c r="E185" s="6" t="inlineStr">
        <is>
          <t>Çocuk Meselesi</t>
        </is>
      </c>
      <c r="F185" s="6" t="inlineStr">
        <is>
          <t>Akşam yemeğinde eşin çatalı bıraktı: 'Artık konuşmamız gereken bir şey var.' Arkada televizyon, bebek bezi reklamı yayınlıyor.</t>
        </is>
      </c>
      <c r="G185" s="5" t="inlineStr">
        <is>
          <t>ev</t>
        </is>
      </c>
      <c r="H185" s="5" t="inlineStr">
        <is>
          <t>ev</t>
        </is>
      </c>
      <c r="I185" s="5" t="inlineStr">
        <is>
          <t>E</t>
        </is>
      </c>
      <c r="J185" s="5" t="n">
        <v>1</v>
      </c>
      <c r="K185" s="5" t="inlineStr">
        <is>
          <t>evli</t>
        </is>
      </c>
      <c r="L185" s="5" t="inlineStr">
        <is>
          <t>hapis</t>
        </is>
      </c>
      <c r="M185" s="5" t="inlineStr"/>
      <c r="N185" s="5" t="inlineStr"/>
      <c r="O185" s="5" t="inlineStr"/>
      <c r="P185" s="5" t="inlineStr"/>
      <c r="Q185" s="5" t="n">
        <v>8</v>
      </c>
      <c r="R185" s="6" t="inlineStr">
        <is>
          <t>Bebek bezi reklamı tesadüf değil. Bu akşamdan sonra evde ya bir beşik ya da çok uzun bir seyahat planı olacak.</t>
        </is>
      </c>
      <c r="S185" s="5" t="inlineStr">
        <is>
          <t>Çocuklu hayat</t>
        </is>
      </c>
      <c r="T185" s="5" t="inlineStr">
        <is>
          <t>Şimdilik ikimiz</t>
        </is>
      </c>
      <c r="U185" s="5" t="inlineStr"/>
      <c r="V185" s="5" t="inlineStr"/>
    </row>
    <row r="186">
      <c r="A186" s="5" t="inlineStr">
        <is>
          <t>me-kasa-ve-pos</t>
        </is>
      </c>
      <c r="B186" s="5" t="n">
        <v>7</v>
      </c>
      <c r="C186" s="5" t="inlineStr">
        <is>
          <t>31 yaş 6 ay</t>
        </is>
      </c>
      <c r="D186" s="5" t="inlineStr">
        <is>
          <t>🪙</t>
        </is>
      </c>
      <c r="E186" s="6" t="inlineStr">
        <is>
          <t>Kasa ve Pos</t>
        </is>
      </c>
      <c r="F186" s="6" t="inlineStr">
        <is>
          <t>Müşteri 'Bozuğunuz var mı?' diye sorarken bozuk kutusu tezgâhtan kaydı. Bozukluklar dükkâna yayıldı; pos cihazı 'bağlantı bekleniyor' yazıyor.</t>
        </is>
      </c>
      <c r="G186" s="5" t="inlineStr">
        <is>
          <t>dukkan</t>
        </is>
      </c>
      <c r="H186" s="5" t="inlineStr"/>
      <c r="I186" s="5" t="inlineStr"/>
      <c r="J186" s="5" t="inlineStr"/>
      <c r="K186" s="5" t="inlineStr">
        <is>
          <t>meslek-esnaf</t>
        </is>
      </c>
      <c r="L186" s="5" t="inlineStr">
        <is>
          <t>hapis</t>
        </is>
      </c>
      <c r="M186" s="5" t="inlineStr"/>
      <c r="N186" s="5" t="inlineStr"/>
      <c r="O186" s="5" t="inlineStr"/>
      <c r="P186" s="5" t="inlineStr"/>
      <c r="Q186" s="5" t="inlineStr"/>
      <c r="R186" s="6" t="inlineStr"/>
      <c r="S186" s="5" t="inlineStr"/>
      <c r="T186" s="5" t="inlineStr"/>
      <c r="U186" s="5" t="inlineStr"/>
      <c r="V186" s="5" t="inlineStr"/>
    </row>
    <row r="187">
      <c r="A187" s="5" t="inlineStr">
        <is>
          <t>b7-tek-kisilik-tatil</t>
        </is>
      </c>
      <c r="B187" s="5" t="n">
        <v>7</v>
      </c>
      <c r="C187" s="5" t="inlineStr">
        <is>
          <t>26 yaş 11 ay</t>
        </is>
      </c>
      <c r="D187" s="5" t="inlineStr">
        <is>
          <t>🧳</t>
        </is>
      </c>
      <c r="E187" s="6" t="inlineStr">
        <is>
          <t>Tek Kişilik Tatil</t>
        </is>
      </c>
      <c r="F187" s="6" t="inlineStr">
        <is>
          <t>Otel resepsiyonu 'Kaç kişisiniz?' diye soruyor. Arkandaki çift de cevabını merak ediyor.</t>
        </is>
      </c>
      <c r="G187" s="5" t="inlineStr">
        <is>
          <t>sahil</t>
        </is>
      </c>
      <c r="H187" s="5" t="inlineStr"/>
      <c r="I187" s="5" t="inlineStr"/>
      <c r="J187" s="5" t="n">
        <v>1</v>
      </c>
      <c r="K187" s="5" t="inlineStr"/>
      <c r="L187" s="5" t="inlineStr">
        <is>
          <t>evli, hapis</t>
        </is>
      </c>
      <c r="M187" s="5" t="inlineStr"/>
      <c r="N187" s="5" t="inlineStr"/>
      <c r="O187" s="5" t="inlineStr"/>
      <c r="P187" s="5" t="inlineStr"/>
      <c r="Q187" s="5" t="inlineStr"/>
      <c r="R187" s="6" t="inlineStr"/>
      <c r="S187" s="5" t="inlineStr"/>
      <c r="T187" s="5" t="inlineStr"/>
      <c r="U187" s="5" t="inlineStr"/>
      <c r="V187" s="5" t="inlineStr"/>
    </row>
    <row r="188">
      <c r="A188" s="5" t="inlineStr">
        <is>
          <t>mb-terfi-yarisi</t>
        </is>
      </c>
      <c r="B188" s="5" t="n">
        <v>7</v>
      </c>
      <c r="C188" s="5" t="inlineStr">
        <is>
          <t>32 yaş</t>
        </is>
      </c>
      <c r="D188" s="5" t="inlineStr">
        <is>
          <t>🪜</t>
        </is>
      </c>
      <c r="E188" s="6" t="inlineStr">
        <is>
          <t>Terfi Yarışı</t>
        </is>
      </c>
      <c r="F188" s="6" t="inlineStr">
        <is>
          <t>Takım lideri kadrosu açıldı. İki aday var: sen ve her öğle yemeğinde yöneticiyle aynı masaya oturan kişi.</t>
        </is>
      </c>
      <c r="G188" s="5" t="inlineStr">
        <is>
          <t>ofis</t>
        </is>
      </c>
      <c r="H188" s="5" t="inlineStr"/>
      <c r="I188" s="5" t="inlineStr"/>
      <c r="J188" s="5" t="n">
        <v>1</v>
      </c>
      <c r="K188" s="5" t="inlineStr">
        <is>
          <t>meslek-beyazyaka</t>
        </is>
      </c>
      <c r="L188" s="5" t="inlineStr">
        <is>
          <t>hapis</t>
        </is>
      </c>
      <c r="M188" s="5" t="inlineStr"/>
      <c r="N188" s="5" t="inlineStr"/>
      <c r="O188" s="5" t="inlineStr"/>
      <c r="P188" s="5" t="inlineStr"/>
      <c r="Q188" s="5" t="inlineStr"/>
      <c r="R188" s="6" t="inlineStr"/>
      <c r="S188" s="5" t="inlineStr"/>
      <c r="T188" s="5" t="inlineStr"/>
      <c r="U188" s="5" t="inlineStr"/>
      <c r="V188" s="5" t="inlineStr"/>
    </row>
    <row r="189">
      <c r="A189" s="5" t="inlineStr">
        <is>
          <t>mm-lojman-kurasi</t>
        </is>
      </c>
      <c r="B189" s="5" t="n">
        <v>7</v>
      </c>
      <c r="C189" s="5" t="inlineStr">
        <is>
          <t>32 yaş</t>
        </is>
      </c>
      <c r="D189" s="5" t="inlineStr">
        <is>
          <t>🏢</t>
        </is>
      </c>
      <c r="E189" s="6" t="inlineStr">
        <is>
          <t>Lojman Kurası</t>
        </is>
      </c>
      <c r="F189" s="6" t="inlineStr">
        <is>
          <t>Lojman kurası çekilecek. Dört daire, kırk başvuru. Dairelerden biri müdürün alt katı; ötekilerin kaloriferi yok.</t>
        </is>
      </c>
      <c r="G189" s="5" t="inlineStr">
        <is>
          <t>apartman</t>
        </is>
      </c>
      <c r="H189" s="5" t="inlineStr"/>
      <c r="I189" s="5" t="inlineStr"/>
      <c r="J189" s="5" t="inlineStr"/>
      <c r="K189" s="5" t="inlineStr">
        <is>
          <t>meslek-memur</t>
        </is>
      </c>
      <c r="L189" s="5" t="inlineStr">
        <is>
          <t>hapis</t>
        </is>
      </c>
      <c r="M189" s="5" t="inlineStr"/>
      <c r="N189" s="5" t="inlineStr"/>
      <c r="O189" s="5" t="inlineStr"/>
      <c r="P189" s="5" t="inlineStr"/>
      <c r="Q189" s="5" t="inlineStr"/>
      <c r="R189" s="6" t="inlineStr"/>
      <c r="S189" s="5" t="inlineStr"/>
      <c r="T189" s="5" t="inlineStr"/>
      <c r="U189" s="5" t="inlineStr"/>
      <c r="V189" s="5" t="inlineStr"/>
    </row>
    <row r="190">
      <c r="A190" s="5" t="inlineStr">
        <is>
          <t>b7-bayram-rotasi</t>
        </is>
      </c>
      <c r="B190" s="5" t="n">
        <v>7</v>
      </c>
      <c r="C190" s="5" t="inlineStr">
        <is>
          <t>31 yaş 2 ay</t>
        </is>
      </c>
      <c r="D190" s="5" t="inlineStr">
        <is>
          <t>🧭</t>
        </is>
      </c>
      <c r="E190" s="6" t="inlineStr">
        <is>
          <t>Bayram Rotası</t>
        </is>
      </c>
      <c r="F190" s="6" t="inlineStr">
        <is>
          <t>Bayram geliyor. İki aile, iki şehir, dört gün. Eşin haritayı açtı. Sen takvimi açtın. Kimse konuşmuyor.</t>
        </is>
      </c>
      <c r="G190" s="5" t="inlineStr">
        <is>
          <t>trafik</t>
        </is>
      </c>
      <c r="H190" s="5" t="inlineStr">
        <is>
          <t>sosyal</t>
        </is>
      </c>
      <c r="I190" s="5" t="inlineStr"/>
      <c r="J190" s="5" t="n">
        <v>1</v>
      </c>
      <c r="K190" s="5" t="inlineStr">
        <is>
          <t>evli</t>
        </is>
      </c>
      <c r="L190" s="5" t="inlineStr">
        <is>
          <t>hapis</t>
        </is>
      </c>
      <c r="M190" s="5" t="inlineStr"/>
      <c r="N190" s="5" t="inlineStr"/>
      <c r="O190" s="5" t="inlineStr"/>
      <c r="P190" s="5" t="inlineStr"/>
      <c r="Q190" s="5" t="inlineStr"/>
      <c r="R190" s="6" t="inlineStr"/>
      <c r="S190" s="5" t="inlineStr"/>
      <c r="T190" s="5" t="inlineStr"/>
      <c r="U190" s="5" t="inlineStr"/>
      <c r="V190" s="5" t="inlineStr"/>
    </row>
    <row r="191">
      <c r="A191" s="5" t="inlineStr">
        <is>
          <t>b7-uykusuz-geceler</t>
        </is>
      </c>
      <c r="B191" s="5" t="n">
        <v>7</v>
      </c>
      <c r="C191" s="5" t="inlineStr">
        <is>
          <t>32 yaş 8 ay</t>
        </is>
      </c>
      <c r="D191" s="5" t="inlineStr">
        <is>
          <t>🌙</t>
        </is>
      </c>
      <c r="E191" s="6" t="inlineStr">
        <is>
          <t>Saat Üç</t>
        </is>
      </c>
      <c r="F191" s="6" t="inlineStr">
        <is>
          <t>Saat üç. Bebek uyanık, sen de. Otuz iki yıl önce annen de bu saatte seni böyle sallamış, sabah yedide de kahvaltıyı hazırlamış. Arayıp teşekkür etmek istiyorsun; annen mışıl mışıl uyuyor.</t>
        </is>
      </c>
      <c r="G191" s="5" t="inlineStr">
        <is>
          <t>cocuk-odasi</t>
        </is>
      </c>
      <c r="H191" s="5" t="inlineStr">
        <is>
          <t>ev</t>
        </is>
      </c>
      <c r="I191" s="5" t="inlineStr"/>
      <c r="J191" s="5" t="n">
        <v>1</v>
      </c>
      <c r="K191" s="5" t="inlineStr">
        <is>
          <t>cocuklu</t>
        </is>
      </c>
      <c r="L191" s="5" t="inlineStr">
        <is>
          <t>hapis</t>
        </is>
      </c>
      <c r="M191" s="5" t="inlineStr"/>
      <c r="N191" s="5" t="inlineStr"/>
      <c r="O191" s="5" t="inlineStr"/>
      <c r="P191" s="5" t="inlineStr"/>
      <c r="Q191" s="5" t="inlineStr"/>
      <c r="R191" s="6" t="inlineStr"/>
      <c r="S191" s="5" t="inlineStr"/>
      <c r="T191" s="5" t="inlineStr"/>
      <c r="U191" s="5" t="inlineStr"/>
      <c r="V191" s="5" t="inlineStr"/>
    </row>
    <row r="192">
      <c r="A192" s="5" t="inlineStr">
        <is>
          <t>b7-site-toplantisi</t>
        </is>
      </c>
      <c r="B192" s="5" t="n">
        <v>7</v>
      </c>
      <c r="C192" s="5" t="inlineStr">
        <is>
          <t>33 yaş</t>
        </is>
      </c>
      <c r="D192" s="5" t="inlineStr">
        <is>
          <t>🏢</t>
        </is>
      </c>
      <c r="E192" s="6" t="inlineStr">
        <is>
          <t>Olağan Genel Kurul</t>
        </is>
      </c>
      <c r="F192" s="6" t="inlineStr">
        <is>
          <t>Site toplantısı. Gündem: aidat artışı, çatı yalıtımı, 4. kattaki komşunun ayakkabılığı. Bu toplantı üç saat sürecek.</t>
        </is>
      </c>
      <c r="G192" s="5" t="inlineStr">
        <is>
          <t>apartman</t>
        </is>
      </c>
      <c r="H192" s="5" t="inlineStr">
        <is>
          <t>para</t>
        </is>
      </c>
      <c r="I192" s="5" t="inlineStr"/>
      <c r="J192" s="5" t="n">
        <v>1</v>
      </c>
      <c r="K192" s="5" t="inlineStr"/>
      <c r="L192" s="5" t="inlineStr">
        <is>
          <t>hapis, evde-kaldi, hat-koy</t>
        </is>
      </c>
      <c r="M192" s="5" t="inlineStr"/>
      <c r="N192" s="5" t="inlineStr"/>
      <c r="O192" s="5" t="inlineStr"/>
      <c r="P192" s="5" t="inlineStr"/>
      <c r="Q192" s="5" t="inlineStr"/>
      <c r="R192" s="6" t="inlineStr"/>
      <c r="S192" s="5" t="inlineStr"/>
      <c r="T192" s="5" t="inlineStr"/>
      <c r="U192" s="5" t="inlineStr"/>
      <c r="V192" s="5" t="inlineStr"/>
    </row>
    <row r="193">
      <c r="A193" s="5" t="inlineStr">
        <is>
          <t>ms-yapay-zeka-rakip</t>
        </is>
      </c>
      <c r="B193" s="5" t="n">
        <v>7</v>
      </c>
      <c r="C193" s="5" t="inlineStr">
        <is>
          <t>33 yaş</t>
        </is>
      </c>
      <c r="D193" s="5" t="inlineStr">
        <is>
          <t>🦾</t>
        </is>
      </c>
      <c r="E193" s="6" t="inlineStr">
        <is>
          <t>Yapay Zekâ Rekabeti</t>
        </is>
      </c>
      <c r="F193" s="6" t="inlineStr">
        <is>
          <t>Müşteri yazdı: 'Yapay zekâ bunu beş saniyede yaptı. Siz neden beş gün istiyorsunuz?' Ekte altı parmaklı bir el var.</t>
        </is>
      </c>
      <c r="G193" s="5" t="inlineStr">
        <is>
          <t>ev</t>
        </is>
      </c>
      <c r="H193" s="5" t="inlineStr"/>
      <c r="I193" s="5" t="inlineStr"/>
      <c r="J193" s="5" t="n">
        <v>1</v>
      </c>
      <c r="K193" s="5" t="inlineStr">
        <is>
          <t>meslek-serbest</t>
        </is>
      </c>
      <c r="L193" s="5" t="inlineStr">
        <is>
          <t>hapis</t>
        </is>
      </c>
      <c r="M193" s="5" t="inlineStr"/>
      <c r="N193" s="5" t="inlineStr"/>
      <c r="O193" s="5" t="inlineStr"/>
      <c r="P193" s="5" t="inlineStr"/>
      <c r="Q193" s="5" t="inlineStr"/>
      <c r="R193" s="6" t="inlineStr"/>
      <c r="S193" s="5" t="inlineStr"/>
      <c r="T193" s="5" t="inlineStr"/>
      <c r="U193" s="5" t="inlineStr"/>
      <c r="V193" s="5" t="inlineStr"/>
    </row>
    <row r="194">
      <c r="A194" s="5" t="inlineStr">
        <is>
          <t>b7-ilk-kelime</t>
        </is>
      </c>
      <c r="B194" s="5" t="n">
        <v>7</v>
      </c>
      <c r="C194" s="5" t="inlineStr">
        <is>
          <t>33 yaş 4 ay</t>
        </is>
      </c>
      <c r="D194" s="5" t="inlineStr">
        <is>
          <t>🗣️</t>
        </is>
      </c>
      <c r="E194" s="6" t="inlineStr">
        <is>
          <t>İlk Kelime</t>
        </is>
      </c>
      <c r="F194" s="6" t="inlineStr">
        <is>
          <t>Pazar kahvaltısı. Çocuğun bir yaşında; kaşığı bıraktı, ağzını açtı. Masada herkes çatalını havada dondurdu. Üç telefon kayıtta, iki büyükanne nefesini tutmuş.</t>
        </is>
      </c>
      <c r="G194" s="5" t="inlineStr">
        <is>
          <t>ev</t>
        </is>
      </c>
      <c r="H194" s="5" t="inlineStr">
        <is>
          <t>ev</t>
        </is>
      </c>
      <c r="I194" s="5" t="inlineStr"/>
      <c r="J194" s="5" t="n">
        <v>1</v>
      </c>
      <c r="K194" s="5" t="inlineStr">
        <is>
          <t>cocuklu</t>
        </is>
      </c>
      <c r="L194" s="5" t="inlineStr">
        <is>
          <t>hapis</t>
        </is>
      </c>
      <c r="M194" s="5" t="inlineStr"/>
      <c r="N194" s="5" t="inlineStr"/>
      <c r="O194" s="5" t="inlineStr"/>
      <c r="P194" s="5" t="inlineStr"/>
      <c r="Q194" s="5" t="inlineStr"/>
      <c r="R194" s="6" t="inlineStr"/>
      <c r="S194" s="5" t="inlineStr"/>
      <c r="T194" s="5" t="inlineStr"/>
      <c r="U194" s="5" t="inlineStr"/>
      <c r="V194" s="5" t="inlineStr"/>
    </row>
    <row r="195">
      <c r="A195" s="5" t="inlineStr">
        <is>
          <t>b7-cocuklu-dogum-gunu</t>
        </is>
      </c>
      <c r="B195" s="5" t="n">
        <v>7</v>
      </c>
      <c r="C195" s="5" t="inlineStr">
        <is>
          <t>33 yaş 8 ay</t>
        </is>
      </c>
      <c r="D195" s="5" t="inlineStr">
        <is>
          <t>🎈</t>
        </is>
      </c>
      <c r="E195" s="6" t="inlineStr">
        <is>
          <t>Beş Yaş Partisi</t>
        </is>
      </c>
      <c r="F195" s="6" t="inlineStr">
        <is>
          <t>Arkadaşının çocuğunun beş yaş partisindesin. Salonda on dört çocuk, on iki veli, bir palyaço ve sen; tek çocuksuz sensin. Elinde balonla bir çocuk yanına geldi: “Senin çocuğun hangisi?”</t>
        </is>
      </c>
      <c r="G195" s="5" t="inlineStr">
        <is>
          <t>park</t>
        </is>
      </c>
      <c r="H195" s="5" t="inlineStr">
        <is>
          <t>sosyal</t>
        </is>
      </c>
      <c r="I195" s="5" t="inlineStr"/>
      <c r="J195" s="5" t="n">
        <v>1</v>
      </c>
      <c r="K195" s="5" t="inlineStr"/>
      <c r="L195" s="5" t="inlineStr">
        <is>
          <t>evli, hapis</t>
        </is>
      </c>
      <c r="M195" s="5" t="inlineStr"/>
      <c r="N195" s="5" t="inlineStr"/>
      <c r="O195" s="5" t="inlineStr"/>
      <c r="P195" s="5" t="inlineStr"/>
      <c r="Q195" s="5" t="inlineStr"/>
      <c r="R195" s="6" t="inlineStr"/>
      <c r="S195" s="5" t="inlineStr"/>
      <c r="T195" s="5" t="inlineStr"/>
      <c r="U195" s="5" t="inlineStr"/>
      <c r="V195" s="5" t="inlineStr"/>
    </row>
    <row r="196">
      <c r="A196" s="5" t="inlineStr">
        <is>
          <t>b7-ev-esyasi</t>
        </is>
      </c>
      <c r="B196" s="5" t="n">
        <v>7</v>
      </c>
      <c r="C196" s="5" t="inlineStr">
        <is>
          <t>34 yaş</t>
        </is>
      </c>
      <c r="D196" s="5" t="inlineStr">
        <is>
          <t>🛋️</t>
        </is>
      </c>
      <c r="E196" s="6" t="inlineStr">
        <is>
          <t>Koltuk Takımı</t>
        </is>
      </c>
      <c r="F196" s="6" t="inlineStr">
        <is>
          <t>Mobilya mağazasında üç saattir aynı iki koltuğa bakıyorsunuz. Satış danışmanı artık sizinle birlikte yaşlanıyor.</t>
        </is>
      </c>
      <c r="G196" s="5" t="inlineStr">
        <is>
          <t>carsi</t>
        </is>
      </c>
      <c r="H196" s="5" t="inlineStr">
        <is>
          <t>ev</t>
        </is>
      </c>
      <c r="I196" s="5" t="inlineStr"/>
      <c r="J196" s="5" t="n">
        <v>1</v>
      </c>
      <c r="K196" s="5" t="inlineStr">
        <is>
          <t>evli</t>
        </is>
      </c>
      <c r="L196" s="5" t="inlineStr">
        <is>
          <t>hapis</t>
        </is>
      </c>
      <c r="M196" s="5" t="inlineStr"/>
      <c r="N196" s="5" t="inlineStr"/>
      <c r="O196" s="5" t="inlineStr"/>
      <c r="P196" s="5" t="inlineStr"/>
      <c r="Q196" s="5" t="inlineStr"/>
      <c r="R196" s="6" t="inlineStr"/>
      <c r="S196" s="5" t="inlineStr"/>
      <c r="T196" s="5" t="inlineStr"/>
      <c r="U196" s="5" t="inlineStr"/>
      <c r="V196" s="5" t="inlineStr"/>
    </row>
    <row r="197">
      <c r="A197" s="5" t="inlineStr">
        <is>
          <t>mb-yillik-izin</t>
        </is>
      </c>
      <c r="B197" s="5" t="n">
        <v>7</v>
      </c>
      <c r="C197" s="5" t="inlineStr">
        <is>
          <t>34 yaş</t>
        </is>
      </c>
      <c r="D197" s="5" t="inlineStr">
        <is>
          <t>🏖️</t>
        </is>
      </c>
      <c r="E197" s="6" t="inlineStr">
        <is>
          <t>Yıllık İzin Savaşı</t>
        </is>
      </c>
      <c r="F197" s="6" t="inlineStr">
        <is>
          <t>İzin planlama sistemi açıldı. Bayram köprüsü için bütün ekip aynı saniyede tıkladı. Sistem çöktü.</t>
        </is>
      </c>
      <c r="G197" s="5" t="inlineStr">
        <is>
          <t>ofis</t>
        </is>
      </c>
      <c r="H197" s="5" t="inlineStr"/>
      <c r="I197" s="5" t="inlineStr"/>
      <c r="J197" s="5" t="n">
        <v>1</v>
      </c>
      <c r="K197" s="5" t="inlineStr">
        <is>
          <t>meslek-beyazyaka</t>
        </is>
      </c>
      <c r="L197" s="5" t="inlineStr">
        <is>
          <t>hapis</t>
        </is>
      </c>
      <c r="M197" s="5" t="inlineStr"/>
      <c r="N197" s="5" t="inlineStr"/>
      <c r="O197" s="5" t="inlineStr"/>
      <c r="P197" s="5" t="inlineStr"/>
      <c r="Q197" s="5" t="inlineStr"/>
      <c r="R197" s="6" t="inlineStr"/>
      <c r="S197" s="5" t="inlineStr"/>
      <c r="T197" s="5" t="inlineStr"/>
      <c r="U197" s="5" t="inlineStr"/>
      <c r="V197" s="5" t="inlineStr"/>
    </row>
    <row r="198">
      <c r="A198" s="5" t="inlineStr">
        <is>
          <t>me-cirak</t>
        </is>
      </c>
      <c r="B198" s="5" t="n">
        <v>7</v>
      </c>
      <c r="C198" s="5" t="inlineStr">
        <is>
          <t>34 yaş</t>
        </is>
      </c>
      <c r="D198" s="5" t="inlineStr">
        <is>
          <t>🧰</t>
        </is>
      </c>
      <c r="E198" s="6" t="inlineStr">
        <is>
          <t>Çırak Geldi</t>
        </is>
      </c>
      <c r="F198" s="6" t="inlineStr">
        <is>
          <t>Kapıda bir baba ile oğlu. Baba çocuğu hafifçe öne itti: “Okulla arası yok ama eli yatkın. Adam et usta.” Usta sensin. Bu kelimeyi ilk kez senin için kullandılar.</t>
        </is>
      </c>
      <c r="G198" s="5" t="inlineStr">
        <is>
          <t>dukkan</t>
        </is>
      </c>
      <c r="H198" s="5" t="inlineStr"/>
      <c r="I198" s="5" t="inlineStr"/>
      <c r="J198" s="5" t="inlineStr"/>
      <c r="K198" s="5" t="inlineStr">
        <is>
          <t>meslek-esnaf</t>
        </is>
      </c>
      <c r="L198" s="5" t="inlineStr">
        <is>
          <t>hapis</t>
        </is>
      </c>
      <c r="M198" s="5" t="inlineStr"/>
      <c r="N198" s="5" t="inlineStr"/>
      <c r="O198" s="5" t="inlineStr"/>
      <c r="P198" s="5" t="inlineStr"/>
      <c r="Q198" s="5" t="inlineStr"/>
      <c r="R198" s="6" t="inlineStr"/>
      <c r="S198" s="5" t="inlineStr"/>
      <c r="T198" s="5" t="inlineStr"/>
      <c r="U198" s="5" t="inlineStr"/>
      <c r="V198" s="5" t="inlineStr"/>
    </row>
    <row r="199">
      <c r="A199" s="5" t="inlineStr">
        <is>
          <t>b7-ev-kredisi</t>
        </is>
      </c>
      <c r="B199" s="5" t="n">
        <v>7</v>
      </c>
      <c r="C199" s="5" t="inlineStr">
        <is>
          <t>34 yaş 6 ay</t>
        </is>
      </c>
      <c r="D199" s="5" t="inlineStr">
        <is>
          <t>🔑</t>
        </is>
      </c>
      <c r="E199" s="6" t="inlineStr">
        <is>
          <t>Ev Meselesi</t>
        </is>
      </c>
      <c r="F199" s="6" t="inlineStr">
        <is>
          <t>Emlakçı “Bu fiyata bir daha bulamazsınız” dedi; dördüncü emlakçı. Banka temsilcisi yirmi yıllık bir tablo uzattı, son satırında yaşın 54. Annen telefonda: “Kiraya verilen para sokağa atılan paradır.”</t>
        </is>
      </c>
      <c r="G199" s="5" t="inlineStr">
        <is>
          <t>banka</t>
        </is>
      </c>
      <c r="H199" s="5" t="inlineStr">
        <is>
          <t>para</t>
        </is>
      </c>
      <c r="I199" s="5" t="inlineStr">
        <is>
          <t>E</t>
        </is>
      </c>
      <c r="J199" s="5" t="n">
        <v>1</v>
      </c>
      <c r="K199" s="5" t="inlineStr"/>
      <c r="L199" s="5" t="inlineStr">
        <is>
          <t>ev-sahibi, hapis</t>
        </is>
      </c>
      <c r="M199" s="5" t="inlineStr"/>
      <c r="N199" s="5" t="inlineStr"/>
      <c r="O199" s="5" t="inlineStr"/>
      <c r="P199" s="5" t="inlineStr"/>
      <c r="Q199" s="5" t="n">
        <v>9</v>
      </c>
      <c r="R199" s="6" t="inlineStr">
        <is>
          <t>Tapu, bu ülkede bir hayatın kısa özetidir. Kimi krediyle alır ve yirmi yıl bankayla evli kalır, kimi ailesinden alır ve her pazar ailesini ağırlar, kimi hiç almaz ve her yıl ev sahibinin mesajını bekler.</t>
        </is>
      </c>
      <c r="S199" s="5" t="inlineStr"/>
      <c r="T199" s="5" t="inlineStr"/>
      <c r="U199" s="5" t="inlineStr"/>
      <c r="V199" s="5" t="inlineStr"/>
    </row>
    <row r="200">
      <c r="A200" s="5" t="inlineStr">
        <is>
          <t>b7-kres-kaydi</t>
        </is>
      </c>
      <c r="B200" s="5" t="n">
        <v>7</v>
      </c>
      <c r="C200" s="5" t="inlineStr">
        <is>
          <t>34 yaş 10 ay</t>
        </is>
      </c>
      <c r="D200" s="5" t="inlineStr">
        <is>
          <t>🎒</t>
        </is>
      </c>
      <c r="E200" s="6" t="inlineStr">
        <is>
          <t>Kreş Kaydı</t>
        </is>
      </c>
      <c r="F200" s="6" t="inlineStr">
        <is>
          <t>Kreş müdürü gözlüğünün üstünden bakıyor: “Çocuğunuzun sosyal becerileri nasıl?” Çocuğun o sırada halıdaki peluş tavşanın kulağını kemiriyor. Müdür bekliyor, sonra ekliyor: “Sizinkiler nasıl?”</t>
        </is>
      </c>
      <c r="G200" s="5" t="inlineStr">
        <is>
          <t>okul</t>
        </is>
      </c>
      <c r="H200" s="5" t="inlineStr">
        <is>
          <t>okul-iş</t>
        </is>
      </c>
      <c r="I200" s="5" t="inlineStr"/>
      <c r="J200" s="5" t="n">
        <v>1</v>
      </c>
      <c r="K200" s="5" t="inlineStr">
        <is>
          <t>cocuklu</t>
        </is>
      </c>
      <c r="L200" s="5" t="inlineStr">
        <is>
          <t>hapis</t>
        </is>
      </c>
      <c r="M200" s="5" t="inlineStr"/>
      <c r="N200" s="5" t="inlineStr"/>
      <c r="O200" s="5" t="inlineStr"/>
      <c r="P200" s="5" t="inlineStr"/>
      <c r="Q200" s="5" t="inlineStr"/>
      <c r="R200" s="6" t="inlineStr"/>
      <c r="S200" s="5" t="inlineStr"/>
      <c r="T200" s="5" t="inlineStr"/>
      <c r="U200" s="5" t="inlineStr"/>
      <c r="V200" s="5" t="inlineStr"/>
    </row>
    <row r="201">
      <c r="A201" s="5" t="inlineStr">
        <is>
          <t>mm-kayip-dosya</t>
        </is>
      </c>
      <c r="B201" s="5" t="n">
        <v>7</v>
      </c>
      <c r="C201" s="5" t="inlineStr">
        <is>
          <t>35 yaş</t>
        </is>
      </c>
      <c r="D201" s="5" t="inlineStr">
        <is>
          <t>📁</t>
        </is>
      </c>
      <c r="E201" s="6" t="inlineStr">
        <is>
          <t>Kayıp Dosya</t>
        </is>
      </c>
      <c r="F201" s="6" t="inlineStr">
        <is>
          <t>Bir dosya kayboldu. Numarası belli, sahibi belli, rafı belli. Rafta sadece dosyanın boşluğu var.</t>
        </is>
      </c>
      <c r="G201" s="5" t="inlineStr">
        <is>
          <t>devlet-dairesi</t>
        </is>
      </c>
      <c r="H201" s="5" t="inlineStr"/>
      <c r="I201" s="5" t="inlineStr"/>
      <c r="J201" s="5" t="inlineStr"/>
      <c r="K201" s="5" t="inlineStr">
        <is>
          <t>meslek-memur</t>
        </is>
      </c>
      <c r="L201" s="5" t="inlineStr">
        <is>
          <t>hapis</t>
        </is>
      </c>
      <c r="M201" s="5" t="inlineStr"/>
      <c r="N201" s="5" t="inlineStr"/>
      <c r="O201" s="5" t="inlineStr"/>
      <c r="P201" s="5" t="inlineStr"/>
      <c r="Q201" s="5" t="inlineStr"/>
      <c r="R201" s="6" t="inlineStr"/>
      <c r="S201" s="5" t="inlineStr"/>
      <c r="T201" s="5" t="inlineStr"/>
      <c r="U201" s="5" t="inlineStr"/>
      <c r="V201" s="5" t="inlineStr"/>
    </row>
    <row r="202">
      <c r="A202" s="5" t="inlineStr">
        <is>
          <t>b7-saglik-kontrolu</t>
        </is>
      </c>
      <c r="B202" s="5" t="n">
        <v>7</v>
      </c>
      <c r="C202" s="5" t="inlineStr">
        <is>
          <t>35 yaş 3 ay</t>
        </is>
      </c>
      <c r="D202" s="5" t="inlineStr">
        <is>
          <t>🩺</t>
        </is>
      </c>
      <c r="E202" s="6" t="inlineStr">
        <is>
          <t>Genel Kontrol</t>
        </is>
      </c>
      <c r="F202" s="6" t="inlineStr">
        <is>
          <t>Doktor tahlil sonuçlarına bakıp 'Hmm' dedi. Sonra 'Spor yapıyor musunuz?' diye sordu. Cevap vermeden önce yüzün cevap verdi.</t>
        </is>
      </c>
      <c r="G202" s="5" t="inlineStr">
        <is>
          <t>hastane</t>
        </is>
      </c>
      <c r="H202" s="5" t="inlineStr"/>
      <c r="I202" s="5" t="inlineStr"/>
      <c r="J202" s="5" t="n">
        <v>1</v>
      </c>
      <c r="K202" s="5" t="inlineStr"/>
      <c r="L202" s="5" t="inlineStr">
        <is>
          <t>hapis</t>
        </is>
      </c>
      <c r="M202" s="5" t="inlineStr"/>
      <c r="N202" s="5" t="inlineStr"/>
      <c r="O202" s="5" t="inlineStr"/>
      <c r="P202" s="5" t="inlineStr"/>
      <c r="Q202" s="5" t="inlineStr"/>
      <c r="R202" s="6" t="inlineStr"/>
      <c r="S202" s="5" t="inlineStr"/>
      <c r="T202" s="5" t="inlineStr"/>
      <c r="U202" s="5" t="inlineStr"/>
      <c r="V202" s="5" t="inlineStr"/>
    </row>
    <row r="203">
      <c r="A203" s="5" t="inlineStr">
        <is>
          <t>b7-bekar-evi</t>
        </is>
      </c>
      <c r="B203" s="5" t="n">
        <v>7</v>
      </c>
      <c r="C203" s="5" t="inlineStr">
        <is>
          <t>35 yaş 8 ay</t>
        </is>
      </c>
      <c r="D203" s="5" t="inlineStr">
        <is>
          <t>🍜</t>
        </is>
      </c>
      <c r="E203" s="6" t="inlineStr">
        <is>
          <t>Bekâr Evi Ekonomisi</t>
        </is>
      </c>
      <c r="F203" s="6" t="inlineStr">
        <is>
          <t>Buzdolabında bir hardal, iki yumurta ve belirsiz bir tarihe ait bir tencere var. Yemek uygulaması seni 'altın üye' yaptı.</t>
        </is>
      </c>
      <c r="G203" s="5" t="inlineStr">
        <is>
          <t>mutfak</t>
        </is>
      </c>
      <c r="H203" s="5" t="inlineStr">
        <is>
          <t>para</t>
        </is>
      </c>
      <c r="I203" s="5" t="inlineStr"/>
      <c r="J203" s="5" t="n">
        <v>1</v>
      </c>
      <c r="K203" s="5" t="inlineStr"/>
      <c r="L203" s="5" t="inlineStr">
        <is>
          <t>evli, hapis</t>
        </is>
      </c>
      <c r="M203" s="5" t="inlineStr"/>
      <c r="N203" s="5" t="inlineStr"/>
      <c r="O203" s="5" t="inlineStr"/>
      <c r="P203" s="5" t="inlineStr"/>
      <c r="Q203" s="5" t="inlineStr"/>
      <c r="R203" s="6" t="inlineStr"/>
      <c r="S203" s="5" t="inlineStr"/>
      <c r="T203" s="5" t="inlineStr"/>
      <c r="U203" s="5" t="inlineStr"/>
      <c r="V203" s="5" t="inlineStr"/>
    </row>
    <row r="204">
      <c r="A204" s="5" t="inlineStr">
        <is>
          <t>b7-hastane-gecesi</t>
        </is>
      </c>
      <c r="B204" s="5" t="n">
        <v>7</v>
      </c>
      <c r="C204" s="5" t="inlineStr">
        <is>
          <t>36 yaş</t>
        </is>
      </c>
      <c r="D204" s="5" t="inlineStr">
        <is>
          <t>🚑</t>
        </is>
      </c>
      <c r="E204" s="6" t="inlineStr">
        <is>
          <t>Acil Servis, 02:40</t>
        </is>
      </c>
      <c r="F204" s="6" t="inlineStr">
        <is>
          <t>Gece ikiyi kırk geçiyor. Çocuğunun ateşi otuz dokuz buçuk; kucağında uyuyor, nefesi sıcak. Elindeki sıra numarası 47, pano 31'de. Pano yarım saattir kıpırdamadı.</t>
        </is>
      </c>
      <c r="G204" s="5" t="inlineStr">
        <is>
          <t>hastane</t>
        </is>
      </c>
      <c r="H204" s="5" t="inlineStr"/>
      <c r="I204" s="5" t="inlineStr"/>
      <c r="J204" s="5" t="n">
        <v>1</v>
      </c>
      <c r="K204" s="5" t="inlineStr">
        <is>
          <t>cocuklu</t>
        </is>
      </c>
      <c r="L204" s="5" t="inlineStr">
        <is>
          <t>hapis</t>
        </is>
      </c>
      <c r="M204" s="5" t="inlineStr"/>
      <c r="N204" s="5" t="inlineStr"/>
      <c r="O204" s="5" t="inlineStr"/>
      <c r="P204" s="5" t="inlineStr"/>
      <c r="Q204" s="5" t="inlineStr"/>
      <c r="R204" s="6" t="inlineStr"/>
      <c r="S204" s="5" t="inlineStr"/>
      <c r="T204" s="5" t="inlineStr"/>
      <c r="U204" s="5" t="inlineStr"/>
      <c r="V204" s="5" t="inlineStr"/>
    </row>
    <row r="205">
      <c r="A205" s="5" t="inlineStr">
        <is>
          <t>ms-gercek-is</t>
        </is>
      </c>
      <c r="B205" s="5" t="n">
        <v>7</v>
      </c>
      <c r="C205" s="5" t="inlineStr">
        <is>
          <t>36 yaş</t>
        </is>
      </c>
      <c r="D205" s="5" t="inlineStr">
        <is>
          <t>💍</t>
        </is>
      </c>
      <c r="E205" s="6" t="inlineStr">
        <is>
          <t>'Gerçek Bir İş'</t>
        </is>
      </c>
      <c r="F205" s="6" t="inlineStr">
        <is>
          <t>Bir akraba düğünündesin. Masadaki teyze sordu: 'Hâlâ o işi mi yapıyorsun? Gerçek bir işe ne zaman gireceksin?'</t>
        </is>
      </c>
      <c r="G205" s="5" t="inlineStr">
        <is>
          <t>dugun-salonu</t>
        </is>
      </c>
      <c r="H205" s="5" t="inlineStr">
        <is>
          <t>sosyal</t>
        </is>
      </c>
      <c r="I205" s="5" t="inlineStr"/>
      <c r="J205" s="5" t="n">
        <v>1</v>
      </c>
      <c r="K205" s="5" t="inlineStr">
        <is>
          <t>meslek-serbest</t>
        </is>
      </c>
      <c r="L205" s="5" t="inlineStr">
        <is>
          <t>hapis</t>
        </is>
      </c>
      <c r="M205" s="5" t="inlineStr"/>
      <c r="N205" s="5" t="inlineStr"/>
      <c r="O205" s="5" t="inlineStr"/>
      <c r="P205" s="5" t="inlineStr"/>
      <c r="Q205" s="5" t="inlineStr"/>
      <c r="R205" s="6" t="inlineStr"/>
      <c r="S205" s="5" t="inlineStr"/>
      <c r="T205" s="5" t="inlineStr"/>
      <c r="U205" s="5" t="inlineStr"/>
      <c r="V205" s="5" t="inlineStr"/>
    </row>
    <row r="206">
      <c r="A206" s="5" t="inlineStr">
        <is>
          <t>b7-mutfak-tadilati</t>
        </is>
      </c>
      <c r="B206" s="5" t="n">
        <v>7</v>
      </c>
      <c r="C206" s="5" t="inlineStr">
        <is>
          <t>36 yaş 6 ay</t>
        </is>
      </c>
      <c r="D206" s="5" t="inlineStr">
        <is>
          <t>🔨</t>
        </is>
      </c>
      <c r="E206" s="6" t="inlineStr">
        <is>
          <t>Mutfak Tadilatı</t>
        </is>
      </c>
      <c r="F206" s="6" t="inlineStr">
        <is>
          <t>Tadilat ustası dolap rengini soruyor. Sen 'antrasit' diyorsun, eşin 'krem'. Usta çayını bitirmeden sonuç bekliyor.</t>
        </is>
      </c>
      <c r="G206" s="5" t="inlineStr">
        <is>
          <t>mutfak</t>
        </is>
      </c>
      <c r="H206" s="5" t="inlineStr">
        <is>
          <t>ev</t>
        </is>
      </c>
      <c r="I206" s="5" t="inlineStr"/>
      <c r="J206" s="5" t="n">
        <v>1</v>
      </c>
      <c r="K206" s="5" t="inlineStr">
        <is>
          <t>evli</t>
        </is>
      </c>
      <c r="L206" s="5" t="inlineStr">
        <is>
          <t>hapis</t>
        </is>
      </c>
      <c r="M206" s="5" t="inlineStr"/>
      <c r="N206" s="5" t="inlineStr"/>
      <c r="O206" s="5" t="inlineStr"/>
      <c r="P206" s="5" t="inlineStr"/>
      <c r="Q206" s="5" t="inlineStr"/>
      <c r="R206" s="6" t="inlineStr"/>
      <c r="S206" s="5" t="inlineStr"/>
      <c r="T206" s="5" t="inlineStr"/>
      <c r="U206" s="5" t="inlineStr"/>
      <c r="V206" s="5" t="inlineStr"/>
    </row>
    <row r="207">
      <c r="A207" s="5" t="inlineStr">
        <is>
          <t>b7-ebeveyn-grubu</t>
        </is>
      </c>
      <c r="B207" s="5" t="n">
        <v>7</v>
      </c>
      <c r="C207" s="5" t="inlineStr">
        <is>
          <t>37 yaş</t>
        </is>
      </c>
      <c r="D207" s="5" t="inlineStr">
        <is>
          <t>📲</t>
        </is>
      </c>
      <c r="E207" s="6" t="inlineStr">
        <is>
          <t>Veli Mesaj Grubu</t>
        </is>
      </c>
      <c r="F207" s="6" t="inlineStr">
        <is>
          <t>Anaokulunun veli grubunda 312 okunmamış mesaj var. Konu: öğretmen günü hediyesi. Sen hâlâ ilk mesajdasın.</t>
        </is>
      </c>
      <c r="G207" s="5" t="inlineStr">
        <is>
          <t>ev</t>
        </is>
      </c>
      <c r="H207" s="5" t="inlineStr">
        <is>
          <t>sosyal</t>
        </is>
      </c>
      <c r="I207" s="5" t="inlineStr"/>
      <c r="J207" s="5" t="n">
        <v>1</v>
      </c>
      <c r="K207" s="5" t="inlineStr">
        <is>
          <t>cocuklu</t>
        </is>
      </c>
      <c r="L207" s="5" t="inlineStr">
        <is>
          <t>hapis</t>
        </is>
      </c>
      <c r="M207" s="5" t="inlineStr"/>
      <c r="N207" s="5" t="inlineStr"/>
      <c r="O207" s="5" t="inlineStr"/>
      <c r="P207" s="5" t="inlineStr"/>
      <c r="Q207" s="5" t="inlineStr"/>
      <c r="R207" s="6" t="inlineStr"/>
      <c r="S207" s="5" t="inlineStr"/>
      <c r="T207" s="5" t="inlineStr"/>
      <c r="U207" s="5" t="inlineStr"/>
      <c r="V207" s="5" t="inlineStr"/>
    </row>
    <row r="208">
      <c r="A208" s="5" t="inlineStr">
        <is>
          <t>mb-takim-ruhu</t>
        </is>
      </c>
      <c r="B208" s="5" t="n">
        <v>7</v>
      </c>
      <c r="C208" s="5" t="inlineStr">
        <is>
          <t>37 yaş</t>
        </is>
      </c>
      <c r="D208" s="5" t="inlineStr">
        <is>
          <t>🤝</t>
        </is>
      </c>
      <c r="E208" s="6" t="inlineStr">
        <is>
          <t>Takım Ruhu Etkinliği</t>
        </is>
      </c>
      <c r="F208" s="6" t="inlineStr">
        <is>
          <t>Şirket motivasyon etkinliği: Hafta sonu, doğada. Katılım zorunlu değil ama 'takip ediliyor'.</t>
        </is>
      </c>
      <c r="G208" s="5" t="inlineStr">
        <is>
          <t>park</t>
        </is>
      </c>
      <c r="H208" s="5" t="inlineStr"/>
      <c r="I208" s="5" t="inlineStr"/>
      <c r="J208" s="5" t="n">
        <v>1</v>
      </c>
      <c r="K208" s="5" t="inlineStr">
        <is>
          <t>meslek-beyazyaka</t>
        </is>
      </c>
      <c r="L208" s="5" t="inlineStr">
        <is>
          <t>hapis</t>
        </is>
      </c>
      <c r="M208" s="5" t="inlineStr"/>
      <c r="N208" s="5" t="inlineStr"/>
      <c r="O208" s="5" t="inlineStr"/>
      <c r="P208" s="5" t="inlineStr"/>
      <c r="Q208" s="5" t="inlineStr"/>
      <c r="R208" s="6" t="inlineStr"/>
      <c r="S208" s="5" t="inlineStr"/>
      <c r="T208" s="5" t="inlineStr"/>
      <c r="U208" s="5" t="inlineStr"/>
      <c r="V208" s="5" t="inlineStr"/>
    </row>
    <row r="209">
      <c r="A209" s="5" t="inlineStr">
        <is>
          <t>me-indirim-sezonu</t>
        </is>
      </c>
      <c r="B209" s="5" t="n">
        <v>7</v>
      </c>
      <c r="C209" s="5" t="inlineStr">
        <is>
          <t>37 yaş</t>
        </is>
      </c>
      <c r="D209" s="5" t="inlineStr">
        <is>
          <t>🏷️</t>
        </is>
      </c>
      <c r="E209" s="6" t="inlineStr">
        <is>
          <t>İndirim Sezonu</t>
        </is>
      </c>
      <c r="F209" s="6" t="inlineStr">
        <is>
          <t>Büyük indirim haftası. Kapıda mahallenin teyzeleri, her biri “Geçen sene bu daha ucuzdu” diye başlıyor. Sezonun son malı da en üst rafta, toz içinde.</t>
        </is>
      </c>
      <c r="G209" s="5" t="inlineStr">
        <is>
          <t>dukkan</t>
        </is>
      </c>
      <c r="H209" s="5" t="inlineStr"/>
      <c r="I209" s="5" t="inlineStr"/>
      <c r="J209" s="5" t="inlineStr"/>
      <c r="K209" s="5" t="inlineStr">
        <is>
          <t>meslek-esnaf</t>
        </is>
      </c>
      <c r="L209" s="5" t="inlineStr">
        <is>
          <t>hapis</t>
        </is>
      </c>
      <c r="M209" s="5" t="inlineStr"/>
      <c r="N209" s="5" t="inlineStr"/>
      <c r="O209" s="5" t="inlineStr"/>
      <c r="P209" s="5" t="inlineStr"/>
      <c r="Q209" s="5" t="inlineStr"/>
      <c r="R209" s="6" t="inlineStr"/>
      <c r="S209" s="5" t="inlineStr"/>
      <c r="T209" s="5" t="inlineStr"/>
      <c r="U209" s="5" t="inlineStr"/>
      <c r="V209" s="5" t="inlineStr"/>
    </row>
    <row r="210">
      <c r="A210" s="5" t="inlineStr">
        <is>
          <t>b7-borc-batagi</t>
        </is>
      </c>
      <c r="B210" s="5" t="n">
        <v>7</v>
      </c>
      <c r="C210" s="5" t="inlineStr">
        <is>
          <t>37 yaş 6 ay</t>
        </is>
      </c>
      <c r="D210" s="5" t="inlineStr">
        <is>
          <t>💳</t>
        </is>
      </c>
      <c r="E210" s="6" t="inlineStr">
        <is>
          <t>Asgari Ödeme</t>
        </is>
      </c>
      <c r="F210" s="6" t="inlineStr">
        <is>
          <t>Kredi kartı ekstresi geldi. Asgari ödeme tutarı büyük harflerle, toplam borç küçük harflerle yazılmış.</t>
        </is>
      </c>
      <c r="G210" s="5" t="inlineStr">
        <is>
          <t>banka</t>
        </is>
      </c>
      <c r="H210" s="5" t="inlineStr">
        <is>
          <t>para</t>
        </is>
      </c>
      <c r="I210" s="5" t="inlineStr"/>
      <c r="J210" s="5" t="n">
        <v>1</v>
      </c>
      <c r="K210" s="5" t="inlineStr"/>
      <c r="L210" s="5" t="inlineStr">
        <is>
          <t>hapis</t>
        </is>
      </c>
      <c r="M210" s="5" t="inlineStr"/>
      <c r="N210" s="5" t="inlineStr"/>
      <c r="O210" s="5" t="inlineStr"/>
      <c r="P210" s="5" t="inlineStr"/>
      <c r="Q210" s="5" t="inlineStr"/>
      <c r="R210" s="6" t="inlineStr"/>
      <c r="S210" s="5" t="inlineStr"/>
      <c r="T210" s="5" t="inlineStr"/>
      <c r="U210" s="5" t="inlineStr"/>
      <c r="V210" s="5" t="inlineStr"/>
    </row>
    <row r="211">
      <c r="A211" s="5" t="inlineStr">
        <is>
          <t>b7-dogum-gunu-partisi</t>
        </is>
      </c>
      <c r="B211" s="5" t="n">
        <v>7</v>
      </c>
      <c r="C211" s="5" t="inlineStr">
        <is>
          <t>38 yaş</t>
        </is>
      </c>
      <c r="D211" s="5" t="inlineStr">
        <is>
          <t>🎂</t>
        </is>
      </c>
      <c r="E211" s="6" t="inlineStr">
        <is>
          <t>Tema: Uzay</t>
        </is>
      </c>
      <c r="F211" s="6" t="inlineStr">
        <is>
          <t>Çocuğun altı yaşına giriyor; tema uzay. Anaokulundaki son partide sihirbaz da vardı, köpük makinesi de. Çocuğun her akşam yatmadan soruyor: “Bizimkinde ne olacak?”</t>
        </is>
      </c>
      <c r="G211" s="5" t="inlineStr">
        <is>
          <t>park</t>
        </is>
      </c>
      <c r="H211" s="5" t="inlineStr">
        <is>
          <t>sosyal</t>
        </is>
      </c>
      <c r="I211" s="5" t="inlineStr"/>
      <c r="J211" s="5" t="n">
        <v>1</v>
      </c>
      <c r="K211" s="5" t="inlineStr">
        <is>
          <t>cocuklu</t>
        </is>
      </c>
      <c r="L211" s="5" t="inlineStr">
        <is>
          <t>hapis</t>
        </is>
      </c>
      <c r="M211" s="5" t="inlineStr"/>
      <c r="N211" s="5" t="inlineStr"/>
      <c r="O211" s="5" t="inlineStr"/>
      <c r="P211" s="5" t="inlineStr"/>
      <c r="Q211" s="5" t="inlineStr"/>
      <c r="R211" s="6" t="inlineStr"/>
      <c r="S211" s="5" t="inlineStr"/>
      <c r="T211" s="5" t="inlineStr"/>
      <c r="U211" s="5" t="inlineStr"/>
      <c r="V211" s="5" t="inlineStr"/>
    </row>
    <row r="212">
      <c r="A212" s="5" t="inlineStr">
        <is>
          <t>mm-kurum-piknigi</t>
        </is>
      </c>
      <c r="B212" s="5" t="n">
        <v>7</v>
      </c>
      <c r="C212" s="5" t="inlineStr">
        <is>
          <t>38 yaş</t>
        </is>
      </c>
      <c r="D212" s="5" t="inlineStr">
        <is>
          <t>🧺</t>
        </is>
      </c>
      <c r="E212" s="6" t="inlineStr">
        <is>
          <t>Kurum Pikniği</t>
        </is>
      </c>
      <c r="F212" s="6" t="inlineStr">
        <is>
          <t>Yıllık kurum pikniği. Müdürlük çimlere taşındı: mangal, voleybol ve yıllardır itirazlı sonuçlanan halat çekme finali.</t>
        </is>
      </c>
      <c r="G212" s="5" t="inlineStr">
        <is>
          <t>park</t>
        </is>
      </c>
      <c r="H212" s="5" t="inlineStr"/>
      <c r="I212" s="5" t="inlineStr"/>
      <c r="J212" s="5" t="inlineStr"/>
      <c r="K212" s="5" t="inlineStr">
        <is>
          <t>meslek-memur</t>
        </is>
      </c>
      <c r="L212" s="5" t="inlineStr">
        <is>
          <t>hapis</t>
        </is>
      </c>
      <c r="M212" s="5" t="inlineStr"/>
      <c r="N212" s="5" t="inlineStr"/>
      <c r="O212" s="5" t="inlineStr"/>
      <c r="P212" s="5" t="inlineStr"/>
      <c r="Q212" s="5" t="inlineStr"/>
      <c r="R212" s="6" t="inlineStr"/>
      <c r="S212" s="5" t="inlineStr"/>
      <c r="T212" s="5" t="inlineStr"/>
      <c r="U212" s="5" t="inlineStr"/>
      <c r="V212" s="5" t="inlineStr"/>
    </row>
    <row r="213">
      <c r="A213" s="5" t="inlineStr">
        <is>
          <t>b7-yil-donumu</t>
        </is>
      </c>
      <c r="B213" s="5" t="n">
        <v>7</v>
      </c>
      <c r="C213" s="5" t="inlineStr">
        <is>
          <t>39 yaş</t>
        </is>
      </c>
      <c r="D213" s="5" t="inlineStr">
        <is>
          <t>🥂</t>
        </is>
      </c>
      <c r="E213" s="6" t="inlineStr">
        <is>
          <t>Evlilik Yıl Dönümü</t>
        </is>
      </c>
      <c r="F213" s="6" t="inlineStr">
        <is>
          <t>Telefon hatırlatıcısı: 'Yıl dönümü – bugün.' Hatırlatıcının kurulma tarihi: bugün, sabah 11:47.</t>
        </is>
      </c>
      <c r="G213" s="5" t="inlineStr">
        <is>
          <t>kafe</t>
        </is>
      </c>
      <c r="H213" s="5" t="inlineStr">
        <is>
          <t>ev</t>
        </is>
      </c>
      <c r="I213" s="5" t="inlineStr"/>
      <c r="J213" s="5" t="n">
        <v>1</v>
      </c>
      <c r="K213" s="5" t="inlineStr">
        <is>
          <t>evli</t>
        </is>
      </c>
      <c r="L213" s="5" t="inlineStr">
        <is>
          <t>hapis</t>
        </is>
      </c>
      <c r="M213" s="5" t="inlineStr"/>
      <c r="N213" s="5" t="inlineStr"/>
      <c r="O213" s="5" t="inlineStr"/>
      <c r="P213" s="5" t="inlineStr"/>
      <c r="Q213" s="5" t="inlineStr"/>
      <c r="R213" s="6" t="inlineStr"/>
      <c r="S213" s="5" t="inlineStr"/>
      <c r="T213" s="5" t="inlineStr"/>
      <c r="U213" s="5" t="inlineStr"/>
      <c r="V213" s="5" t="inlineStr"/>
    </row>
    <row r="214">
      <c r="A214" s="5" t="inlineStr">
        <is>
          <t>b8-kirk-yas</t>
        </is>
      </c>
      <c r="B214" s="5" t="n">
        <v>8</v>
      </c>
      <c r="C214" s="5" t="inlineStr">
        <is>
          <t>40 yaş</t>
        </is>
      </c>
      <c r="D214" s="5" t="inlineStr">
        <is>
          <t>🎂</t>
        </is>
      </c>
      <c r="E214" s="6" t="inlineStr">
        <is>
          <t>Kırk Yaş Envanteri</t>
        </is>
      </c>
      <c r="F214" s="6" t="inlineStr">
        <is>
          <t>Kırk yaşına girdin. Annen sabah yedide aradı: “Kırk oldun, benim için hâlâ bebeksin.” Aynanın karşısında bir sayım yaptın: iki diz, bir bel, dolu bir galeri, yarım kalmış üç hobi.</t>
        </is>
      </c>
      <c r="G214" s="5" t="inlineStr">
        <is>
          <t>ev</t>
        </is>
      </c>
      <c r="H214" s="5" t="inlineStr"/>
      <c r="I214" s="5" t="inlineStr">
        <is>
          <t>E</t>
        </is>
      </c>
      <c r="J214" s="5" t="n">
        <v>1</v>
      </c>
      <c r="K214" s="5" t="inlineStr"/>
      <c r="L214" s="5" t="inlineStr">
        <is>
          <t>hapis</t>
        </is>
      </c>
      <c r="M214" s="5" t="inlineStr"/>
      <c r="N214" s="5" t="inlineStr"/>
      <c r="O214" s="5" t="inlineStr"/>
      <c r="P214" s="5" t="inlineStr"/>
      <c r="Q214" s="5" t="inlineStr"/>
      <c r="R214" s="6" t="inlineStr"/>
      <c r="S214" s="5" t="inlineStr"/>
      <c r="T214" s="5" t="inlineStr"/>
      <c r="U214" s="5" t="inlineStr"/>
      <c r="V214" s="5" t="inlineStr"/>
    </row>
    <row r="215">
      <c r="A215" s="5" t="inlineStr">
        <is>
          <t>b8-motosiklet</t>
        </is>
      </c>
      <c r="B215" s="5" t="n">
        <v>8</v>
      </c>
      <c r="C215" s="5" t="inlineStr">
        <is>
          <t>40 yaş 6 ay</t>
        </is>
      </c>
      <c r="D215" s="5" t="inlineStr">
        <is>
          <t>🏍️</t>
        </is>
      </c>
      <c r="E215" s="6" t="inlineStr">
        <is>
          <t>Motosiklet Hevesi</t>
        </is>
      </c>
      <c r="F215" s="6" t="inlineStr">
        <is>
          <t>Galerideki motosiklet sana bakıyor. Sen de ona. Satıcı ikinizi de izliyor; komisyonun kokusunu almış.</t>
        </is>
      </c>
      <c r="G215" s="5" t="inlineStr">
        <is>
          <t>carsi</t>
        </is>
      </c>
      <c r="H215" s="5" t="inlineStr"/>
      <c r="I215" s="5" t="inlineStr"/>
      <c r="J215" s="5" t="n">
        <v>1</v>
      </c>
      <c r="K215" s="5" t="inlineStr"/>
      <c r="L215" s="5" t="inlineStr">
        <is>
          <t>hapis</t>
        </is>
      </c>
      <c r="M215" s="5" t="inlineStr"/>
      <c r="N215" s="5" t="inlineStr"/>
      <c r="O215" s="5" t="inlineStr"/>
      <c r="P215" s="5" t="inlineStr"/>
      <c r="Q215" s="5" t="inlineStr"/>
      <c r="R215" s="6" t="inlineStr"/>
      <c r="S215" s="5" t="inlineStr"/>
      <c r="T215" s="5" t="inlineStr"/>
      <c r="U215" s="5" t="inlineStr"/>
      <c r="V215" s="5" t="inlineStr"/>
    </row>
    <row r="216">
      <c r="A216" s="5" t="inlineStr">
        <is>
          <t>b8-sac-meselesi</t>
        </is>
      </c>
      <c r="B216" s="5" t="n">
        <v>8</v>
      </c>
      <c r="C216" s="5" t="inlineStr">
        <is>
          <t>41 yaş</t>
        </is>
      </c>
      <c r="D216" s="5" t="inlineStr">
        <is>
          <t>💈</t>
        </is>
      </c>
      <c r="E216" s="6" t="inlineStr">
        <is>
          <t>Saç Meselesi</t>
        </is>
      </c>
      <c r="F216" s="6" t="inlineStr">
        <is>
          <t>Kuaför aynayı arkana tuttu. Tepede bir boşluk var. Kuaför “Işıktan öyle görünüyor” dedi, koltuğu pencereye çevirdi. Gün ışığında daha da öyle göründü.</t>
        </is>
      </c>
      <c r="G216" s="5" t="inlineStr">
        <is>
          <t>dukkan</t>
        </is>
      </c>
      <c r="H216" s="5" t="inlineStr"/>
      <c r="I216" s="5" t="inlineStr"/>
      <c r="J216" s="5" t="n">
        <v>1</v>
      </c>
      <c r="K216" s="5" t="inlineStr"/>
      <c r="L216" s="5" t="inlineStr">
        <is>
          <t>hapis</t>
        </is>
      </c>
      <c r="M216" s="5" t="inlineStr"/>
      <c r="N216" s="5" t="inlineStr"/>
      <c r="O216" s="5" t="inlineStr"/>
      <c r="P216" s="5" t="inlineStr"/>
      <c r="Q216" s="5" t="inlineStr"/>
      <c r="R216" s="6" t="inlineStr"/>
      <c r="S216" s="5" t="inlineStr"/>
      <c r="T216" s="5" t="inlineStr"/>
      <c r="U216" s="5" t="inlineStr"/>
      <c r="V216" s="5" t="inlineStr"/>
    </row>
    <row r="217">
      <c r="A217" s="5" t="inlineStr">
        <is>
          <t>ms-sigortasiz-hayat</t>
        </is>
      </c>
      <c r="B217" s="5" t="n">
        <v>8</v>
      </c>
      <c r="C217" s="5" t="inlineStr">
        <is>
          <t>41 yaş</t>
        </is>
      </c>
      <c r="D217" s="5" t="inlineStr">
        <is>
          <t>🩹</t>
        </is>
      </c>
      <c r="E217" s="6" t="inlineStr">
        <is>
          <t>Sigortasız Hayat</t>
        </is>
      </c>
      <c r="F217" s="6" t="inlineStr">
        <is>
          <t>Posta kutusundan kahverengi bir zarf çıktı. Kahverengi zarftan iyi haber çıkmaz; çıkmadı. Yirmi yıldır çalışıyorsun, devletin defterinde dört ay görünüyor.</t>
        </is>
      </c>
      <c r="G217" s="5" t="inlineStr">
        <is>
          <t>devlet-dairesi</t>
        </is>
      </c>
      <c r="H217" s="5" t="inlineStr"/>
      <c r="I217" s="5" t="inlineStr"/>
      <c r="J217" s="5" t="n">
        <v>1</v>
      </c>
      <c r="K217" s="5" t="inlineStr">
        <is>
          <t>meslek-serbest</t>
        </is>
      </c>
      <c r="L217" s="5" t="inlineStr">
        <is>
          <t>hapis</t>
        </is>
      </c>
      <c r="M217" s="5" t="inlineStr"/>
      <c r="N217" s="5" t="inlineStr"/>
      <c r="O217" s="5" t="inlineStr"/>
      <c r="P217" s="5" t="inlineStr"/>
      <c r="Q217" s="5" t="inlineStr"/>
      <c r="R217" s="6" t="inlineStr"/>
      <c r="S217" s="5" t="inlineStr"/>
      <c r="T217" s="5" t="inlineStr"/>
      <c r="U217" s="5" t="inlineStr"/>
      <c r="V217" s="5" t="inlineStr"/>
    </row>
    <row r="218">
      <c r="A218" s="5" t="inlineStr">
        <is>
          <t>b8-ergen-telefon</t>
        </is>
      </c>
      <c r="B218" s="5" t="n">
        <v>8</v>
      </c>
      <c r="C218" s="5" t="inlineStr">
        <is>
          <t>46 yaş</t>
        </is>
      </c>
      <c r="D218" s="5" t="inlineStr">
        <is>
          <t>📱</t>
        </is>
      </c>
      <c r="E218" s="6" t="inlineStr">
        <is>
          <t>Çocuğun Telefonu</t>
        </is>
      </c>
      <c r="F218" s="6" t="inlineStr">
        <is>
          <t>Çocuğun telefonu masada titriyor. Ekran kilitli. Kilit ekranındaki fotoğrafta sen yoksun.</t>
        </is>
      </c>
      <c r="G218" s="5" t="inlineStr">
        <is>
          <t>cocuk-odasi</t>
        </is>
      </c>
      <c r="H218" s="5" t="inlineStr">
        <is>
          <t>ev</t>
        </is>
      </c>
      <c r="I218" s="5" t="inlineStr"/>
      <c r="J218" s="5" t="n">
        <v>1</v>
      </c>
      <c r="K218" s="5" t="inlineStr">
        <is>
          <t>cocuklu</t>
        </is>
      </c>
      <c r="L218" s="5" t="inlineStr">
        <is>
          <t>hapis</t>
        </is>
      </c>
      <c r="M218" s="5" t="inlineStr"/>
      <c r="N218" s="5" t="inlineStr"/>
      <c r="O218" s="5" t="inlineStr"/>
      <c r="P218" s="5" t="inlineStr"/>
      <c r="Q218" s="5" t="inlineStr"/>
      <c r="R218" s="6" t="inlineStr"/>
      <c r="S218" s="5" t="inlineStr"/>
      <c r="T218" s="5" t="inlineStr"/>
      <c r="U218" s="5" t="inlineStr"/>
      <c r="V218" s="5" t="inlineStr"/>
    </row>
    <row r="219">
      <c r="A219" s="5" t="inlineStr">
        <is>
          <t>b8-metabolizma</t>
        </is>
      </c>
      <c r="B219" s="5" t="n">
        <v>8</v>
      </c>
      <c r="C219" s="5" t="inlineStr">
        <is>
          <t>42 yaş</t>
        </is>
      </c>
      <c r="D219" s="5" t="inlineStr">
        <is>
          <t>⚖️</t>
        </is>
      </c>
      <c r="E219" s="6" t="inlineStr">
        <is>
          <t>Metabolizma Raporu</t>
        </is>
      </c>
      <c r="F219" s="6" t="inlineStr">
        <is>
          <t>Dün akşam teyzen “Ekmeksiz doyulmaz” deyip tabağına üçüncü dilimi koydu. Bu sabah tartı bir kilo fazla gösterdi. Tartı teyzeni tanımıyor.</t>
        </is>
      </c>
      <c r="G219" s="5" t="inlineStr">
        <is>
          <t>mutfak</t>
        </is>
      </c>
      <c r="H219" s="5" t="inlineStr"/>
      <c r="I219" s="5" t="inlineStr"/>
      <c r="J219" s="5" t="n">
        <v>1</v>
      </c>
      <c r="K219" s="5" t="inlineStr"/>
      <c r="L219" s="5" t="inlineStr">
        <is>
          <t>hapis</t>
        </is>
      </c>
      <c r="M219" s="5" t="inlineStr"/>
      <c r="N219" s="5" t="inlineStr"/>
      <c r="O219" s="5" t="inlineStr"/>
      <c r="P219" s="5" t="inlineStr"/>
      <c r="Q219" s="5" t="inlineStr"/>
      <c r="R219" s="6" t="inlineStr"/>
      <c r="S219" s="5" t="inlineStr"/>
      <c r="T219" s="5" t="inlineStr"/>
      <c r="U219" s="5" t="inlineStr"/>
      <c r="V219" s="5" t="inlineStr"/>
    </row>
    <row r="220">
      <c r="A220" s="5" t="inlineStr">
        <is>
          <t>mb-yapay-zeka</t>
        </is>
      </c>
      <c r="B220" s="5" t="n">
        <v>8</v>
      </c>
      <c r="C220" s="5" t="inlineStr">
        <is>
          <t>42 yaş</t>
        </is>
      </c>
      <c r="D220" s="5" t="inlineStr">
        <is>
          <t>🤖</t>
        </is>
      </c>
      <c r="E220" s="6" t="inlineStr">
        <is>
          <t>Yapay Zekâ Devralıyor</t>
        </is>
      </c>
      <c r="F220" s="6" t="inlineStr">
        <is>
          <t>Şirket yeni bir yapay zekâ aracı aldı. Senin işini üç saniyede yapıyor. Onu eğitecek kişi de sensin.</t>
        </is>
      </c>
      <c r="G220" s="5" t="inlineStr">
        <is>
          <t>ofis</t>
        </is>
      </c>
      <c r="H220" s="5" t="inlineStr"/>
      <c r="I220" s="5" t="inlineStr"/>
      <c r="J220" s="5" t="n">
        <v>1</v>
      </c>
      <c r="K220" s="5" t="inlineStr">
        <is>
          <t>meslek-beyazyaka</t>
        </is>
      </c>
      <c r="L220" s="5" t="inlineStr">
        <is>
          <t>hapis</t>
        </is>
      </c>
      <c r="M220" s="5" t="inlineStr"/>
      <c r="N220" s="5" t="inlineStr"/>
      <c r="O220" s="5" t="inlineStr"/>
      <c r="P220" s="5" t="inlineStr"/>
      <c r="Q220" s="5" t="inlineStr"/>
      <c r="R220" s="6" t="inlineStr"/>
      <c r="S220" s="5" t="inlineStr"/>
      <c r="T220" s="5" t="inlineStr"/>
      <c r="U220" s="5" t="inlineStr"/>
      <c r="V220" s="5" t="inlineStr"/>
    </row>
    <row r="221">
      <c r="A221" s="5" t="inlineStr">
        <is>
          <t>me-haber-merkezi</t>
        </is>
      </c>
      <c r="B221" s="5" t="n">
        <v>8</v>
      </c>
      <c r="C221" s="5" t="inlineStr">
        <is>
          <t>42 yaş</t>
        </is>
      </c>
      <c r="D221" s="5" t="inlineStr">
        <is>
          <t>🗣️</t>
        </is>
      </c>
      <c r="E221" s="6" t="inlineStr">
        <is>
          <t>Mahallenin Haber Merkezi</t>
        </is>
      </c>
      <c r="F221" s="6" t="inlineStr">
        <is>
          <t>Kasan artık mahallenin haber masası. Kim nişanlandı, kimin kiracısı çıktı, apartmanda kim kime küs: ilk sen duyuyorsun.</t>
        </is>
      </c>
      <c r="G221" s="5" t="inlineStr">
        <is>
          <t>dukkan</t>
        </is>
      </c>
      <c r="H221" s="5" t="inlineStr"/>
      <c r="I221" s="5" t="inlineStr"/>
      <c r="J221" s="5" t="inlineStr"/>
      <c r="K221" s="5" t="inlineStr">
        <is>
          <t>meslek-esnaf</t>
        </is>
      </c>
      <c r="L221" s="5" t="inlineStr">
        <is>
          <t>hapis</t>
        </is>
      </c>
      <c r="M221" s="5" t="inlineStr"/>
      <c r="N221" s="5" t="inlineStr"/>
      <c r="O221" s="5" t="inlineStr"/>
      <c r="P221" s="5" t="inlineStr"/>
      <c r="Q221" s="5" t="inlineStr"/>
      <c r="R221" s="6" t="inlineStr"/>
      <c r="S221" s="5" t="inlineStr"/>
      <c r="T221" s="5" t="inlineStr"/>
      <c r="U221" s="5" t="inlineStr"/>
      <c r="V221" s="5" t="inlineStr"/>
    </row>
    <row r="222">
      <c r="A222" s="5" t="inlineStr">
        <is>
          <t>mm-performans-formu</t>
        </is>
      </c>
      <c r="B222" s="5" t="n">
        <v>8</v>
      </c>
      <c r="C222" s="5" t="inlineStr">
        <is>
          <t>42 yaş</t>
        </is>
      </c>
      <c r="D222" s="5" t="inlineStr">
        <is>
          <t>📊</t>
        </is>
      </c>
      <c r="E222" s="6" t="inlineStr">
        <is>
          <t>Performans Formu</t>
        </is>
      </c>
      <c r="F222" s="6" t="inlineStr">
        <is>
          <t>Yıllık performans formu geldi. Kırk iki soru, beş seçenek. Hepsinin anlamı: 'Beklentileri karşılıyor.'</t>
        </is>
      </c>
      <c r="G222" s="5" t="inlineStr">
        <is>
          <t>devlet-dairesi</t>
        </is>
      </c>
      <c r="H222" s="5" t="inlineStr"/>
      <c r="I222" s="5" t="inlineStr"/>
      <c r="J222" s="5" t="inlineStr"/>
      <c r="K222" s="5" t="inlineStr">
        <is>
          <t>meslek-memur</t>
        </is>
      </c>
      <c r="L222" s="5" t="inlineStr">
        <is>
          <t>hapis</t>
        </is>
      </c>
      <c r="M222" s="5" t="inlineStr"/>
      <c r="N222" s="5" t="inlineStr"/>
      <c r="O222" s="5" t="inlineStr"/>
      <c r="P222" s="5" t="inlineStr"/>
      <c r="Q222" s="5" t="inlineStr"/>
      <c r="R222" s="6" t="inlineStr"/>
      <c r="S222" s="5" t="inlineStr"/>
      <c r="T222" s="5" t="inlineStr"/>
      <c r="U222" s="5" t="inlineStr"/>
      <c r="V222" s="5" t="inlineStr"/>
    </row>
    <row r="223">
      <c r="A223" s="5" t="inlineStr">
        <is>
          <t>b8-gozluk</t>
        </is>
      </c>
      <c r="B223" s="5" t="n">
        <v>8</v>
      </c>
      <c r="C223" s="5" t="inlineStr">
        <is>
          <t>42 yaş 6 ay</t>
        </is>
      </c>
      <c r="D223" s="5" t="inlineStr">
        <is>
          <t>👓</t>
        </is>
      </c>
      <c r="E223" s="6" t="inlineStr">
        <is>
          <t>Gözlük Dönemi</t>
        </is>
      </c>
      <c r="F223" s="6" t="inlineStr">
        <is>
          <t>Marketteki etiketi okumak için kolunu uzattın. Kol yetmedi. Arkandaki teyze uzanıp okudu: “Şekersiz, evladım.”</t>
        </is>
      </c>
      <c r="G223" s="5" t="inlineStr">
        <is>
          <t>market</t>
        </is>
      </c>
      <c r="H223" s="5" t="inlineStr"/>
      <c r="I223" s="5" t="inlineStr"/>
      <c r="J223" s="5" t="n">
        <v>1</v>
      </c>
      <c r="K223" s="5" t="inlineStr"/>
      <c r="L223" s="5" t="inlineStr">
        <is>
          <t>hapis</t>
        </is>
      </c>
      <c r="M223" s="5" t="inlineStr"/>
      <c r="N223" s="5" t="inlineStr"/>
      <c r="O223" s="5" t="inlineStr"/>
      <c r="P223" s="5" t="inlineStr"/>
      <c r="Q223" s="5" t="inlineStr"/>
      <c r="R223" s="6" t="inlineStr"/>
      <c r="S223" s="5" t="inlineStr"/>
      <c r="T223" s="5" t="inlineStr"/>
      <c r="U223" s="5" t="inlineStr"/>
      <c r="V223" s="5" t="inlineStr"/>
    </row>
    <row r="224">
      <c r="A224" s="5" t="inlineStr">
        <is>
          <t>b8-bayram-sofrasi</t>
        </is>
      </c>
      <c r="B224" s="5" t="n">
        <v>8</v>
      </c>
      <c r="C224" s="5" t="inlineStr">
        <is>
          <t>43 yaş</t>
        </is>
      </c>
      <c r="D224" s="5" t="inlineStr">
        <is>
          <t>🍽️</t>
        </is>
      </c>
      <c r="E224" s="6" t="inlineStr">
        <is>
          <t>Bayram Sofrası</t>
        </is>
      </c>
      <c r="F224" s="6" t="inlineStr">
        <is>
          <t>Sarmalar sayıldı, hatırlar soruldu. Sofranın ucundaki amca çatalını bıraktı: 'Şu tarla meselesini konuşalım.'</t>
        </is>
      </c>
      <c r="G224" s="5" t="inlineStr">
        <is>
          <t>ev</t>
        </is>
      </c>
      <c r="H224" s="5" t="inlineStr">
        <is>
          <t>sosyal</t>
        </is>
      </c>
      <c r="I224" s="5" t="inlineStr"/>
      <c r="J224" s="5" t="n">
        <v>1</v>
      </c>
      <c r="K224" s="5" t="inlineStr"/>
      <c r="L224" s="5" t="inlineStr">
        <is>
          <t>hapis</t>
        </is>
      </c>
      <c r="M224" s="5" t="inlineStr"/>
      <c r="N224" s="5" t="inlineStr"/>
      <c r="O224" s="5" t="inlineStr"/>
      <c r="P224" s="5" t="inlineStr"/>
      <c r="Q224" s="5" t="inlineStr"/>
      <c r="R224" s="6" t="inlineStr"/>
      <c r="S224" s="5" t="inlineStr"/>
      <c r="T224" s="5" t="inlineStr"/>
      <c r="U224" s="5" t="inlineStr"/>
      <c r="V224" s="5" t="inlineStr"/>
    </row>
    <row r="225">
      <c r="A225" s="5" t="inlineStr">
        <is>
          <t>b8-hastane-otoparki</t>
        </is>
      </c>
      <c r="B225" s="5" t="n">
        <v>8</v>
      </c>
      <c r="C225" s="5" t="inlineStr">
        <is>
          <t>43 yaş 6 ay</t>
        </is>
      </c>
      <c r="D225" s="5" t="inlineStr">
        <is>
          <t>🅿️</t>
        </is>
      </c>
      <c r="E225" s="6" t="inlineStr">
        <is>
          <t>Hastane Otoparkı</t>
        </is>
      </c>
      <c r="F225" s="6" t="inlineStr">
        <is>
          <t>Annenin kontrol randevusu 10.00'da. Saat 09.40. Otoparkta tek boş yer var; üzerinde 'Başhekim' yazıyor.</t>
        </is>
      </c>
      <c r="G225" s="5" t="inlineStr">
        <is>
          <t>hastane</t>
        </is>
      </c>
      <c r="H225" s="5" t="inlineStr">
        <is>
          <t>ev</t>
        </is>
      </c>
      <c r="I225" s="5" t="inlineStr"/>
      <c r="J225" s="5" t="n">
        <v>1</v>
      </c>
      <c r="K225" s="5" t="inlineStr"/>
      <c r="L225" s="5" t="inlineStr">
        <is>
          <t>hapis</t>
        </is>
      </c>
      <c r="M225" s="5" t="inlineStr"/>
      <c r="N225" s="5" t="inlineStr"/>
      <c r="O225" s="5" t="inlineStr"/>
      <c r="P225" s="5" t="inlineStr"/>
      <c r="Q225" s="5" t="inlineStr"/>
      <c r="R225" s="6" t="inlineStr"/>
      <c r="S225" s="5" t="inlineStr"/>
      <c r="T225" s="5" t="inlineStr"/>
      <c r="U225" s="5" t="inlineStr"/>
      <c r="V225" s="5" t="inlineStr"/>
    </row>
    <row r="226">
      <c r="A226" s="5" t="inlineStr">
        <is>
          <t>b8-bekar-orta-yas</t>
        </is>
      </c>
      <c r="B226" s="5" t="n">
        <v>8</v>
      </c>
      <c r="C226" s="5" t="inlineStr">
        <is>
          <t>44 yaş</t>
        </is>
      </c>
      <c r="D226" s="5" t="inlineStr">
        <is>
          <t>🛋️</t>
        </is>
      </c>
      <c r="E226" s="6" t="inlineStr">
        <is>
          <t>Bekâr ve Orta Yaş</t>
        </is>
      </c>
      <c r="F226" s="6" t="inlineStr">
        <is>
          <t>Akrabalar artık 'Ne zaman evleneceksin?' diye sormuyor. Sadece bakıyorlar. Bakış, sorudan uzun sürüyor.</t>
        </is>
      </c>
      <c r="G226" s="5" t="inlineStr">
        <is>
          <t>ev</t>
        </is>
      </c>
      <c r="H226" s="5" t="inlineStr"/>
      <c r="I226" s="5" t="inlineStr"/>
      <c r="J226" s="5" t="n">
        <v>1</v>
      </c>
      <c r="K226" s="5" t="inlineStr"/>
      <c r="L226" s="5" t="inlineStr">
        <is>
          <t>evli, hapis</t>
        </is>
      </c>
      <c r="M226" s="5" t="inlineStr"/>
      <c r="N226" s="5" t="inlineStr"/>
      <c r="O226" s="5" t="inlineStr"/>
      <c r="P226" s="5" t="inlineStr"/>
      <c r="Q226" s="5" t="inlineStr"/>
      <c r="R226" s="6" t="inlineStr"/>
      <c r="S226" s="5" t="inlineStr"/>
      <c r="T226" s="5" t="inlineStr"/>
      <c r="U226" s="5" t="inlineStr"/>
      <c r="V226" s="5" t="inlineStr"/>
    </row>
    <row r="227">
      <c r="A227" s="5" t="inlineStr">
        <is>
          <t>ms-fon-basvurusu</t>
        </is>
      </c>
      <c r="B227" s="5" t="n">
        <v>8</v>
      </c>
      <c r="C227" s="5" t="inlineStr">
        <is>
          <t>44 yaş</t>
        </is>
      </c>
      <c r="D227" s="5" t="inlineStr">
        <is>
          <t>📝</t>
        </is>
      </c>
      <c r="E227" s="6" t="inlineStr">
        <is>
          <t>Fon Başvurusu</t>
        </is>
      </c>
      <c r="F227" s="6" t="inlineStr">
        <is>
          <t>Bir kültür fonu başvurusu açıldı. Form otuz sekiz sayfa. Proje özeti yüz elli kelimeyi geçmemeli. Hayatın geçiyor.</t>
        </is>
      </c>
      <c r="G227" s="5" t="inlineStr">
        <is>
          <t>ev</t>
        </is>
      </c>
      <c r="H227" s="5" t="inlineStr"/>
      <c r="I227" s="5" t="inlineStr"/>
      <c r="J227" s="5" t="n">
        <v>1</v>
      </c>
      <c r="K227" s="5" t="inlineStr">
        <is>
          <t>meslek-serbest</t>
        </is>
      </c>
      <c r="L227" s="5" t="inlineStr">
        <is>
          <t>hapis</t>
        </is>
      </c>
      <c r="M227" s="5" t="inlineStr"/>
      <c r="N227" s="5" t="inlineStr"/>
      <c r="O227" s="5" t="inlineStr"/>
      <c r="P227" s="5" t="inlineStr"/>
      <c r="Q227" s="5" t="inlineStr"/>
      <c r="R227" s="6" t="inlineStr"/>
      <c r="S227" s="5" t="inlineStr"/>
      <c r="T227" s="5" t="inlineStr"/>
      <c r="U227" s="5" t="inlineStr"/>
      <c r="V227" s="5" t="inlineStr"/>
    </row>
    <row r="228">
      <c r="A228" s="5" t="inlineStr">
        <is>
          <t>b8-doktor-stres</t>
        </is>
      </c>
      <c r="B228" s="5" t="n">
        <v>8</v>
      </c>
      <c r="C228" s="5" t="inlineStr">
        <is>
          <t>44 yaş 6 ay</t>
        </is>
      </c>
      <c r="D228" s="5" t="inlineStr">
        <is>
          <t>🩺</t>
        </is>
      </c>
      <c r="E228" s="6" t="inlineStr">
        <is>
          <t>Stres Yapmayın</t>
        </is>
      </c>
      <c r="F228" s="6" t="inlineStr">
        <is>
          <t>Tahlil sonuçları masada. Doktor ekrana bakıp tavsiyesini verdi: 'Stres yapmayın.' Bu cümle için ayrıca ücret alınmadı.</t>
        </is>
      </c>
      <c r="G228" s="5" t="inlineStr">
        <is>
          <t>hastane</t>
        </is>
      </c>
      <c r="H228" s="5" t="inlineStr"/>
      <c r="I228" s="5" t="inlineStr"/>
      <c r="J228" s="5" t="n">
        <v>1</v>
      </c>
      <c r="K228" s="5" t="inlineStr"/>
      <c r="L228" s="5" t="inlineStr">
        <is>
          <t>hapis</t>
        </is>
      </c>
      <c r="M228" s="5" t="inlineStr"/>
      <c r="N228" s="5" t="inlineStr"/>
      <c r="O228" s="5" t="inlineStr"/>
      <c r="P228" s="5" t="inlineStr"/>
      <c r="Q228" s="5" t="inlineStr"/>
      <c r="R228" s="6" t="inlineStr"/>
      <c r="S228" s="5" t="inlineStr"/>
      <c r="T228" s="5" t="inlineStr"/>
      <c r="U228" s="5" t="inlineStr"/>
      <c r="V228" s="5" t="inlineStr"/>
    </row>
    <row r="229">
      <c r="A229" s="5" t="inlineStr">
        <is>
          <t>b8-cocuk-sinav</t>
        </is>
      </c>
      <c r="B229" s="5" t="n">
        <v>8</v>
      </c>
      <c r="C229" s="5" t="inlineStr">
        <is>
          <t>50 yaş 6 ay</t>
        </is>
      </c>
      <c r="D229" s="5" t="inlineStr">
        <is>
          <t>📝</t>
        </is>
      </c>
      <c r="E229" s="6" t="inlineStr">
        <is>
          <t>Çocuğun Büyük Sınavı</t>
        </is>
      </c>
      <c r="F229" s="6" t="inlineStr">
        <is>
          <t>Çocuğun üniversite sınavı yarın sabah. Sen, sınava girmeyecek biri için fazla uykusuzsun.</t>
        </is>
      </c>
      <c r="G229" s="5" t="inlineStr">
        <is>
          <t>okul</t>
        </is>
      </c>
      <c r="H229" s="5" t="inlineStr">
        <is>
          <t>okul-iş</t>
        </is>
      </c>
      <c r="I229" s="5" t="inlineStr"/>
      <c r="J229" s="5" t="n">
        <v>1</v>
      </c>
      <c r="K229" s="5" t="inlineStr">
        <is>
          <t>cocuklu</t>
        </is>
      </c>
      <c r="L229" s="5" t="inlineStr">
        <is>
          <t>hapis</t>
        </is>
      </c>
      <c r="M229" s="5" t="inlineStr"/>
      <c r="N229" s="5" t="inlineStr"/>
      <c r="O229" s="5" t="inlineStr"/>
      <c r="P229" s="5" t="inlineStr"/>
      <c r="Q229" s="5" t="inlineStr"/>
      <c r="R229" s="6" t="inlineStr"/>
      <c r="S229" s="5" t="inlineStr"/>
      <c r="T229" s="5" t="inlineStr"/>
      <c r="U229" s="5" t="inlineStr"/>
      <c r="V229" s="5" t="inlineStr"/>
    </row>
    <row r="230">
      <c r="A230" s="5" t="inlineStr">
        <is>
          <t>mb-kisa-gorusme</t>
        </is>
      </c>
      <c r="B230" s="5" t="n">
        <v>8</v>
      </c>
      <c r="C230" s="5" t="inlineStr">
        <is>
          <t>45 yaş</t>
        </is>
      </c>
      <c r="D230" s="5" t="inlineStr">
        <is>
          <t>🚪</t>
        </is>
      </c>
      <c r="E230" s="6" t="inlineStr">
        <is>
          <t>Kısa Bir Görüşme</t>
        </is>
      </c>
      <c r="F230" s="6" t="inlineStr">
        <is>
          <t>Yeniden yapılanma e-postası geldi. Bir saat sonra takviminde on beş dakikalık bir toplantı belirdi: 'Kısa bir görüşme.'</t>
        </is>
      </c>
      <c r="G230" s="5" t="inlineStr">
        <is>
          <t>ofis</t>
        </is>
      </c>
      <c r="H230" s="5" t="inlineStr"/>
      <c r="I230" s="5" t="inlineStr"/>
      <c r="J230" s="5" t="n">
        <v>1</v>
      </c>
      <c r="K230" s="5" t="inlineStr">
        <is>
          <t>meslek-beyazyaka</t>
        </is>
      </c>
      <c r="L230" s="5" t="inlineStr">
        <is>
          <t>hapis</t>
        </is>
      </c>
      <c r="M230" s="5" t="inlineStr"/>
      <c r="N230" s="5" t="inlineStr"/>
      <c r="O230" s="5" t="inlineStr"/>
      <c r="P230" s="5" t="inlineStr"/>
      <c r="Q230" s="5" t="inlineStr"/>
      <c r="R230" s="6" t="inlineStr"/>
      <c r="S230" s="5" t="inlineStr"/>
      <c r="T230" s="5" t="inlineStr"/>
      <c r="U230" s="5" t="inlineStr"/>
      <c r="V230" s="5" t="inlineStr"/>
    </row>
    <row r="231">
      <c r="A231" s="5" t="inlineStr">
        <is>
          <t>me-internet-satis</t>
        </is>
      </c>
      <c r="B231" s="5" t="n">
        <v>8</v>
      </c>
      <c r="C231" s="5" t="inlineStr">
        <is>
          <t>45 yaş</t>
        </is>
      </c>
      <c r="D231" s="5" t="inlineStr">
        <is>
          <t>📦</t>
        </is>
      </c>
      <c r="E231" s="6" t="inlineStr">
        <is>
          <t>Dükkân İnternete Taşınıyor</t>
        </is>
      </c>
      <c r="F231" s="6" t="inlineStr">
        <is>
          <t>Müşteriler 'Sitenizden bakarız' diyor. Sitende şu an yalnızca dükkânın kapı fotoğrafı var; kapı da kapalı.</t>
        </is>
      </c>
      <c r="G231" s="5" t="inlineStr">
        <is>
          <t>dukkan</t>
        </is>
      </c>
      <c r="H231" s="5" t="inlineStr"/>
      <c r="I231" s="5" t="inlineStr"/>
      <c r="J231" s="5" t="inlineStr"/>
      <c r="K231" s="5" t="inlineStr">
        <is>
          <t>meslek-esnaf</t>
        </is>
      </c>
      <c r="L231" s="5" t="inlineStr">
        <is>
          <t>hapis</t>
        </is>
      </c>
      <c r="M231" s="5" t="inlineStr"/>
      <c r="N231" s="5" t="inlineStr"/>
      <c r="O231" s="5" t="inlineStr"/>
      <c r="P231" s="5" t="inlineStr"/>
      <c r="Q231" s="5" t="inlineStr"/>
      <c r="R231" s="6" t="inlineStr"/>
      <c r="S231" s="5" t="inlineStr"/>
      <c r="T231" s="5" t="inlineStr"/>
      <c r="U231" s="5" t="inlineStr"/>
      <c r="V231" s="5" t="inlineStr"/>
    </row>
    <row r="232">
      <c r="A232" s="5" t="inlineStr">
        <is>
          <t>mm-terfi-sinavi</t>
        </is>
      </c>
      <c r="B232" s="5" t="n">
        <v>8</v>
      </c>
      <c r="C232" s="5" t="inlineStr">
        <is>
          <t>45 yaş</t>
        </is>
      </c>
      <c r="D232" s="5" t="inlineStr">
        <is>
          <t>📝</t>
        </is>
      </c>
      <c r="E232" s="6" t="inlineStr">
        <is>
          <t>Terfi Sınavı</t>
        </is>
      </c>
      <c r="F232" s="6" t="inlineStr">
        <is>
          <t>Şube müdürlüğü için terfi sınavı açıldı. Konular: mevzuat, mevzuattaki değişiklikler ve değişikliklerdeki değişiklikler.</t>
        </is>
      </c>
      <c r="G232" s="5" t="inlineStr">
        <is>
          <t>devlet-dairesi</t>
        </is>
      </c>
      <c r="H232" s="5" t="inlineStr"/>
      <c r="I232" s="5" t="inlineStr"/>
      <c r="J232" s="5" t="inlineStr"/>
      <c r="K232" s="5" t="inlineStr">
        <is>
          <t>meslek-memur</t>
        </is>
      </c>
      <c r="L232" s="5" t="inlineStr">
        <is>
          <t>hapis, zirve, memur-terfi</t>
        </is>
      </c>
      <c r="M232" s="5" t="inlineStr"/>
      <c r="N232" s="5" t="inlineStr"/>
      <c r="O232" s="5" t="inlineStr"/>
      <c r="P232" s="5" t="inlineStr"/>
      <c r="Q232" s="5" t="inlineStr"/>
      <c r="R232" s="6" t="inlineStr"/>
      <c r="S232" s="5" t="inlineStr"/>
      <c r="T232" s="5" t="inlineStr"/>
      <c r="U232" s="5" t="inlineStr"/>
      <c r="V232" s="5" t="inlineStr"/>
    </row>
    <row r="233">
      <c r="A233" s="5" t="inlineStr">
        <is>
          <t>b8-dijital-para</t>
        </is>
      </c>
      <c r="B233" s="5" t="n">
        <v>8</v>
      </c>
      <c r="C233" s="5" t="inlineStr">
        <is>
          <t>45 yaş 6 ay</t>
        </is>
      </c>
      <c r="D233" s="5" t="inlineStr">
        <is>
          <t>🪙</t>
        </is>
      </c>
      <c r="E233" s="6" t="inlineStr">
        <is>
          <t>Dijital Para Heyecanı</t>
        </is>
      </c>
      <c r="F233" s="6" t="inlineStr">
        <is>
          <t>Eski bir arkadaş aradı: 'Yeni bir dijital para çıktı, hâlâ erken!' Erken olan tek şey saat: 07.12.</t>
        </is>
      </c>
      <c r="G233" s="5" t="inlineStr">
        <is>
          <t>ev</t>
        </is>
      </c>
      <c r="H233" s="5" t="inlineStr">
        <is>
          <t>para</t>
        </is>
      </c>
      <c r="I233" s="5" t="inlineStr"/>
      <c r="J233" s="5" t="n">
        <v>1</v>
      </c>
      <c r="K233" s="5" t="inlineStr">
        <is>
          <t>borclu</t>
        </is>
      </c>
      <c r="L233" s="5" t="inlineStr">
        <is>
          <t>hapis</t>
        </is>
      </c>
      <c r="M233" s="5" t="inlineStr"/>
      <c r="N233" s="5" t="inlineStr"/>
      <c r="O233" s="5" t="inlineStr"/>
      <c r="P233" s="5" t="inlineStr"/>
      <c r="Q233" s="5" t="inlineStr"/>
      <c r="R233" s="6" t="inlineStr"/>
      <c r="S233" s="5" t="inlineStr"/>
      <c r="T233" s="5" t="inlineStr"/>
      <c r="U233" s="5" t="inlineStr"/>
      <c r="V233" s="5" t="inlineStr"/>
    </row>
    <row r="234">
      <c r="A234" s="5" t="inlineStr">
        <is>
          <t>b8-o-cumle</t>
        </is>
      </c>
      <c r="B234" s="5" t="n">
        <v>8</v>
      </c>
      <c r="C234" s="5" t="inlineStr">
        <is>
          <t>46 yaş</t>
        </is>
      </c>
      <c r="D234" s="5" t="inlineStr">
        <is>
          <t>🗣️</t>
        </is>
      </c>
      <c r="E234" s="6" t="inlineStr">
        <is>
          <t>O Cümle</t>
        </is>
      </c>
      <c r="F234" s="6" t="inlineStr">
        <is>
          <t>Çocuk “Sıkılıyorum” dedi. Boğazına bir cümle yükseldi; anne-babandan duyup asla kurmayacağına yemin ettiğin cümle: “Biz senin yaşındayken…”</t>
        </is>
      </c>
      <c r="G234" s="5" t="inlineStr">
        <is>
          <t>mutfak</t>
        </is>
      </c>
      <c r="H234" s="5" t="inlineStr">
        <is>
          <t>ev</t>
        </is>
      </c>
      <c r="I234" s="5" t="inlineStr"/>
      <c r="J234" s="5" t="n">
        <v>1</v>
      </c>
      <c r="K234" s="5" t="inlineStr">
        <is>
          <t>cocuklu</t>
        </is>
      </c>
      <c r="L234" s="5" t="inlineStr">
        <is>
          <t>hapis</t>
        </is>
      </c>
      <c r="M234" s="5" t="inlineStr"/>
      <c r="N234" s="5" t="inlineStr"/>
      <c r="O234" s="5" t="inlineStr"/>
      <c r="P234" s="5" t="inlineStr"/>
      <c r="Q234" s="5" t="inlineStr"/>
      <c r="R234" s="6" t="inlineStr"/>
      <c r="S234" s="5" t="inlineStr"/>
      <c r="T234" s="5" t="inlineStr"/>
      <c r="U234" s="5" t="inlineStr"/>
      <c r="V234" s="5" t="inlineStr"/>
    </row>
    <row r="235">
      <c r="A235" s="5" t="inlineStr">
        <is>
          <t>b8-evli-rutin</t>
        </is>
      </c>
      <c r="B235" s="5" t="n">
        <v>8</v>
      </c>
      <c r="C235" s="5" t="inlineStr">
        <is>
          <t>46 yaş 6 ay</t>
        </is>
      </c>
      <c r="D235" s="5" t="inlineStr">
        <is>
          <t>💍</t>
        </is>
      </c>
      <c r="E235" s="6" t="inlineStr">
        <is>
          <t>Evlilik Rutini</t>
        </is>
      </c>
      <c r="F235" s="6" t="inlineStr">
        <is>
          <t>Akşam yemeği. Eşinle ikiniz de telefona bakıyorsunuz. Az önce birbirinize aynı videoyu göndermişsiniz.</t>
        </is>
      </c>
      <c r="G235" s="5" t="inlineStr">
        <is>
          <t>ev</t>
        </is>
      </c>
      <c r="H235" s="5" t="inlineStr"/>
      <c r="I235" s="5" t="inlineStr"/>
      <c r="J235" s="5" t="n">
        <v>1</v>
      </c>
      <c r="K235" s="5" t="inlineStr">
        <is>
          <t>evli</t>
        </is>
      </c>
      <c r="L235" s="5" t="inlineStr">
        <is>
          <t>hapis</t>
        </is>
      </c>
      <c r="M235" s="5" t="inlineStr"/>
      <c r="N235" s="5" t="inlineStr"/>
      <c r="O235" s="5" t="inlineStr"/>
      <c r="P235" s="5" t="inlineStr"/>
      <c r="Q235" s="5" t="inlineStr"/>
      <c r="R235" s="6" t="inlineStr"/>
      <c r="S235" s="5" t="inlineStr"/>
      <c r="T235" s="5" t="inlineStr"/>
      <c r="U235" s="5" t="inlineStr"/>
      <c r="V235" s="5" t="inlineStr"/>
    </row>
    <row r="236">
      <c r="A236" s="5" t="inlineStr">
        <is>
          <t>b8-cocuk-odasi</t>
        </is>
      </c>
      <c r="B236" s="5" t="n">
        <v>8</v>
      </c>
      <c r="C236" s="5" t="inlineStr">
        <is>
          <t>47 yaş</t>
        </is>
      </c>
      <c r="D236" s="5" t="inlineStr">
        <is>
          <t>🧦</t>
        </is>
      </c>
      <c r="E236" s="6" t="inlineStr">
        <is>
          <t>Çocuğun Odası</t>
        </is>
      </c>
      <c r="F236" s="6" t="inlineStr">
        <is>
          <t>Çocuğun odasına girdin. Zemin görünmüyor. Bir yerlerden iki haftadır kayıp bir tabak sesleniyor.</t>
        </is>
      </c>
      <c r="G236" s="5" t="inlineStr">
        <is>
          <t>cocuk-odasi</t>
        </is>
      </c>
      <c r="H236" s="5" t="inlineStr">
        <is>
          <t>ev</t>
        </is>
      </c>
      <c r="I236" s="5" t="inlineStr"/>
      <c r="J236" s="5" t="n">
        <v>1</v>
      </c>
      <c r="K236" s="5" t="inlineStr">
        <is>
          <t>cocuklu</t>
        </is>
      </c>
      <c r="L236" s="5" t="inlineStr">
        <is>
          <t>hapis</t>
        </is>
      </c>
      <c r="M236" s="5" t="inlineStr"/>
      <c r="N236" s="5" t="inlineStr"/>
      <c r="O236" s="5" t="inlineStr"/>
      <c r="P236" s="5" t="inlineStr"/>
      <c r="Q236" s="5" t="inlineStr"/>
      <c r="R236" s="6" t="inlineStr"/>
      <c r="S236" s="5" t="inlineStr"/>
      <c r="T236" s="5" t="inlineStr"/>
      <c r="U236" s="5" t="inlineStr"/>
      <c r="V236" s="5" t="inlineStr"/>
    </row>
    <row r="237">
      <c r="A237" s="5" t="inlineStr">
        <is>
          <t>ms-eski-musteri</t>
        </is>
      </c>
      <c r="B237" s="5" t="n">
        <v>8</v>
      </c>
      <c r="C237" s="5" t="inlineStr">
        <is>
          <t>47 yaş</t>
        </is>
      </c>
      <c r="D237" s="5" t="inlineStr">
        <is>
          <t>🔁</t>
        </is>
      </c>
      <c r="E237" s="6" t="inlineStr">
        <is>
          <t>Eski Müşteri</t>
        </is>
      </c>
      <c r="F237" s="6" t="inlineStr">
        <is>
          <t>On beş yıl önce ödeme yapmayan müşteri yazdı: 'Selam! Yeni bir işimiz var, sizi çok özledik.'</t>
        </is>
      </c>
      <c r="G237" s="5" t="inlineStr">
        <is>
          <t>kafe</t>
        </is>
      </c>
      <c r="H237" s="5" t="inlineStr"/>
      <c r="I237" s="5" t="inlineStr"/>
      <c r="J237" s="5" t="n">
        <v>1</v>
      </c>
      <c r="K237" s="5" t="inlineStr">
        <is>
          <t>meslek-serbest</t>
        </is>
      </c>
      <c r="L237" s="5" t="inlineStr">
        <is>
          <t>hapis</t>
        </is>
      </c>
      <c r="M237" s="5" t="inlineStr"/>
      <c r="N237" s="5" t="inlineStr"/>
      <c r="O237" s="5" t="inlineStr"/>
      <c r="P237" s="5" t="inlineStr"/>
      <c r="Q237" s="5" t="inlineStr"/>
      <c r="R237" s="6" t="inlineStr"/>
      <c r="S237" s="5" t="inlineStr"/>
      <c r="T237" s="5" t="inlineStr"/>
      <c r="U237" s="5" t="inlineStr"/>
      <c r="V237" s="5" t="inlineStr"/>
    </row>
    <row r="238">
      <c r="A238" s="5" t="inlineStr">
        <is>
          <t>b8-lise-bulusmasi</t>
        </is>
      </c>
      <c r="B238" s="5" t="n">
        <v>8</v>
      </c>
      <c r="C238" s="5" t="inlineStr">
        <is>
          <t>47 yaş 6 ay</t>
        </is>
      </c>
      <c r="D238" s="5" t="inlineStr">
        <is>
          <t>🎓</t>
        </is>
      </c>
      <c r="E238" s="6" t="inlineStr">
        <is>
          <t>30. Yıl Buluşması</t>
        </is>
      </c>
      <c r="F238" s="6" t="inlineStr">
        <is>
          <t>Lise mezuniyetinin 30. yılı. Restoranın üst katı, canlı müzik, duvarda eski sınıf fotoğrafı. Herkes önce yüzüne, sonra saçına, sonra fotoğrafta seni arıyor.</t>
        </is>
      </c>
      <c r="G238" s="5" t="inlineStr">
        <is>
          <t>dugun-salonu</t>
        </is>
      </c>
      <c r="H238" s="5" t="inlineStr">
        <is>
          <t>sosyal</t>
        </is>
      </c>
      <c r="I238" s="5" t="inlineStr">
        <is>
          <t>E</t>
        </is>
      </c>
      <c r="J238" s="5" t="n">
        <v>1</v>
      </c>
      <c r="K238" s="5" t="inlineStr"/>
      <c r="L238" s="5" t="inlineStr">
        <is>
          <t>hapis, okulu-birakti</t>
        </is>
      </c>
      <c r="M238" s="5" t="inlineStr"/>
      <c r="N238" s="5" t="inlineStr"/>
      <c r="O238" s="5" t="inlineStr"/>
      <c r="P238" s="5" t="inlineStr"/>
      <c r="Q238" s="5" t="inlineStr"/>
      <c r="R238" s="6" t="inlineStr"/>
      <c r="S238" s="5" t="inlineStr"/>
      <c r="T238" s="5" t="inlineStr"/>
      <c r="U238" s="5" t="inlineStr"/>
      <c r="V238" s="5" t="inlineStr"/>
    </row>
    <row r="239">
      <c r="A239" s="5" t="inlineStr">
        <is>
          <t>b8-sahte-haber</t>
        </is>
      </c>
      <c r="B239" s="5" t="n">
        <v>8</v>
      </c>
      <c r="C239" s="5" t="inlineStr">
        <is>
          <t>48 yaş</t>
        </is>
      </c>
      <c r="D239" s="5" t="inlineStr">
        <is>
          <t>📲</t>
        </is>
      </c>
      <c r="E239" s="6" t="inlineStr">
        <is>
          <t>Aile Grubunda Sahte Haber</t>
        </is>
      </c>
      <c r="F239" s="6" t="inlineStr">
        <is>
          <t>Aile grubuna amcan yazdı: “Yarın 15.00'te bütün telefonlar patlayacak, kapatın! Çok paylaşın.” Saat gece 03.12; mesaj on dört kez iletilmiş.</t>
        </is>
      </c>
      <c r="G239" s="5" t="inlineStr">
        <is>
          <t>ev</t>
        </is>
      </c>
      <c r="H239" s="5" t="inlineStr"/>
      <c r="I239" s="5" t="inlineStr"/>
      <c r="J239" s="5" t="n">
        <v>1</v>
      </c>
      <c r="K239" s="5" t="inlineStr"/>
      <c r="L239" s="5" t="inlineStr">
        <is>
          <t>hapis</t>
        </is>
      </c>
      <c r="M239" s="5" t="inlineStr"/>
      <c r="N239" s="5" t="inlineStr"/>
      <c r="O239" s="5" t="inlineStr"/>
      <c r="P239" s="5" t="inlineStr"/>
      <c r="Q239" s="5" t="inlineStr"/>
      <c r="R239" s="6" t="inlineStr"/>
      <c r="S239" s="5" t="inlineStr"/>
      <c r="T239" s="5" t="inlineStr"/>
      <c r="U239" s="5" t="inlineStr"/>
      <c r="V239" s="5" t="inlineStr"/>
    </row>
    <row r="240">
      <c r="A240" s="5" t="inlineStr">
        <is>
          <t>mb-asansorde-genel-mudur</t>
        </is>
      </c>
      <c r="B240" s="5" t="n">
        <v>8</v>
      </c>
      <c r="C240" s="5" t="inlineStr">
        <is>
          <t>48 yaş</t>
        </is>
      </c>
      <c r="D240" s="5" t="inlineStr">
        <is>
          <t>🛗</t>
        </is>
      </c>
      <c r="E240" s="6" t="inlineStr">
        <is>
          <t>Asansörde Genel Müdür</t>
        </is>
      </c>
      <c r="F240" s="6" t="inlineStr">
        <is>
          <t>Asansör yirmi üçüncü katta durdu, genel müdür bindi, kapı kapandı ve asansör arızalandı. Teknisyen kırk dakika uzakta.</t>
        </is>
      </c>
      <c r="G240" s="5" t="inlineStr">
        <is>
          <t>ofis</t>
        </is>
      </c>
      <c r="H240" s="5" t="inlineStr"/>
      <c r="I240" s="5" t="inlineStr"/>
      <c r="J240" s="5" t="n">
        <v>1</v>
      </c>
      <c r="K240" s="5" t="inlineStr">
        <is>
          <t>meslek-beyazyaka</t>
        </is>
      </c>
      <c r="L240" s="5" t="inlineStr">
        <is>
          <t>hapis</t>
        </is>
      </c>
      <c r="M240" s="5" t="inlineStr"/>
      <c r="N240" s="5" t="inlineStr"/>
      <c r="O240" s="5" t="inlineStr"/>
      <c r="P240" s="5" t="inlineStr"/>
      <c r="Q240" s="5" t="inlineStr"/>
      <c r="R240" s="6" t="inlineStr"/>
      <c r="S240" s="5" t="inlineStr"/>
      <c r="T240" s="5" t="inlineStr"/>
      <c r="U240" s="5" t="inlineStr"/>
      <c r="V240" s="5" t="inlineStr"/>
    </row>
    <row r="241">
      <c r="A241" s="5" t="inlineStr">
        <is>
          <t>me-tek-yildiz</t>
        </is>
      </c>
      <c r="B241" s="5" t="n">
        <v>8</v>
      </c>
      <c r="C241" s="5" t="inlineStr">
        <is>
          <t>48 yaş</t>
        </is>
      </c>
      <c r="D241" s="5" t="inlineStr">
        <is>
          <t>⭐</t>
        </is>
      </c>
      <c r="E241" s="6" t="inlineStr">
        <is>
          <t>Tek Yıldızlı Yorum</t>
        </is>
      </c>
      <c r="F241" s="6" t="inlineStr">
        <is>
          <t>Dükkânın sayfasına tek yıldız geldi: 'Esnaf güler yüzlü değil.' Yorumun saati gece 03.14. Dükkân o saatte kapalı.</t>
        </is>
      </c>
      <c r="G241" s="5" t="inlineStr">
        <is>
          <t>dukkan</t>
        </is>
      </c>
      <c r="H241" s="5" t="inlineStr"/>
      <c r="I241" s="5" t="inlineStr"/>
      <c r="J241" s="5" t="inlineStr"/>
      <c r="K241" s="5" t="inlineStr">
        <is>
          <t>meslek-esnaf</t>
        </is>
      </c>
      <c r="L241" s="5" t="inlineStr">
        <is>
          <t>hapis</t>
        </is>
      </c>
      <c r="M241" s="5" t="inlineStr"/>
      <c r="N241" s="5" t="inlineStr"/>
      <c r="O241" s="5" t="inlineStr"/>
      <c r="P241" s="5" t="inlineStr"/>
      <c r="Q241" s="5" t="inlineStr"/>
      <c r="R241" s="6" t="inlineStr"/>
      <c r="S241" s="5" t="inlineStr"/>
      <c r="T241" s="5" t="inlineStr"/>
      <c r="U241" s="5" t="inlineStr"/>
      <c r="V241" s="5" t="inlineStr"/>
    </row>
    <row r="242">
      <c r="A242" s="5" t="inlineStr">
        <is>
          <t>mm-vatandasla-diyalog</t>
        </is>
      </c>
      <c r="B242" s="5" t="n">
        <v>8</v>
      </c>
      <c r="C242" s="5" t="inlineStr">
        <is>
          <t>48 yaş</t>
        </is>
      </c>
      <c r="D242" s="5" t="inlineStr">
        <is>
          <t>🙋</t>
        </is>
      </c>
      <c r="E242" s="6" t="inlineStr">
        <is>
          <t>Kimin Nesi Olduğunu Bilmiyorsun</t>
        </is>
      </c>
      <c r="F242" s="6" t="inlineStr">
        <is>
          <t>Vatandaş masaya eğildi: 'Siz benim kim olduğumu biliyor musunuz?' Bilmiyorsun. Ama bu cümleyi yirmi yıldır bekliyordun.</t>
        </is>
      </c>
      <c r="G242" s="5" t="inlineStr">
        <is>
          <t>devlet-dairesi</t>
        </is>
      </c>
      <c r="H242" s="5" t="inlineStr"/>
      <c r="I242" s="5" t="inlineStr"/>
      <c r="J242" s="5" t="inlineStr"/>
      <c r="K242" s="5" t="inlineStr">
        <is>
          <t>meslek-memur</t>
        </is>
      </c>
      <c r="L242" s="5" t="inlineStr">
        <is>
          <t>hapis</t>
        </is>
      </c>
      <c r="M242" s="5" t="inlineStr"/>
      <c r="N242" s="5" t="inlineStr"/>
      <c r="O242" s="5" t="inlineStr"/>
      <c r="P242" s="5" t="inlineStr"/>
      <c r="Q242" s="5" t="inlineStr"/>
      <c r="R242" s="6" t="inlineStr"/>
      <c r="S242" s="5" t="inlineStr"/>
      <c r="T242" s="5" t="inlineStr"/>
      <c r="U242" s="5" t="inlineStr"/>
      <c r="V242" s="5" t="inlineStr"/>
    </row>
    <row r="243">
      <c r="A243" s="5" t="inlineStr">
        <is>
          <t>b8-yeni-hobi</t>
        </is>
      </c>
      <c r="B243" s="5" t="n">
        <v>8</v>
      </c>
      <c r="C243" s="5" t="inlineStr">
        <is>
          <t>48 yaş 6 ay</t>
        </is>
      </c>
      <c r="D243" s="5" t="inlineStr">
        <is>
          <t>🪂</t>
        </is>
      </c>
      <c r="E243" s="6" t="inlineStr">
        <is>
          <t>Yeni Hobi</t>
        </is>
      </c>
      <c r="F243" s="6" t="inlineStr">
        <is>
          <t>Yeni bir hobinin zamanı geldi. Adaylar: ekşi maya, bağlama, yamaç paraşütü. Üçü de sonunda bir köşeye yığılacak.</t>
        </is>
      </c>
      <c r="G243" s="5" t="inlineStr">
        <is>
          <t>park</t>
        </is>
      </c>
      <c r="H243" s="5" t="inlineStr"/>
      <c r="I243" s="5" t="inlineStr"/>
      <c r="J243" s="5" t="n">
        <v>1</v>
      </c>
      <c r="K243" s="5" t="inlineStr"/>
      <c r="L243" s="5" t="inlineStr">
        <is>
          <t>hapis</t>
        </is>
      </c>
      <c r="M243" s="5" t="inlineStr"/>
      <c r="N243" s="5" t="inlineStr"/>
      <c r="O243" s="5" t="inlineStr"/>
      <c r="P243" s="5" t="inlineStr"/>
      <c r="Q243" s="5" t="inlineStr"/>
      <c r="R243" s="6" t="inlineStr"/>
      <c r="S243" s="5" t="inlineStr"/>
      <c r="T243" s="5" t="inlineStr"/>
      <c r="U243" s="5" t="inlineStr"/>
      <c r="V243" s="5" t="inlineStr"/>
    </row>
    <row r="244">
      <c r="A244" s="5" t="inlineStr">
        <is>
          <t>b8-maraton</t>
        </is>
      </c>
      <c r="B244" s="5" t="n">
        <v>8</v>
      </c>
      <c r="C244" s="5" t="inlineStr">
        <is>
          <t>49 yaş</t>
        </is>
      </c>
      <c r="D244" s="5" t="inlineStr">
        <is>
          <t>🏃</t>
        </is>
      </c>
      <c r="E244" s="6" t="inlineStr">
        <is>
          <t>Maraton Hevesi</t>
        </is>
      </c>
      <c r="F244" s="6" t="inlineStr">
        <is>
          <t>İlk maratonuna kayıt oldun. Göğüs numaran 4471. Dizlerin ve kardiyoloğun aynı soruyu sordu: “Emin misin?”</t>
        </is>
      </c>
      <c r="G244" s="5" t="inlineStr">
        <is>
          <t>sokak</t>
        </is>
      </c>
      <c r="H244" s="5" t="inlineStr"/>
      <c r="I244" s="5" t="inlineStr"/>
      <c r="J244" s="5" t="n">
        <v>1</v>
      </c>
      <c r="K244" s="5" t="inlineStr">
        <is>
          <t>sporcu</t>
        </is>
      </c>
      <c r="L244" s="5" t="inlineStr">
        <is>
          <t>hapis</t>
        </is>
      </c>
      <c r="M244" s="5" t="inlineStr"/>
      <c r="N244" s="5" t="inlineStr"/>
      <c r="O244" s="5" t="inlineStr"/>
      <c r="P244" s="5" t="inlineStr"/>
      <c r="Q244" s="5" t="inlineStr"/>
      <c r="R244" s="6" t="inlineStr"/>
      <c r="S244" s="5" t="inlineStr"/>
      <c r="T244" s="5" t="inlineStr"/>
      <c r="U244" s="5" t="inlineStr"/>
      <c r="V244" s="5" t="inlineStr"/>
    </row>
    <row r="245">
      <c r="A245" s="5" t="inlineStr">
        <is>
          <t>b8-yeniden-egitim</t>
        </is>
      </c>
      <c r="B245" s="5" t="n">
        <v>8</v>
      </c>
      <c r="C245" s="5" t="inlineStr">
        <is>
          <t>49 yaş 6 ay</t>
        </is>
      </c>
      <c r="D245" s="5" t="inlineStr">
        <is>
          <t>🎒</t>
        </is>
      </c>
      <c r="E245" s="6" t="inlineStr">
        <is>
          <t>Yeniden Öğrenci</t>
        </is>
      </c>
      <c r="F245" s="6" t="inlineStr">
        <is>
          <t>Kariyer değiştirmeye karar verdin. Kayıt ekranındasın. Şifre en az bir büyük harf, bir rakam ve bir miktar gençlik istiyor.</t>
        </is>
      </c>
      <c r="G245" s="5" t="inlineStr">
        <is>
          <t>universite</t>
        </is>
      </c>
      <c r="H245" s="5" t="inlineStr">
        <is>
          <t>okul-iş</t>
        </is>
      </c>
      <c r="I245" s="5" t="inlineStr"/>
      <c r="J245" s="5" t="n">
        <v>1</v>
      </c>
      <c r="K245" s="5" t="inlineStr"/>
      <c r="L245" s="5" t="inlineStr">
        <is>
          <t>hapis</t>
        </is>
      </c>
      <c r="M245" s="5" t="inlineStr"/>
      <c r="N245" s="5" t="inlineStr"/>
      <c r="O245" s="5" t="inlineStr"/>
      <c r="P245" s="5" t="inlineStr"/>
      <c r="Q245" s="5" t="inlineStr"/>
      <c r="R245" s="6" t="inlineStr"/>
      <c r="S245" s="5" t="inlineStr"/>
      <c r="T245" s="5" t="inlineStr"/>
      <c r="U245" s="5" t="inlineStr"/>
      <c r="V245" s="5" t="inlineStr"/>
    </row>
    <row r="246">
      <c r="A246" s="5" t="inlineStr">
        <is>
          <t>b8-yazlik</t>
        </is>
      </c>
      <c r="B246" s="5" t="n">
        <v>8</v>
      </c>
      <c r="C246" s="5" t="inlineStr">
        <is>
          <t>50 yaş</t>
        </is>
      </c>
      <c r="D246" s="5" t="inlineStr">
        <is>
          <t>🏖️</t>
        </is>
      </c>
      <c r="E246" s="6" t="inlineStr">
        <is>
          <t>Yazlık Hayali</t>
        </is>
      </c>
      <c r="F246" s="6" t="inlineStr">
        <is>
          <t>Sahil kasabasında bir yazlık satılık. İlan: 'Denize yürüme mesafesinde.' Mesafe tanımlanmamış.</t>
        </is>
      </c>
      <c r="G246" s="5" t="inlineStr">
        <is>
          <t>yazlik</t>
        </is>
      </c>
      <c r="H246" s="5" t="inlineStr">
        <is>
          <t>para</t>
        </is>
      </c>
      <c r="I246" s="5" t="inlineStr"/>
      <c r="J246" s="5" t="n">
        <v>1</v>
      </c>
      <c r="K246" s="5" t="inlineStr"/>
      <c r="L246" s="5" t="inlineStr">
        <is>
          <t>hapis</t>
        </is>
      </c>
      <c r="M246" s="5" t="inlineStr"/>
      <c r="N246" s="5" t="inlineStr"/>
      <c r="O246" s="5" t="inlineStr"/>
      <c r="P246" s="5" t="inlineStr"/>
      <c r="Q246" s="5" t="inlineStr"/>
      <c r="R246" s="6" t="inlineStr"/>
      <c r="S246" s="5" t="inlineStr"/>
      <c r="T246" s="5" t="inlineStr"/>
      <c r="U246" s="5" t="inlineStr"/>
      <c r="V246" s="5" t="inlineStr"/>
    </row>
    <row r="247">
      <c r="A247" s="5" t="inlineStr">
        <is>
          <t>b8-ilac-kutusu</t>
        </is>
      </c>
      <c r="B247" s="5" t="n">
        <v>8</v>
      </c>
      <c r="C247" s="5" t="inlineStr">
        <is>
          <t>50 yaş 6 ay</t>
        </is>
      </c>
      <c r="D247" s="5" t="inlineStr">
        <is>
          <t>💊</t>
        </is>
      </c>
      <c r="E247" s="6" t="inlineStr">
        <is>
          <t>İlaç Kutusu Düzeni</t>
        </is>
      </c>
      <c r="F247" s="6" t="inlineStr">
        <is>
          <t>Anne-baban için haftalık ilaç kutusu aldın: yedi gün, üç öğün, yirmi bir göz. Masada on dört farklı kutu var. Baban kutuya baktı: “Bize kutu mu lazım, aklımız yerinde.” Sonra öğle ilacının hangisi olduğunu sordu.</t>
        </is>
      </c>
      <c r="G247" s="5" t="inlineStr">
        <is>
          <t>ev</t>
        </is>
      </c>
      <c r="H247" s="5" t="inlineStr">
        <is>
          <t>ev</t>
        </is>
      </c>
      <c r="I247" s="5" t="inlineStr"/>
      <c r="J247" s="5" t="n">
        <v>1</v>
      </c>
      <c r="K247" s="5" t="inlineStr"/>
      <c r="L247" s="5" t="inlineStr">
        <is>
          <t>hapis</t>
        </is>
      </c>
      <c r="M247" s="5" t="inlineStr"/>
      <c r="N247" s="5" t="inlineStr"/>
      <c r="O247" s="5" t="inlineStr"/>
      <c r="P247" s="5" t="inlineStr"/>
      <c r="Q247" s="5" t="inlineStr"/>
      <c r="R247" s="6" t="inlineStr"/>
      <c r="S247" s="5" t="inlineStr"/>
      <c r="T247" s="5" t="inlineStr"/>
      <c r="U247" s="5" t="inlineStr"/>
      <c r="V247" s="5" t="inlineStr"/>
    </row>
    <row r="248">
      <c r="A248" s="5" t="inlineStr">
        <is>
          <t>b8-site-yoneticisi</t>
        </is>
      </c>
      <c r="B248" s="5" t="n">
        <v>8</v>
      </c>
      <c r="C248" s="5" t="inlineStr">
        <is>
          <t>51 yaş</t>
        </is>
      </c>
      <c r="D248" s="5" t="inlineStr">
        <is>
          <t>🏢</t>
        </is>
      </c>
      <c r="E248" s="6" t="inlineStr">
        <is>
          <t>Site Yönetim Toplantısı</t>
        </is>
      </c>
      <c r="F248" s="6" t="inlineStr">
        <is>
          <t>Yıllık site toplantısı. Gündem: aidat, otopark, kedi mama kabı. Aday yok; herkes sana bakıyor, çünkü geç kaldın.</t>
        </is>
      </c>
      <c r="G248" s="5" t="inlineStr">
        <is>
          <t>apartman</t>
        </is>
      </c>
      <c r="H248" s="5" t="inlineStr"/>
      <c r="I248" s="5" t="inlineStr"/>
      <c r="J248" s="5" t="n">
        <v>1</v>
      </c>
      <c r="K248" s="5" t="inlineStr"/>
      <c r="L248" s="5" t="inlineStr">
        <is>
          <t>hapis</t>
        </is>
      </c>
      <c r="M248" s="5" t="inlineStr"/>
      <c r="N248" s="5" t="inlineStr"/>
      <c r="O248" s="5" t="inlineStr"/>
      <c r="P248" s="5" t="inlineStr"/>
      <c r="Q248" s="5" t="inlineStr"/>
      <c r="R248" s="6" t="inlineStr"/>
      <c r="S248" s="5" t="inlineStr"/>
      <c r="T248" s="5" t="inlineStr"/>
      <c r="U248" s="5" t="inlineStr"/>
      <c r="V248" s="5" t="inlineStr"/>
    </row>
    <row r="249">
      <c r="A249" s="5" t="inlineStr">
        <is>
          <t>mb-genc-yonetici</t>
        </is>
      </c>
      <c r="B249" s="5" t="n">
        <v>8</v>
      </c>
      <c r="C249" s="5" t="inlineStr">
        <is>
          <t>51 yaş</t>
        </is>
      </c>
      <c r="D249" s="5" t="inlineStr">
        <is>
          <t>🧑‍💼</t>
        </is>
      </c>
      <c r="E249" s="6" t="inlineStr">
        <is>
          <t>Yeni Yöneticin</t>
        </is>
      </c>
      <c r="F249" s="6" t="inlineStr">
        <is>
          <t>Yeni yöneticin atandı. O doğduğunda sen bu şirkette stajyerdin. İlk toplantıda 'Eski yöntemleri bırakalım' dedi.</t>
        </is>
      </c>
      <c r="G249" s="5" t="inlineStr">
        <is>
          <t>ofis</t>
        </is>
      </c>
      <c r="H249" s="5" t="inlineStr"/>
      <c r="I249" s="5" t="inlineStr"/>
      <c r="J249" s="5" t="n">
        <v>1</v>
      </c>
      <c r="K249" s="5" t="inlineStr">
        <is>
          <t>meslek-beyazyaka</t>
        </is>
      </c>
      <c r="L249" s="5" t="inlineStr">
        <is>
          <t>hapis</t>
        </is>
      </c>
      <c r="M249" s="5" t="inlineStr"/>
      <c r="N249" s="5" t="inlineStr"/>
      <c r="O249" s="5" t="inlineStr"/>
      <c r="P249" s="5" t="inlineStr"/>
      <c r="Q249" s="5" t="inlineStr"/>
      <c r="R249" s="6" t="inlineStr"/>
      <c r="S249" s="5" t="inlineStr"/>
      <c r="T249" s="5" t="inlineStr"/>
      <c r="U249" s="5" t="inlineStr"/>
      <c r="V249" s="5" t="inlineStr"/>
    </row>
    <row r="250">
      <c r="A250" s="5" t="inlineStr">
        <is>
          <t>ms-atolye-kirasi</t>
        </is>
      </c>
      <c r="B250" s="5" t="n">
        <v>8</v>
      </c>
      <c r="C250" s="5" t="inlineStr">
        <is>
          <t>51 yaş</t>
        </is>
      </c>
      <c r="D250" s="5" t="inlineStr">
        <is>
          <t>🏚️</t>
        </is>
      </c>
      <c r="E250" s="6" t="inlineStr">
        <is>
          <t>Atölye Kirası</t>
        </is>
      </c>
      <c r="F250" s="6" t="inlineStr">
        <is>
          <t>Bodrum katındaki atölyenin kirası üçe katlandı. Ev sahibi gerekçesini açıkladı: 'Artık burası sanat mahallesi.'</t>
        </is>
      </c>
      <c r="G250" s="5" t="inlineStr">
        <is>
          <t>apartman</t>
        </is>
      </c>
      <c r="H250" s="5" t="inlineStr"/>
      <c r="I250" s="5" t="inlineStr"/>
      <c r="J250" s="5" t="n">
        <v>1</v>
      </c>
      <c r="K250" s="5" t="inlineStr">
        <is>
          <t>meslek-serbest</t>
        </is>
      </c>
      <c r="L250" s="5" t="inlineStr">
        <is>
          <t>hapis</t>
        </is>
      </c>
      <c r="M250" s="5" t="inlineStr"/>
      <c r="N250" s="5" t="inlineStr"/>
      <c r="O250" s="5" t="inlineStr"/>
      <c r="P250" s="5" t="inlineStr"/>
      <c r="Q250" s="5" t="inlineStr"/>
      <c r="R250" s="6" t="inlineStr"/>
      <c r="S250" s="5" t="inlineStr"/>
      <c r="T250" s="5" t="inlineStr"/>
      <c r="U250" s="5" t="inlineStr"/>
      <c r="V250" s="5" t="inlineStr"/>
    </row>
    <row r="251">
      <c r="A251" s="5" t="inlineStr">
        <is>
          <t>b8-bakim-evraki</t>
        </is>
      </c>
      <c r="B251" s="5" t="n">
        <v>8</v>
      </c>
      <c r="C251" s="5" t="inlineStr">
        <is>
          <t>51 yaş 6 ay</t>
        </is>
      </c>
      <c r="D251" s="5" t="inlineStr">
        <is>
          <t>📋</t>
        </is>
      </c>
      <c r="E251" s="6" t="inlineStr">
        <is>
          <t>Bakım Evrakı</t>
        </is>
      </c>
      <c r="F251" s="6" t="inlineStr">
        <is>
          <t>Annene evde bakım maaşı bağlatmak için daireye geldin. Elinde heyet raporu, kimlik fotokopisi, iki vesikalık. Sıra numaran 347; ekran bir saattir 112 yazıyor.</t>
        </is>
      </c>
      <c r="G251" s="5" t="inlineStr">
        <is>
          <t>devlet-dairesi</t>
        </is>
      </c>
      <c r="H251" s="5" t="inlineStr">
        <is>
          <t>ev</t>
        </is>
      </c>
      <c r="I251" s="5" t="inlineStr"/>
      <c r="J251" s="5" t="n">
        <v>1</v>
      </c>
      <c r="K251" s="5" t="inlineStr"/>
      <c r="L251" s="5" t="inlineStr">
        <is>
          <t>hapis</t>
        </is>
      </c>
      <c r="M251" s="5" t="inlineStr"/>
      <c r="N251" s="5" t="inlineStr"/>
      <c r="O251" s="5" t="inlineStr"/>
      <c r="P251" s="5" t="inlineStr"/>
      <c r="Q251" s="5" t="inlineStr"/>
      <c r="R251" s="6" t="inlineStr"/>
      <c r="S251" s="5" t="inlineStr"/>
      <c r="T251" s="5" t="inlineStr"/>
      <c r="U251" s="5" t="inlineStr"/>
      <c r="V251" s="5" t="inlineStr"/>
    </row>
    <row r="252">
      <c r="A252" s="5" t="inlineStr">
        <is>
          <t>b8-ikinci-bahar</t>
        </is>
      </c>
      <c r="B252" s="5" t="n">
        <v>8</v>
      </c>
      <c r="C252" s="5" t="inlineStr">
        <is>
          <t>52 yaş</t>
        </is>
      </c>
      <c r="D252" s="5" t="inlineStr">
        <is>
          <t>💐</t>
        </is>
      </c>
      <c r="E252" s="6" t="inlineStr">
        <is>
          <t>İkinci Bahar</t>
        </is>
      </c>
      <c r="F252" s="6" t="inlineStr">
        <is>
          <t>Alt kattaki teyze kapıyı çaldı: “Bir tanıdığın tanıdığı var, o da yalnız. Bir kahve içseniz?” Buluşma kafede, saat 19.00. En son ilk buluşmaya gittiğinde telefonun kapaklıydı.</t>
        </is>
      </c>
      <c r="G252" s="5" t="inlineStr">
        <is>
          <t>kafe</t>
        </is>
      </c>
      <c r="H252" s="5" t="inlineStr"/>
      <c r="I252" s="5" t="inlineStr"/>
      <c r="J252" s="5" t="n">
        <v>1</v>
      </c>
      <c r="K252" s="5" t="inlineStr">
        <is>
          <t>bosandi</t>
        </is>
      </c>
      <c r="L252" s="5" t="inlineStr">
        <is>
          <t>hapis</t>
        </is>
      </c>
      <c r="M252" s="5" t="inlineStr"/>
      <c r="N252" s="5" t="inlineStr"/>
      <c r="O252" s="5" t="inlineStr"/>
      <c r="P252" s="5" t="inlineStr"/>
      <c r="Q252" s="5" t="inlineStr"/>
      <c r="R252" s="6" t="inlineStr"/>
      <c r="S252" s="5" t="inlineStr"/>
      <c r="T252" s="5" t="inlineStr"/>
      <c r="U252" s="5" t="inlineStr"/>
      <c r="V252" s="5" t="inlineStr"/>
    </row>
    <row r="253">
      <c r="A253" s="5" t="inlineStr">
        <is>
          <t>me-dernek-secimi</t>
        </is>
      </c>
      <c r="B253" s="5" t="n">
        <v>8</v>
      </c>
      <c r="C253" s="5" t="inlineStr">
        <is>
          <t>52 yaş</t>
        </is>
      </c>
      <c r="D253" s="5" t="inlineStr">
        <is>
          <t>🗳️</t>
        </is>
      </c>
      <c r="E253" s="6" t="inlineStr">
        <is>
          <t>Esnaf Derneği Seçimi</t>
        </is>
      </c>
      <c r="F253" s="6" t="inlineStr">
        <is>
          <t>Çarşının esnaf derneği seçime gidiyor. Adaylar belli: yirmi yıllık başkan ve yirmi yıllık başkanın 'yenilikçi' listesi.</t>
        </is>
      </c>
      <c r="G253" s="5" t="inlineStr">
        <is>
          <t>carsi</t>
        </is>
      </c>
      <c r="H253" s="5" t="inlineStr"/>
      <c r="I253" s="5" t="inlineStr"/>
      <c r="J253" s="5" t="inlineStr"/>
      <c r="K253" s="5" t="inlineStr">
        <is>
          <t>meslek-esnaf</t>
        </is>
      </c>
      <c r="L253" s="5" t="inlineStr">
        <is>
          <t>hapis, zirve</t>
        </is>
      </c>
      <c r="M253" s="5" t="inlineStr"/>
      <c r="N253" s="5" t="inlineStr"/>
      <c r="O253" s="5" t="inlineStr"/>
      <c r="P253" s="5" t="inlineStr"/>
      <c r="Q253" s="5" t="inlineStr"/>
      <c r="R253" s="6" t="inlineStr"/>
      <c r="S253" s="5" t="inlineStr"/>
      <c r="T253" s="5" t="inlineStr"/>
      <c r="U253" s="5" t="inlineStr"/>
      <c r="V253" s="5" t="inlineStr"/>
    </row>
    <row r="254">
      <c r="A254" s="5" t="inlineStr">
        <is>
          <t>mm-ikinci-is-hayali</t>
        </is>
      </c>
      <c r="B254" s="5" t="n">
        <v>8</v>
      </c>
      <c r="C254" s="5" t="inlineStr">
        <is>
          <t>52 yaş</t>
        </is>
      </c>
      <c r="D254" s="5" t="inlineStr">
        <is>
          <t>☕</t>
        </is>
      </c>
      <c r="E254" s="6" t="inlineStr">
        <is>
          <t>İkinci İş Hayali</t>
        </is>
      </c>
      <c r="F254" s="6" t="inlineStr">
        <is>
          <t>Öğle arasında yine aynı hayal: emekli olunca küçük bir kafe. Menü hazır, tabela hazır. Eksik tek şey emeklilik ve sermaye.</t>
        </is>
      </c>
      <c r="G254" s="5" t="inlineStr">
        <is>
          <t>kafe</t>
        </is>
      </c>
      <c r="H254" s="5" t="inlineStr"/>
      <c r="I254" s="5" t="inlineStr"/>
      <c r="J254" s="5" t="inlineStr"/>
      <c r="K254" s="5" t="inlineStr">
        <is>
          <t>meslek-memur</t>
        </is>
      </c>
      <c r="L254" s="5" t="inlineStr">
        <is>
          <t>hapis</t>
        </is>
      </c>
      <c r="M254" s="5" t="inlineStr"/>
      <c r="N254" s="5" t="inlineStr"/>
      <c r="O254" s="5" t="inlineStr"/>
      <c r="P254" s="5" t="inlineStr"/>
      <c r="Q254" s="5" t="inlineStr"/>
      <c r="R254" s="6" t="inlineStr"/>
      <c r="S254" s="5" t="inlineStr"/>
      <c r="T254" s="5" t="inlineStr"/>
      <c r="U254" s="5" t="inlineStr"/>
      <c r="V254" s="5" t="inlineStr"/>
    </row>
    <row r="255">
      <c r="A255" s="5" t="inlineStr">
        <is>
          <t>b8-cocuk-fenomen</t>
        </is>
      </c>
      <c r="B255" s="5" t="n">
        <v>8</v>
      </c>
      <c r="C255" s="5" t="inlineStr">
        <is>
          <t>52 yaş 6 ay</t>
        </is>
      </c>
      <c r="D255" s="5" t="inlineStr">
        <is>
          <t>🎥</t>
        </is>
      </c>
      <c r="E255" s="6" t="inlineStr">
        <is>
          <t>Çocuğun Fenomen Oldu</t>
        </is>
      </c>
      <c r="F255" s="6" t="inlineStr">
        <is>
          <t>Çocuğun kısa video uygulamasında fenomen oldu. En çok izlenen videosunun adı: “Bizimki teknolojiye karşı.” Başrolde sen varsın.</t>
        </is>
      </c>
      <c r="G255" s="5" t="inlineStr">
        <is>
          <t>ev</t>
        </is>
      </c>
      <c r="H255" s="5" t="inlineStr"/>
      <c r="I255" s="5" t="inlineStr"/>
      <c r="J255" s="5" t="n">
        <v>1</v>
      </c>
      <c r="K255" s="5" t="inlineStr">
        <is>
          <t>cocuklu</t>
        </is>
      </c>
      <c r="L255" s="5" t="inlineStr">
        <is>
          <t>hapis</t>
        </is>
      </c>
      <c r="M255" s="5" t="inlineStr"/>
      <c r="N255" s="5" t="inlineStr"/>
      <c r="O255" s="5" t="inlineStr"/>
      <c r="P255" s="5" t="inlineStr"/>
      <c r="Q255" s="5" t="inlineStr"/>
      <c r="R255" s="6" t="inlineStr"/>
      <c r="S255" s="5" t="inlineStr"/>
      <c r="T255" s="5" t="inlineStr"/>
      <c r="U255" s="5" t="inlineStr"/>
      <c r="V255" s="5" t="inlineStr"/>
    </row>
    <row r="256">
      <c r="A256" s="5" t="inlineStr">
        <is>
          <t>b8-yapay-zeka-egitimi</t>
        </is>
      </c>
      <c r="B256" s="5" t="n">
        <v>8</v>
      </c>
      <c r="C256" s="5" t="inlineStr">
        <is>
          <t>53 yaş</t>
        </is>
      </c>
      <c r="D256" s="5" t="inlineStr">
        <is>
          <t>🤖</t>
        </is>
      </c>
      <c r="E256" s="6" t="inlineStr">
        <is>
          <t>Yapay Zekâ Eğitimi</t>
        </is>
      </c>
      <c r="F256" s="6" t="inlineStr">
        <is>
          <t>Şirket herkese yapay zekâ eğitimini zorunlu yaptı. Eğitmen yirmi üç yaşında. İlk sorusu sana: “Bilgisayarı açabiliyor musunuz?”</t>
        </is>
      </c>
      <c r="G256" s="5" t="inlineStr">
        <is>
          <t>ofis</t>
        </is>
      </c>
      <c r="H256" s="5" t="inlineStr">
        <is>
          <t>okul-iş</t>
        </is>
      </c>
      <c r="I256" s="5" t="inlineStr"/>
      <c r="J256" s="5" t="n">
        <v>1</v>
      </c>
      <c r="K256" s="5" t="inlineStr">
        <is>
          <t>meslek-beyazyaka</t>
        </is>
      </c>
      <c r="L256" s="5" t="inlineStr">
        <is>
          <t>hapis</t>
        </is>
      </c>
      <c r="M256" s="5" t="inlineStr"/>
      <c r="N256" s="5" t="inlineStr"/>
      <c r="O256" s="5" t="inlineStr"/>
      <c r="P256" s="5" t="inlineStr"/>
      <c r="Q256" s="5" t="inlineStr"/>
      <c r="R256" s="6" t="inlineStr"/>
      <c r="S256" s="5" t="inlineStr"/>
      <c r="T256" s="5" t="inlineStr"/>
      <c r="U256" s="5" t="inlineStr"/>
      <c r="V256" s="5" t="inlineStr"/>
    </row>
    <row r="257">
      <c r="A257" s="5" t="inlineStr">
        <is>
          <t>b8-emeklilik-hesabi</t>
        </is>
      </c>
      <c r="B257" s="5" t="n">
        <v>8</v>
      </c>
      <c r="C257" s="5" t="inlineStr">
        <is>
          <t>53 yaş 6 ay</t>
        </is>
      </c>
      <c r="D257" s="5" t="inlineStr">
        <is>
          <t>🧮</t>
        </is>
      </c>
      <c r="E257" s="6" t="inlineStr">
        <is>
          <t>Emekliliğe Kaç Gün?</t>
        </is>
      </c>
      <c r="F257" s="6" t="inlineStr">
        <is>
          <t>Emeklilik hesaplama ekranına bilgilerini girdin. Sonuç: 'Hesaplanamadı.' Yeniden denedin: 'Tahmini: yakında.' Yakın tanımlanmamış.</t>
        </is>
      </c>
      <c r="G257" s="5" t="inlineStr">
        <is>
          <t>banka</t>
        </is>
      </c>
      <c r="H257" s="5" t="inlineStr">
        <is>
          <t>para</t>
        </is>
      </c>
      <c r="I257" s="5" t="inlineStr"/>
      <c r="J257" s="5" t="n">
        <v>1</v>
      </c>
      <c r="K257" s="5" t="inlineStr"/>
      <c r="L257" s="5" t="inlineStr">
        <is>
          <t>hapis</t>
        </is>
      </c>
      <c r="M257" s="5" t="inlineStr"/>
      <c r="N257" s="5" t="inlineStr"/>
      <c r="O257" s="5" t="inlineStr"/>
      <c r="P257" s="5" t="inlineStr"/>
      <c r="Q257" s="5" t="inlineStr"/>
      <c r="R257" s="6" t="inlineStr"/>
      <c r="S257" s="5" t="inlineStr"/>
      <c r="T257" s="5" t="inlineStr"/>
      <c r="U257" s="5" t="inlineStr"/>
      <c r="V257" s="5" t="inlineStr"/>
    </row>
    <row r="258">
      <c r="A258" s="5" t="inlineStr">
        <is>
          <t>b8-bos-yuva</t>
        </is>
      </c>
      <c r="B258" s="5" t="n">
        <v>8</v>
      </c>
      <c r="C258" s="5" t="inlineStr">
        <is>
          <t>51 yaş</t>
        </is>
      </c>
      <c r="D258" s="5" t="inlineStr">
        <is>
          <t>🚪</t>
        </is>
      </c>
      <c r="E258" s="6" t="inlineStr">
        <is>
          <t>Boş Yuva</t>
        </is>
      </c>
      <c r="F258" s="6" t="inlineStr">
        <is>
          <t>Çocuk okumak için başka bir şehre taşındı. Oda toplu. Çok toplu. Rahatsız edici derecede toplu.</t>
        </is>
      </c>
      <c r="G258" s="5" t="inlineStr">
        <is>
          <t>cocuk-odasi</t>
        </is>
      </c>
      <c r="H258" s="5" t="inlineStr">
        <is>
          <t>ev</t>
        </is>
      </c>
      <c r="I258" s="5" t="inlineStr"/>
      <c r="J258" s="5" t="n">
        <v>1</v>
      </c>
      <c r="K258" s="5" t="inlineStr">
        <is>
          <t>cocuklu</t>
        </is>
      </c>
      <c r="L258" s="5" t="inlineStr">
        <is>
          <t>hapis</t>
        </is>
      </c>
      <c r="M258" s="5" t="inlineStr"/>
      <c r="N258" s="5" t="inlineStr"/>
      <c r="O258" s="5" t="inlineStr"/>
      <c r="P258" s="5" t="inlineStr"/>
      <c r="Q258" s="5" t="inlineStr"/>
      <c r="R258" s="6" t="inlineStr"/>
      <c r="S258" s="5" t="inlineStr"/>
      <c r="T258" s="5" t="inlineStr"/>
      <c r="U258" s="5" t="inlineStr"/>
      <c r="V258" s="5" t="inlineStr"/>
    </row>
    <row r="259">
      <c r="A259" s="5" t="inlineStr">
        <is>
          <t>b8-son-taksit</t>
        </is>
      </c>
      <c r="B259" s="5" t="n">
        <v>8</v>
      </c>
      <c r="C259" s="5" t="inlineStr">
        <is>
          <t>54 yaş 6 ay</t>
        </is>
      </c>
      <c r="D259" s="5" t="inlineStr">
        <is>
          <t>🏦</t>
        </is>
      </c>
      <c r="E259" s="6" t="inlineStr">
        <is>
          <t>Son Taksit</t>
        </is>
      </c>
      <c r="F259" s="6" t="inlineStr">
        <is>
          <t>Konut kredisinin son taksiti ödendi. Banka bir tebrik mesajı gönderdi. Hemen ardından yeni bir kredi teklifi.</t>
        </is>
      </c>
      <c r="G259" s="5" t="inlineStr">
        <is>
          <t>banka</t>
        </is>
      </c>
      <c r="H259" s="5" t="inlineStr">
        <is>
          <t>para</t>
        </is>
      </c>
      <c r="I259" s="5" t="inlineStr"/>
      <c r="J259" s="5" t="n">
        <v>1</v>
      </c>
      <c r="K259" s="5" t="inlineStr">
        <is>
          <t>ev-sahibi</t>
        </is>
      </c>
      <c r="L259" s="5" t="inlineStr">
        <is>
          <t>hapis</t>
        </is>
      </c>
      <c r="M259" s="5" t="inlineStr"/>
      <c r="N259" s="5" t="inlineStr"/>
      <c r="O259" s="5" t="inlineStr"/>
      <c r="P259" s="5" t="inlineStr"/>
      <c r="Q259" s="5" t="inlineStr"/>
      <c r="R259" s="6" t="inlineStr"/>
      <c r="S259" s="5" t="inlineStr"/>
      <c r="T259" s="5" t="inlineStr"/>
      <c r="U259" s="5" t="inlineStr"/>
      <c r="V259" s="5" t="inlineStr"/>
    </row>
    <row r="260">
      <c r="A260" s="5" t="inlineStr">
        <is>
          <t>b9-yazi-boyutu</t>
        </is>
      </c>
      <c r="B260" s="5" t="n">
        <v>9</v>
      </c>
      <c r="C260" s="5" t="inlineStr">
        <is>
          <t>55 yaş</t>
        </is>
      </c>
      <c r="D260" s="5" t="inlineStr">
        <is>
          <t>🔍</t>
        </is>
      </c>
      <c r="E260" s="6" t="inlineStr">
        <is>
          <t>Yazı Boyutu</t>
        </is>
      </c>
      <c r="F260" s="6" t="inlineStr">
        <is>
          <t>Telefondaki mesajı okumak için kolunu uzattın. Kol yetmedi. Telefonu sehpaya koydun, iki adım geri çekildin, gözlerini kıstın. Mesaj: 'Tamam.'</t>
        </is>
      </c>
      <c r="G260" s="5" t="inlineStr">
        <is>
          <t>ev</t>
        </is>
      </c>
      <c r="H260" s="5" t="inlineStr"/>
      <c r="I260" s="5" t="inlineStr"/>
      <c r="J260" s="5" t="inlineStr"/>
      <c r="K260" s="5" t="inlineStr"/>
      <c r="L260" s="5" t="inlineStr">
        <is>
          <t>hapis</t>
        </is>
      </c>
      <c r="M260" s="5" t="inlineStr"/>
      <c r="N260" s="5" t="inlineStr"/>
      <c r="O260" s="5" t="inlineStr"/>
      <c r="P260" s="5" t="inlineStr"/>
      <c r="Q260" s="5" t="inlineStr"/>
      <c r="R260" s="6" t="inlineStr"/>
      <c r="S260" s="5" t="inlineStr"/>
      <c r="T260" s="5" t="inlineStr"/>
      <c r="U260" s="5" t="inlineStr"/>
      <c r="V260" s="5" t="inlineStr"/>
    </row>
    <row r="261">
      <c r="A261" s="5" t="inlineStr">
        <is>
          <t>b9-gunaydin-gorselleri</t>
        </is>
      </c>
      <c r="B261" s="5" t="n">
        <v>9</v>
      </c>
      <c r="C261" s="5" t="inlineStr">
        <is>
          <t>55 yaş 6 ay</t>
        </is>
      </c>
      <c r="D261" s="5" t="inlineStr">
        <is>
          <t>🌹</t>
        </is>
      </c>
      <c r="E261" s="6" t="inlineStr">
        <is>
          <t>Günaydın Görselleri</t>
        </is>
      </c>
      <c r="F261" s="6" t="inlineStr">
        <is>
          <t>Aile mesaj grubuna parıldayan bir gül ve 'Güzel bir Salı olsun' yazısı gönderdin. Kimse cevap vermedi. Okundu bilgisi yirmi üç.</t>
        </is>
      </c>
      <c r="G261" s="5" t="inlineStr">
        <is>
          <t>ev</t>
        </is>
      </c>
      <c r="H261" s="5" t="inlineStr"/>
      <c r="I261" s="5" t="inlineStr"/>
      <c r="J261" s="5" t="inlineStr"/>
      <c r="K261" s="5" t="inlineStr"/>
      <c r="L261" s="5" t="inlineStr">
        <is>
          <t>hapis</t>
        </is>
      </c>
      <c r="M261" s="5" t="inlineStr"/>
      <c r="N261" s="5" t="inlineStr"/>
      <c r="O261" s="5" t="inlineStr"/>
      <c r="P261" s="5" t="inlineStr"/>
      <c r="Q261" s="5" t="inlineStr"/>
      <c r="R261" s="6" t="inlineStr"/>
      <c r="S261" s="5" t="inlineStr"/>
      <c r="T261" s="5" t="inlineStr"/>
      <c r="U261" s="5" t="inlineStr"/>
      <c r="V261" s="5" t="inlineStr"/>
    </row>
    <row r="262">
      <c r="A262" s="5" t="inlineStr">
        <is>
          <t>b9-sabah-yuruyusu</t>
        </is>
      </c>
      <c r="B262" s="5" t="n">
        <v>9</v>
      </c>
      <c r="C262" s="5" t="inlineStr">
        <is>
          <t>56 yaş</t>
        </is>
      </c>
      <c r="D262" s="5" t="inlineStr">
        <is>
          <t>👟</t>
        </is>
      </c>
      <c r="E262" s="6" t="inlineStr">
        <is>
          <t>Sabah Yürüyüş Grubu</t>
        </is>
      </c>
      <c r="F262" s="6" t="inlineStr">
        <is>
          <t>Parkta her sabah altıda yürüyen bir grup var. Kuralları yazılı değil ama herkes biliyor: en önde yürüyen, o sabah kimin çekiştirileceğine karar verir.</t>
        </is>
      </c>
      <c r="G262" s="5" t="inlineStr">
        <is>
          <t>park</t>
        </is>
      </c>
      <c r="H262" s="5" t="inlineStr"/>
      <c r="I262" s="5" t="inlineStr"/>
      <c r="J262" s="5" t="inlineStr"/>
      <c r="K262" s="5" t="inlineStr"/>
      <c r="L262" s="5" t="inlineStr">
        <is>
          <t>hapis</t>
        </is>
      </c>
      <c r="M262" s="5" t="inlineStr"/>
      <c r="N262" s="5" t="inlineStr"/>
      <c r="O262" s="5" t="inlineStr"/>
      <c r="P262" s="5" t="inlineStr"/>
      <c r="Q262" s="5" t="inlineStr"/>
      <c r="R262" s="6" t="inlineStr"/>
      <c r="S262" s="5" t="inlineStr"/>
      <c r="T262" s="5" t="inlineStr"/>
      <c r="U262" s="5" t="inlineStr"/>
      <c r="V262" s="5" t="inlineStr"/>
    </row>
    <row r="263">
      <c r="A263" s="5" t="inlineStr">
        <is>
          <t>mb-emeklilik-hesabi</t>
        </is>
      </c>
      <c r="B263" s="5" t="n">
        <v>9</v>
      </c>
      <c r="C263" s="5" t="inlineStr">
        <is>
          <t>56 yaş</t>
        </is>
      </c>
      <c r="D263" s="5" t="inlineStr">
        <is>
          <t>🧮</t>
        </is>
      </c>
      <c r="E263" s="6" t="inlineStr">
        <is>
          <t>Emeklilik Hesabı</t>
        </is>
      </c>
      <c r="F263" s="6" t="inlineStr">
        <is>
          <t>Emeklilik tarihini telefondan sorguladın. Ekrandaki tarihi okudun, gözlüğünü sildin, yine okudun. Ekranı yan masaya uzattın; o da gözlüğünü sildi. Değişmedi.</t>
        </is>
      </c>
      <c r="G263" s="5" t="inlineStr">
        <is>
          <t>devlet-dairesi</t>
        </is>
      </c>
      <c r="H263" s="5" t="inlineStr">
        <is>
          <t>para</t>
        </is>
      </c>
      <c r="I263" s="5" t="inlineStr"/>
      <c r="J263" s="5" t="n">
        <v>1</v>
      </c>
      <c r="K263" s="5" t="inlineStr">
        <is>
          <t>meslek-beyazyaka</t>
        </is>
      </c>
      <c r="L263" s="5" t="inlineStr">
        <is>
          <t>hapis</t>
        </is>
      </c>
      <c r="M263" s="5" t="inlineStr"/>
      <c r="N263" s="5" t="inlineStr"/>
      <c r="O263" s="5" t="inlineStr"/>
      <c r="P263" s="5" t="inlineStr"/>
      <c r="Q263" s="5" t="inlineStr"/>
      <c r="R263" s="6" t="inlineStr"/>
      <c r="S263" s="5" t="inlineStr"/>
      <c r="T263" s="5" t="inlineStr"/>
      <c r="U263" s="5" t="inlineStr"/>
      <c r="V263" s="5" t="inlineStr"/>
    </row>
    <row r="264">
      <c r="A264" s="5" t="inlineStr">
        <is>
          <t>mm-gun-sayaci</t>
        </is>
      </c>
      <c r="B264" s="5" t="n">
        <v>9</v>
      </c>
      <c r="C264" s="5" t="inlineStr">
        <is>
          <t>56 yaş</t>
        </is>
      </c>
      <c r="D264" s="5" t="inlineStr">
        <is>
          <t>⏳</t>
        </is>
      </c>
      <c r="E264" s="6" t="inlineStr">
        <is>
          <t>Emekliliğe Kalan Gün</t>
        </is>
      </c>
      <c r="F264" s="6" t="inlineStr">
        <is>
          <t>Masanın köşesine bir kâğıt yapıştırdın: 'Emekliliğe 1.825 gün.' Her sabah bir çizgi çekiyorsun.</t>
        </is>
      </c>
      <c r="G264" s="5" t="inlineStr">
        <is>
          <t>devlet-dairesi</t>
        </is>
      </c>
      <c r="H264" s="5" t="inlineStr"/>
      <c r="I264" s="5" t="inlineStr"/>
      <c r="J264" s="5" t="inlineStr"/>
      <c r="K264" s="5" t="inlineStr">
        <is>
          <t>meslek-memur</t>
        </is>
      </c>
      <c r="L264" s="5" t="inlineStr">
        <is>
          <t>hapis</t>
        </is>
      </c>
      <c r="M264" s="5" t="inlineStr"/>
      <c r="N264" s="5" t="inlineStr"/>
      <c r="O264" s="5" t="inlineStr"/>
      <c r="P264" s="5" t="inlineStr"/>
      <c r="Q264" s="5" t="inlineStr"/>
      <c r="R264" s="6" t="inlineStr"/>
      <c r="S264" s="5" t="inlineStr"/>
      <c r="T264" s="5" t="inlineStr"/>
      <c r="U264" s="5" t="inlineStr"/>
      <c r="V264" s="5" t="inlineStr"/>
    </row>
    <row r="265">
      <c r="A265" s="5" t="inlineStr">
        <is>
          <t>b9-doktor-randevusu</t>
        </is>
      </c>
      <c r="B265" s="5" t="n">
        <v>9</v>
      </c>
      <c r="C265" s="5" t="inlineStr">
        <is>
          <t>56 yaş 6 ay</t>
        </is>
      </c>
      <c r="D265" s="5" t="inlineStr">
        <is>
          <t>📅</t>
        </is>
      </c>
      <c r="E265" s="6" t="inlineStr">
        <is>
          <t>Randevu Uygulaması</t>
        </is>
      </c>
      <c r="F265" s="6" t="inlineStr">
        <is>
          <t>Hastane randevusu için uygulamayı açtın. İlk boş randevu dört ay sonra, başka bir şehirde, saat 07.10'da.</t>
        </is>
      </c>
      <c r="G265" s="5" t="inlineStr">
        <is>
          <t>hastane</t>
        </is>
      </c>
      <c r="H265" s="5" t="inlineStr"/>
      <c r="I265" s="5" t="inlineStr"/>
      <c r="J265" s="5" t="inlineStr"/>
      <c r="K265" s="5" t="inlineStr"/>
      <c r="L265" s="5" t="inlineStr">
        <is>
          <t>hapis</t>
        </is>
      </c>
      <c r="M265" s="5" t="inlineStr"/>
      <c r="N265" s="5" t="inlineStr"/>
      <c r="O265" s="5" t="inlineStr"/>
      <c r="P265" s="5" t="inlineStr"/>
      <c r="Q265" s="5" t="inlineStr"/>
      <c r="R265" s="6" t="inlineStr"/>
      <c r="S265" s="5" t="inlineStr"/>
      <c r="T265" s="5" t="inlineStr"/>
      <c r="U265" s="5" t="inlineStr"/>
      <c r="V265" s="5" t="inlineStr"/>
    </row>
    <row r="266">
      <c r="A266" s="5" t="inlineStr">
        <is>
          <t>b9-ilk-torun</t>
        </is>
      </c>
      <c r="B266" s="5" t="n">
        <v>9</v>
      </c>
      <c r="C266" s="5" t="inlineStr">
        <is>
          <t>58 yaş</t>
        </is>
      </c>
      <c r="D266" s="5" t="inlineStr">
        <is>
          <t>👶</t>
        </is>
      </c>
      <c r="E266" s="6" t="inlineStr">
        <is>
          <t>İlk Torun</t>
        </is>
      </c>
      <c r="F266" s="6" t="inlineStr">
        <is>
          <t>Hastane koridorunda bir kapı açıldı ve kucağına bir bebek kondu. Cebinde iki gündür bir çeyrek altın bekliyor; ellerin titriyor, iğneyi bir türlü takamıyorsun.</t>
        </is>
      </c>
      <c r="G266" s="5" t="inlineStr">
        <is>
          <t>hastane</t>
        </is>
      </c>
      <c r="H266" s="5" t="inlineStr"/>
      <c r="I266" s="5" t="inlineStr"/>
      <c r="J266" s="5" t="inlineStr"/>
      <c r="K266" s="5" t="inlineStr">
        <is>
          <t>cocuklu</t>
        </is>
      </c>
      <c r="L266" s="5" t="inlineStr">
        <is>
          <t>hapis</t>
        </is>
      </c>
      <c r="M266" s="5" t="inlineStr"/>
      <c r="N266" s="5" t="inlineStr"/>
      <c r="O266" s="5" t="inlineStr"/>
      <c r="P266" s="5" t="inlineStr"/>
      <c r="Q266" s="5" t="inlineStr"/>
      <c r="R266" s="6" t="inlineStr"/>
      <c r="S266" s="5" t="inlineStr"/>
      <c r="T266" s="5" t="inlineStr"/>
      <c r="U266" s="5" t="inlineStr"/>
      <c r="V266" s="5" t="inlineStr"/>
    </row>
    <row r="267">
      <c r="A267" s="5" t="inlineStr">
        <is>
          <t>ms-emeklilik-yok</t>
        </is>
      </c>
      <c r="B267" s="5" t="n">
        <v>9</v>
      </c>
      <c r="C267" s="5" t="inlineStr">
        <is>
          <t>57 yaş</t>
        </is>
      </c>
      <c r="D267" s="5" t="inlineStr">
        <is>
          <t>♾️</t>
        </is>
      </c>
      <c r="E267" s="6" t="inlineStr">
        <is>
          <t>Emeklilik Diye Bir Şey</t>
        </is>
      </c>
      <c r="F267" s="6" t="inlineStr">
        <is>
          <t>Kahvede yaşıtların ikramiyelerini konuşuyor: biri yazlık diyor, biri araba. Sıra sana geldi. 'Ben ay sonunu hesaplıyorum' dedin. Masada kimse gülmedi, çünkü şaka değildi.</t>
        </is>
      </c>
      <c r="G267" s="5" t="inlineStr">
        <is>
          <t>ev</t>
        </is>
      </c>
      <c r="H267" s="5" t="inlineStr">
        <is>
          <t>para</t>
        </is>
      </c>
      <c r="I267" s="5" t="inlineStr"/>
      <c r="J267" s="5" t="n">
        <v>1</v>
      </c>
      <c r="K267" s="5" t="inlineStr">
        <is>
          <t>meslek-serbest</t>
        </is>
      </c>
      <c r="L267" s="5" t="inlineStr">
        <is>
          <t>hapis</t>
        </is>
      </c>
      <c r="M267" s="5" t="inlineStr"/>
      <c r="N267" s="5" t="inlineStr"/>
      <c r="O267" s="5" t="inlineStr"/>
      <c r="P267" s="5" t="inlineStr"/>
      <c r="Q267" s="5" t="inlineStr"/>
      <c r="R267" s="6" t="inlineStr"/>
      <c r="S267" s="5" t="inlineStr"/>
      <c r="T267" s="5" t="inlineStr"/>
      <c r="U267" s="5" t="inlineStr"/>
      <c r="V267" s="5" t="inlineStr"/>
    </row>
    <row r="268">
      <c r="A268" s="5" t="inlineStr">
        <is>
          <t>me-defterin-son-sayfasi</t>
        </is>
      </c>
      <c r="B268" s="5" t="n">
        <v>9</v>
      </c>
      <c r="C268" s="5" t="inlineStr">
        <is>
          <t>57 yaş</t>
        </is>
      </c>
      <c r="D268" s="5" t="inlineStr">
        <is>
          <t>📒</t>
        </is>
      </c>
      <c r="E268" s="6" t="inlineStr">
        <is>
          <t>Defterin Son Sayfası</t>
        </is>
      </c>
      <c r="F268" s="6" t="inlineStr">
        <is>
          <t>Veresiye defteri son sayfaya geldi. Sayfalar sararmış; bazı isimler taşınmış, bazıları hâlâ 'ay başı' diyor.</t>
        </is>
      </c>
      <c r="G268" s="5" t="inlineStr">
        <is>
          <t>dukkan</t>
        </is>
      </c>
      <c r="H268" s="5" t="inlineStr"/>
      <c r="I268" s="5" t="inlineStr"/>
      <c r="J268" s="5" t="inlineStr"/>
      <c r="K268" s="5" t="inlineStr">
        <is>
          <t>meslek-esnaf</t>
        </is>
      </c>
      <c r="L268" s="5" t="inlineStr">
        <is>
          <t>hapis</t>
        </is>
      </c>
      <c r="M268" s="5" t="inlineStr"/>
      <c r="N268" s="5" t="inlineStr"/>
      <c r="O268" s="5" t="inlineStr"/>
      <c r="P268" s="5" t="inlineStr"/>
      <c r="Q268" s="5" t="inlineStr"/>
      <c r="R268" s="6" t="inlineStr"/>
      <c r="S268" s="5" t="inlineStr"/>
      <c r="T268" s="5" t="inlineStr"/>
      <c r="U268" s="5" t="inlineStr"/>
      <c r="V268" s="5" t="inlineStr"/>
    </row>
    <row r="269">
      <c r="A269" s="5" t="inlineStr">
        <is>
          <t>b9-genclere-tavsiye</t>
        </is>
      </c>
      <c r="B269" s="5" t="n">
        <v>9</v>
      </c>
      <c r="C269" s="5" t="inlineStr">
        <is>
          <t>57 yaş 6 ay</t>
        </is>
      </c>
      <c r="D269" s="5" t="inlineStr">
        <is>
          <t>🗣️</t>
        </is>
      </c>
      <c r="E269" s="6" t="inlineStr">
        <is>
          <t>Gençlere Tavsiye</t>
        </is>
      </c>
      <c r="F269" s="6" t="inlineStr">
        <is>
          <t>Kafede yan masadaki genç telefonda patronunu anlatıyor. Senin bu konuda otuz yıllık anlatacağın var; dilinin ucunda bekliyor. Kimse sormadı.</t>
        </is>
      </c>
      <c r="G269" s="5" t="inlineStr">
        <is>
          <t>kafe</t>
        </is>
      </c>
      <c r="H269" s="5" t="inlineStr"/>
      <c r="I269" s="5" t="inlineStr"/>
      <c r="J269" s="5" t="inlineStr"/>
      <c r="K269" s="5" t="inlineStr"/>
      <c r="L269" s="5" t="inlineStr">
        <is>
          <t>hapis</t>
        </is>
      </c>
      <c r="M269" s="5" t="inlineStr"/>
      <c r="N269" s="5" t="inlineStr"/>
      <c r="O269" s="5" t="inlineStr"/>
      <c r="P269" s="5" t="inlineStr"/>
      <c r="Q269" s="5" t="inlineStr"/>
      <c r="R269" s="6" t="inlineStr"/>
      <c r="S269" s="5" t="inlineStr"/>
      <c r="T269" s="5" t="inlineStr"/>
      <c r="U269" s="5" t="inlineStr"/>
      <c r="V269" s="5" t="inlineStr"/>
    </row>
    <row r="270">
      <c r="A270" s="5" t="inlineStr">
        <is>
          <t>b9-lise-bulusmasi</t>
        </is>
      </c>
      <c r="B270" s="5" t="n">
        <v>9</v>
      </c>
      <c r="C270" s="5" t="inlineStr">
        <is>
          <t>58 yaş</t>
        </is>
      </c>
      <c r="D270" s="5" t="inlineStr">
        <is>
          <t>🎓</t>
        </is>
      </c>
      <c r="E270" s="6" t="inlineStr">
        <is>
          <t>Lise Buluşması Sonrası</t>
        </is>
      </c>
      <c r="F270" s="6" t="inlineStr">
        <is>
          <t>Kırkıncı yıl buluşması bitti. Herkesin yaka kartı vardı, çünkü kimse kimseyi tanıyamadı. Şimdi eve dönüş yolundasın.</t>
        </is>
      </c>
      <c r="G270" s="5" t="inlineStr">
        <is>
          <t>dugun-salonu</t>
        </is>
      </c>
      <c r="H270" s="5" t="inlineStr"/>
      <c r="I270" s="5" t="inlineStr"/>
      <c r="J270" s="5" t="inlineStr"/>
      <c r="K270" s="5" t="inlineStr"/>
      <c r="L270" s="5" t="inlineStr">
        <is>
          <t>hapis, okulu-birakti</t>
        </is>
      </c>
      <c r="M270" s="5" t="inlineStr"/>
      <c r="N270" s="5" t="inlineStr"/>
      <c r="O270" s="5" t="inlineStr"/>
      <c r="P270" s="5" t="inlineStr"/>
      <c r="Q270" s="5" t="inlineStr"/>
      <c r="R270" s="6" t="inlineStr"/>
      <c r="S270" s="5" t="inlineStr"/>
      <c r="T270" s="5" t="inlineStr"/>
      <c r="U270" s="5" t="inlineStr"/>
      <c r="V270" s="5" t="inlineStr"/>
    </row>
    <row r="271">
      <c r="A271" s="5" t="inlineStr">
        <is>
          <t>b9-eski-ask</t>
        </is>
      </c>
      <c r="B271" s="5" t="n">
        <v>9</v>
      </c>
      <c r="C271" s="5" t="inlineStr">
        <is>
          <t>58 yaş 6 ay</t>
        </is>
      </c>
      <c r="D271" s="5" t="inlineStr">
        <is>
          <t>🛒</t>
        </is>
      </c>
      <c r="E271" s="6" t="inlineStr">
        <is>
          <t>Eski Aşk</t>
        </is>
      </c>
      <c r="F271" s="6" t="inlineStr">
        <is>
          <t>Marketin konserve reyonunda bir yüz tanıdık geldi. Lisedeki ilk aşkın. İkiniz de aynı anda aynı nohut kutusuna uzandınız.</t>
        </is>
      </c>
      <c r="G271" s="5" t="inlineStr">
        <is>
          <t>market</t>
        </is>
      </c>
      <c r="H271" s="5" t="inlineStr"/>
      <c r="I271" s="5" t="inlineStr"/>
      <c r="J271" s="5" t="inlineStr"/>
      <c r="K271" s="5" t="inlineStr"/>
      <c r="L271" s="5" t="inlineStr">
        <is>
          <t>hapis</t>
        </is>
      </c>
      <c r="M271" s="5" t="inlineStr"/>
      <c r="N271" s="5" t="inlineStr"/>
      <c r="O271" s="5" t="inlineStr"/>
      <c r="P271" s="5" t="inlineStr"/>
      <c r="Q271" s="5" t="inlineStr"/>
      <c r="R271" s="6" t="inlineStr"/>
      <c r="S271" s="5" t="inlineStr"/>
      <c r="T271" s="5" t="inlineStr"/>
      <c r="U271" s="5" t="inlineStr"/>
      <c r="V271" s="5" t="inlineStr"/>
    </row>
    <row r="272">
      <c r="A272" s="5" t="inlineStr">
        <is>
          <t>b9-balkon-tarimi</t>
        </is>
      </c>
      <c r="B272" s="5" t="n">
        <v>9</v>
      </c>
      <c r="C272" s="5" t="inlineStr">
        <is>
          <t>59 yaş</t>
        </is>
      </c>
      <c r="D272" s="5" t="inlineStr">
        <is>
          <t>🍅</t>
        </is>
      </c>
      <c r="E272" s="6" t="inlineStr">
        <is>
          <t>Balkon Tarımı</t>
        </is>
      </c>
      <c r="F272" s="6" t="inlineStr">
        <is>
          <t>Balkona dört saksı domates diktin. Saksı, toprak, gübre, sulama kabı: hesapladın, her domates pazardaki bir kasa domatese geliyor. Hesabı kimseye söylemedin.</t>
        </is>
      </c>
      <c r="G272" s="5" t="inlineStr">
        <is>
          <t>apartman</t>
        </is>
      </c>
      <c r="H272" s="5" t="inlineStr"/>
      <c r="I272" s="5" t="inlineStr"/>
      <c r="J272" s="5" t="inlineStr"/>
      <c r="K272" s="5" t="inlineStr"/>
      <c r="L272" s="5" t="inlineStr">
        <is>
          <t>hapis</t>
        </is>
      </c>
      <c r="M272" s="5" t="inlineStr"/>
      <c r="N272" s="5" t="inlineStr"/>
      <c r="O272" s="5" t="inlineStr"/>
      <c r="P272" s="5" t="inlineStr"/>
      <c r="Q272" s="5" t="inlineStr"/>
      <c r="R272" s="6" t="inlineStr"/>
      <c r="S272" s="5" t="inlineStr"/>
      <c r="T272" s="5" t="inlineStr"/>
      <c r="U272" s="5" t="inlineStr"/>
      <c r="V272" s="5" t="inlineStr"/>
    </row>
    <row r="273">
      <c r="A273" s="5" t="inlineStr">
        <is>
          <t>mm-devir-teslim</t>
        </is>
      </c>
      <c r="B273" s="5" t="n">
        <v>9</v>
      </c>
      <c r="C273" s="5" t="inlineStr">
        <is>
          <t>60 yaş</t>
        </is>
      </c>
      <c r="D273" s="5" t="inlineStr">
        <is>
          <t>📂</t>
        </is>
      </c>
      <c r="E273" s="6" t="inlineStr">
        <is>
          <t>Genç Memura Devir</t>
        </is>
      </c>
      <c r="F273" s="6" t="inlineStr">
        <is>
          <t>Yerine gelecek genç memur karşında. Otuz yıllık bilgiyi iki haftada aktarman bekleniyor. Tutanakla.</t>
        </is>
      </c>
      <c r="G273" s="5" t="inlineStr">
        <is>
          <t>devlet-dairesi</t>
        </is>
      </c>
      <c r="H273" s="5" t="inlineStr"/>
      <c r="I273" s="5" t="inlineStr"/>
      <c r="J273" s="5" t="inlineStr"/>
      <c r="K273" s="5" t="inlineStr">
        <is>
          <t>meslek-memur</t>
        </is>
      </c>
      <c r="L273" s="5" t="inlineStr">
        <is>
          <t>hapis</t>
        </is>
      </c>
      <c r="M273" s="5" t="inlineStr"/>
      <c r="N273" s="5" t="inlineStr"/>
      <c r="O273" s="5" t="inlineStr"/>
      <c r="P273" s="5" t="inlineStr"/>
      <c r="Q273" s="5" t="inlineStr"/>
      <c r="R273" s="6" t="inlineStr"/>
      <c r="S273" s="5" t="inlineStr"/>
      <c r="T273" s="5" t="inlineStr"/>
      <c r="U273" s="5" t="inlineStr"/>
      <c r="V273" s="5" t="inlineStr"/>
    </row>
    <row r="274">
      <c r="A274" s="5" t="inlineStr">
        <is>
          <t>b9-yapay-zeka-asistani</t>
        </is>
      </c>
      <c r="B274" s="5" t="n">
        <v>9</v>
      </c>
      <c r="C274" s="5" t="inlineStr">
        <is>
          <t>59 yaş 6 ay</t>
        </is>
      </c>
      <c r="D274" s="5" t="inlineStr">
        <is>
          <t>🤖</t>
        </is>
      </c>
      <c r="E274" s="6" t="inlineStr">
        <is>
          <t>Yapay Zekâ Asistanı</t>
        </is>
      </c>
      <c r="F274" s="6" t="inlineStr">
        <is>
          <t>Telefonuna bir yapay zekâ asistanı gelmiş; ne zaman kurulduğunu bilmiyorsun. 'İstediğin her şeyi sor' dedi. Sordun. Asistan 'Anlayamadım' dedi. Sesini yükselttin.</t>
        </is>
      </c>
      <c r="G274" s="5" t="inlineStr">
        <is>
          <t>ev</t>
        </is>
      </c>
      <c r="H274" s="5" t="inlineStr"/>
      <c r="I274" s="5" t="inlineStr"/>
      <c r="J274" s="5" t="inlineStr"/>
      <c r="K274" s="5" t="inlineStr"/>
      <c r="L274" s="5" t="inlineStr">
        <is>
          <t>hapis</t>
        </is>
      </c>
      <c r="M274" s="5" t="inlineStr"/>
      <c r="N274" s="5" t="inlineStr"/>
      <c r="O274" s="5" t="inlineStr"/>
      <c r="P274" s="5" t="inlineStr"/>
      <c r="Q274" s="5" t="inlineStr"/>
      <c r="R274" s="6" t="inlineStr"/>
      <c r="S274" s="5" t="inlineStr"/>
      <c r="T274" s="5" t="inlineStr"/>
      <c r="U274" s="5" t="inlineStr"/>
      <c r="V274" s="5" t="inlineStr"/>
    </row>
    <row r="275">
      <c r="A275" s="5" t="inlineStr">
        <is>
          <t>b9-torun-nobeti</t>
        </is>
      </c>
      <c r="B275" s="5" t="n">
        <v>9</v>
      </c>
      <c r="C275" s="5" t="inlineStr">
        <is>
          <t>62 yaş</t>
        </is>
      </c>
      <c r="D275" s="5" t="inlineStr">
        <is>
          <t>🧸</t>
        </is>
      </c>
      <c r="E275" s="6" t="inlineStr">
        <is>
          <t>Torun Nöbeti</t>
        </is>
      </c>
      <c r="F275" s="6" t="inlineStr">
        <is>
          <t>Çocuğun iş seyahatine çıktı. Torun sende üç gün kalacak. Talimatlar listesi dört sayfa, ekran süresi tablosu dahil.</t>
        </is>
      </c>
      <c r="G275" s="5" t="inlineStr">
        <is>
          <t>cocuk-odasi</t>
        </is>
      </c>
      <c r="H275" s="5" t="inlineStr"/>
      <c r="I275" s="5" t="inlineStr"/>
      <c r="J275" s="5" t="inlineStr"/>
      <c r="K275" s="5" t="inlineStr">
        <is>
          <t>torunlu</t>
        </is>
      </c>
      <c r="L275" s="5" t="inlineStr">
        <is>
          <t>hapis</t>
        </is>
      </c>
      <c r="M275" s="5" t="inlineStr"/>
      <c r="N275" s="5" t="inlineStr"/>
      <c r="O275" s="5" t="inlineStr"/>
      <c r="P275" s="5" t="inlineStr"/>
      <c r="Q275" s="5" t="inlineStr"/>
      <c r="R275" s="6" t="inlineStr"/>
      <c r="S275" s="5" t="inlineStr"/>
      <c r="T275" s="5" t="inlineStr"/>
      <c r="U275" s="5" t="inlineStr"/>
      <c r="V275" s="5" t="inlineStr"/>
    </row>
    <row r="276">
      <c r="A276" s="5" t="inlineStr">
        <is>
          <t>mb-devir-teslim</t>
        </is>
      </c>
      <c r="B276" s="5" t="n">
        <v>9</v>
      </c>
      <c r="C276" s="5" t="inlineStr">
        <is>
          <t>60 yaş</t>
        </is>
      </c>
      <c r="D276" s="5" t="inlineStr">
        <is>
          <t>📦</t>
        </is>
      </c>
      <c r="E276" s="6" t="inlineStr">
        <is>
          <t>Devir Teslim</t>
        </is>
      </c>
      <c r="F276" s="6" t="inlineStr">
        <is>
          <t>Otuz yıllık işini yerine gelecek kişiye iki haftada devretmen isteniyor. Dosyaların yarısı yalnızca senin kafanda.</t>
        </is>
      </c>
      <c r="G276" s="5" t="inlineStr">
        <is>
          <t>ofis</t>
        </is>
      </c>
      <c r="H276" s="5" t="inlineStr"/>
      <c r="I276" s="5" t="inlineStr"/>
      <c r="J276" s="5" t="n">
        <v>1</v>
      </c>
      <c r="K276" s="5" t="inlineStr">
        <is>
          <t>meslek-beyazyaka</t>
        </is>
      </c>
      <c r="L276" s="5" t="inlineStr">
        <is>
          <t>hapis</t>
        </is>
      </c>
      <c r="M276" s="5" t="inlineStr"/>
      <c r="N276" s="5" t="inlineStr"/>
      <c r="O276" s="5" t="inlineStr"/>
      <c r="P276" s="5" t="inlineStr"/>
      <c r="Q276" s="5" t="inlineStr"/>
      <c r="R276" s="6" t="inlineStr"/>
      <c r="S276" s="5" t="inlineStr"/>
      <c r="T276" s="5" t="inlineStr"/>
      <c r="U276" s="5" t="inlineStr"/>
      <c r="V276" s="5" t="inlineStr"/>
    </row>
    <row r="277">
      <c r="A277" s="5" t="inlineStr">
        <is>
          <t>me-mudavim</t>
        </is>
      </c>
      <c r="B277" s="5" t="n">
        <v>9</v>
      </c>
      <c r="C277" s="5" t="inlineStr">
        <is>
          <t>60 yaş</t>
        </is>
      </c>
      <c r="D277" s="5" t="inlineStr">
        <is>
          <t>☕</t>
        </is>
      </c>
      <c r="E277" s="6" t="inlineStr">
        <is>
          <t>Yirmi Yıllık Müdavim</t>
        </is>
      </c>
      <c r="F277" s="6" t="inlineStr">
        <is>
          <t>Her sabah 08.10'da gelen müdavim bugün 08.40'ta geldi. O otuz dakikada sen, berber ve kapıcı birbirinizi iki kez aradınız.</t>
        </is>
      </c>
      <c r="G277" s="5" t="inlineStr">
        <is>
          <t>dukkan</t>
        </is>
      </c>
      <c r="H277" s="5" t="inlineStr"/>
      <c r="I277" s="5" t="inlineStr"/>
      <c r="J277" s="5" t="inlineStr"/>
      <c r="K277" s="5" t="inlineStr">
        <is>
          <t>meslek-esnaf</t>
        </is>
      </c>
      <c r="L277" s="5" t="inlineStr">
        <is>
          <t>hapis</t>
        </is>
      </c>
      <c r="M277" s="5" t="inlineStr"/>
      <c r="N277" s="5" t="inlineStr"/>
      <c r="O277" s="5" t="inlineStr"/>
      <c r="P277" s="5" t="inlineStr"/>
      <c r="Q277" s="5" t="inlineStr"/>
      <c r="R277" s="6" t="inlineStr"/>
      <c r="S277" s="5" t="inlineStr"/>
      <c r="T277" s="5" t="inlineStr"/>
      <c r="U277" s="5" t="inlineStr"/>
      <c r="V277" s="5" t="inlineStr"/>
    </row>
    <row r="278">
      <c r="A278" s="5" t="inlineStr">
        <is>
          <t>b9-kahvehane-tavla</t>
        </is>
      </c>
      <c r="B278" s="5" t="n">
        <v>9</v>
      </c>
      <c r="C278" s="5" t="inlineStr">
        <is>
          <t>60 yaş 6 ay</t>
        </is>
      </c>
      <c r="D278" s="5" t="inlineStr">
        <is>
          <t>🎲</t>
        </is>
      </c>
      <c r="E278" s="6" t="inlineStr">
        <is>
          <t>Kahvehane Tavla Ligi</t>
        </is>
      </c>
      <c r="F278" s="6" t="inlineStr">
        <is>
          <t>Mahalle kahvehanesinde gayriresmî bir tavla ligi var. Puan tablosu duvarda tebeşirle yazılı. Senin adın henüz yok.</t>
        </is>
      </c>
      <c r="G278" s="5" t="inlineStr">
        <is>
          <t>kafe</t>
        </is>
      </c>
      <c r="H278" s="5" t="inlineStr"/>
      <c r="I278" s="5" t="inlineStr"/>
      <c r="J278" s="5" t="inlineStr"/>
      <c r="K278" s="5" t="inlineStr"/>
      <c r="L278" s="5" t="inlineStr">
        <is>
          <t>hapis</t>
        </is>
      </c>
      <c r="M278" s="5" t="inlineStr"/>
      <c r="N278" s="5" t="inlineStr"/>
      <c r="O278" s="5" t="inlineStr"/>
      <c r="P278" s="5" t="inlineStr"/>
      <c r="Q278" s="5" t="inlineStr"/>
      <c r="R278" s="6" t="inlineStr"/>
      <c r="S278" s="5" t="inlineStr"/>
      <c r="T278" s="5" t="inlineStr"/>
      <c r="U278" s="5" t="inlineStr"/>
      <c r="V278" s="5" t="inlineStr"/>
    </row>
    <row r="279">
      <c r="A279" s="5" t="inlineStr">
        <is>
          <t>b9-emeklilik</t>
        </is>
      </c>
      <c r="B279" s="5" t="n">
        <v>9</v>
      </c>
      <c r="C279" s="5" t="inlineStr">
        <is>
          <t>61 yaş</t>
        </is>
      </c>
      <c r="D279" s="5" t="inlineStr">
        <is>
          <t>🎂</t>
        </is>
      </c>
      <c r="E279" s="6" t="inlineStr">
        <is>
          <t>Emeklilik</t>
        </is>
      </c>
      <c r="F279" s="6" t="inlineStr">
        <is>
          <t>Son gün. Bir pasta, bir plaket ve herkesin imzaladığı bir veda kartı; imzaların yarısını tanımıyorsun. İkramiye yarın hesaba yatacak; aile grubunda şimdiden üç kişi “Bir planım var” yazdı.</t>
        </is>
      </c>
      <c r="G279" s="5" t="inlineStr">
        <is>
          <t>ofis</t>
        </is>
      </c>
      <c r="H279" s="5" t="inlineStr"/>
      <c r="I279" s="5" t="inlineStr">
        <is>
          <t>E</t>
        </is>
      </c>
      <c r="J279" s="5" t="inlineStr"/>
      <c r="K279" s="5" t="inlineStr"/>
      <c r="L279" s="5" t="inlineStr">
        <is>
          <t>hapis</t>
        </is>
      </c>
      <c r="M279" s="5" t="inlineStr"/>
      <c r="N279" s="5" t="inlineStr"/>
      <c r="O279" s="5" t="inlineStr"/>
      <c r="P279" s="5" t="inlineStr"/>
      <c r="Q279" s="5" t="n">
        <v>12</v>
      </c>
      <c r="R279" s="6" t="inlineStr">
        <is>
          <t>Otuz beş yıllık bir meslek bir pastayla biter. Ama emeklilik herkes için aynı değildir: kimi kahvehanenin efsanesi olur, kimi bir site kapısının bekçisi, kimi yazlığın kalıcı sakini. Ve kimi emekli olmayı reddeder.</t>
        </is>
      </c>
      <c r="S279" s="5" t="inlineStr"/>
      <c r="T279" s="5" t="inlineStr"/>
      <c r="U279" s="5" t="inlineStr"/>
      <c r="V279" s="5" t="inlineStr"/>
    </row>
    <row r="280">
      <c r="A280" s="5" t="inlineStr">
        <is>
          <t>ms-retrospektif</t>
        </is>
      </c>
      <c r="B280" s="5" t="n">
        <v>9</v>
      </c>
      <c r="C280" s="5" t="inlineStr">
        <is>
          <t>61 yaş</t>
        </is>
      </c>
      <c r="D280" s="5" t="inlineStr">
        <is>
          <t>🏛️</t>
        </is>
      </c>
      <c r="E280" s="6" t="inlineStr">
        <is>
          <t>Retrospektif Sergi</t>
        </is>
      </c>
      <c r="F280" s="6" t="inlineStr">
        <is>
          <t>Bir galeri retrospektif sergini açıyor. Kırk yılın eserleri tek salonda. Duvarda, 'görünürlük' karşılığı yaptığın ilk iş de var.</t>
        </is>
      </c>
      <c r="G280" s="5" t="inlineStr">
        <is>
          <t>sahne</t>
        </is>
      </c>
      <c r="H280" s="5" t="inlineStr"/>
      <c r="I280" s="5" t="inlineStr"/>
      <c r="J280" s="5" t="n">
        <v>1</v>
      </c>
      <c r="K280" s="5" t="inlineStr">
        <is>
          <t>meslek-serbest</t>
        </is>
      </c>
      <c r="L280" s="5" t="inlineStr">
        <is>
          <t>hapis</t>
        </is>
      </c>
      <c r="M280" s="5" t="inlineStr"/>
      <c r="N280" s="5" t="inlineStr"/>
      <c r="O280" s="5" t="inlineStr"/>
      <c r="P280" s="5" t="inlineStr"/>
      <c r="Q280" s="5" t="inlineStr"/>
      <c r="R280" s="6" t="inlineStr"/>
      <c r="S280" s="5" t="inlineStr"/>
      <c r="T280" s="5" t="inlineStr"/>
      <c r="U280" s="5" t="inlineStr"/>
      <c r="V280" s="5" t="inlineStr"/>
    </row>
    <row r="281">
      <c r="A281" s="5" t="inlineStr">
        <is>
          <t>b9-pazar-arabasi</t>
        </is>
      </c>
      <c r="B281" s="5" t="n">
        <v>9</v>
      </c>
      <c r="C281" s="5" t="inlineStr">
        <is>
          <t>61 yaş 6 ay</t>
        </is>
      </c>
      <c r="D281" s="5" t="inlineStr">
        <is>
          <t>🛒</t>
        </is>
      </c>
      <c r="E281" s="6" t="inlineStr">
        <is>
          <t>Semt Pazarı</t>
        </is>
      </c>
      <c r="F281" s="6" t="inlineStr">
        <is>
          <t>Emekli olunca semt pazarı hafta sonu işi olmaktan çıktı: çarşamba sabahı, file cebinde, pazar arabasının tekerleği yağlanmış. Komşu teyze de seninle; listesi seninkinden uzun.</t>
        </is>
      </c>
      <c r="G281" s="5" t="inlineStr">
        <is>
          <t>carsi</t>
        </is>
      </c>
      <c r="H281" s="5" t="inlineStr"/>
      <c r="I281" s="5" t="inlineStr"/>
      <c r="J281" s="5" t="inlineStr"/>
      <c r="K281" s="5" t="inlineStr"/>
      <c r="L281" s="5" t="inlineStr">
        <is>
          <t>hapis</t>
        </is>
      </c>
      <c r="M281" s="5" t="inlineStr"/>
      <c r="N281" s="5" t="inlineStr"/>
      <c r="O281" s="5" t="inlineStr"/>
      <c r="P281" s="5" t="inlineStr"/>
      <c r="Q281" s="5" t="inlineStr"/>
      <c r="R281" s="6" t="inlineStr"/>
      <c r="S281" s="5" t="inlineStr"/>
      <c r="T281" s="5" t="inlineStr"/>
      <c r="U281" s="5" t="inlineStr"/>
      <c r="V281" s="5" t="inlineStr"/>
    </row>
    <row r="282">
      <c r="A282" s="5" t="inlineStr">
        <is>
          <t>b9-ikramiye</t>
        </is>
      </c>
      <c r="B282" s="5" t="n">
        <v>9</v>
      </c>
      <c r="C282" s="5" t="inlineStr">
        <is>
          <t>62 yaş</t>
        </is>
      </c>
      <c r="D282" s="5" t="inlineStr">
        <is>
          <t>💰</t>
        </is>
      </c>
      <c r="E282" s="6" t="inlineStr">
        <is>
          <t>İkramiye Ne Olacak?</t>
        </is>
      </c>
      <c r="F282" s="6" t="inlineStr">
        <is>
          <t>İkramiye hesaba yattı. Hayatında ilk kez bu kadar parayı bir arada gördün. Banka görevlisi 'Değerlendirmek ister misiniz?' diye soruyor.</t>
        </is>
      </c>
      <c r="G282" s="5" t="inlineStr">
        <is>
          <t>banka</t>
        </is>
      </c>
      <c r="H282" s="5" t="inlineStr"/>
      <c r="I282" s="5" t="inlineStr"/>
      <c r="J282" s="5" t="inlineStr"/>
      <c r="K282" s="5" t="inlineStr">
        <is>
          <t>emekli</t>
        </is>
      </c>
      <c r="L282" s="5" t="inlineStr">
        <is>
          <t>hapis</t>
        </is>
      </c>
      <c r="M282" s="5" t="inlineStr"/>
      <c r="N282" s="5" t="inlineStr"/>
      <c r="O282" s="5" t="inlineStr"/>
      <c r="P282" s="5" t="inlineStr"/>
      <c r="Q282" s="5" t="inlineStr"/>
      <c r="R282" s="6" t="inlineStr"/>
      <c r="S282" s="5" t="inlineStr"/>
      <c r="T282" s="5" t="inlineStr"/>
      <c r="U282" s="5" t="inlineStr"/>
      <c r="V282" s="5" t="inlineStr"/>
    </row>
    <row r="283">
      <c r="A283" s="5" t="inlineStr">
        <is>
          <t>mm-son-is-gunu</t>
        </is>
      </c>
      <c r="B283" s="5" t="n">
        <v>9</v>
      </c>
      <c r="C283" s="5" t="inlineStr">
        <is>
          <t>60 yaş 6 ay</t>
        </is>
      </c>
      <c r="D283" s="5" t="inlineStr">
        <is>
          <t>🎂</t>
        </is>
      </c>
      <c r="E283" s="6" t="inlineStr">
        <is>
          <t>Veda Çayı</t>
        </is>
      </c>
      <c r="F283" s="6" t="inlineStr">
        <is>
          <t>Emekliliğine bir ay var. Daire sana erken bir veda çayı düzenledi: biri börek, biri kolonya getirdi, biri de otuz yıl önce senden kaybolan zımbayı. Müdür bir konuşma yapmanı bekliyor.</t>
        </is>
      </c>
      <c r="G283" s="5" t="inlineStr">
        <is>
          <t>devlet-dairesi</t>
        </is>
      </c>
      <c r="H283" s="5" t="inlineStr"/>
      <c r="I283" s="5" t="inlineStr"/>
      <c r="J283" s="5" t="inlineStr"/>
      <c r="K283" s="5" t="inlineStr">
        <is>
          <t>meslek-memur</t>
        </is>
      </c>
      <c r="L283" s="5" t="inlineStr">
        <is>
          <t>hapis</t>
        </is>
      </c>
      <c r="M283" s="5" t="inlineStr"/>
      <c r="N283" s="5" t="inlineStr"/>
      <c r="O283" s="5" t="inlineStr"/>
      <c r="P283" s="5" t="inlineStr"/>
      <c r="Q283" s="5" t="inlineStr"/>
      <c r="R283" s="6" t="inlineStr"/>
      <c r="S283" s="5" t="inlineStr"/>
      <c r="T283" s="5" t="inlineStr"/>
      <c r="U283" s="5" t="inlineStr"/>
      <c r="V283" s="5" t="inlineStr"/>
    </row>
    <row r="284">
      <c r="A284" s="5" t="inlineStr">
        <is>
          <t>b9-es-7-24</t>
        </is>
      </c>
      <c r="B284" s="5" t="n">
        <v>9</v>
      </c>
      <c r="C284" s="5" t="inlineStr">
        <is>
          <t>62 yaş 6 ay</t>
        </is>
      </c>
      <c r="D284" s="5" t="inlineStr">
        <is>
          <t>🛋️</t>
        </is>
      </c>
      <c r="E284" s="6" t="inlineStr">
        <is>
          <t>Eşle Yedi Yirmi Dört</t>
        </is>
      </c>
      <c r="F284" s="6" t="inlineStr">
        <is>
          <t>Emekli oldun. Eşin de. Bunca yıllık evliliğin ilk yirmi dört saati aynı odada geçti. İkinci gün kumanda kimde kalacak diye üç kez tartıştınız; üçünü de eşin kazandı.</t>
        </is>
      </c>
      <c r="G284" s="5" t="inlineStr">
        <is>
          <t>ev</t>
        </is>
      </c>
      <c r="H284" s="5" t="inlineStr"/>
      <c r="I284" s="5" t="inlineStr"/>
      <c r="J284" s="5" t="inlineStr"/>
      <c r="K284" s="5" t="inlineStr">
        <is>
          <t>evli</t>
        </is>
      </c>
      <c r="L284" s="5" t="inlineStr">
        <is>
          <t>hapis</t>
        </is>
      </c>
      <c r="M284" s="5" t="inlineStr"/>
      <c r="N284" s="5" t="inlineStr"/>
      <c r="O284" s="5" t="inlineStr"/>
      <c r="P284" s="5" t="inlineStr"/>
      <c r="Q284" s="5" t="inlineStr"/>
      <c r="R284" s="6" t="inlineStr"/>
      <c r="S284" s="5" t="inlineStr"/>
      <c r="T284" s="5" t="inlineStr"/>
      <c r="U284" s="5" t="inlineStr"/>
      <c r="V284" s="5" t="inlineStr"/>
    </row>
    <row r="285">
      <c r="A285" s="5" t="inlineStr">
        <is>
          <t>b9-yalniz-emeklilik</t>
        </is>
      </c>
      <c r="B285" s="5" t="n">
        <v>9</v>
      </c>
      <c r="C285" s="5" t="inlineStr">
        <is>
          <t>63 yaş</t>
        </is>
      </c>
      <c r="D285" s="5" t="inlineStr">
        <is>
          <t>🍵</t>
        </is>
      </c>
      <c r="E285" s="6" t="inlineStr">
        <is>
          <t>Yalnız Emeklilik</t>
        </is>
      </c>
      <c r="F285" s="6" t="inlineStr">
        <is>
          <t>Ev sessiz. Çaydanlık senin için kaynıyor, bulaşık senin için birikiyor. Kumanda tartışmasız senin; bu da bir çeşit yalnızlık.</t>
        </is>
      </c>
      <c r="G285" s="5" t="inlineStr">
        <is>
          <t>ev</t>
        </is>
      </c>
      <c r="H285" s="5" t="inlineStr"/>
      <c r="I285" s="5" t="inlineStr"/>
      <c r="J285" s="5" t="inlineStr"/>
      <c r="K285" s="5" t="inlineStr"/>
      <c r="L285" s="5" t="inlineStr">
        <is>
          <t>evli, hapis</t>
        </is>
      </c>
      <c r="M285" s="5" t="inlineStr"/>
      <c r="N285" s="5" t="inlineStr"/>
      <c r="O285" s="5" t="inlineStr"/>
      <c r="P285" s="5" t="inlineStr"/>
      <c r="Q285" s="5" t="inlineStr"/>
      <c r="R285" s="6" t="inlineStr"/>
      <c r="S285" s="5" t="inlineStr"/>
      <c r="T285" s="5" t="inlineStr"/>
      <c r="U285" s="5" t="inlineStr"/>
      <c r="V285" s="5" t="inlineStr"/>
    </row>
    <row r="286">
      <c r="A286" s="5" t="inlineStr">
        <is>
          <t>mb-veda-plaketi</t>
        </is>
      </c>
      <c r="B286" s="5" t="n">
        <v>9</v>
      </c>
      <c r="C286" s="5" t="inlineStr">
        <is>
          <t>60 yaş 6 ay</t>
        </is>
      </c>
      <c r="D286" s="5" t="inlineStr">
        <is>
          <t>🏅</t>
        </is>
      </c>
      <c r="E286" s="6" t="inlineStr">
        <is>
          <t>Veda Plaketi</t>
        </is>
      </c>
      <c r="F286" s="6" t="inlineStr">
        <is>
          <t>Emekliliğine iki hafta var. Ekip sana erken bir veda yaptı: bir pasta, üç konuşma ve bir plaket. Plakette adın yanlış yazılmış.</t>
        </is>
      </c>
      <c r="G286" s="5" t="inlineStr">
        <is>
          <t>ofis</t>
        </is>
      </c>
      <c r="H286" s="5" t="inlineStr"/>
      <c r="I286" s="5" t="inlineStr"/>
      <c r="J286" s="5" t="n">
        <v>1</v>
      </c>
      <c r="K286" s="5" t="inlineStr">
        <is>
          <t>meslek-beyazyaka</t>
        </is>
      </c>
      <c r="L286" s="5" t="inlineStr">
        <is>
          <t>hapis</t>
        </is>
      </c>
      <c r="M286" s="5" t="inlineStr"/>
      <c r="N286" s="5" t="inlineStr"/>
      <c r="O286" s="5" t="inlineStr"/>
      <c r="P286" s="5" t="inlineStr"/>
      <c r="Q286" s="5" t="inlineStr"/>
      <c r="R286" s="6" t="inlineStr"/>
      <c r="S286" s="5" t="inlineStr"/>
      <c r="T286" s="5" t="inlineStr"/>
      <c r="U286" s="5" t="inlineStr"/>
      <c r="V286" s="5" t="inlineStr"/>
    </row>
    <row r="287">
      <c r="A287" s="5" t="inlineStr">
        <is>
          <t>me-dukkani-devret</t>
        </is>
      </c>
      <c r="B287" s="5" t="n">
        <v>9</v>
      </c>
      <c r="C287" s="5" t="inlineStr">
        <is>
          <t>60 yaş 3 ay</t>
        </is>
      </c>
      <c r="D287" s="5" t="inlineStr">
        <is>
          <t>🤝</t>
        </is>
      </c>
      <c r="E287" s="6" t="inlineStr">
        <is>
          <t>Dükkânı Devretmek</t>
        </is>
      </c>
      <c r="F287" s="6" t="inlineStr">
        <is>
          <t>Camda 'Devren kiralık' yazıyor. Talipliler geldi: biri hava parasını soruyor, biri rafları sayıyor, biri sadece çay içmeye gelmiş.</t>
        </is>
      </c>
      <c r="G287" s="5" t="inlineStr">
        <is>
          <t>dukkan</t>
        </is>
      </c>
      <c r="H287" s="5" t="inlineStr"/>
      <c r="I287" s="5" t="inlineStr"/>
      <c r="J287" s="5" t="inlineStr"/>
      <c r="K287" s="5" t="inlineStr">
        <is>
          <t>meslek-esnaf</t>
        </is>
      </c>
      <c r="L287" s="5" t="inlineStr">
        <is>
          <t>hapis</t>
        </is>
      </c>
      <c r="M287" s="5" t="inlineStr"/>
      <c r="N287" s="5" t="inlineStr"/>
      <c r="O287" s="5" t="inlineStr"/>
      <c r="P287" s="5" t="inlineStr"/>
      <c r="Q287" s="5" t="inlineStr"/>
      <c r="R287" s="6" t="inlineStr"/>
      <c r="S287" s="5" t="inlineStr"/>
      <c r="T287" s="5" t="inlineStr"/>
      <c r="U287" s="5" t="inlineStr"/>
      <c r="V287" s="5" t="inlineStr"/>
    </row>
    <row r="288">
      <c r="A288" s="5" t="inlineStr">
        <is>
          <t>b9-tavla-finali</t>
        </is>
      </c>
      <c r="B288" s="5" t="n">
        <v>9</v>
      </c>
      <c r="C288" s="5" t="inlineStr">
        <is>
          <t>63 yaş 6 ay</t>
        </is>
      </c>
      <c r="D288" s="5" t="inlineStr">
        <is>
          <t>🏆</t>
        </is>
      </c>
      <c r="E288" s="6" t="inlineStr">
        <is>
          <t>Tavla Finali</t>
        </is>
      </c>
      <c r="F288" s="6" t="inlineStr">
        <is>
          <t>Kahvehane liginde final günü. Masanın etrafında kırk kişi, ellerinde çay. Son zar senin. Kahvehane sahibi televizyonu kapattı.</t>
        </is>
      </c>
      <c r="G288" s="5" t="inlineStr">
        <is>
          <t>kafe</t>
        </is>
      </c>
      <c r="H288" s="5" t="inlineStr"/>
      <c r="I288" s="5" t="inlineStr"/>
      <c r="J288" s="5" t="inlineStr"/>
      <c r="K288" s="5" t="inlineStr"/>
      <c r="L288" s="5" t="inlineStr">
        <is>
          <t>hapis</t>
        </is>
      </c>
      <c r="M288" s="5" t="inlineStr"/>
      <c r="N288" s="5" t="inlineStr"/>
      <c r="O288" s="5" t="inlineStr"/>
      <c r="P288" s="5" t="inlineStr"/>
      <c r="Q288" s="5" t="inlineStr"/>
      <c r="R288" s="6" t="inlineStr"/>
      <c r="S288" s="5" t="inlineStr"/>
      <c r="T288" s="5" t="inlineStr"/>
      <c r="U288" s="5" t="inlineStr"/>
      <c r="V288" s="5" t="inlineStr"/>
    </row>
    <row r="289">
      <c r="A289" s="5" t="inlineStr">
        <is>
          <t>b9-torunun-tableti</t>
        </is>
      </c>
      <c r="B289" s="5" t="n">
        <v>9</v>
      </c>
      <c r="C289" s="5" t="inlineStr">
        <is>
          <t>64 yaş</t>
        </is>
      </c>
      <c r="D289" s="5" t="inlineStr">
        <is>
          <t>📱</t>
        </is>
      </c>
      <c r="E289" s="6" t="inlineStr">
        <is>
          <t>Torunun Tableti</t>
        </is>
      </c>
      <c r="F289" s="6" t="inlineStr">
        <is>
          <t>Torunun tableti dondu ve sana getirildi: 'Sen tamir edersin.' Torun altı yaşında; senin her şeyi bildiğine hâlâ inanıyor.</t>
        </is>
      </c>
      <c r="G289" s="5" t="inlineStr">
        <is>
          <t>ev</t>
        </is>
      </c>
      <c r="H289" s="5" t="inlineStr"/>
      <c r="I289" s="5" t="inlineStr"/>
      <c r="J289" s="5" t="inlineStr"/>
      <c r="K289" s="5" t="inlineStr">
        <is>
          <t>torunlu</t>
        </is>
      </c>
      <c r="L289" s="5" t="inlineStr">
        <is>
          <t>hapis</t>
        </is>
      </c>
      <c r="M289" s="5" t="inlineStr"/>
      <c r="N289" s="5" t="inlineStr"/>
      <c r="O289" s="5" t="inlineStr"/>
      <c r="P289" s="5" t="inlineStr"/>
      <c r="Q289" s="5" t="inlineStr"/>
      <c r="R289" s="6" t="inlineStr"/>
      <c r="S289" s="5" t="inlineStr"/>
      <c r="T289" s="5" t="inlineStr"/>
      <c r="U289" s="5" t="inlineStr"/>
      <c r="V289" s="5" t="inlineStr"/>
    </row>
    <row r="290">
      <c r="A290" s="5" t="inlineStr">
        <is>
          <t>mm-eski-daire</t>
        </is>
      </c>
      <c r="B290" s="5" t="n">
        <v>9</v>
      </c>
      <c r="C290" s="5" t="inlineStr">
        <is>
          <t>64 yaş</t>
        </is>
      </c>
      <c r="D290" s="5" t="inlineStr">
        <is>
          <t>🏛️</t>
        </is>
      </c>
      <c r="E290" s="6" t="inlineStr">
        <is>
          <t>Masanın Öbür Tarafı</t>
        </is>
      </c>
      <c r="F290" s="6" t="inlineStr">
        <is>
          <t>Emekli maaşında bir eksik çıktı. Düzeltmek için eski dairene gittin. Bu kez masanın öbür tarafındasın. Genç memur dosyana baktı: 'Yarın gelin.'</t>
        </is>
      </c>
      <c r="G290" s="5" t="inlineStr">
        <is>
          <t>devlet-dairesi</t>
        </is>
      </c>
      <c r="H290" s="5" t="inlineStr"/>
      <c r="I290" s="5" t="inlineStr"/>
      <c r="J290" s="5" t="inlineStr"/>
      <c r="K290" s="5" t="inlineStr">
        <is>
          <t>meslek-memur, emekli</t>
        </is>
      </c>
      <c r="L290" s="5" t="inlineStr">
        <is>
          <t>hapis</t>
        </is>
      </c>
      <c r="M290" s="5" t="inlineStr"/>
      <c r="N290" s="5" t="inlineStr"/>
      <c r="O290" s="5" t="inlineStr"/>
      <c r="P290" s="5" t="inlineStr"/>
      <c r="Q290" s="5" t="inlineStr"/>
      <c r="R290" s="6" t="inlineStr"/>
      <c r="S290" s="5" t="inlineStr"/>
      <c r="T290" s="5" t="inlineStr"/>
      <c r="U290" s="5" t="inlineStr"/>
      <c r="V290" s="5" t="inlineStr"/>
    </row>
    <row r="291">
      <c r="A291" s="5" t="inlineStr">
        <is>
          <t>b9-yazlik-komsulari</t>
        </is>
      </c>
      <c r="B291" s="5" t="n">
        <v>9</v>
      </c>
      <c r="C291" s="5" t="inlineStr">
        <is>
          <t>64 yaş 6 ay</t>
        </is>
      </c>
      <c r="D291" s="5" t="inlineStr">
        <is>
          <t>🏖️</t>
        </is>
      </c>
      <c r="E291" s="6" t="inlineStr">
        <is>
          <t>Yazlık Komşuları</t>
        </is>
      </c>
      <c r="F291" s="6" t="inlineStr">
        <is>
          <t>Yazlık sitesinde yeni sezon başladı. Yan komşu, üst komşu ve site yöneticisi aynı anda bahçe çitinin öbür tarafında. Konu: senin hortumun.</t>
        </is>
      </c>
      <c r="G291" s="5" t="inlineStr">
        <is>
          <t>yazlik</t>
        </is>
      </c>
      <c r="H291" s="5" t="inlineStr"/>
      <c r="I291" s="5" t="inlineStr"/>
      <c r="J291" s="5" t="inlineStr"/>
      <c r="K291" s="5" t="inlineStr"/>
      <c r="L291" s="5" t="inlineStr">
        <is>
          <t>hapis</t>
        </is>
      </c>
      <c r="M291" s="5" t="inlineStr"/>
      <c r="N291" s="5" t="inlineStr"/>
      <c r="O291" s="5" t="inlineStr"/>
      <c r="P291" s="5" t="inlineStr"/>
      <c r="Q291" s="5" t="inlineStr"/>
      <c r="R291" s="6" t="inlineStr"/>
      <c r="S291" s="5" t="inlineStr"/>
      <c r="T291" s="5" t="inlineStr"/>
      <c r="U291" s="5" t="inlineStr"/>
      <c r="V291" s="5" t="inlineStr"/>
    </row>
    <row r="292">
      <c r="A292" s="5" t="inlineStr">
        <is>
          <t>b9-ikinci-kariyer</t>
        </is>
      </c>
      <c r="B292" s="5" t="n">
        <v>9</v>
      </c>
      <c r="C292" s="5" t="inlineStr">
        <is>
          <t>65 yaş</t>
        </is>
      </c>
      <c r="D292" s="5" t="inlineStr">
        <is>
          <t>💼</t>
        </is>
      </c>
      <c r="E292" s="6" t="inlineStr">
        <is>
          <t>İkinci Kariyer</t>
        </is>
      </c>
      <c r="F292" s="6" t="inlineStr">
        <is>
          <t>Emeklisin ama emekli maaşı markete yetmiyor. Eski bir tanıdık 'Yarım gün gelsene' dedi. Yarım gün, tam gün olarak başlıyor.</t>
        </is>
      </c>
      <c r="G292" s="5" t="inlineStr">
        <is>
          <t>dukkan</t>
        </is>
      </c>
      <c r="H292" s="5" t="inlineStr"/>
      <c r="I292" s="5" t="inlineStr"/>
      <c r="J292" s="5" t="inlineStr"/>
      <c r="K292" s="5" t="inlineStr">
        <is>
          <t>emekli</t>
        </is>
      </c>
      <c r="L292" s="5" t="inlineStr">
        <is>
          <t>hapis</t>
        </is>
      </c>
      <c r="M292" s="5" t="inlineStr"/>
      <c r="N292" s="5" t="inlineStr"/>
      <c r="O292" s="5" t="inlineStr"/>
      <c r="P292" s="5" t="inlineStr"/>
      <c r="Q292" s="5" t="inlineStr"/>
      <c r="R292" s="6" t="inlineStr"/>
      <c r="S292" s="5" t="inlineStr"/>
      <c r="T292" s="5" t="inlineStr"/>
      <c r="U292" s="5" t="inlineStr"/>
      <c r="V292" s="5" t="inlineStr"/>
    </row>
    <row r="293">
      <c r="A293" s="5" t="inlineStr">
        <is>
          <t>ms-son-perde</t>
        </is>
      </c>
      <c r="B293" s="5" t="n">
        <v>9</v>
      </c>
      <c r="C293" s="5" t="inlineStr">
        <is>
          <t>65 yaş</t>
        </is>
      </c>
      <c r="D293" s="5" t="inlineStr">
        <is>
          <t>🎭</t>
        </is>
      </c>
      <c r="E293" s="6" t="inlineStr">
        <is>
          <t>Son Perde</t>
        </is>
      </c>
      <c r="F293" s="6" t="inlineStr">
        <is>
          <t>Son büyük projen: kırk yılı tek gecede özetleyen bir gösteri. Salon dolu. İlk açılışındaki üç kişilik kalabalık yüze katlanmış.</t>
        </is>
      </c>
      <c r="G293" s="5" t="inlineStr">
        <is>
          <t>sahne</t>
        </is>
      </c>
      <c r="H293" s="5" t="inlineStr"/>
      <c r="I293" s="5" t="inlineStr"/>
      <c r="J293" s="5" t="n">
        <v>1</v>
      </c>
      <c r="K293" s="5" t="inlineStr">
        <is>
          <t>meslek-serbest</t>
        </is>
      </c>
      <c r="L293" s="5" t="inlineStr">
        <is>
          <t>hapis</t>
        </is>
      </c>
      <c r="M293" s="5" t="inlineStr"/>
      <c r="N293" s="5" t="inlineStr"/>
      <c r="O293" s="5" t="inlineStr"/>
      <c r="P293" s="5" t="inlineStr"/>
      <c r="Q293" s="5" t="inlineStr"/>
      <c r="R293" s="6" t="inlineStr"/>
      <c r="S293" s="5" t="inlineStr"/>
      <c r="T293" s="5" t="inlineStr"/>
      <c r="U293" s="5" t="inlineStr"/>
      <c r="V293" s="5" t="inlineStr"/>
    </row>
    <row r="294">
      <c r="A294" s="5" t="inlineStr">
        <is>
          <t>b9-noter-miras</t>
        </is>
      </c>
      <c r="B294" s="5" t="n">
        <v>9</v>
      </c>
      <c r="C294" s="5" t="inlineStr">
        <is>
          <t>65 yaş 6 ay</t>
        </is>
      </c>
      <c r="D294" s="5" t="inlineStr">
        <is>
          <t>📜</t>
        </is>
      </c>
      <c r="E294" s="6" t="inlineStr">
        <is>
          <t>Noterde Miras Planı</t>
        </is>
      </c>
      <c r="F294" s="6" t="inlineStr">
        <is>
          <t>Noterdesin. Çocuklarına bırakacağın şeyleri kâğıda döktün. Liste kısa. Noter yine de her maddeyi yüksek sesle okuyor.</t>
        </is>
      </c>
      <c r="G294" s="5" t="inlineStr">
        <is>
          <t>devlet-dairesi</t>
        </is>
      </c>
      <c r="H294" s="5" t="inlineStr"/>
      <c r="I294" s="5" t="inlineStr"/>
      <c r="J294" s="5" t="inlineStr"/>
      <c r="K294" s="5" t="inlineStr">
        <is>
          <t>cocuklu</t>
        </is>
      </c>
      <c r="L294" s="5" t="inlineStr">
        <is>
          <t>hapis</t>
        </is>
      </c>
      <c r="M294" s="5" t="inlineStr"/>
      <c r="N294" s="5" t="inlineStr"/>
      <c r="O294" s="5" t="inlineStr"/>
      <c r="P294" s="5" t="inlineStr"/>
      <c r="Q294" s="5" t="inlineStr"/>
      <c r="R294" s="6" t="inlineStr"/>
      <c r="S294" s="5" t="inlineStr"/>
      <c r="T294" s="5" t="inlineStr"/>
      <c r="U294" s="5" t="inlineStr"/>
      <c r="V294" s="5" t="inlineStr"/>
    </row>
    <row r="295">
      <c r="A295" s="5" t="inlineStr">
        <is>
          <t>b9-dev-kabak</t>
        </is>
      </c>
      <c r="B295" s="5" t="n">
        <v>9</v>
      </c>
      <c r="C295" s="5" t="inlineStr">
        <is>
          <t>66 yaş</t>
        </is>
      </c>
      <c r="D295" s="5" t="inlineStr">
        <is>
          <t>🎃</t>
        </is>
      </c>
      <c r="E295" s="6" t="inlineStr">
        <is>
          <t>Dev Kabak Hasadı</t>
        </is>
      </c>
      <c r="F295" s="6" t="inlineStr">
        <is>
          <t>Bahçedeki kabak büyüdü. Sonra daha da büyüdü. Şimdi bahçe kapısından çıkmıyor. Belediye mahalle yarışması düzenliyor.</t>
        </is>
      </c>
      <c r="G295" s="5" t="inlineStr">
        <is>
          <t>yazlik</t>
        </is>
      </c>
      <c r="H295" s="5" t="inlineStr"/>
      <c r="I295" s="5" t="inlineStr"/>
      <c r="J295" s="5" t="inlineStr"/>
      <c r="K295" s="5" t="inlineStr"/>
      <c r="L295" s="5" t="inlineStr">
        <is>
          <t>hapis</t>
        </is>
      </c>
      <c r="M295" s="5" t="inlineStr"/>
      <c r="N295" s="5" t="inlineStr"/>
      <c r="O295" s="5" t="inlineStr"/>
      <c r="P295" s="5" t="inlineStr"/>
      <c r="Q295" s="5" t="inlineStr"/>
      <c r="R295" s="6" t="inlineStr"/>
      <c r="S295" s="5" t="inlineStr"/>
      <c r="T295" s="5" t="inlineStr"/>
      <c r="U295" s="5" t="inlineStr"/>
      <c r="V295" s="5" t="inlineStr"/>
    </row>
    <row r="296">
      <c r="A296" s="5" t="inlineStr">
        <is>
          <t>me-son-kepenk</t>
        </is>
      </c>
      <c r="B296" s="5" t="n">
        <v>9</v>
      </c>
      <c r="C296" s="5" t="inlineStr">
        <is>
          <t>60 yaş 9 ay</t>
        </is>
      </c>
      <c r="D296" s="5" t="inlineStr">
        <is>
          <t>🔒</t>
        </is>
      </c>
      <c r="E296" s="6" t="inlineStr">
        <is>
          <t>Son Kepenk</t>
        </is>
      </c>
      <c r="F296" s="6" t="inlineStr">
        <is>
          <t>Son iş günü. Kepengin sesi otuz küsur yıldır aynı. Mahalle bunu bir tören sanıyor; sen yağlamayı unuttuğunu biliyorsun.</t>
        </is>
      </c>
      <c r="G296" s="5" t="inlineStr">
        <is>
          <t>carsi</t>
        </is>
      </c>
      <c r="H296" s="5" t="inlineStr"/>
      <c r="I296" s="5" t="inlineStr"/>
      <c r="J296" s="5" t="inlineStr"/>
      <c r="K296" s="5" t="inlineStr">
        <is>
          <t>meslek-esnaf</t>
        </is>
      </c>
      <c r="L296" s="5" t="inlineStr">
        <is>
          <t>hapis</t>
        </is>
      </c>
      <c r="M296" s="5" t="inlineStr"/>
      <c r="N296" s="5" t="inlineStr"/>
      <c r="O296" s="5" t="inlineStr"/>
      <c r="P296" s="5" t="inlineStr"/>
      <c r="Q296" s="5" t="inlineStr"/>
      <c r="R296" s="6" t="inlineStr"/>
      <c r="S296" s="5" t="inlineStr"/>
      <c r="T296" s="5" t="inlineStr"/>
      <c r="U296" s="5" t="inlineStr"/>
      <c r="V296" s="5" t="inlineStr"/>
    </row>
    <row r="297">
      <c r="A297" s="5" t="inlineStr">
        <is>
          <t>b9-emekli-seyahati</t>
        </is>
      </c>
      <c r="B297" s="5" t="n">
        <v>9</v>
      </c>
      <c r="C297" s="5" t="inlineStr">
        <is>
          <t>66 yaş 6 ay</t>
        </is>
      </c>
      <c r="D297" s="5" t="inlineStr">
        <is>
          <t>🚌</t>
        </is>
      </c>
      <c r="E297" s="6" t="inlineStr">
        <is>
          <t>Emekli Seyahati</t>
        </is>
      </c>
      <c r="F297" s="6" t="inlineStr">
        <is>
          <t>Emekliler derneğinin dört günlük turu. Otobüs sabah beşte kalkıyor. Programda yedi müze, üç hediyelik eşya dükkânı ve bir 'sürpriz durak' var.</t>
        </is>
      </c>
      <c r="G297" s="5" t="inlineStr">
        <is>
          <t>toplu-tasima</t>
        </is>
      </c>
      <c r="H297" s="5" t="inlineStr"/>
      <c r="I297" s="5" t="inlineStr"/>
      <c r="J297" s="5" t="inlineStr"/>
      <c r="K297" s="5" t="inlineStr"/>
      <c r="L297" s="5" t="inlineStr">
        <is>
          <t>hapis</t>
        </is>
      </c>
      <c r="M297" s="5" t="inlineStr"/>
      <c r="N297" s="5" t="inlineStr"/>
      <c r="O297" s="5" t="inlineStr"/>
      <c r="P297" s="5" t="inlineStr"/>
      <c r="Q297" s="5" t="inlineStr"/>
      <c r="R297" s="6" t="inlineStr"/>
      <c r="S297" s="5" t="inlineStr"/>
      <c r="T297" s="5" t="inlineStr"/>
      <c r="U297" s="5" t="inlineStr"/>
      <c r="V297" s="5" t="inlineStr"/>
    </row>
    <row r="298">
      <c r="A298" s="5" t="inlineStr">
        <is>
          <t>b9-sifre-unuttum</t>
        </is>
      </c>
      <c r="B298" s="5" t="n">
        <v>9</v>
      </c>
      <c r="C298" s="5" t="inlineStr">
        <is>
          <t>67 yaş</t>
        </is>
      </c>
      <c r="D298" s="5" t="inlineStr">
        <is>
          <t>🔐</t>
        </is>
      </c>
      <c r="E298" s="6" t="inlineStr">
        <is>
          <t>Şifremi Unuttum</t>
        </is>
      </c>
      <c r="F298" s="6" t="inlineStr">
        <is>
          <t>Mobil bankacılık şifreni unuttun. Sıfırlamak için bir kod gönderildi. Kod, eski telefonuna. Eski telefon, torunda. Torun, okulda.</t>
        </is>
      </c>
      <c r="G298" s="5" t="inlineStr">
        <is>
          <t>banka</t>
        </is>
      </c>
      <c r="H298" s="5" t="inlineStr"/>
      <c r="I298" s="5" t="inlineStr"/>
      <c r="J298" s="5" t="inlineStr"/>
      <c r="K298" s="5" t="inlineStr">
        <is>
          <t>torunlu</t>
        </is>
      </c>
      <c r="L298" s="5" t="inlineStr">
        <is>
          <t>hapis</t>
        </is>
      </c>
      <c r="M298" s="5" t="inlineStr"/>
      <c r="N298" s="5" t="inlineStr"/>
      <c r="O298" s="5" t="inlineStr"/>
      <c r="P298" s="5" t="inlineStr"/>
      <c r="Q298" s="5" t="inlineStr"/>
      <c r="R298" s="6" t="inlineStr"/>
      <c r="S298" s="5" t="inlineStr"/>
      <c r="T298" s="5" t="inlineStr"/>
      <c r="U298" s="5" t="inlineStr"/>
      <c r="V298" s="5" t="inlineStr"/>
    </row>
    <row r="299">
      <c r="A299" s="5" t="inlineStr">
        <is>
          <t>mb-son-kisa-gorusme</t>
        </is>
      </c>
      <c r="B299" s="5" t="n">
        <v>9</v>
      </c>
      <c r="C299" s="5" t="inlineStr">
        <is>
          <t>67 yaş</t>
        </is>
      </c>
      <c r="D299" s="5" t="inlineStr">
        <is>
          <t>☎️</t>
        </is>
      </c>
      <c r="E299" s="6" t="inlineStr">
        <is>
          <t>Son Bir Kısa Görüşme</t>
        </is>
      </c>
      <c r="F299" s="6" t="inlineStr">
        <is>
          <t>Şirketten ayrılalı yıllar oldu. Eski şirketin aradı: 'Kısa bir görüşme yapabilir miyiz?' Nabzın hâlâ yükseliyor.</t>
        </is>
      </c>
      <c r="G299" s="5" t="inlineStr">
        <is>
          <t>kafe</t>
        </is>
      </c>
      <c r="H299" s="5" t="inlineStr"/>
      <c r="I299" s="5" t="inlineStr"/>
      <c r="J299" s="5" t="n">
        <v>1</v>
      </c>
      <c r="K299" s="5" t="inlineStr">
        <is>
          <t>meslek-beyazyaka</t>
        </is>
      </c>
      <c r="L299" s="5" t="inlineStr">
        <is>
          <t>hapis</t>
        </is>
      </c>
      <c r="M299" s="5" t="inlineStr"/>
      <c r="N299" s="5" t="inlineStr"/>
      <c r="O299" s="5" t="inlineStr"/>
      <c r="P299" s="5" t="inlineStr"/>
      <c r="Q299" s="5" t="inlineStr"/>
      <c r="R299" s="6" t="inlineStr"/>
      <c r="S299" s="5" t="inlineStr"/>
      <c r="T299" s="5" t="inlineStr"/>
      <c r="U299" s="5" t="inlineStr"/>
      <c r="V299" s="5" t="inlineStr"/>
    </row>
    <row r="300">
      <c r="A300" s="5" t="inlineStr">
        <is>
          <t>b9-site-toplantisi</t>
        </is>
      </c>
      <c r="B300" s="5" t="n">
        <v>9</v>
      </c>
      <c r="C300" s="5" t="inlineStr">
        <is>
          <t>68 yaş</t>
        </is>
      </c>
      <c r="D300" s="5" t="inlineStr">
        <is>
          <t>🏢</t>
        </is>
      </c>
      <c r="E300" s="6" t="inlineStr">
        <is>
          <t>Apartman Toplantısı</t>
        </is>
      </c>
      <c r="F300" s="6" t="inlineStr">
        <is>
          <t>Yıllık apartman toplantısı. Gündem: aidat, asansör, çatı ve yönetici seçimi. Aday yok. Herkes sana bakıyor, çünkü gündüz apartmanda kapıyı açan tek kişi sensin.</t>
        </is>
      </c>
      <c r="G300" s="5" t="inlineStr">
        <is>
          <t>apartman</t>
        </is>
      </c>
      <c r="H300" s="5" t="inlineStr"/>
      <c r="I300" s="5" t="inlineStr"/>
      <c r="J300" s="5" t="inlineStr"/>
      <c r="K300" s="5" t="inlineStr"/>
      <c r="L300" s="5" t="inlineStr">
        <is>
          <t>hapis</t>
        </is>
      </c>
      <c r="M300" s="5" t="inlineStr"/>
      <c r="N300" s="5" t="inlineStr"/>
      <c r="O300" s="5" t="inlineStr"/>
      <c r="P300" s="5" t="inlineStr"/>
      <c r="Q300" s="5" t="inlineStr"/>
      <c r="R300" s="6" t="inlineStr"/>
      <c r="S300" s="5" t="inlineStr"/>
      <c r="T300" s="5" t="inlineStr"/>
      <c r="U300" s="5" t="inlineStr"/>
      <c r="V300" s="5" t="inlineStr"/>
    </row>
    <row r="301">
      <c r="A301" s="5" t="inlineStr">
        <is>
          <t>b9-torunun-sorusu</t>
        </is>
      </c>
      <c r="B301" s="5" t="n">
        <v>9</v>
      </c>
      <c r="C301" s="5" t="inlineStr">
        <is>
          <t>69 yaş</t>
        </is>
      </c>
      <c r="D301" s="5" t="inlineStr">
        <is>
          <t>❓</t>
        </is>
      </c>
      <c r="E301" s="6" t="inlineStr">
        <is>
          <t>Torunun Sorusu</t>
        </is>
      </c>
      <c r="F301" s="6" t="inlineStr">
        <is>
          <t>Torun parkta sana baktı: 'Sen gençken telefona parmakla mı yazıyordunuz?' Cevabın tarih dersi olacak.</t>
        </is>
      </c>
      <c r="G301" s="5" t="inlineStr">
        <is>
          <t>park</t>
        </is>
      </c>
      <c r="H301" s="5" t="inlineStr"/>
      <c r="I301" s="5" t="inlineStr"/>
      <c r="J301" s="5" t="inlineStr"/>
      <c r="K301" s="5" t="inlineStr">
        <is>
          <t>torunlu</t>
        </is>
      </c>
      <c r="L301" s="5" t="inlineStr">
        <is>
          <t>hapis</t>
        </is>
      </c>
      <c r="M301" s="5" t="inlineStr"/>
      <c r="N301" s="5" t="inlineStr"/>
      <c r="O301" s="5" t="inlineStr"/>
      <c r="P301" s="5" t="inlineStr"/>
      <c r="Q301" s="5" t="inlineStr"/>
      <c r="R301" s="6" t="inlineStr"/>
      <c r="S301" s="5" t="inlineStr"/>
      <c r="T301" s="5" t="inlineStr"/>
      <c r="U301" s="5" t="inlineStr"/>
      <c r="V301" s="5" t="inlineStr"/>
    </row>
    <row r="302">
      <c r="A302" s="5" t="inlineStr">
        <is>
          <t>ms-son-roportaj</t>
        </is>
      </c>
      <c r="B302" s="5" t="n">
        <v>9</v>
      </c>
      <c r="C302" s="5" t="inlineStr">
        <is>
          <t>69 yaş</t>
        </is>
      </c>
      <c r="D302" s="5" t="inlineStr">
        <is>
          <t>🎙️</t>
        </is>
      </c>
      <c r="E302" s="6" t="inlineStr">
        <is>
          <t>Son Röportaj</t>
        </is>
      </c>
      <c r="F302" s="6" t="inlineStr">
        <is>
          <t>Bir sanat öğrencisi tezi için seninle görüşüyor. İlk sorusu: 'Bütün bu yıllar boyunca nasıl geçindiniz?'</t>
        </is>
      </c>
      <c r="G302" s="5" t="inlineStr">
        <is>
          <t>kafe</t>
        </is>
      </c>
      <c r="H302" s="5" t="inlineStr"/>
      <c r="I302" s="5" t="inlineStr"/>
      <c r="J302" s="5" t="n">
        <v>1</v>
      </c>
      <c r="K302" s="5" t="inlineStr">
        <is>
          <t>meslek-serbest</t>
        </is>
      </c>
      <c r="L302" s="5" t="inlineStr">
        <is>
          <t>hapis</t>
        </is>
      </c>
      <c r="M302" s="5" t="inlineStr"/>
      <c r="N302" s="5" t="inlineStr"/>
      <c r="O302" s="5" t="inlineStr"/>
      <c r="P302" s="5" t="inlineStr"/>
      <c r="Q302" s="5" t="inlineStr"/>
      <c r="R302" s="6" t="inlineStr"/>
      <c r="S302" s="5" t="inlineStr"/>
      <c r="T302" s="5" t="inlineStr"/>
      <c r="U302" s="5" t="inlineStr"/>
      <c r="V302" s="5" t="inlineStr"/>
    </row>
    <row r="303">
      <c r="A303" s="5" t="inlineStr">
        <is>
          <t>b9-hayat-muhasebesi</t>
        </is>
      </c>
      <c r="B303" s="5" t="n">
        <v>9</v>
      </c>
      <c r="C303" s="5" t="inlineStr">
        <is>
          <t>70 yaş</t>
        </is>
      </c>
      <c r="D303" s="5" t="inlineStr">
        <is>
          <t>📸</t>
        </is>
      </c>
      <c r="E303" s="6" t="inlineStr">
        <is>
          <t>Fotoğraf Albümü</t>
        </is>
      </c>
      <c r="F303" s="6" t="inlineStr">
        <is>
          <t>Yetmişinci yaş günün. Aileden biri eski fotoğraf albümlerini telefona taşımış, bir slayt gösterisi hazırlamış. Fon müziğini sana sormamışlar.</t>
        </is>
      </c>
      <c r="G303" s="5" t="inlineStr">
        <is>
          <t>ev</t>
        </is>
      </c>
      <c r="H303" s="5" t="inlineStr"/>
      <c r="I303" s="5" t="inlineStr"/>
      <c r="J303" s="5" t="inlineStr"/>
      <c r="K303" s="5" t="inlineStr"/>
      <c r="L303" s="5" t="inlineStr">
        <is>
          <t>hapis</t>
        </is>
      </c>
      <c r="M303" s="5" t="inlineStr"/>
      <c r="N303" s="5" t="inlineStr"/>
      <c r="O303" s="5" t="inlineStr"/>
      <c r="P303" s="5" t="inlineStr"/>
      <c r="Q303" s="5" t="inlineStr"/>
      <c r="R303" s="6" t="inlineStr"/>
      <c r="S303" s="5" t="inlineStr"/>
      <c r="T303" s="5" t="inlineStr"/>
      <c r="U303" s="5" t="inlineStr"/>
      <c r="V303" s="5" t="inlineStr"/>
    </row>
    <row r="304">
      <c r="A304" s="5" t="inlineStr">
        <is>
          <t>b10-noter-vasiyet</t>
        </is>
      </c>
      <c r="B304" s="5" t="n">
        <v>10</v>
      </c>
      <c r="C304" s="5" t="inlineStr">
        <is>
          <t>70 yaş</t>
        </is>
      </c>
      <c r="D304" s="5" t="inlineStr">
        <is>
          <t>📜</t>
        </is>
      </c>
      <c r="E304" s="6" t="inlineStr">
        <is>
          <t>Vasiyet</t>
        </is>
      </c>
      <c r="F304" s="6" t="inlineStr">
        <is>
          <t>Noterde sıra numarası aldın; yanında iki şahit var, kapıcı ile bakkal. Önündeki üç kişi de vasiyet yazdırıyor: biri tarlayı, biri baba evini, biri annesinin bileziklerini anlatıyor. Bakkal kulağına eğildi: 'Veresiye defterini de yazdırsana, kapanmış olur.'</t>
        </is>
      </c>
      <c r="G304" s="5" t="inlineStr">
        <is>
          <t>devlet-dairesi</t>
        </is>
      </c>
      <c r="H304" s="5" t="inlineStr"/>
      <c r="I304" s="5" t="inlineStr"/>
      <c r="J304" s="5" t="n">
        <v>1</v>
      </c>
      <c r="K304" s="5" t="inlineStr"/>
      <c r="L304" s="5" t="inlineStr"/>
      <c r="M304" s="5" t="inlineStr"/>
      <c r="N304" s="5" t="inlineStr"/>
      <c r="O304" s="5" t="inlineStr"/>
      <c r="P304" s="5" t="inlineStr"/>
      <c r="Q304" s="5" t="inlineStr"/>
      <c r="R304" s="6" t="inlineStr"/>
      <c r="S304" s="5" t="inlineStr"/>
      <c r="T304" s="5" t="inlineStr"/>
      <c r="U304" s="5" t="inlineStr"/>
      <c r="V304" s="5" t="inlineStr"/>
    </row>
    <row r="305">
      <c r="A305" s="5" t="inlineStr">
        <is>
          <t>b10-miras-provasi</t>
        </is>
      </c>
      <c r="B305" s="5" t="n">
        <v>10</v>
      </c>
      <c r="C305" s="5" t="inlineStr">
        <is>
          <t>71 yaş</t>
        </is>
      </c>
      <c r="D305" s="5" t="inlineStr">
        <is>
          <t>🍽️</t>
        </is>
      </c>
      <c r="E305" s="6" t="inlineStr">
        <is>
          <t>Miras Provası</t>
        </is>
      </c>
      <c r="F305" s="6" t="inlineStr">
        <is>
          <t>Pazar yemeğinde biri vitrindeki on iki kişilik yemek takımını sordu; annenden kalan, bayramdan bayrama çıkan takımı. Masada kimse bir şey demedi ama herkes aynı anda çatalını bıraktı.</t>
        </is>
      </c>
      <c r="G305" s="5" t="inlineStr">
        <is>
          <t>ev</t>
        </is>
      </c>
      <c r="H305" s="5" t="inlineStr"/>
      <c r="I305" s="5" t="inlineStr"/>
      <c r="J305" s="5" t="n">
        <v>1</v>
      </c>
      <c r="K305" s="5" t="inlineStr">
        <is>
          <t>cocuklu</t>
        </is>
      </c>
      <c r="L305" s="5" t="inlineStr"/>
      <c r="M305" s="5" t="inlineStr"/>
      <c r="N305" s="5" t="inlineStr"/>
      <c r="O305" s="5" t="inlineStr"/>
      <c r="P305" s="5" t="inlineStr"/>
      <c r="Q305" s="5" t="inlineStr"/>
      <c r="R305" s="6" t="inlineStr"/>
      <c r="S305" s="5" t="inlineStr"/>
      <c r="T305" s="5" t="inlineStr"/>
      <c r="U305" s="5" t="inlineStr"/>
      <c r="V305" s="5" t="inlineStr"/>
    </row>
    <row r="306">
      <c r="A306" s="5" t="inlineStr">
        <is>
          <t>b10-teknoloji-kursu</t>
        </is>
      </c>
      <c r="B306" s="5" t="n">
        <v>10</v>
      </c>
      <c r="C306" s="5" t="inlineStr">
        <is>
          <t>72 yaş</t>
        </is>
      </c>
      <c r="D306" s="5" t="inlineStr">
        <is>
          <t>📱</t>
        </is>
      </c>
      <c r="E306" s="6" t="inlineStr">
        <is>
          <t>Teknoloji Kursu</t>
        </is>
      </c>
      <c r="F306" s="6" t="inlineStr">
        <is>
          <t>Telefonun gece kendi kendine güncellendi; bütün düğmelerin yeri değişti. Belediyenin yaşlılar için teknoloji kursundasın. Eğitmen yirmi iki yaşında ve 'Çok kolay, bakın' cümlesini on dördüncü kez söylüyor.</t>
        </is>
      </c>
      <c r="G306" s="5" t="inlineStr">
        <is>
          <t>sinif</t>
        </is>
      </c>
      <c r="H306" s="5" t="inlineStr"/>
      <c r="I306" s="5" t="inlineStr"/>
      <c r="J306" s="5" t="n">
        <v>1</v>
      </c>
      <c r="K306" s="5" t="inlineStr"/>
      <c r="L306" s="5" t="inlineStr"/>
      <c r="M306" s="5" t="inlineStr"/>
      <c r="N306" s="5" t="inlineStr"/>
      <c r="O306" s="5" t="inlineStr"/>
      <c r="P306" s="5" t="inlineStr"/>
      <c r="Q306" s="5" t="inlineStr"/>
      <c r="R306" s="6" t="inlineStr"/>
      <c r="S306" s="5" t="inlineStr"/>
      <c r="T306" s="5" t="inlineStr"/>
      <c r="U306" s="5" t="inlineStr"/>
      <c r="V306" s="5" t="inlineStr"/>
    </row>
    <row r="307">
      <c r="A307" s="5" t="inlineStr">
        <is>
          <t>b10-balkon-kulesi</t>
        </is>
      </c>
      <c r="B307" s="5" t="n">
        <v>10</v>
      </c>
      <c r="C307" s="5" t="inlineStr">
        <is>
          <t>73 yaş</t>
        </is>
      </c>
      <c r="D307" s="5" t="inlineStr">
        <is>
          <t>🔭</t>
        </is>
      </c>
      <c r="E307" s="6" t="inlineStr">
        <is>
          <t>Balkon Gözlem Kulesi</t>
        </is>
      </c>
      <c r="F307" s="6" t="inlineStr">
        <is>
          <t>Balkona bir tabure, bir minder ve bir çay termosu taşıdın. Karşı balkondaki komşu da aynı dakikada kendi taburesini çıkardı. Sokağın iki ucu artık tutuldu.</t>
        </is>
      </c>
      <c r="G307" s="5" t="inlineStr">
        <is>
          <t>apartman</t>
        </is>
      </c>
      <c r="H307" s="5" t="inlineStr"/>
      <c r="I307" s="5" t="inlineStr"/>
      <c r="J307" s="5" t="n">
        <v>1</v>
      </c>
      <c r="K307" s="5" t="inlineStr"/>
      <c r="L307" s="5" t="inlineStr"/>
      <c r="M307" s="5" t="inlineStr"/>
      <c r="N307" s="5" t="inlineStr"/>
      <c r="O307" s="5" t="inlineStr"/>
      <c r="P307" s="5" t="inlineStr"/>
      <c r="Q307" s="5" t="inlineStr"/>
      <c r="R307" s="6" t="inlineStr"/>
      <c r="S307" s="5" t="inlineStr"/>
      <c r="T307" s="5" t="inlineStr"/>
      <c r="U307" s="5" t="inlineStr"/>
      <c r="V307" s="5" t="inlineStr"/>
    </row>
    <row r="308">
      <c r="A308" s="5" t="inlineStr">
        <is>
          <t>b10-sinif-bulusmasi</t>
        </is>
      </c>
      <c r="B308" s="5" t="n">
        <v>10</v>
      </c>
      <c r="C308" s="5" t="inlineStr">
        <is>
          <t>74 yaş</t>
        </is>
      </c>
      <c r="D308" s="5" t="inlineStr">
        <is>
          <t>🏫</t>
        </is>
      </c>
      <c r="E308" s="6" t="inlineStr">
        <is>
          <t>Sınıf Buluşması</t>
        </is>
      </c>
      <c r="F308" s="6" t="inlineStr">
        <is>
          <t>İlkokul sınıfından biri grup kurdu. Otuz iki kişiden on biri geldi; beşinin adı artık yalnızca yoklamada geçiyor. Herkes birbirinin yüzünde altmış yedi yıl önceki çocuğu arıyor.</t>
        </is>
      </c>
      <c r="G308" s="5" t="inlineStr">
        <is>
          <t>kafe</t>
        </is>
      </c>
      <c r="H308" s="5" t="inlineStr"/>
      <c r="I308" s="5" t="inlineStr"/>
      <c r="J308" s="5" t="n">
        <v>1</v>
      </c>
      <c r="K308" s="5" t="inlineStr"/>
      <c r="L308" s="5" t="inlineStr"/>
      <c r="M308" s="5" t="inlineStr"/>
      <c r="N308" s="5" t="inlineStr"/>
      <c r="O308" s="5" t="inlineStr"/>
      <c r="P308" s="5" t="inlineStr"/>
      <c r="Q308" s="5" t="inlineStr"/>
      <c r="R308" s="6" t="inlineStr"/>
      <c r="S308" s="5" t="inlineStr"/>
      <c r="T308" s="5" t="inlineStr"/>
      <c r="U308" s="5" t="inlineStr"/>
      <c r="V308" s="5" t="inlineStr"/>
    </row>
    <row r="309">
      <c r="A309" s="5" t="inlineStr">
        <is>
          <t>b10-doktor-gomersiniz</t>
        </is>
      </c>
      <c r="B309" s="5" t="n">
        <v>10</v>
      </c>
      <c r="C309" s="5" t="inlineStr">
        <is>
          <t>75 yaş</t>
        </is>
      </c>
      <c r="D309" s="5" t="inlineStr">
        <is>
          <t>🩺</t>
        </is>
      </c>
      <c r="E309" s="6" t="inlineStr">
        <is>
          <t>Siz Bizi Gömersiniz</t>
        </is>
      </c>
      <c r="F309" s="6" t="inlineStr">
        <is>
          <t>Doktor tahlillere baktı, gözlüğünü çıkardı ve 'Siz bizi gömersiniz' dedi. Tıp dilinde bu bir iltifattır.</t>
        </is>
      </c>
      <c r="G309" s="5" t="inlineStr">
        <is>
          <t>hastane</t>
        </is>
      </c>
      <c r="H309" s="5" t="inlineStr"/>
      <c r="I309" s="5" t="inlineStr"/>
      <c r="J309" s="5" t="n">
        <v>1</v>
      </c>
      <c r="K309" s="5" t="inlineStr"/>
      <c r="L309" s="5" t="inlineStr"/>
      <c r="M309" s="5" t="inlineStr"/>
      <c r="N309" s="5" t="inlineStr"/>
      <c r="O309" s="5" t="inlineStr"/>
      <c r="P309" s="5" t="inlineStr"/>
      <c r="Q309" s="5" t="inlineStr"/>
      <c r="R309" s="6" t="inlineStr"/>
      <c r="S309" s="5" t="inlineStr"/>
      <c r="T309" s="5" t="inlineStr"/>
      <c r="U309" s="5" t="inlineStr"/>
      <c r="V309" s="5" t="inlineStr"/>
    </row>
    <row r="310">
      <c r="A310" s="5" t="inlineStr">
        <is>
          <t>b10-bayram-harcligi</t>
        </is>
      </c>
      <c r="B310" s="5" t="n">
        <v>10</v>
      </c>
      <c r="C310" s="5" t="inlineStr">
        <is>
          <t>75 yaş 6 ay</t>
        </is>
      </c>
      <c r="D310" s="5" t="inlineStr">
        <is>
          <t>💶</t>
        </is>
      </c>
      <c r="E310" s="6" t="inlineStr">
        <is>
          <t>Bayram Harçlığı</t>
        </is>
      </c>
      <c r="F310" s="6" t="inlineStr">
        <is>
          <t>Emekli maaşı bayramdan iki gün önce yattı; yeni para için banka kuyruğuna girdin. Bayram sabahı kapıda el öpmeye gelenler sıraya dizildi: yeğenlerin çocukları, komşu çocukları ve hiç tanımadığın iki çocuk.</t>
        </is>
      </c>
      <c r="G310" s="5" t="inlineStr">
        <is>
          <t>ev</t>
        </is>
      </c>
      <c r="H310" s="5" t="inlineStr"/>
      <c r="I310" s="5" t="inlineStr"/>
      <c r="J310" s="5" t="n">
        <v>1</v>
      </c>
      <c r="K310" s="5" t="inlineStr"/>
      <c r="L310" s="5" t="inlineStr"/>
      <c r="M310" s="5" t="inlineStr"/>
      <c r="N310" s="5" t="inlineStr"/>
      <c r="O310" s="5" t="inlineStr"/>
      <c r="P310" s="5" t="inlineStr"/>
      <c r="Q310" s="5" t="inlineStr"/>
      <c r="R310" s="6" t="inlineStr"/>
      <c r="S310" s="5" t="inlineStr"/>
      <c r="T310" s="5" t="inlineStr"/>
      <c r="U310" s="5" t="inlineStr"/>
      <c r="V310" s="5" t="inlineStr"/>
    </row>
    <row r="311">
      <c r="A311" s="5" t="inlineStr">
        <is>
          <t>b10-dijital-miras</t>
        </is>
      </c>
      <c r="B311" s="5" t="n">
        <v>10</v>
      </c>
      <c r="C311" s="5" t="inlineStr">
        <is>
          <t>76 yaş</t>
        </is>
      </c>
      <c r="D311" s="5" t="inlineStr">
        <is>
          <t>🔐</t>
        </is>
      </c>
      <c r="E311" s="6" t="inlineStr">
        <is>
          <t>Dijital Miras</t>
        </is>
      </c>
      <c r="F311" s="6" t="inlineStr">
        <is>
          <t>Torun şifrelerini soruyor, 'bir gün lazım olur diye'. Altmış yılın şifresi: yarısı kedinin adı, yarısı doğum tarihi, biri de 'sifre123'.</t>
        </is>
      </c>
      <c r="G311" s="5" t="inlineStr">
        <is>
          <t>ev</t>
        </is>
      </c>
      <c r="H311" s="5" t="inlineStr"/>
      <c r="I311" s="5" t="inlineStr"/>
      <c r="J311" s="5" t="n">
        <v>1</v>
      </c>
      <c r="K311" s="5" t="inlineStr">
        <is>
          <t>torunlu</t>
        </is>
      </c>
      <c r="L311" s="5" t="inlineStr"/>
      <c r="M311" s="5" t="inlineStr"/>
      <c r="N311" s="5" t="inlineStr"/>
      <c r="O311" s="5" t="inlineStr"/>
      <c r="P311" s="5" t="inlineStr"/>
      <c r="Q311" s="5" t="inlineStr"/>
      <c r="R311" s="6" t="inlineStr"/>
      <c r="S311" s="5" t="inlineStr"/>
      <c r="T311" s="5" t="inlineStr"/>
      <c r="U311" s="5" t="inlineStr"/>
      <c r="V311" s="5" t="inlineStr"/>
    </row>
    <row r="312">
      <c r="A312" s="5" t="inlineStr">
        <is>
          <t>b10-mezar-parseli</t>
        </is>
      </c>
      <c r="B312" s="5" t="n">
        <v>10</v>
      </c>
      <c r="C312" s="5" t="inlineStr">
        <is>
          <t>77 yaş</t>
        </is>
      </c>
      <c r="D312" s="5" t="inlineStr">
        <is>
          <t>🌳</t>
        </is>
      </c>
      <c r="E312" s="6" t="inlineStr">
        <is>
          <t>Manzaralı Parsel</t>
        </is>
      </c>
      <c r="F312" s="6" t="inlineStr">
        <is>
          <t>Belediye mezarlıkta yeni parsel satışı açtı. Görevli haritayı açtı: 'Bu taraf manzaralı, o taraf otoparka bakıyor.' Yanındaki teyze ciddi ciddi sordu: 'Güney cephe hangisi?'</t>
        </is>
      </c>
      <c r="G312" s="5" t="inlineStr">
        <is>
          <t>mezarlik</t>
        </is>
      </c>
      <c r="H312" s="5" t="inlineStr"/>
      <c r="I312" s="5" t="inlineStr"/>
      <c r="J312" s="5" t="n">
        <v>1</v>
      </c>
      <c r="K312" s="5" t="inlineStr"/>
      <c r="L312" s="5" t="inlineStr"/>
      <c r="M312" s="5" t="inlineStr"/>
      <c r="N312" s="5" t="inlineStr"/>
      <c r="O312" s="5" t="inlineStr"/>
      <c r="P312" s="5" t="inlineStr"/>
      <c r="Q312" s="5" t="inlineStr"/>
      <c r="R312" s="6" t="inlineStr"/>
      <c r="S312" s="5" t="inlineStr"/>
      <c r="T312" s="5" t="inlineStr"/>
      <c r="U312" s="5" t="inlineStr"/>
      <c r="V312" s="5" t="inlineStr"/>
    </row>
    <row r="313">
      <c r="A313" s="5" t="inlineStr">
        <is>
          <t>b10-danismanlik</t>
        </is>
      </c>
      <c r="B313" s="5" t="n">
        <v>10</v>
      </c>
      <c r="C313" s="5" t="inlineStr">
        <is>
          <t>77 yaş 6 ay</t>
        </is>
      </c>
      <c r="D313" s="5" t="inlineStr">
        <is>
          <t>💼</t>
        </is>
      </c>
      <c r="E313" s="6" t="inlineStr">
        <is>
          <t>Eski İşyerinden Telefon</t>
        </is>
      </c>
      <c r="F313" s="6" t="inlineStr">
        <is>
          <t>Eski işyerin aradı. Bir dosya kaybolmuş ve onu en son senin gördüğüne dair bir söylenti var. Söylenti doğru.</t>
        </is>
      </c>
      <c r="G313" s="5" t="inlineStr">
        <is>
          <t>ofis</t>
        </is>
      </c>
      <c r="H313" s="5" t="inlineStr"/>
      <c r="I313" s="5" t="inlineStr"/>
      <c r="J313" s="5" t="n">
        <v>1</v>
      </c>
      <c r="K313" s="5" t="inlineStr"/>
      <c r="L313" s="5" t="inlineStr"/>
      <c r="M313" s="5" t="inlineStr"/>
      <c r="N313" s="5" t="inlineStr"/>
      <c r="O313" s="5" t="inlineStr"/>
      <c r="P313" s="5" t="inlineStr"/>
      <c r="Q313" s="5" t="inlineStr"/>
      <c r="R313" s="6" t="inlineStr"/>
      <c r="S313" s="5" t="inlineStr"/>
      <c r="T313" s="5" t="inlineStr"/>
      <c r="U313" s="5" t="inlineStr"/>
      <c r="V313" s="5" t="inlineStr"/>
    </row>
    <row r="314">
      <c r="A314" s="5" t="inlineStr">
        <is>
          <t>b10-eski-dost-cenazesi</t>
        </is>
      </c>
      <c r="B314" s="5" t="n">
        <v>10</v>
      </c>
      <c r="C314" s="5" t="inlineStr">
        <is>
          <t>78 yaş</t>
        </is>
      </c>
      <c r="D314" s="5" t="inlineStr">
        <is>
          <t>🕊️</t>
        </is>
      </c>
      <c r="E314" s="6" t="inlineStr">
        <is>
          <t>Eski Dostun Cenazesi</t>
        </is>
      </c>
      <c r="F314" s="6" t="inlineStr">
        <is>
          <t>Elli yıllık dostunu bugün uğurladın. Dönüşte taziye evinde helva kavruluyor, herkes onu anlatıyor; sen dinliyorsun, bir yandan da kendi taziyende kimin ne diyeceğini not ediyorsun. Köşedeki biri hikâyeyi üçüncü kez anlatıyor; her seferinde kendisi biraz daha büyüyor.</t>
        </is>
      </c>
      <c r="G314" s="5" t="inlineStr">
        <is>
          <t>mezarlik</t>
        </is>
      </c>
      <c r="H314" s="5" t="inlineStr"/>
      <c r="I314" s="5" t="inlineStr"/>
      <c r="J314" s="5" t="n">
        <v>1</v>
      </c>
      <c r="K314" s="5" t="inlineStr"/>
      <c r="L314" s="5" t="inlineStr"/>
      <c r="M314" s="5" t="inlineStr"/>
      <c r="N314" s="5" t="inlineStr"/>
      <c r="O314" s="5" t="inlineStr"/>
      <c r="P314" s="5" t="inlineStr"/>
      <c r="Q314" s="5" t="inlineStr"/>
      <c r="R314" s="6" t="inlineStr"/>
      <c r="S314" s="5" t="inlineStr"/>
      <c r="T314" s="5" t="inlineStr"/>
      <c r="U314" s="5" t="inlineStr"/>
      <c r="V314" s="5" t="inlineStr"/>
    </row>
    <row r="315">
      <c r="A315" s="5" t="inlineStr">
        <is>
          <t>b10-ani-defteri</t>
        </is>
      </c>
      <c r="B315" s="5" t="n">
        <v>10</v>
      </c>
      <c r="C315" s="5" t="inlineStr">
        <is>
          <t>79 yaş</t>
        </is>
      </c>
      <c r="D315" s="5" t="inlineStr">
        <is>
          <t>📓</t>
        </is>
      </c>
      <c r="E315" s="6" t="inlineStr">
        <is>
          <t>Anı Defteri</t>
        </is>
      </c>
      <c r="F315" s="6" t="inlineStr">
        <is>
          <t>Anılarını yazmaya karar verdin. İlk sayfa hazır: 'Her şey bir vazoyla başladı.' Aile hemen işi böldü: biri imlayı, biri tarihleri, en küçüğü de utandırıcı yerleri düzeltecek.</t>
        </is>
      </c>
      <c r="G315" s="5" t="inlineStr">
        <is>
          <t>ev</t>
        </is>
      </c>
      <c r="H315" s="5" t="inlineStr"/>
      <c r="I315" s="5" t="inlineStr"/>
      <c r="J315" s="5" t="n">
        <v>1</v>
      </c>
      <c r="K315" s="5" t="inlineStr"/>
      <c r="L315" s="5" t="inlineStr"/>
      <c r="M315" s="5" t="inlineStr"/>
      <c r="N315" s="5" t="inlineStr"/>
      <c r="O315" s="5" t="inlineStr"/>
      <c r="P315" s="5" t="inlineStr"/>
      <c r="Q315" s="5" t="inlineStr"/>
      <c r="R315" s="6" t="inlineStr"/>
      <c r="S315" s="5" t="inlineStr"/>
      <c r="T315" s="5" t="inlineStr"/>
      <c r="U315" s="5" t="inlineStr"/>
      <c r="V315" s="5" t="inlineStr"/>
    </row>
    <row r="316">
      <c r="A316" s="5" t="inlineStr">
        <is>
          <t>b10-seksen-yas-partisi</t>
        </is>
      </c>
      <c r="B316" s="5" t="n">
        <v>10</v>
      </c>
      <c r="C316" s="5" t="inlineStr">
        <is>
          <t>80 yaş</t>
        </is>
      </c>
      <c r="D316" s="5" t="inlineStr">
        <is>
          <t>🎂</t>
        </is>
      </c>
      <c r="E316" s="6" t="inlineStr">
        <is>
          <t>Seksenlik Parti</t>
        </is>
      </c>
      <c r="F316" s="6" t="inlineStr">
        <is>
          <t>Pastanın üstüne seksen mum dikildi. Alt kattaki komşu 'Ne olur ne olmaz' deyip balkon kapısını açtı. Biri ışığı kapattı, oda turuncuya döndü, herkes telefonunu kaldırdı.</t>
        </is>
      </c>
      <c r="G316" s="5" t="inlineStr">
        <is>
          <t>ev</t>
        </is>
      </c>
      <c r="H316" s="5" t="inlineStr"/>
      <c r="I316" s="5" t="inlineStr">
        <is>
          <t>E</t>
        </is>
      </c>
      <c r="J316" s="5" t="n">
        <v>1</v>
      </c>
      <c r="K316" s="5" t="inlineStr"/>
      <c r="L316" s="5" t="inlineStr"/>
      <c r="M316" s="5" t="inlineStr"/>
      <c r="N316" s="5" t="inlineStr"/>
      <c r="O316" s="5" t="inlineStr"/>
      <c r="P316" s="5" t="inlineStr"/>
      <c r="Q316" s="5" t="inlineStr"/>
      <c r="R316" s="6" t="inlineStr"/>
      <c r="S316" s="5" t="inlineStr"/>
      <c r="T316" s="5" t="inlineStr"/>
      <c r="U316" s="5" t="inlineStr"/>
      <c r="V316" s="5" t="inlineStr"/>
    </row>
    <row r="317">
      <c r="A317" s="5" t="inlineStr">
        <is>
          <t>b10-huzurevi-turu</t>
        </is>
      </c>
      <c r="B317" s="5" t="n">
        <v>10</v>
      </c>
      <c r="C317" s="5" t="inlineStr">
        <is>
          <t>81 yaş</t>
        </is>
      </c>
      <c r="D317" s="5" t="inlineStr">
        <is>
          <t>🏡</t>
        </is>
      </c>
      <c r="E317" s="6" t="inlineStr">
        <is>
          <t>Huzurevi Turu</t>
        </is>
      </c>
      <c r="F317" s="6" t="inlineStr">
        <is>
          <t>Ailen seni bir huzurevine tanıtım turuna getirdi; 'Sadece bakıyoruz' dediler, üç kez. Görevli bir otel gibi anlatıyor: çay saati, bahçe, okey masası ve kırk kişilik bir dedikodu ağı.</t>
        </is>
      </c>
      <c r="G317" s="5" t="inlineStr">
        <is>
          <t>huzurevi</t>
        </is>
      </c>
      <c r="H317" s="5" t="inlineStr"/>
      <c r="I317" s="5" t="inlineStr"/>
      <c r="J317" s="5" t="n">
        <v>1</v>
      </c>
      <c r="K317" s="5" t="inlineStr"/>
      <c r="L317" s="5" t="inlineStr"/>
      <c r="M317" s="5" t="inlineStr"/>
      <c r="N317" s="5" t="inlineStr"/>
      <c r="O317" s="5" t="inlineStr"/>
      <c r="P317" s="5" t="inlineStr"/>
      <c r="Q317" s="5" t="inlineStr"/>
      <c r="R317" s="6" t="inlineStr"/>
      <c r="S317" s="5" t="inlineStr"/>
      <c r="T317" s="5" t="inlineStr"/>
      <c r="U317" s="5" t="inlineStr"/>
      <c r="V317" s="5" t="inlineStr"/>
    </row>
    <row r="318">
      <c r="A318" s="5" t="inlineStr">
        <is>
          <t>b10-torunun-dugunu</t>
        </is>
      </c>
      <c r="B318" s="5" t="n">
        <v>10</v>
      </c>
      <c r="C318" s="5" t="inlineStr">
        <is>
          <t>82 yaş</t>
        </is>
      </c>
      <c r="D318" s="5" t="inlineStr">
        <is>
          <t>💍</t>
        </is>
      </c>
      <c r="E318" s="6" t="inlineStr">
        <is>
          <t>Torunun Düğünü</t>
        </is>
      </c>
      <c r="F318" s="6" t="inlineStr">
        <is>
          <t>Torun evleniyor. Masan en önde, pistin tam yanında. Sana bir mikrofon, bir de koltuk ayrıldı.</t>
        </is>
      </c>
      <c r="G318" s="5" t="inlineStr">
        <is>
          <t>dugun-salonu</t>
        </is>
      </c>
      <c r="H318" s="5" t="inlineStr"/>
      <c r="I318" s="5" t="inlineStr"/>
      <c r="J318" s="5" t="n">
        <v>1</v>
      </c>
      <c r="K318" s="5" t="inlineStr">
        <is>
          <t>torunlu</t>
        </is>
      </c>
      <c r="L318" s="5" t="inlineStr"/>
      <c r="M318" s="5" t="inlineStr"/>
      <c r="N318" s="5" t="inlineStr"/>
      <c r="O318" s="5" t="inlineStr"/>
      <c r="P318" s="5" t="inlineStr"/>
      <c r="Q318" s="5" t="inlineStr"/>
      <c r="R318" s="6" t="inlineStr"/>
      <c r="S318" s="5" t="inlineStr"/>
      <c r="T318" s="5" t="inlineStr"/>
      <c r="U318" s="5" t="inlineStr"/>
      <c r="V318" s="5" t="inlineStr"/>
    </row>
    <row r="319">
      <c r="A319" s="5" t="inlineStr">
        <is>
          <t>b10-yapay-zeka-kitap</t>
        </is>
      </c>
      <c r="B319" s="5" t="n">
        <v>10</v>
      </c>
      <c r="C319" s="5" t="inlineStr">
        <is>
          <t>83 yaş</t>
        </is>
      </c>
      <c r="D319" s="5" t="inlineStr">
        <is>
          <t>🤖</t>
        </is>
      </c>
      <c r="E319" s="6" t="inlineStr">
        <is>
          <t>Hayatının Kitabı</t>
        </is>
      </c>
      <c r="F319" s="6" t="inlineStr">
        <is>
          <t>Torun bir yapay zekâyla hayat hikâyeni kitaplaştırıyor. Makine her anını 'dönüştürücü bir yolculuk' olarak özetliyor.</t>
        </is>
      </c>
      <c r="G319" s="5" t="inlineStr">
        <is>
          <t>ev</t>
        </is>
      </c>
      <c r="H319" s="5" t="inlineStr"/>
      <c r="I319" s="5" t="inlineStr"/>
      <c r="J319" s="5" t="n">
        <v>1</v>
      </c>
      <c r="K319" s="5" t="inlineStr">
        <is>
          <t>torunlu</t>
        </is>
      </c>
      <c r="L319" s="5" t="inlineStr"/>
      <c r="M319" s="5" t="inlineStr"/>
      <c r="N319" s="5" t="inlineStr"/>
      <c r="O319" s="5" t="inlineStr"/>
      <c r="P319" s="5" t="inlineStr"/>
      <c r="Q319" s="5" t="inlineStr"/>
      <c r="R319" s="6" t="inlineStr"/>
      <c r="S319" s="5" t="inlineStr"/>
      <c r="T319" s="5" t="inlineStr"/>
      <c r="U319" s="5" t="inlineStr"/>
      <c r="V319" s="5" t="inlineStr"/>
    </row>
    <row r="320">
      <c r="A320" s="5" t="inlineStr">
        <is>
          <t>b10-eski-ev</t>
        </is>
      </c>
      <c r="B320" s="5" t="n">
        <v>10</v>
      </c>
      <c r="C320" s="5" t="inlineStr">
        <is>
          <t>84 yaş</t>
        </is>
      </c>
      <c r="D320" s="5" t="inlineStr">
        <is>
          <t>🏚️</t>
        </is>
      </c>
      <c r="E320" s="6" t="inlineStr">
        <is>
          <t>Eski Evin Önünde</t>
        </is>
      </c>
      <c r="F320" s="6" t="inlineStr">
        <is>
          <t>Çocukluğunun geçtiği sokaktan geçiyorsun. Ev hâlâ orada, ama pencerede başkasının perdesi var.</t>
        </is>
      </c>
      <c r="G320" s="5" t="inlineStr">
        <is>
          <t>sokak</t>
        </is>
      </c>
      <c r="H320" s="5" t="inlineStr"/>
      <c r="I320" s="5" t="inlineStr"/>
      <c r="J320" s="5" t="n">
        <v>1</v>
      </c>
      <c r="K320" s="5" t="inlineStr"/>
      <c r="L320" s="5" t="inlineStr"/>
      <c r="M320" s="5" t="inlineStr"/>
      <c r="N320" s="5" t="inlineStr"/>
      <c r="O320" s="5" t="inlineStr"/>
      <c r="P320" s="5" t="inlineStr"/>
      <c r="Q320" s="5" t="inlineStr"/>
      <c r="R320" s="6" t="inlineStr"/>
      <c r="S320" s="5" t="inlineStr"/>
      <c r="T320" s="5" t="inlineStr"/>
      <c r="U320" s="5" t="inlineStr"/>
      <c r="V320" s="5" t="inlineStr"/>
    </row>
    <row r="321">
      <c r="A321" s="5" t="inlineStr">
        <is>
          <t>b10-son-dans</t>
        </is>
      </c>
      <c r="B321" s="5" t="n">
        <v>10</v>
      </c>
      <c r="C321" s="5" t="inlineStr">
        <is>
          <t>85 yaş</t>
        </is>
      </c>
      <c r="D321" s="5" t="inlineStr">
        <is>
          <t>💃</t>
        </is>
      </c>
      <c r="E321" s="6" t="inlineStr">
        <is>
          <t>Son Dans</t>
        </is>
      </c>
      <c r="F321" s="6" t="inlineStr">
        <is>
          <t>Radyoda gençliğinden bir şarkı çalıyor. Eşin elini uzattı. Salonun halısı, eski düğün salonunun pisti oldu.</t>
        </is>
      </c>
      <c r="G321" s="5" t="inlineStr">
        <is>
          <t>ev</t>
        </is>
      </c>
      <c r="H321" s="5" t="inlineStr"/>
      <c r="I321" s="5" t="inlineStr"/>
      <c r="J321" s="5" t="n">
        <v>1</v>
      </c>
      <c r="K321" s="5" t="inlineStr">
        <is>
          <t>evli</t>
        </is>
      </c>
      <c r="L321" s="5" t="inlineStr"/>
      <c r="M321" s="5" t="inlineStr"/>
      <c r="N321" s="5" t="inlineStr"/>
      <c r="O321" s="5" t="inlineStr"/>
      <c r="P321" s="5" t="inlineStr"/>
      <c r="Q321" s="5" t="inlineStr"/>
      <c r="R321" s="6" t="inlineStr"/>
      <c r="S321" s="5" t="inlineStr"/>
      <c r="T321" s="5" t="inlineStr"/>
      <c r="U321" s="5" t="inlineStr"/>
      <c r="V321" s="5" t="inlineStr"/>
    </row>
    <row r="322">
      <c r="A322" s="5" t="inlineStr">
        <is>
          <t>b10-yalniz-ozgur</t>
        </is>
      </c>
      <c r="B322" s="5" t="n">
        <v>10</v>
      </c>
      <c r="C322" s="5" t="inlineStr">
        <is>
          <t>85 yaş 6 ay</t>
        </is>
      </c>
      <c r="D322" s="5" t="inlineStr">
        <is>
          <t>🪑</t>
        </is>
      </c>
      <c r="E322" s="6" t="inlineStr">
        <is>
          <t>Yalnız ama Özgür</t>
        </is>
      </c>
      <c r="F322" s="6" t="inlineStr">
        <is>
          <t>Kimseye hesap vermeden akşam yemeğini saat beşte yedin. Kumandanın tek sahibi sensin. Evde kimse 'Işığı kapattın mı?' demiyor.</t>
        </is>
      </c>
      <c r="G322" s="5" t="inlineStr">
        <is>
          <t>ev</t>
        </is>
      </c>
      <c r="H322" s="5" t="inlineStr"/>
      <c r="I322" s="5" t="inlineStr"/>
      <c r="J322" s="5" t="n">
        <v>1</v>
      </c>
      <c r="K322" s="5" t="inlineStr"/>
      <c r="L322" s="5" t="inlineStr">
        <is>
          <t>evli, dul</t>
        </is>
      </c>
      <c r="M322" s="5" t="inlineStr"/>
      <c r="N322" s="5" t="inlineStr"/>
      <c r="O322" s="5" t="inlineStr"/>
      <c r="P322" s="5" t="inlineStr"/>
      <c r="Q322" s="5" t="inlineStr"/>
      <c r="R322" s="6" t="inlineStr"/>
      <c r="S322" s="5" t="inlineStr"/>
      <c r="T322" s="5" t="inlineStr"/>
      <c r="U322" s="5" t="inlineStr"/>
      <c r="V322" s="5" t="inlineStr"/>
    </row>
    <row r="323">
      <c r="A323" s="5" t="inlineStr">
        <is>
          <t>b10-komsu-kedisi</t>
        </is>
      </c>
      <c r="B323" s="5" t="n">
        <v>10</v>
      </c>
      <c r="C323" s="5" t="inlineStr">
        <is>
          <t>86 yaş</t>
        </is>
      </c>
      <c r="D323" s="5" t="inlineStr">
        <is>
          <t>🐈</t>
        </is>
      </c>
      <c r="E323" s="6" t="inlineStr">
        <is>
          <t>Balkondaki Kedi</t>
        </is>
      </c>
      <c r="F323" s="6" t="inlineStr">
        <is>
          <t>Balkonuna her sabah aynı tekir geliyor. Oturuyor, sana bakıyor, kuyruğunu bir kez sallayıp gidiyor. Komşunun kedisi olduğu söyleniyor; kedi bunu hiç söylemedi.</t>
        </is>
      </c>
      <c r="G323" s="5" t="inlineStr">
        <is>
          <t>apartman</t>
        </is>
      </c>
      <c r="H323" s="5" t="inlineStr"/>
      <c r="I323" s="5" t="inlineStr"/>
      <c r="J323" s="5" t="n">
        <v>1</v>
      </c>
      <c r="K323" s="5" t="inlineStr"/>
      <c r="L323" s="5" t="inlineStr"/>
      <c r="M323" s="5" t="inlineStr"/>
      <c r="N323" s="5" t="inlineStr"/>
      <c r="O323" s="5" t="inlineStr"/>
      <c r="P323" s="5" t="inlineStr"/>
      <c r="Q323" s="5" t="inlineStr"/>
      <c r="R323" s="6" t="inlineStr"/>
      <c r="S323" s="5" t="inlineStr"/>
      <c r="T323" s="5" t="inlineStr"/>
      <c r="U323" s="5" t="inlineStr"/>
      <c r="V323" s="5" t="inlineStr"/>
    </row>
    <row r="324">
      <c r="A324" s="5" t="inlineStr">
        <is>
          <t>b10-sabah-yuruyusu</t>
        </is>
      </c>
      <c r="B324" s="5" t="n">
        <v>10</v>
      </c>
      <c r="C324" s="5" t="inlineStr">
        <is>
          <t>87 yaş</t>
        </is>
      </c>
      <c r="D324" s="5" t="inlineStr">
        <is>
          <t>🚶</t>
        </is>
      </c>
      <c r="E324" s="6" t="inlineStr">
        <is>
          <t>Sabah Yürüyüşü Grubu</t>
        </is>
      </c>
      <c r="F324" s="6" t="inlineStr">
        <is>
          <t>Parktaki sabah yürüyüş grubu yedi kişi; en genci yetmiş dokuz. Tur, parkın bir ucundan öbür ucundaki banka kadar. Üç kişide baston var, birinde de iddia: banka ilk varan, akşama kadar 'genç' sayılıyor.</t>
        </is>
      </c>
      <c r="G324" s="5" t="inlineStr">
        <is>
          <t>park</t>
        </is>
      </c>
      <c r="H324" s="5" t="inlineStr"/>
      <c r="I324" s="5" t="inlineStr"/>
      <c r="J324" s="5" t="n">
        <v>1</v>
      </c>
      <c r="K324" s="5" t="inlineStr"/>
      <c r="L324" s="5" t="inlineStr"/>
      <c r="M324" s="5" t="inlineStr"/>
      <c r="N324" s="5" t="inlineStr"/>
      <c r="O324" s="5" t="inlineStr"/>
      <c r="P324" s="5" t="inlineStr"/>
      <c r="Q324" s="5" t="inlineStr"/>
      <c r="R324" s="6" t="inlineStr"/>
      <c r="S324" s="5" t="inlineStr"/>
      <c r="T324" s="5" t="inlineStr"/>
      <c r="U324" s="5" t="inlineStr"/>
      <c r="V324" s="5" t="inlineStr"/>
    </row>
    <row r="325">
      <c r="A325" s="5" t="inlineStr">
        <is>
          <t>b10-son-taksit</t>
        </is>
      </c>
      <c r="B325" s="5" t="n">
        <v>10</v>
      </c>
      <c r="C325" s="5" t="inlineStr">
        <is>
          <t>88 yaş</t>
        </is>
      </c>
      <c r="D325" s="5" t="inlineStr">
        <is>
          <t>🏦</t>
        </is>
      </c>
      <c r="E325" s="6" t="inlineStr">
        <is>
          <t>Borcu Yoktur</t>
        </is>
      </c>
      <c r="F325" s="6" t="inlineStr">
        <is>
          <t>Bankadan bir yazı geldi: 'Borcu yoktur.' Kartının son taksidi de ödendi; altmış yıllık ilişki iki kelimeyle bitti.</t>
        </is>
      </c>
      <c r="G325" s="5" t="inlineStr">
        <is>
          <t>banka</t>
        </is>
      </c>
      <c r="H325" s="5" t="inlineStr"/>
      <c r="I325" s="5" t="inlineStr"/>
      <c r="J325" s="5" t="n">
        <v>1</v>
      </c>
      <c r="K325" s="5" t="inlineStr"/>
      <c r="L325" s="5" t="inlineStr"/>
      <c r="M325" s="5" t="inlineStr"/>
      <c r="N325" s="5" t="inlineStr"/>
      <c r="O325" s="5" t="inlineStr"/>
      <c r="P325" s="5" t="inlineStr"/>
      <c r="Q325" s="5" t="inlineStr"/>
      <c r="R325" s="6" t="inlineStr"/>
      <c r="S325" s="5" t="inlineStr"/>
      <c r="T325" s="5" t="inlineStr"/>
      <c r="U325" s="5" t="inlineStr"/>
      <c r="V325" s="5" t="inlineStr"/>
    </row>
    <row r="326">
      <c r="A326" s="5" t="inlineStr">
        <is>
          <t>b10-ehliyet-yenileme</t>
        </is>
      </c>
      <c r="B326" s="5" t="n">
        <v>10</v>
      </c>
      <c r="C326" s="5" t="inlineStr">
        <is>
          <t>90 yaş</t>
        </is>
      </c>
      <c r="D326" s="5" t="inlineStr">
        <is>
          <t>🚗</t>
        </is>
      </c>
      <c r="E326" s="6" t="inlineStr">
        <is>
          <t>Ehliyet Yenileme</t>
        </is>
      </c>
      <c r="F326" s="6" t="inlineStr">
        <is>
          <t>Ehliyetinin süresi doldu. Yenileme için göz muayenesi, refleks testi ve memurun sana şaşkın bakışı gerekiyor.</t>
        </is>
      </c>
      <c r="G326" s="5" t="inlineStr">
        <is>
          <t>devlet-dairesi</t>
        </is>
      </c>
      <c r="H326" s="5" t="inlineStr"/>
      <c r="I326" s="5" t="inlineStr"/>
      <c r="J326" s="5" t="n">
        <v>1</v>
      </c>
      <c r="K326" s="5" t="inlineStr"/>
      <c r="L326" s="5" t="inlineStr"/>
      <c r="M326" s="5" t="inlineStr"/>
      <c r="N326" s="5" t="inlineStr"/>
      <c r="O326" s="5" t="inlineStr"/>
      <c r="P326" s="5" t="inlineStr"/>
      <c r="Q326" s="5" t="inlineStr"/>
      <c r="R326" s="6" t="inlineStr"/>
      <c r="S326" s="5" t="inlineStr"/>
      <c r="T326" s="5" t="inlineStr"/>
      <c r="U326" s="5" t="inlineStr"/>
      <c r="V326" s="5" t="inlineStr"/>
    </row>
    <row r="327">
      <c r="A327" s="5" t="inlineStr">
        <is>
          <t>b10-mahallenin-en-yaslisi</t>
        </is>
      </c>
      <c r="B327" s="5" t="n">
        <v>10</v>
      </c>
      <c r="C327" s="5" t="inlineStr">
        <is>
          <t>92 yaş</t>
        </is>
      </c>
      <c r="D327" s="5" t="inlineStr">
        <is>
          <t>🏅</t>
        </is>
      </c>
      <c r="E327" s="6" t="inlineStr">
        <is>
          <t>Mahallenin En Yaşlısı</t>
        </is>
      </c>
      <c r="F327" s="6" t="inlineStr">
        <is>
          <t>Belediye seni 'Mahallenin En Yaşlı Sakini' seçti. Muhtar plaketi getirdi, kapıcı sandalyeleri dizdi, komşular ön sırayı kaptı. Senden kısa bir konuşma bekliyorlar; kısa olsun diye üç kez rica ettiler.</t>
        </is>
      </c>
      <c r="G327" s="5" t="inlineStr">
        <is>
          <t>devlet-dairesi</t>
        </is>
      </c>
      <c r="H327" s="5" t="inlineStr"/>
      <c r="I327" s="5" t="inlineStr"/>
      <c r="J327" s="5" t="n">
        <v>1</v>
      </c>
      <c r="K327" s="5" t="inlineStr"/>
      <c r="L327" s="5" t="inlineStr"/>
      <c r="M327" s="5" t="inlineStr"/>
      <c r="N327" s="5" t="inlineStr"/>
      <c r="O327" s="5" t="inlineStr"/>
      <c r="P327" s="5" t="inlineStr"/>
      <c r="Q327" s="5" t="inlineStr"/>
      <c r="R327" s="6" t="inlineStr"/>
      <c r="S327" s="5" t="inlineStr"/>
      <c r="T327" s="5" t="inlineStr"/>
      <c r="U327" s="5" t="inlineStr"/>
      <c r="V327" s="5" t="inlineStr"/>
    </row>
    <row r="328">
      <c r="A328" s="5" t="inlineStr">
        <is>
          <t>b10-mezar-tasi-fotografi</t>
        </is>
      </c>
      <c r="B328" s="5" t="n">
        <v>10</v>
      </c>
      <c r="C328" s="5" t="inlineStr">
        <is>
          <t>94 yaş</t>
        </is>
      </c>
      <c r="D328" s="5" t="inlineStr">
        <is>
          <t>📸</t>
        </is>
      </c>
      <c r="E328" s="6" t="inlineStr">
        <is>
          <t>Mezar Taşı Fotoğrafı</t>
        </is>
      </c>
      <c r="F328" s="6" t="inlineStr">
        <is>
          <t>Fotoğrafçıdasın. Mezar taşı için bir portre çektireceksin. Fotoğrafçı 'Gülümseyelim mi, ciddi mi olalım?' diye sordu.</t>
        </is>
      </c>
      <c r="G328" s="5" t="inlineStr">
        <is>
          <t>dukkan</t>
        </is>
      </c>
      <c r="H328" s="5" t="inlineStr"/>
      <c r="I328" s="5" t="inlineStr"/>
      <c r="J328" s="5" t="n">
        <v>1</v>
      </c>
      <c r="K328" s="5" t="inlineStr"/>
      <c r="L328" s="5" t="inlineStr"/>
      <c r="M328" s="5" t="inlineStr"/>
      <c r="N328" s="5" t="inlineStr"/>
      <c r="O328" s="5" t="inlineStr"/>
      <c r="P328" s="5" t="inlineStr"/>
      <c r="Q328" s="5" t="inlineStr"/>
      <c r="R328" s="6" t="inlineStr"/>
      <c r="S328" s="5" t="inlineStr"/>
      <c r="T328" s="5" t="inlineStr"/>
      <c r="U328" s="5" t="inlineStr"/>
      <c r="V328" s="5" t="inlineStr"/>
    </row>
    <row r="329">
      <c r="A329" s="5" t="inlineStr">
        <is>
          <t>son-soz</t>
        </is>
      </c>
      <c r="B329" s="5" t="n">
        <v>10</v>
      </c>
      <c r="C329" s="5" t="inlineStr">
        <is>
          <t>100 yaş</t>
        </is>
      </c>
      <c r="D329" s="5" t="inlineStr">
        <is>
          <t>🕯️</t>
        </is>
      </c>
      <c r="E329" s="6" t="inlineStr">
        <is>
          <t>Son Söz</t>
        </is>
      </c>
      <c r="F329" s="6" t="inlineStr">
        <is>
          <t>Oda sessiz. Pencereden ışık vuruyor. Etrafında birkaç yüz, birkaç telefon ve bir çaydanlık. Söyleyeceğin son cümleyi bu odadakiler ömür boyu anlatacak.</t>
        </is>
      </c>
      <c r="G329" s="5" t="inlineStr">
        <is>
          <t>ev</t>
        </is>
      </c>
      <c r="H329" s="5" t="inlineStr"/>
      <c r="I329" s="5" t="inlineStr">
        <is>
          <t>E</t>
        </is>
      </c>
      <c r="J329" s="5" t="n">
        <v>1</v>
      </c>
      <c r="K329" s="5" t="inlineStr"/>
      <c r="L329" s="5" t="inlineStr"/>
      <c r="M329" s="5" t="inlineStr"/>
      <c r="N329" s="5" t="inlineStr"/>
      <c r="O329" s="5" t="inlineStr"/>
      <c r="P329" s="5" t="inlineStr"/>
      <c r="Q329" s="5" t="inlineStr"/>
      <c r="R329" s="6" t="inlineStr"/>
      <c r="S329" s="5" t="inlineStr"/>
      <c r="T329" s="5" t="inlineStr"/>
      <c r="U329" s="5" t="inlineStr"/>
      <c r="V329" s="5" t="inlineStr"/>
    </row>
    <row r="330">
      <c r="A330" s="5" t="inlineStr">
        <is>
          <t>sokak-mi-ekran-mi</t>
        </is>
      </c>
      <c r="B330" s="5" t="n">
        <v>2</v>
      </c>
      <c r="C330" s="5" t="inlineStr">
        <is>
          <t>4 yaş 3 ay</t>
        </is>
      </c>
      <c r="D330" s="5" t="inlineStr">
        <is>
          <t>⚽</t>
        </is>
      </c>
      <c r="E330" s="6" t="inlineStr">
        <is>
          <t>Sokak mı, Ekran mı?</t>
        </is>
      </c>
      <c r="F330" s="6" t="inlineStr">
        <is>
          <t>Aşağıdan top sesi ve “Hadi insene!” diye bağıran çocuklar geliyor. Masada şarjı yüzde yüz bir tablet duruyor. İkisi de seni çağırıyor; biri daha yüksek sesle.</t>
        </is>
      </c>
      <c r="G330" s="5" t="inlineStr">
        <is>
          <t>sokak</t>
        </is>
      </c>
      <c r="H330" s="5" t="inlineStr">
        <is>
          <t>sosyal</t>
        </is>
      </c>
      <c r="I330" s="5" t="inlineStr">
        <is>
          <t>E</t>
        </is>
      </c>
      <c r="J330" s="5" t="inlineStr"/>
      <c r="K330" s="5" t="inlineStr"/>
      <c r="L330" s="5" t="inlineStr"/>
      <c r="M330" s="5" t="inlineStr"/>
      <c r="N330" s="5" t="inlineStr"/>
      <c r="O330" s="5" t="inlineStr"/>
      <c r="P330" s="5" t="inlineStr"/>
      <c r="Q330" s="5" t="inlineStr"/>
      <c r="R330" s="6" t="inlineStr"/>
      <c r="S330" s="5" t="inlineStr"/>
      <c r="T330" s="5" t="inlineStr"/>
      <c r="U330" s="5" t="inlineStr"/>
      <c r="V330" s="5" t="inlineStr"/>
    </row>
    <row r="331">
      <c r="A331" s="5" t="inlineStr">
        <is>
          <t>b5-sehir-secimi</t>
        </is>
      </c>
      <c r="B331" s="5" t="n">
        <v>5</v>
      </c>
      <c r="C331" s="5" t="inlineStr">
        <is>
          <t>17 yaş 11 ay</t>
        </is>
      </c>
      <c r="D331" s="5" t="inlineStr">
        <is>
          <t>🚌</t>
        </is>
      </c>
      <c r="E331" s="6" t="inlineStr">
        <is>
          <t>Hangi Şehir?</t>
        </is>
      </c>
      <c r="F331" s="6" t="inlineStr">
        <is>
          <t>Listenin en üstünde iki satır var: biri evden otobüsle kırk dakika, diğeri gece otobüsüyle on iki saat. Annen ikincisini okuyunca sessizleşti.</t>
        </is>
      </c>
      <c r="G331" s="5" t="inlineStr">
        <is>
          <t>ev</t>
        </is>
      </c>
      <c r="H331" s="5" t="inlineStr">
        <is>
          <t>ev</t>
        </is>
      </c>
      <c r="I331" s="5" t="inlineStr">
        <is>
          <t>E</t>
        </is>
      </c>
      <c r="J331" s="5" t="inlineStr"/>
      <c r="K331" s="5" t="inlineStr">
        <is>
          <t>universiteli</t>
        </is>
      </c>
      <c r="L331" s="5" t="inlineStr"/>
      <c r="M331" s="5" t="inlineStr"/>
      <c r="N331" s="5" t="inlineStr"/>
      <c r="O331" s="5" t="inlineStr"/>
      <c r="P331" s="5" t="inlineStr"/>
      <c r="Q331" s="5" t="inlineStr"/>
      <c r="R331" s="6" t="inlineStr"/>
      <c r="S331" s="5" t="inlineStr"/>
      <c r="T331" s="5" t="inlineStr"/>
      <c r="U331" s="5" t="inlineStr"/>
      <c r="V331" s="5" t="inlineStr"/>
    </row>
    <row r="332">
      <c r="A332" s="5" t="inlineStr">
        <is>
          <t>b5-kazanamayinca</t>
        </is>
      </c>
      <c r="B332" s="5" t="n">
        <v>5</v>
      </c>
      <c r="C332" s="5" t="inlineStr">
        <is>
          <t>17 yaş 11 ay</t>
        </is>
      </c>
      <c r="D332" s="5" t="inlineStr">
        <is>
          <t>📋</t>
        </is>
      </c>
      <c r="E332" s="6" t="inlineStr">
        <is>
          <t>Sonuçlar Açıklandı</t>
        </is>
      </c>
      <c r="F332" s="6" t="inlineStr">
        <is>
          <t>Adın listede yok. Aile grubunda üç teselli mesajı, bir de halanın oğlunun yerleştiği bölümün fotoğrafı. Babaannen hepsinin altına yazdı: “Kuzum sen üzülme, o da zor girdi.”</t>
        </is>
      </c>
      <c r="G332" s="5" t="inlineStr">
        <is>
          <t>ev</t>
        </is>
      </c>
      <c r="H332" s="5" t="inlineStr">
        <is>
          <t>ev</t>
        </is>
      </c>
      <c r="I332" s="5" t="inlineStr">
        <is>
          <t>E</t>
        </is>
      </c>
      <c r="J332" s="5" t="inlineStr"/>
      <c r="K332" s="5" t="inlineStr"/>
      <c r="L332" s="5" t="inlineStr">
        <is>
          <t>universiteli, okulu-birakti, yurtdisi-universite, sinava-girmedi</t>
        </is>
      </c>
      <c r="M332" s="5" t="inlineStr"/>
      <c r="N332" s="5" t="inlineStr"/>
      <c r="O332" s="5" t="inlineStr"/>
      <c r="P332" s="5" t="inlineStr"/>
      <c r="Q332" s="5" t="inlineStr"/>
      <c r="R332" s="6" t="inlineStr"/>
      <c r="S332" s="5" t="inlineStr"/>
      <c r="T332" s="5" t="inlineStr"/>
      <c r="U332" s="5" t="inlineStr"/>
      <c r="V332" s="5" t="inlineStr"/>
    </row>
    <row r="333">
      <c r="A333" s="5" t="inlineStr">
        <is>
          <t>b5-havalimani</t>
        </is>
      </c>
      <c r="B333" s="5" t="n">
        <v>5</v>
      </c>
      <c r="C333" s="5" t="inlineStr">
        <is>
          <t>18 yaş</t>
        </is>
      </c>
      <c r="D333" s="5" t="inlineStr">
        <is>
          <t>✈️</t>
        </is>
      </c>
      <c r="E333" s="6" t="inlineStr">
        <is>
          <t>Havalimanı</t>
        </is>
      </c>
      <c r="F333" s="6" t="inlineStr">
        <is>
          <t>Uçuş saati 06.40. Uğurlamaya on iki akraba geldi; biri sadece havalimanını görmek için. Valizde üç kavanoz reçel, kalbinde bir yumru.</t>
        </is>
      </c>
      <c r="G333" s="5" t="inlineStr">
        <is>
          <t>toplu-tasima</t>
        </is>
      </c>
      <c r="H333" s="5" t="inlineStr">
        <is>
          <t>sosyal</t>
        </is>
      </c>
      <c r="I333" s="5" t="inlineStr">
        <is>
          <t>E</t>
        </is>
      </c>
      <c r="J333" s="5" t="inlineStr"/>
      <c r="K333" s="5" t="inlineStr">
        <is>
          <t>yurtdisi-universite</t>
        </is>
      </c>
      <c r="L333" s="5" t="inlineStr"/>
      <c r="M333" s="5" t="inlineStr"/>
      <c r="N333" s="5" t="inlineStr"/>
      <c r="O333" s="5" t="inlineStr"/>
      <c r="P333" s="5" t="inlineStr"/>
      <c r="Q333" s="5" t="inlineStr"/>
      <c r="R333" s="6" t="inlineStr"/>
      <c r="S333" s="5" t="inlineStr"/>
      <c r="T333" s="5" t="inlineStr"/>
      <c r="U333" s="5" t="inlineStr"/>
      <c r="V333" s="5" t="inlineStr"/>
    </row>
    <row r="334">
      <c r="A334" s="5" t="inlineStr">
        <is>
          <t>b5-atolye-staji</t>
        </is>
      </c>
      <c r="B334" s="5" t="n">
        <v>5</v>
      </c>
      <c r="C334" s="5" t="inlineStr">
        <is>
          <t>16 yaş 3 ay</t>
        </is>
      </c>
      <c r="D334" s="5" t="inlineStr">
        <is>
          <t>🔧</t>
        </is>
      </c>
      <c r="E334" s="6" t="inlineStr">
        <is>
          <t>Atölyede Staj</t>
        </is>
      </c>
      <c r="F334" s="6" t="inlineStr">
        <is>
          <t>Meslek lisesinde staj başladı. Atölye şefi seni tezgâhın başına koydu ve tek bir kural koydu: “Bozma, yeter.”</t>
        </is>
      </c>
      <c r="G334" s="5" t="inlineStr">
        <is>
          <t>dukkan</t>
        </is>
      </c>
      <c r="H334" s="5" t="inlineStr">
        <is>
          <t>okul-iş</t>
        </is>
      </c>
      <c r="I334" s="5" t="inlineStr">
        <is>
          <t>E</t>
        </is>
      </c>
      <c r="J334" s="5" t="inlineStr"/>
      <c r="K334" s="5" t="inlineStr">
        <is>
          <t>meslek-lisesi</t>
        </is>
      </c>
      <c r="L334" s="5" t="inlineStr">
        <is>
          <t>okulu-birakti</t>
        </is>
      </c>
      <c r="M334" s="5" t="inlineStr"/>
      <c r="N334" s="5" t="inlineStr"/>
      <c r="O334" s="5" t="inlineStr"/>
      <c r="P334" s="5" t="inlineStr"/>
      <c r="Q334" s="5" t="inlineStr"/>
      <c r="R334" s="6" t="inlineStr"/>
      <c r="S334" s="5" t="inlineStr"/>
      <c r="T334" s="5" t="inlineStr"/>
      <c r="U334" s="5" t="inlineStr"/>
      <c r="V334" s="5" t="inlineStr"/>
    </row>
    <row r="335">
      <c r="A335" s="5" t="inlineStr">
        <is>
          <t>b5-cay-ocagi</t>
        </is>
      </c>
      <c r="B335" s="5" t="n">
        <v>5</v>
      </c>
      <c r="C335" s="5" t="inlineStr">
        <is>
          <t>15 yaş 1 ay</t>
        </is>
      </c>
      <c r="D335" s="5" t="inlineStr">
        <is>
          <t>🫖</t>
        </is>
      </c>
      <c r="E335" s="6" t="inlineStr">
        <is>
          <t>Çay Ocağının Yeni Çırağı</t>
        </is>
      </c>
      <c r="F335" s="6" t="inlineStr">
        <is>
          <t>Abiler seni çarşıdaki çay ocağına yerleştirdi. Maaş yok, bahşiş var; bahşişin yarısı da abilerin. Ocakçı amca ilk gün tek ders verdi: “Tavşan kanı olacak evladım. Açık götürürsen geri gelir.”</t>
        </is>
      </c>
      <c r="G335" s="5" t="inlineStr">
        <is>
          <t>carsi</t>
        </is>
      </c>
      <c r="H335" s="5" t="inlineStr">
        <is>
          <t>para</t>
        </is>
      </c>
      <c r="I335" s="5" t="inlineStr">
        <is>
          <t>E</t>
        </is>
      </c>
      <c r="J335" s="5" t="inlineStr"/>
      <c r="K335" s="5" t="inlineStr">
        <is>
          <t>okulu-birakti</t>
        </is>
      </c>
      <c r="L335" s="5" t="inlineStr"/>
      <c r="M335" s="5" t="inlineStr"/>
      <c r="N335" s="5" t="inlineStr"/>
      <c r="O335" s="5" t="inlineStr"/>
      <c r="P335" s="5" t="inlineStr"/>
      <c r="Q335" s="5" t="inlineStr"/>
      <c r="R335" s="6" t="inlineStr"/>
      <c r="S335" s="5" t="inlineStr"/>
      <c r="T335" s="5" t="inlineStr"/>
      <c r="U335" s="5" t="inlineStr"/>
      <c r="V335" s="5" t="inlineStr"/>
    </row>
    <row r="336">
      <c r="A336" s="5" t="inlineStr">
        <is>
          <t>b5-sanayi-ciragi</t>
        </is>
      </c>
      <c r="B336" s="5" t="n">
        <v>5</v>
      </c>
      <c r="C336" s="5" t="inlineStr">
        <is>
          <t>15 yaş 7 ay</t>
        </is>
      </c>
      <c r="D336" s="5" t="inlineStr">
        <is>
          <t>🔩</t>
        </is>
      </c>
      <c r="E336" s="6" t="inlineStr">
        <is>
          <t>Sanayide Çıraklık</t>
        </is>
      </c>
      <c r="F336" s="6" t="inlineStr">
        <is>
          <t>Annen, abilerden uzaklaşasın diye seni sanayideki bir ustanın yanına verdi. Usta ilk gün tek cümle kurdu: “Çay demle, sonra bakarız.”</t>
        </is>
      </c>
      <c r="G336" s="5" t="inlineStr">
        <is>
          <t>dukkan</t>
        </is>
      </c>
      <c r="H336" s="5" t="inlineStr">
        <is>
          <t>okul-iş</t>
        </is>
      </c>
      <c r="I336" s="5" t="inlineStr">
        <is>
          <t>E</t>
        </is>
      </c>
      <c r="J336" s="5" t="inlineStr"/>
      <c r="K336" s="5" t="inlineStr">
        <is>
          <t>okulu-birakti</t>
        </is>
      </c>
      <c r="L336" s="5" t="inlineStr"/>
      <c r="M336" s="5" t="inlineStr"/>
      <c r="N336" s="5" t="inlineStr"/>
      <c r="O336" s="5" t="inlineStr"/>
      <c r="P336" s="5" t="inlineStr"/>
      <c r="Q336" s="5" t="inlineStr"/>
      <c r="R336" s="6" t="inlineStr"/>
      <c r="S336" s="5" t="inlineStr"/>
      <c r="T336" s="5" t="inlineStr"/>
      <c r="U336" s="5" t="inlineStr"/>
      <c r="V336" s="5" t="inlineStr"/>
    </row>
    <row r="337">
      <c r="A337" s="5" t="inlineStr">
        <is>
          <t>b5-bilet-karaborsasi</t>
        </is>
      </c>
      <c r="B337" s="5" t="n">
        <v>5</v>
      </c>
      <c r="C337" s="5" t="inlineStr">
        <is>
          <t>16 yaş 5 ay</t>
        </is>
      </c>
      <c r="D337" s="5" t="inlineStr">
        <is>
          <t>🎟️</t>
        </is>
      </c>
      <c r="E337" s="6" t="inlineStr">
        <is>
          <t>Stat Önünde</t>
        </is>
      </c>
      <c r="F337" s="6" t="inlineStr">
        <is>
          <t>Büyük maç günü. Abi eline yirmi bilet tutuşturdu: “Stat önünde sat. Fiyatı sen bilirsin. Ama benim fiyatımı da bilirsin.”</t>
        </is>
      </c>
      <c r="G337" s="5" t="inlineStr">
        <is>
          <t>stadyum</t>
        </is>
      </c>
      <c r="H337" s="5" t="inlineStr">
        <is>
          <t>para</t>
        </is>
      </c>
      <c r="I337" s="5" t="inlineStr">
        <is>
          <t>E</t>
        </is>
      </c>
      <c r="J337" s="5" t="inlineStr"/>
      <c r="K337" s="5" t="inlineStr">
        <is>
          <t>okulu-birakti</t>
        </is>
      </c>
      <c r="L337" s="5" t="inlineStr"/>
      <c r="M337" s="5" t="inlineStr"/>
      <c r="N337" s="5" t="inlineStr"/>
      <c r="O337" s="5" t="inlineStr"/>
      <c r="P337" s="5" t="inlineStr"/>
      <c r="Q337" s="5" t="inlineStr"/>
      <c r="R337" s="6" t="inlineStr"/>
      <c r="S337" s="5" t="inlineStr"/>
      <c r="T337" s="5" t="inlineStr"/>
      <c r="U337" s="5" t="inlineStr"/>
      <c r="V337" s="5" t="inlineStr"/>
    </row>
    <row r="338">
      <c r="A338" s="5" t="inlineStr">
        <is>
          <t>b5-acik-lise</t>
        </is>
      </c>
      <c r="B338" s="5" t="n">
        <v>5</v>
      </c>
      <c r="C338" s="5" t="inlineStr">
        <is>
          <t>16 yaş 8 ay</t>
        </is>
      </c>
      <c r="D338" s="5" t="inlineStr">
        <is>
          <t>📬</t>
        </is>
      </c>
      <c r="E338" s="6" t="inlineStr">
        <is>
          <t>Akşam Lisesi Broşürü</t>
        </is>
      </c>
      <c r="F338" s="6" t="inlineStr">
        <is>
          <t>Kapıdan bir broşür atıldı: “Liseyi akşamları bitirin, gündüz çalışın.” Annen broşürü mutfak masasına koydu ve bir şey demedi. Demesine gerek yoktu.</t>
        </is>
      </c>
      <c r="G338" s="5" t="inlineStr">
        <is>
          <t>ev</t>
        </is>
      </c>
      <c r="H338" s="5" t="inlineStr">
        <is>
          <t>okul-iş</t>
        </is>
      </c>
      <c r="I338" s="5" t="inlineStr">
        <is>
          <t>E</t>
        </is>
      </c>
      <c r="J338" s="5" t="inlineStr"/>
      <c r="K338" s="5" t="inlineStr">
        <is>
          <t>okulu-birakti</t>
        </is>
      </c>
      <c r="L338" s="5" t="inlineStr"/>
      <c r="M338" s="5" t="inlineStr"/>
      <c r="N338" s="5" t="inlineStr"/>
      <c r="O338" s="5" t="inlineStr"/>
      <c r="P338" s="5" t="inlineStr"/>
      <c r="Q338" s="5" t="inlineStr"/>
      <c r="R338" s="6" t="inlineStr"/>
      <c r="S338" s="5" t="inlineStr"/>
      <c r="T338" s="5" t="inlineStr"/>
      <c r="U338" s="5" t="inlineStr"/>
      <c r="V338" s="5" t="inlineStr"/>
    </row>
    <row r="339">
      <c r="A339" s="5" t="inlineStr">
        <is>
          <t>b6-askerlik-mezun</t>
        </is>
      </c>
      <c r="B339" s="5" t="n">
        <v>6</v>
      </c>
      <c r="C339" s="5" t="inlineStr">
        <is>
          <t>22 yaş</t>
        </is>
      </c>
      <c r="D339" s="5" t="inlineStr">
        <is>
          <t>🪖</t>
        </is>
      </c>
      <c r="E339" s="6" t="inlineStr">
        <is>
          <t>Mezunun Celbi</t>
        </is>
      </c>
      <c r="F339" s="6" t="inlineStr">
        <is>
          <t>Diploma çerçeveye girdi, tecil süresi çöpe. Zarfta “kısa dönem” yazıyor. Annen “Kısa ne kadar kısa?” diye sordu; kimse bilmiyordu.</t>
        </is>
      </c>
      <c r="G339" s="5" t="inlineStr">
        <is>
          <t>kisla</t>
        </is>
      </c>
      <c r="H339" s="5" t="inlineStr"/>
      <c r="I339" s="5" t="inlineStr">
        <is>
          <t>E</t>
        </is>
      </c>
      <c r="J339" s="5" t="inlineStr"/>
      <c r="K339" s="5" t="inlineStr">
        <is>
          <t>universiteli</t>
        </is>
      </c>
      <c r="L339" s="5" t="inlineStr">
        <is>
          <t>bolum-tip, hat-goc</t>
        </is>
      </c>
      <c r="M339" s="5" t="inlineStr"/>
      <c r="N339" s="5" t="inlineStr">
        <is>
          <t>erkek</t>
        </is>
      </c>
      <c r="O339" s="5" t="inlineStr"/>
      <c r="P339" s="5" t="inlineStr"/>
      <c r="Q339" s="5" t="n">
        <v>4</v>
      </c>
      <c r="R339" s="6" t="inlineStr">
        <is>
          <t>Diplomalı askerlik de askerliktir. Kimi kışlada ders verir, kimi bankada öder, kimi heyete bir hikâye anlatır. Dönüşte seni aynı iş bekliyor olacak mı, belli değil.</t>
        </is>
      </c>
      <c r="S339" s="5" t="inlineStr"/>
      <c r="T339" s="5" t="inlineStr"/>
      <c r="U339" s="5" t="inlineStr"/>
      <c r="V339" s="5" t="inlineStr"/>
    </row>
    <row r="340">
      <c r="A340" s="5" t="inlineStr">
        <is>
          <t>b6-kisla</t>
        </is>
      </c>
      <c r="B340" s="5" t="n">
        <v>6</v>
      </c>
      <c r="C340" s="5" t="inlineStr">
        <is>
          <t>20 yaş 5 ay</t>
        </is>
      </c>
      <c r="D340" s="5" t="inlineStr">
        <is>
          <t>🎖️</t>
        </is>
      </c>
      <c r="E340" s="6" t="inlineStr">
        <is>
          <t>Kışlada Bir Gece</t>
        </is>
      </c>
      <c r="F340" s="6" t="inlineStr">
        <is>
          <t>Saçlar kısa, botlar büyük, nöbet listesi uzun. Bölükte tek sabit cümle var: “Birazdan açıklama yapılacak.” Açıklama yapılmıyor; sadece bekleniyor.</t>
        </is>
      </c>
      <c r="G340" s="5" t="inlineStr">
        <is>
          <t>kisla</t>
        </is>
      </c>
      <c r="H340" s="5" t="inlineStr"/>
      <c r="I340" s="5" t="inlineStr">
        <is>
          <t>E</t>
        </is>
      </c>
      <c r="J340" s="5" t="inlineStr"/>
      <c r="K340" s="5" t="inlineStr">
        <is>
          <t>askerlik-yapti, universitesiz</t>
        </is>
      </c>
      <c r="L340" s="5" t="inlineStr">
        <is>
          <t>erken-askerlik</t>
        </is>
      </c>
      <c r="M340" s="5" t="inlineStr"/>
      <c r="N340" s="5" t="inlineStr"/>
      <c r="O340" s="5" t="inlineStr"/>
      <c r="P340" s="5" t="inlineStr"/>
      <c r="Q340" s="5" t="inlineStr"/>
      <c r="R340" s="6" t="inlineStr"/>
      <c r="S340" s="5" t="inlineStr"/>
      <c r="T340" s="5" t="inlineStr"/>
      <c r="U340" s="5" t="inlineStr"/>
      <c r="V340" s="5" t="inlineStr"/>
    </row>
    <row r="341">
      <c r="A341" s="5" t="inlineStr">
        <is>
          <t>b6-erken-askerlik</t>
        </is>
      </c>
      <c r="B341" s="5" t="n">
        <v>6</v>
      </c>
      <c r="C341" s="5" t="inlineStr">
        <is>
          <t>18 yaş 3 ay</t>
        </is>
      </c>
      <c r="D341" s="5" t="inlineStr">
        <is>
          <t>🪖</t>
        </is>
      </c>
      <c r="E341" s="6" t="inlineStr">
        <is>
          <t>On Sekizinde Kışla</t>
        </is>
      </c>
      <c r="F341" s="6" t="inlineStr">
        <is>
          <t>Arkadaşların ilk vizelerine çalışırken sen nöbet listesine yazıldın. Bölükte senden küçük kimse yok; komutan sana “Yavrum” diyor, sonra bağırıyor.</t>
        </is>
      </c>
      <c r="G341" s="5" t="inlineStr">
        <is>
          <t>kisla</t>
        </is>
      </c>
      <c r="H341" s="5" t="inlineStr"/>
      <c r="I341" s="5" t="inlineStr">
        <is>
          <t>E</t>
        </is>
      </c>
      <c r="J341" s="5" t="inlineStr"/>
      <c r="K341" s="5" t="inlineStr">
        <is>
          <t>erken-askerlik</t>
        </is>
      </c>
      <c r="L341" s="5" t="inlineStr"/>
      <c r="M341" s="5" t="inlineStr"/>
      <c r="N341" s="5" t="inlineStr"/>
      <c r="O341" s="5" t="inlineStr"/>
      <c r="P341" s="5" t="inlineStr"/>
      <c r="Q341" s="5" t="n">
        <v>4</v>
      </c>
      <c r="R341" s="6" t="inlineStr">
        <is>
          <t>Sınav olmadı, kışla oldu. Burada kimi disiplin bulur, kimi komutanın köpeğiyle dost olur, kimi de bir ömür “Bizim bölükte…” diye başlayacağı hikâyelerini.</t>
        </is>
      </c>
      <c r="S341" s="5" t="inlineStr"/>
      <c r="T341" s="5" t="inlineStr"/>
      <c r="U341" s="5" t="inlineStr"/>
      <c r="V341" s="5" t="inlineStr"/>
    </row>
    <row r="342">
      <c r="A342" s="5" t="inlineStr">
        <is>
          <t>b6-tezkere</t>
        </is>
      </c>
      <c r="B342" s="5" t="n">
        <v>6</v>
      </c>
      <c r="C342" s="5" t="inlineStr">
        <is>
          <t>19 yaş 3 ay</t>
        </is>
      </c>
      <c r="D342" s="5" t="inlineStr">
        <is>
          <t>🎒</t>
        </is>
      </c>
      <c r="E342" s="6" t="inlineStr">
        <is>
          <t>Tezkere</t>
        </is>
      </c>
      <c r="F342" s="6" t="inlineStr">
        <is>
          <t>Tezkereni aldın. Otobüste on iki saat, kafanda tek soru: “Şimdi ne?” Arkadaşların ikinci sınıfa geçmiş, sen hâlâ “Rahat!” komutunu bekliyorsun.</t>
        </is>
      </c>
      <c r="G342" s="5" t="inlineStr">
        <is>
          <t>toplu-tasima</t>
        </is>
      </c>
      <c r="H342" s="5" t="inlineStr"/>
      <c r="I342" s="5" t="inlineStr">
        <is>
          <t>E</t>
        </is>
      </c>
      <c r="J342" s="5" t="inlineStr"/>
      <c r="K342" s="5" t="inlineStr">
        <is>
          <t>erken-askerlik</t>
        </is>
      </c>
      <c r="L342" s="5" t="inlineStr"/>
      <c r="M342" s="5" t="inlineStr"/>
      <c r="N342" s="5" t="inlineStr"/>
      <c r="O342" s="5" t="inlineStr"/>
      <c r="P342" s="5" t="inlineStr"/>
      <c r="Q342" s="5" t="inlineStr"/>
      <c r="R342" s="6" t="inlineStr"/>
      <c r="S342" s="5" t="inlineStr"/>
      <c r="T342" s="5" t="inlineStr"/>
      <c r="U342" s="5" t="inlineStr"/>
      <c r="V342" s="5" t="inlineStr"/>
    </row>
    <row r="343">
      <c r="A343" s="5" t="inlineStr">
        <is>
          <t>b6-ikinci-sinav</t>
        </is>
      </c>
      <c r="B343" s="5" t="n">
        <v>6</v>
      </c>
      <c r="C343" s="5" t="inlineStr">
        <is>
          <t>18 yaş 10 ay</t>
        </is>
      </c>
      <c r="D343" s="5" t="inlineStr">
        <is>
          <t>✏️</t>
        </is>
      </c>
      <c r="E343" s="6" t="inlineStr">
        <is>
          <t>Büyük Sınav · İkinci Deneme</t>
        </is>
      </c>
      <c r="F343" s="6" t="inlineStr">
        <is>
          <t>Bir yıl dershane, bir yıl “Bu sefer olacak”. Aynı salon, aynı kalem, farklı bir sen. Arka sırada geçen yıl yanında oturan çocuk da var; o da kalmış.</t>
        </is>
      </c>
      <c r="G343" s="5" t="inlineStr">
        <is>
          <t>sinif</t>
        </is>
      </c>
      <c r="H343" s="5" t="inlineStr">
        <is>
          <t>okul-iş</t>
        </is>
      </c>
      <c r="I343" s="5" t="inlineStr">
        <is>
          <t>E</t>
        </is>
      </c>
      <c r="J343" s="5" t="inlineStr"/>
      <c r="K343" s="5" t="inlineStr">
        <is>
          <t>mezuna-kaldi</t>
        </is>
      </c>
      <c r="L343" s="5" t="inlineStr"/>
      <c r="M343" s="5" t="inlineStr"/>
      <c r="N343" s="5" t="inlineStr"/>
      <c r="O343" s="5" t="inlineStr"/>
      <c r="P343" s="5" t="inlineStr"/>
      <c r="Q343" s="5" t="n">
        <v>3</v>
      </c>
      <c r="R343" s="6" t="inlineStr">
        <is>
          <t>İkinci kez bu salondasın. Bu sefer geri dönüş yok: ya üniversite, ya bir daha hiç dönmeyeceğin bir çalışma hayatı.</t>
        </is>
      </c>
      <c r="S343" s="5" t="inlineStr">
        <is>
          <t>Üniversiteli hayat (bir yıl gecikmeyle)</t>
        </is>
      </c>
      <c r="T343" s="5" t="inlineStr">
        <is>
          <t>Sınavsız bir hayat</t>
        </is>
      </c>
      <c r="U343" s="5" t="inlineStr"/>
      <c r="V343" s="5" t="inlineStr"/>
    </row>
    <row r="344">
      <c r="A344" s="5" t="inlineStr">
        <is>
          <t>b6-ikinci-tercih</t>
        </is>
      </c>
      <c r="B344" s="5" t="n">
        <v>6</v>
      </c>
      <c r="C344" s="5" t="inlineStr">
        <is>
          <t>18 yaş 11 ay</t>
        </is>
      </c>
      <c r="D344" s="5" t="inlineStr">
        <is>
          <t>📝</t>
        </is>
      </c>
      <c r="E344" s="6" t="inlineStr">
        <is>
          <t>İkinci Tercih Listesi</t>
        </is>
      </c>
      <c r="F344" s="6" t="inlineStr">
        <is>
          <t>Geçen yılın listesi yine masada; kenarında annenin çay bardağı izi. Kuzen yine akıl veriyor. Geçen yıl dediklerinin hiçbiri tutmamıştı; bu yıl ağzını açtığı an konuyu değiştiriyorsun.</t>
        </is>
      </c>
      <c r="G344" s="5" t="inlineStr">
        <is>
          <t>ev</t>
        </is>
      </c>
      <c r="H344" s="5" t="inlineStr"/>
      <c r="I344" s="5" t="inlineStr">
        <is>
          <t>E</t>
        </is>
      </c>
      <c r="J344" s="5" t="inlineStr"/>
      <c r="K344" s="5" t="inlineStr">
        <is>
          <t>universiteli, mezuna-kaldi</t>
        </is>
      </c>
      <c r="L344" s="5" t="inlineStr"/>
      <c r="M344" s="5" t="inlineStr"/>
      <c r="N344" s="5" t="inlineStr"/>
      <c r="O344" s="5" t="inlineStr"/>
      <c r="P344" s="5" t="inlineStr"/>
      <c r="Q344" s="5" t="inlineStr"/>
      <c r="R344" s="6" t="inlineStr"/>
      <c r="S344" s="5" t="inlineStr"/>
      <c r="T344" s="5" t="inlineStr"/>
      <c r="U344" s="5" t="inlineStr"/>
      <c r="V344" s="5" t="inlineStr"/>
    </row>
    <row r="345">
      <c r="A345" s="5" t="inlineStr">
        <is>
          <t>b6-tezgah-ilk-yil</t>
        </is>
      </c>
      <c r="B345" s="5" t="n">
        <v>6</v>
      </c>
      <c r="C345" s="5" t="inlineStr">
        <is>
          <t>18 yaş 4 ay</t>
        </is>
      </c>
      <c r="D345" s="5" t="inlineStr">
        <is>
          <t>🧺</t>
        </is>
      </c>
      <c r="E345" s="6" t="inlineStr">
        <is>
          <t>Kuzenin Tezgâhı</t>
        </is>
      </c>
      <c r="F345" s="6" t="inlineStr">
        <is>
          <t>Kuzenin seni tezgâhın arkasına koydu: “Sen sadece gülümse, fiyatı ben söylerim.” Üçüncü gün kuzen tuvaletteyken bir müşteri fiyat sordu.</t>
        </is>
      </c>
      <c r="G345" s="5" t="inlineStr">
        <is>
          <t>carsi</t>
        </is>
      </c>
      <c r="H345" s="5" t="inlineStr">
        <is>
          <t>para</t>
        </is>
      </c>
      <c r="I345" s="5" t="inlineStr">
        <is>
          <t>E</t>
        </is>
      </c>
      <c r="J345" s="5" t="inlineStr"/>
      <c r="K345" s="5" t="inlineStr">
        <is>
          <t>tezgah</t>
        </is>
      </c>
      <c r="L345" s="5" t="inlineStr"/>
      <c r="M345" s="5" t="inlineStr"/>
      <c r="N345" s="5" t="inlineStr"/>
      <c r="O345" s="5" t="inlineStr"/>
      <c r="P345" s="5" t="inlineStr"/>
      <c r="Q345" s="5" t="inlineStr"/>
      <c r="R345" s="6" t="inlineStr"/>
      <c r="S345" s="5" t="inlineStr"/>
      <c r="T345" s="5" t="inlineStr"/>
      <c r="U345" s="5" t="inlineStr"/>
      <c r="V345" s="5" t="inlineStr"/>
    </row>
    <row r="346">
      <c r="A346" s="5" t="inlineStr">
        <is>
          <t>b6-abinin-cantasi</t>
        </is>
      </c>
      <c r="B346" s="5" t="n">
        <v>6</v>
      </c>
      <c r="C346" s="5" t="inlineStr">
        <is>
          <t>19 yaş 1 ay</t>
        </is>
      </c>
      <c r="D346" s="5" t="inlineStr">
        <is>
          <t>💼</t>
        </is>
      </c>
      <c r="E346" s="6" t="inlineStr">
        <is>
          <t>Açma, Götür</t>
        </is>
      </c>
      <c r="F346" s="6" t="inlineStr">
        <is>
          <t>Abi eline bir spor çantası tutuşturdu: “Sanayinin arkasındaki kahveye bırak. Açma.” Çanta hafif. Hafif olması seni daha çok düşündürüyor.</t>
        </is>
      </c>
      <c r="G346" s="5" t="inlineStr">
        <is>
          <t>sokak</t>
        </is>
      </c>
      <c r="H346" s="5" t="inlineStr"/>
      <c r="I346" s="5" t="inlineStr">
        <is>
          <t>E</t>
        </is>
      </c>
      <c r="J346" s="5" t="inlineStr"/>
      <c r="K346" s="5" t="inlineStr">
        <is>
          <t>abinin-adami</t>
        </is>
      </c>
      <c r="L346" s="5" t="inlineStr"/>
      <c r="M346" s="5" t="inlineStr"/>
      <c r="N346" s="5" t="inlineStr"/>
      <c r="O346" s="5" t="inlineStr"/>
      <c r="P346" s="5" t="inlineStr"/>
      <c r="Q346" s="5" t="inlineStr"/>
      <c r="R346" s="6" t="inlineStr"/>
      <c r="S346" s="5" t="inlineStr"/>
      <c r="T346" s="5" t="inlineStr"/>
      <c r="U346" s="5" t="inlineStr"/>
      <c r="V346" s="5" t="inlineStr"/>
    </row>
    <row r="347">
      <c r="A347" s="5" t="inlineStr">
        <is>
          <t>b6-karakol-gecesi</t>
        </is>
      </c>
      <c r="B347" s="5" t="n">
        <v>6</v>
      </c>
      <c r="C347" s="5" t="inlineStr">
        <is>
          <t>21 yaş 6 ay</t>
        </is>
      </c>
      <c r="D347" s="5" t="inlineStr">
        <is>
          <t>🚨</t>
        </is>
      </c>
      <c r="E347" s="6" t="inlineStr">
        <is>
          <t>Nezarette Bir Gece</t>
        </is>
      </c>
      <c r="F347" s="6" t="inlineStr">
        <is>
          <t>Stat önündeki bir kalabalıktan sonra kendini karakolun bankında buldun. Yanında bir tavuk dönerci, bir düğün davulcusu ve kimsenin neden orada olduğunu bilmediği bir amca var.</t>
        </is>
      </c>
      <c r="G347" s="5" t="inlineStr">
        <is>
          <t>sokak</t>
        </is>
      </c>
      <c r="H347" s="5" t="inlineStr"/>
      <c r="I347" s="5" t="inlineStr"/>
      <c r="J347" s="5" t="n">
        <v>1.5</v>
      </c>
      <c r="K347" s="5" t="inlineStr"/>
      <c r="L347" s="5" t="inlineStr"/>
      <c r="M347" s="5" t="inlineStr"/>
      <c r="N347" s="5" t="inlineStr"/>
      <c r="O347" s="5" t="inlineStr"/>
      <c r="P347" s="5" t="inlineStr"/>
      <c r="Q347" s="5" t="inlineStr"/>
      <c r="R347" s="6" t="inlineStr"/>
      <c r="S347" s="5" t="inlineStr"/>
      <c r="T347" s="5" t="inlineStr"/>
      <c r="U347" s="5" t="inlineStr">
        <is>
          <t>abinin-adami, karaborsaci</t>
        </is>
      </c>
      <c r="V347" s="5" t="inlineStr"/>
    </row>
    <row r="348">
      <c r="A348" s="5" t="inlineStr">
        <is>
          <t>b6-gurbet-ilk-kis</t>
        </is>
      </c>
      <c r="B348" s="5" t="n">
        <v>6</v>
      </c>
      <c r="C348" s="5" t="inlineStr">
        <is>
          <t>18 yaş 5 ay</t>
        </is>
      </c>
      <c r="D348" s="5" t="inlineStr">
        <is>
          <t>❄️</t>
        </is>
      </c>
      <c r="E348" s="6" t="inlineStr">
        <is>
          <t>Öte Diyar'da İlk Kış</t>
        </is>
      </c>
      <c r="F348" s="6" t="inlineStr">
        <is>
          <t>Saat dörtte hava karardı. Yurttaki ortak mutfakta kimse kimseye selam vermiyor. Valizdeki üç kavanoz reçelden biri bitti; diğer ikisini kimseyle paylaşmıyorsun.</t>
        </is>
      </c>
      <c r="G348" s="5" t="inlineStr">
        <is>
          <t>universite</t>
        </is>
      </c>
      <c r="H348" s="5" t="inlineStr"/>
      <c r="I348" s="5" t="inlineStr">
        <is>
          <t>E</t>
        </is>
      </c>
      <c r="J348" s="5" t="inlineStr"/>
      <c r="K348" s="5" t="inlineStr">
        <is>
          <t>yurtdisi-universite</t>
        </is>
      </c>
      <c r="L348" s="5" t="inlineStr"/>
      <c r="M348" s="5" t="inlineStr"/>
      <c r="N348" s="5" t="inlineStr"/>
      <c r="O348" s="5" t="inlineStr"/>
      <c r="P348" s="5" t="inlineStr"/>
      <c r="Q348" s="5" t="inlineStr"/>
      <c r="R348" s="6" t="inlineStr"/>
      <c r="S348" s="5" t="inlineStr"/>
      <c r="T348" s="5" t="inlineStr"/>
      <c r="U348" s="5" t="inlineStr"/>
      <c r="V348" s="5" t="inlineStr"/>
    </row>
    <row r="349">
      <c r="A349" s="5" t="inlineStr">
        <is>
          <t>b6-gurbet-garson</t>
        </is>
      </c>
      <c r="B349" s="5" t="n">
        <v>6</v>
      </c>
      <c r="C349" s="5" t="inlineStr">
        <is>
          <t>19 yaş 7 ay</t>
        </is>
      </c>
      <c r="D349" s="5" t="inlineStr">
        <is>
          <t>☕</t>
        </is>
      </c>
      <c r="E349" s="6" t="inlineStr">
        <is>
          <t>Burs Yetmeyince</t>
        </is>
      </c>
      <c r="F349" s="6" t="inlineStr">
        <is>
          <t>Burs kiranın yarısını karşılıyor, diğer yarısını bir kafe. Müdür tabak taşımanı istiyor, müşteriler kahve sanatı. Sen ikisini de ilk kez görüyorsun.</t>
        </is>
      </c>
      <c r="G349" s="5" t="inlineStr">
        <is>
          <t>kafe</t>
        </is>
      </c>
      <c r="H349" s="5" t="inlineStr"/>
      <c r="I349" s="5" t="inlineStr"/>
      <c r="J349" s="5" t="n">
        <v>2</v>
      </c>
      <c r="K349" s="5" t="inlineStr">
        <is>
          <t>yurtdisi-universite</t>
        </is>
      </c>
      <c r="L349" s="5" t="inlineStr"/>
      <c r="M349" s="5" t="inlineStr"/>
      <c r="N349" s="5" t="inlineStr"/>
      <c r="O349" s="5" t="inlineStr"/>
      <c r="P349" s="5" t="inlineStr"/>
      <c r="Q349" s="5" t="inlineStr"/>
      <c r="R349" s="6" t="inlineStr"/>
      <c r="S349" s="5" t="inlineStr"/>
      <c r="T349" s="5" t="inlineStr"/>
      <c r="U349" s="5" t="inlineStr"/>
      <c r="V349" s="5" t="inlineStr"/>
    </row>
    <row r="350">
      <c r="A350" s="5" t="inlineStr">
        <is>
          <t>b6-gurbet-bayram</t>
        </is>
      </c>
      <c r="B350" s="5" t="n">
        <v>6</v>
      </c>
      <c r="C350" s="5" t="inlineStr">
        <is>
          <t>20 yaş 9 ay</t>
        </is>
      </c>
      <c r="D350" s="5" t="inlineStr">
        <is>
          <t>📱</t>
        </is>
      </c>
      <c r="E350" s="6" t="inlineStr">
        <is>
          <t>Ekrandan Bayram</t>
        </is>
      </c>
      <c r="F350" s="6" t="inlineStr">
        <is>
          <t>Bayram sabahı görüntülü arama. Ekranda on dört akraba, hepsi aynı anda konuşuyor. Annen telefonu sofraya dikmiş; sen de sofradasın, pikselli.</t>
        </is>
      </c>
      <c r="G350" s="5" t="inlineStr">
        <is>
          <t>ev</t>
        </is>
      </c>
      <c r="H350" s="5" t="inlineStr"/>
      <c r="I350" s="5" t="inlineStr"/>
      <c r="J350" s="5" t="n">
        <v>2</v>
      </c>
      <c r="K350" s="5" t="inlineStr">
        <is>
          <t>yurtdisi-universite</t>
        </is>
      </c>
      <c r="L350" s="5" t="inlineStr"/>
      <c r="M350" s="5" t="inlineStr"/>
      <c r="N350" s="5" t="inlineStr"/>
      <c r="O350" s="5" t="inlineStr"/>
      <c r="P350" s="5" t="inlineStr"/>
      <c r="Q350" s="5" t="inlineStr"/>
      <c r="R350" s="6" t="inlineStr"/>
      <c r="S350" s="5" t="inlineStr"/>
      <c r="T350" s="5" t="inlineStr"/>
      <c r="U350" s="5" t="inlineStr"/>
      <c r="V350" s="5" t="inlineStr"/>
    </row>
    <row r="351">
      <c r="A351" s="5" t="inlineStr">
        <is>
          <t>b6-donus-bileti</t>
        </is>
      </c>
      <c r="B351" s="5" t="n">
        <v>6</v>
      </c>
      <c r="C351" s="5" t="inlineStr">
        <is>
          <t>22 yaş</t>
        </is>
      </c>
      <c r="D351" s="5" t="inlineStr">
        <is>
          <t>✈️</t>
        </is>
      </c>
      <c r="E351" s="6" t="inlineStr">
        <is>
          <t>Dönüş Bileti</t>
        </is>
      </c>
      <c r="F351" s="6" t="inlineStr">
        <is>
          <t>Diploma elinde. Bir yanda Öte Diyar'ın iş ilanları, öbür yanda annenin “Odan hazır” mesajı. Bilet sitesinde iki sekme açık: tek yön ve gidiş-dönüş.</t>
        </is>
      </c>
      <c r="G351" s="5" t="inlineStr">
        <is>
          <t>universite</t>
        </is>
      </c>
      <c r="H351" s="5" t="inlineStr"/>
      <c r="I351" s="5" t="inlineStr">
        <is>
          <t>E</t>
        </is>
      </c>
      <c r="J351" s="5" t="inlineStr"/>
      <c r="K351" s="5" t="inlineStr">
        <is>
          <t>yurtdisi-universite</t>
        </is>
      </c>
      <c r="L351" s="5" t="inlineStr"/>
      <c r="M351" s="5" t="inlineStr"/>
      <c r="N351" s="5" t="inlineStr"/>
      <c r="O351" s="5" t="inlineStr"/>
      <c r="P351" s="5" t="inlineStr"/>
      <c r="Q351" s="5" t="n">
        <v>6</v>
      </c>
      <c r="R351" s="6" t="inlineStr">
        <is>
          <t>Dört yıl geçti. Burada kalırsan “gurbetçi” olursun, dönersen “Öte Diyar görmüş”. İkisi de bir ömür sürer, ikisinde de bir şey eksik kalır.</t>
        </is>
      </c>
      <c r="S351" s="5" t="inlineStr"/>
      <c r="T351" s="5" t="inlineStr"/>
      <c r="U351" s="5" t="inlineStr"/>
      <c r="V351" s="5" t="inlineStr"/>
    </row>
    <row r="352">
      <c r="A352" s="5" t="inlineStr">
        <is>
          <t>b6-evden-okul</t>
        </is>
      </c>
      <c r="B352" s="5" t="n">
        <v>6</v>
      </c>
      <c r="C352" s="5" t="inlineStr">
        <is>
          <t>18 yaş 2 ay</t>
        </is>
      </c>
      <c r="D352" s="5" t="inlineStr">
        <is>
          <t>🕘</t>
        </is>
      </c>
      <c r="E352" s="6" t="inlineStr">
        <is>
          <t>Sokağa Çıkma Saati</t>
        </is>
      </c>
      <c r="F352" s="6" t="inlineStr">
        <is>
          <t>Üniversiteye evden gidiyorsun. Kampüste herkes özgür, sende saat on bir sınırı var. Annen “Yurt olsa kapı kapanırdı, burada kapı ben” dedi.</t>
        </is>
      </c>
      <c r="G352" s="5" t="inlineStr">
        <is>
          <t>ev</t>
        </is>
      </c>
      <c r="H352" s="5" t="inlineStr">
        <is>
          <t>ev</t>
        </is>
      </c>
      <c r="I352" s="5" t="inlineStr">
        <is>
          <t>E</t>
        </is>
      </c>
      <c r="J352" s="5" t="inlineStr"/>
      <c r="K352" s="5" t="inlineStr">
        <is>
          <t>universiteli, ayni-sehir</t>
        </is>
      </c>
      <c r="L352" s="5" t="inlineStr"/>
      <c r="M352" s="5" t="inlineStr"/>
      <c r="N352" s="5" t="inlineStr"/>
      <c r="O352" s="5" t="inlineStr"/>
      <c r="P352" s="5" t="inlineStr"/>
      <c r="Q352" s="5" t="inlineStr"/>
      <c r="R352" s="6" t="inlineStr"/>
      <c r="S352" s="5" t="inlineStr"/>
      <c r="T352" s="5" t="inlineStr"/>
      <c r="U352" s="5" t="inlineStr"/>
      <c r="V352" s="5" t="inlineStr"/>
    </row>
    <row r="353">
      <c r="A353" s="5" t="inlineStr">
        <is>
          <t>b6-bolum-ilk-yil</t>
        </is>
      </c>
      <c r="B353" s="5" t="n">
        <v>6</v>
      </c>
      <c r="C353" s="5" t="inlineStr">
        <is>
          <t>18 yaş 9 ay</t>
        </is>
      </c>
      <c r="D353" s="5" t="inlineStr">
        <is>
          <t>🎓</t>
        </is>
      </c>
      <c r="E353" s="6" t="inlineStr">
        <is>
          <t>Bölümün İlk Yılı</t>
        </is>
      </c>
      <c r="F353" s="6" t="inlineStr">
        <is>
          <t>İlk yıl bitmek üzere. Bayramda her akraba aynı soruyu soruyor: “Bölümün güzel mi?” Her seferinde “Güzel” diyorsun; her seferinde biraz daha az emin.</t>
        </is>
      </c>
      <c r="G353" s="5" t="inlineStr">
        <is>
          <t>universite</t>
        </is>
      </c>
      <c r="H353" s="5" t="inlineStr"/>
      <c r="I353" s="5" t="inlineStr">
        <is>
          <t>E</t>
        </is>
      </c>
      <c r="J353" s="5" t="inlineStr"/>
      <c r="K353" s="5" t="inlineStr">
        <is>
          <t>universiteli</t>
        </is>
      </c>
      <c r="L353" s="5" t="inlineStr"/>
      <c r="M353" s="5" t="inlineStr"/>
      <c r="N353" s="5" t="inlineStr"/>
      <c r="O353" s="5" t="inlineStr"/>
      <c r="P353" s="5" t="inlineStr"/>
      <c r="Q353" s="5" t="inlineStr"/>
      <c r="R353" s="6" t="inlineStr"/>
      <c r="S353" s="5" t="inlineStr"/>
      <c r="T353" s="5" t="inlineStr"/>
      <c r="U353" s="5" t="inlineStr"/>
      <c r="V353" s="5" t="inlineStr"/>
    </row>
    <row r="354">
      <c r="A354" s="5" t="inlineStr">
        <is>
          <t>b6-evden-cikis</t>
        </is>
      </c>
      <c r="B354" s="5" t="n">
        <v>6</v>
      </c>
      <c r="C354" s="5" t="inlineStr">
        <is>
          <t>21 yaş 9 ay</t>
        </is>
      </c>
      <c r="D354" s="5" t="inlineStr">
        <is>
          <t>🔑</t>
        </is>
      </c>
      <c r="E354" s="6" t="inlineStr">
        <is>
          <t>Kendi Kapın</t>
        </is>
      </c>
      <c r="F354" s="6" t="inlineStr">
        <is>
          <t>Annen “Evlenince çıkarsın” diyor. Baban “Ben senin yaşında…” diye başlıyor, cümleyi hiç bitirmiyor. Emlakçı ise çoktan “Tam size göre bir yer var” diye mesaj attı.</t>
        </is>
      </c>
      <c r="G354" s="5" t="inlineStr">
        <is>
          <t>ev</t>
        </is>
      </c>
      <c r="H354" s="5" t="inlineStr">
        <is>
          <t>ev</t>
        </is>
      </c>
      <c r="I354" s="5" t="inlineStr">
        <is>
          <t>E</t>
        </is>
      </c>
      <c r="J354" s="5" t="inlineStr"/>
      <c r="K354" s="5" t="inlineStr"/>
      <c r="L354" s="5" t="inlineStr">
        <is>
          <t>yurtdisi-universite</t>
        </is>
      </c>
      <c r="M354" s="5" t="inlineStr"/>
      <c r="N354" s="5" t="inlineStr"/>
      <c r="O354" s="5" t="inlineStr"/>
      <c r="P354" s="5" t="inlineStr"/>
      <c r="Q354" s="5" t="n">
        <v>5</v>
      </c>
      <c r="R354" s="6" t="inlineStr">
        <is>
          <t>Bu kapıdan ya kendi anahtarınla çıkarsın ya da yıllarca aynı odada kalırsın. Kira bir faturadır; aile evinde fatura sorularla ödenir: “Nereye? Kiminle? Kaçta?”</t>
        </is>
      </c>
      <c r="S354" s="5" t="inlineStr"/>
      <c r="T354" s="5" t="inlineStr"/>
      <c r="U354" s="5" t="inlineStr"/>
      <c r="V354" s="5" t="inlineStr"/>
    </row>
    <row r="355">
      <c r="A355" s="5" t="inlineStr">
        <is>
          <t>b6-evde-kalmak</t>
        </is>
      </c>
      <c r="B355" s="5" t="n">
        <v>6</v>
      </c>
      <c r="C355" s="5" t="inlineStr">
        <is>
          <t>23 yaş 4 ay</t>
        </is>
      </c>
      <c r="D355" s="5" t="inlineStr">
        <is>
          <t>🛏️</t>
        </is>
      </c>
      <c r="E355" s="6" t="inlineStr">
        <is>
          <t>Hâlâ Çocuk Odası</t>
        </is>
      </c>
      <c r="F355" s="6" t="inlineStr">
        <is>
          <t>Yirmi üç yaşındasın ve odanın kapısında hâlâ ilkokulda yapıştırdığın çıkartma var. Annen odanı misafirlere “Çocuğun odası” diye gösteriyor. Çocuk sensin.</t>
        </is>
      </c>
      <c r="G355" s="5" t="inlineStr">
        <is>
          <t>ev</t>
        </is>
      </c>
      <c r="H355" s="5" t="inlineStr">
        <is>
          <t>ev</t>
        </is>
      </c>
      <c r="I355" s="5" t="inlineStr"/>
      <c r="J355" s="5" t="n">
        <v>2</v>
      </c>
      <c r="K355" s="5" t="inlineStr">
        <is>
          <t>evde-kaldi</t>
        </is>
      </c>
      <c r="L355" s="5" t="inlineStr"/>
      <c r="M355" s="5" t="inlineStr"/>
      <c r="N355" s="5" t="inlineStr"/>
      <c r="O355" s="5" t="inlineStr"/>
      <c r="P355" s="5" t="inlineStr"/>
      <c r="Q355" s="5" t="inlineStr"/>
      <c r="R355" s="6" t="inlineStr"/>
      <c r="S355" s="5" t="inlineStr"/>
      <c r="T355" s="5" t="inlineStr"/>
      <c r="U355" s="5" t="inlineStr"/>
      <c r="V355" s="5" t="inlineStr"/>
    </row>
    <row r="356">
      <c r="A356" s="5" t="inlineStr">
        <is>
          <t>b6-hayat-yolu</t>
        </is>
      </c>
      <c r="B356" s="5" t="n">
        <v>6</v>
      </c>
      <c r="C356" s="5" t="inlineStr">
        <is>
          <t>22 yaş</t>
        </is>
      </c>
      <c r="D356" s="5" t="inlineStr">
        <is>
          <t>🧭</t>
        </is>
      </c>
      <c r="E356" s="6" t="inlineStr">
        <is>
          <t>Hayat Yolu</t>
        </is>
      </c>
      <c r="F356" s="6" t="inlineStr">
        <is>
          <t>Liseden beri çalışıyorsun. Diplomalı akranların şimdi iş arıyor; sen ise hangi işin senin olacağına karar vermek üzeresin. Mahallede herkesin bir önerisi var, çarşıda herkesin bir tanıdığı.</t>
        </is>
      </c>
      <c r="G356" s="5" t="inlineStr">
        <is>
          <t>carsi</t>
        </is>
      </c>
      <c r="H356" s="5" t="inlineStr">
        <is>
          <t>para</t>
        </is>
      </c>
      <c r="I356" s="5" t="inlineStr">
        <is>
          <t>E</t>
        </is>
      </c>
      <c r="J356" s="5" t="inlineStr"/>
      <c r="K356" s="5" t="inlineStr">
        <is>
          <t>universitesiz</t>
        </is>
      </c>
      <c r="L356" s="5" t="inlineStr"/>
      <c r="M356" s="5" t="inlineStr"/>
      <c r="N356" s="5" t="inlineStr"/>
      <c r="O356" s="5" t="inlineStr"/>
      <c r="P356" s="5" t="inlineStr"/>
      <c r="Q356" s="5" t="n">
        <v>6</v>
      </c>
      <c r="R356" s="6" t="inlineStr">
        <is>
          <t>Diploman yok ama tezgâhta, sanayide, gece vardiyasında öğrenilmiş bir tecrüben var. Buradan sonra ya kendi tezgâhın olur, ya bir devlet kapısı, ya da başkasının işi. Mahalle her birini başka bir isimle anar.</t>
        </is>
      </c>
      <c r="S356" s="5" t="inlineStr"/>
      <c r="T356" s="5" t="inlineStr"/>
      <c r="U356" s="5" t="inlineStr"/>
      <c r="V356" s="5" t="inlineStr"/>
    </row>
    <row r="357">
      <c r="A357" s="5" t="inlineStr">
        <is>
          <t>b6-hekimlik-yolu</t>
        </is>
      </c>
      <c r="B357" s="5" t="n">
        <v>6</v>
      </c>
      <c r="C357" s="5" t="inlineStr">
        <is>
          <t>24 yaş</t>
        </is>
      </c>
      <c r="D357" s="5" t="inlineStr">
        <is>
          <t>🩺</t>
        </is>
      </c>
      <c r="E357" s="6" t="inlineStr">
        <is>
          <t>Önlüğün Rengi</t>
        </is>
      </c>
      <c r="F357" s="6" t="inlineStr">
        <is>
          <t>Altı yıl bitti. Beyaz önlüğünün cebinde bir steteskop, bir kalem, bir de babaannenin iğneyle iliştirdiği nazar boncuğu var. Aile grubunda artık resmen doktorsun; teyzen röntgen atmaya bile başladı.</t>
        </is>
      </c>
      <c r="G357" s="5" t="inlineStr">
        <is>
          <t>hastane</t>
        </is>
      </c>
      <c r="H357" s="5" t="inlineStr"/>
      <c r="I357" s="5" t="inlineStr">
        <is>
          <t>E</t>
        </is>
      </c>
      <c r="J357" s="5" t="inlineStr"/>
      <c r="K357" s="5" t="inlineStr">
        <is>
          <t>universiteli, bolum-tip</t>
        </is>
      </c>
      <c r="L357" s="5" t="inlineStr"/>
      <c r="M357" s="5" t="inlineStr"/>
      <c r="N357" s="5" t="inlineStr"/>
      <c r="O357" s="5" t="inlineStr"/>
      <c r="P357" s="5" t="inlineStr"/>
      <c r="Q357" s="5" t="n">
        <v>6</v>
      </c>
      <c r="R357" s="6" t="inlineStr">
        <is>
          <t>Hekimliğin birçok koridoru var: devletin kalabalık acili, özel hastanenin sakin katları, bir de uçakla gidilen koridorlar. Hangisini seçersen, ömrünün nöbetleri orada geçecek.</t>
        </is>
      </c>
      <c r="S357" s="5" t="inlineStr"/>
      <c r="T357" s="5" t="inlineStr"/>
      <c r="U357" s="5" t="inlineStr"/>
      <c r="V357" s="5" t="inlineStr"/>
    </row>
    <row r="358">
      <c r="A358" s="5" t="inlineStr">
        <is>
          <t>b6-polis-devriye</t>
        </is>
      </c>
      <c r="B358" s="5" t="n">
        <v>6</v>
      </c>
      <c r="C358" s="5" t="inlineStr">
        <is>
          <t>22 yaş 7 ay</t>
        </is>
      </c>
      <c r="D358" s="5" t="inlineStr">
        <is>
          <t>🚓</t>
        </is>
      </c>
      <c r="E358" s="6" t="inlineStr">
        <is>
          <t>İlk Devriye</t>
        </is>
      </c>
      <c r="F358" s="6" t="inlineStr">
        <is>
          <t>İlk devriye. Ekip arkadaşın emekliliğine iki ay kalmış bir komiser muavini; telsizi yalnızca maç skorunu öğrenmek için açıyor. Çarşıda bir kavga ihbarı var: iki manav, bir kasa domates.</t>
        </is>
      </c>
      <c r="G358" s="5" t="inlineStr">
        <is>
          <t>sokak</t>
        </is>
      </c>
      <c r="H358" s="5" t="inlineStr"/>
      <c r="I358" s="5" t="inlineStr">
        <is>
          <t>E</t>
        </is>
      </c>
      <c r="J358" s="5" t="inlineStr"/>
      <c r="K358" s="5" t="inlineStr">
        <is>
          <t>hat-polis</t>
        </is>
      </c>
      <c r="L358" s="5" t="inlineStr"/>
      <c r="M358" s="5" t="inlineStr"/>
      <c r="N358" s="5" t="inlineStr"/>
      <c r="O358" s="5" t="inlineStr"/>
      <c r="P358" s="5" t="inlineStr"/>
      <c r="Q358" s="5" t="inlineStr"/>
      <c r="R358" s="6" t="inlineStr"/>
      <c r="S358" s="5" t="inlineStr"/>
      <c r="T358" s="5" t="inlineStr"/>
      <c r="U358" s="5" t="inlineStr"/>
      <c r="V358" s="5" t="inlineStr"/>
    </row>
    <row r="359">
      <c r="A359" s="5" t="inlineStr">
        <is>
          <t>b6-yargi-kurs</t>
        </is>
      </c>
      <c r="B359" s="5" t="n">
        <v>6</v>
      </c>
      <c r="C359" s="5" t="inlineStr">
        <is>
          <t>22 yaş 6 ay</t>
        </is>
      </c>
      <c r="D359" s="5" t="inlineStr">
        <is>
          <t>⚖️</t>
        </is>
      </c>
      <c r="E359" s="6" t="inlineStr">
        <is>
          <t>Adaylık Dönemi</t>
        </is>
      </c>
      <c r="F359" s="6" t="inlineStr">
        <is>
          <t>Hâkim adayısın. Bir kıdemlinin yanında duruşma izliyorsun. İlk dosya: iki komşu, bir ceviz ağacı, yirmi yıllık bir kin. Ağaç duruşmaya gelmedi.</t>
        </is>
      </c>
      <c r="G359" s="5" t="inlineStr">
        <is>
          <t>mahkeme</t>
        </is>
      </c>
      <c r="H359" s="5" t="inlineStr"/>
      <c r="I359" s="5" t="inlineStr">
        <is>
          <t>E</t>
        </is>
      </c>
      <c r="J359" s="5" t="inlineStr"/>
      <c r="K359" s="5" t="inlineStr">
        <is>
          <t>hat-yargi</t>
        </is>
      </c>
      <c r="L359" s="5" t="inlineStr"/>
      <c r="M359" s="5" t="inlineStr"/>
      <c r="N359" s="5" t="inlineStr"/>
      <c r="O359" s="5" t="inlineStr"/>
      <c r="P359" s="5" t="inlineStr"/>
      <c r="Q359" s="5" t="inlineStr"/>
      <c r="R359" s="6" t="inlineStr"/>
      <c r="S359" s="5" t="inlineStr"/>
      <c r="T359" s="5" t="inlineStr"/>
      <c r="U359" s="5" t="inlineStr"/>
      <c r="V359" s="5" t="inlineStr"/>
    </row>
    <row r="360">
      <c r="A360" s="5" t="inlineStr">
        <is>
          <t>b6-hekim-ilk-nobet</t>
        </is>
      </c>
      <c r="B360" s="5" t="n">
        <v>6</v>
      </c>
      <c r="C360" s="5" t="inlineStr">
        <is>
          <t>24 yaş 3 ay</t>
        </is>
      </c>
      <c r="D360" s="5" t="inlineStr">
        <is>
          <t>🌙</t>
        </is>
      </c>
      <c r="E360" s="6" t="inlineStr">
        <is>
          <t>İlk Nöbet</t>
        </is>
      </c>
      <c r="F360" s="6" t="inlineStr">
        <is>
          <t>Gece üç. Acilde yedi hasta, iki hemşire, sen. Birinci sedyede ağrı, ikincide kaygı, üçüncüde “internette okudum” var. Dördüncüdeki amca sadece çay istiyor.</t>
        </is>
      </c>
      <c r="G360" s="5" t="inlineStr">
        <is>
          <t>hastane</t>
        </is>
      </c>
      <c r="H360" s="5" t="inlineStr"/>
      <c r="I360" s="5" t="inlineStr">
        <is>
          <t>E</t>
        </is>
      </c>
      <c r="J360" s="5" t="inlineStr"/>
      <c r="K360" s="5" t="inlineStr">
        <is>
          <t>hat-hekim</t>
        </is>
      </c>
      <c r="L360" s="5" t="inlineStr"/>
      <c r="M360" s="5" t="inlineStr"/>
      <c r="N360" s="5" t="inlineStr"/>
      <c r="O360" s="5" t="inlineStr"/>
      <c r="P360" s="5" t="inlineStr"/>
      <c r="Q360" s="5" t="inlineStr"/>
      <c r="R360" s="6" t="inlineStr"/>
      <c r="S360" s="5" t="inlineStr"/>
      <c r="T360" s="5" t="inlineStr"/>
      <c r="U360" s="5" t="inlineStr"/>
      <c r="V360" s="5" t="inlineStr"/>
    </row>
    <row r="361">
      <c r="A361" s="5" t="inlineStr">
        <is>
          <t>b6-cete-paravan</t>
        </is>
      </c>
      <c r="B361" s="5" t="n">
        <v>6</v>
      </c>
      <c r="C361" s="5" t="inlineStr">
        <is>
          <t>23 yaş 2 ay</t>
        </is>
      </c>
      <c r="D361" s="5" t="inlineStr">
        <is>
          <t>🧽</t>
        </is>
      </c>
      <c r="E361" s="6" t="inlineStr">
        <is>
          <t>Oto Yıkamanın Defteri</t>
        </is>
      </c>
      <c r="F361" s="6" t="inlineStr">
        <is>
          <t>Oto yıkamada iki defter var: biri vergi dairesi için, biri abi için. İkisinde de aynı tarih, farklı rakamlar. Bugün müfettiş geliyor; hangi defteri açacağın sana kalmış.</t>
        </is>
      </c>
      <c r="G361" s="5" t="inlineStr">
        <is>
          <t>dukkan</t>
        </is>
      </c>
      <c r="H361" s="5" t="inlineStr"/>
      <c r="I361" s="5" t="inlineStr">
        <is>
          <t>E</t>
        </is>
      </c>
      <c r="J361" s="5" t="inlineStr"/>
      <c r="K361" s="5" t="inlineStr">
        <is>
          <t>hat-cete</t>
        </is>
      </c>
      <c r="L361" s="5" t="inlineStr"/>
      <c r="M361" s="5" t="inlineStr"/>
      <c r="N361" s="5" t="inlineStr"/>
      <c r="O361" s="5" t="inlineStr"/>
      <c r="P361" s="5" t="inlineStr"/>
      <c r="Q361" s="5" t="inlineStr"/>
      <c r="R361" s="6" t="inlineStr"/>
      <c r="S361" s="5" t="inlineStr"/>
      <c r="T361" s="5" t="inlineStr"/>
      <c r="U361" s="5" t="inlineStr"/>
      <c r="V361" s="5" t="inlineStr"/>
    </row>
    <row r="362">
      <c r="A362" s="5" t="inlineStr">
        <is>
          <t>b6-sohret-ilk-rol</t>
        </is>
      </c>
      <c r="B362" s="5" t="n">
        <v>6</v>
      </c>
      <c r="C362" s="5" t="inlineStr">
        <is>
          <t>22 yaş 7 ay</t>
        </is>
      </c>
      <c r="D362" s="5" t="inlineStr">
        <is>
          <t>🎬</t>
        </is>
      </c>
      <c r="E362" s="6" t="inlineStr">
        <is>
          <t>Setteki İlk Gün</t>
        </is>
      </c>
      <c r="F362" s="6" t="inlineStr">
        <is>
          <t>Set sabah altıda başladı. Rolün: kafede oturan genç. Repliğin: “Hesap lütfen.” Yönetmen on dördüncü tekrarda “Biraz daha hesap iste” dedi.</t>
        </is>
      </c>
      <c r="G362" s="5" t="inlineStr">
        <is>
          <t>sahne</t>
        </is>
      </c>
      <c r="H362" s="5" t="inlineStr"/>
      <c r="I362" s="5" t="inlineStr">
        <is>
          <t>E</t>
        </is>
      </c>
      <c r="J362" s="5" t="inlineStr"/>
      <c r="K362" s="5" t="inlineStr">
        <is>
          <t>hat-sohret</t>
        </is>
      </c>
      <c r="L362" s="5" t="inlineStr"/>
      <c r="M362" s="5" t="inlineStr"/>
      <c r="N362" s="5" t="inlineStr"/>
      <c r="O362" s="5" t="inlineStr"/>
      <c r="P362" s="5" t="inlineStr"/>
      <c r="Q362" s="5" t="inlineStr"/>
      <c r="R362" s="6" t="inlineStr"/>
      <c r="S362" s="5" t="inlineStr"/>
      <c r="T362" s="5" t="inlineStr"/>
      <c r="U362" s="5" t="inlineStr"/>
      <c r="V362" s="5" t="inlineStr"/>
    </row>
    <row r="363">
      <c r="A363" s="5" t="inlineStr">
        <is>
          <t>b6-koy-ilk-hasat</t>
        </is>
      </c>
      <c r="B363" s="5" t="n">
        <v>6</v>
      </c>
      <c r="C363" s="5" t="inlineStr">
        <is>
          <t>22 yaş 11 ay</t>
        </is>
      </c>
      <c r="D363" s="5" t="inlineStr">
        <is>
          <t>🍅</t>
        </is>
      </c>
      <c r="E363" s="6" t="inlineStr">
        <is>
          <t>İlk Hasat</t>
        </is>
      </c>
      <c r="F363" s="6" t="inlineStr">
        <is>
          <t>Domatesler kızardı, biberler olgunlaştı, dedenin traktörü üçüncü denemede çalıştı. Şimdi bir sorun var: bunları kime, kaça satacaksın?</t>
        </is>
      </c>
      <c r="G363" s="5" t="inlineStr">
        <is>
          <t>yazlik</t>
        </is>
      </c>
      <c r="H363" s="5" t="inlineStr"/>
      <c r="I363" s="5" t="inlineStr">
        <is>
          <t>E</t>
        </is>
      </c>
      <c r="J363" s="5" t="inlineStr"/>
      <c r="K363" s="5" t="inlineStr">
        <is>
          <t>hat-koy</t>
        </is>
      </c>
      <c r="L363" s="5" t="inlineStr"/>
      <c r="M363" s="5" t="inlineStr"/>
      <c r="N363" s="5" t="inlineStr"/>
      <c r="O363" s="5" t="inlineStr"/>
      <c r="P363" s="5" t="inlineStr"/>
      <c r="Q363" s="5" t="inlineStr"/>
      <c r="R363" s="6" t="inlineStr"/>
      <c r="S363" s="5" t="inlineStr"/>
      <c r="T363" s="5" t="inlineStr"/>
      <c r="U363" s="5" t="inlineStr"/>
      <c r="V363" s="5" t="inlineStr"/>
    </row>
    <row r="364">
      <c r="A364" s="5" t="inlineStr">
        <is>
          <t>b6-usta-kendi-tezgahi</t>
        </is>
      </c>
      <c r="B364" s="5" t="n">
        <v>6</v>
      </c>
      <c r="C364" s="5" t="inlineStr">
        <is>
          <t>22 yaş 6 ay</t>
        </is>
      </c>
      <c r="D364" s="5" t="inlineStr">
        <is>
          <t>🔧</t>
        </is>
      </c>
      <c r="E364" s="6" t="inlineStr">
        <is>
          <t>Kendi Tezgâhın</t>
        </is>
      </c>
      <c r="F364" s="6" t="inlineStr">
        <is>
          <t>Sanayideki dükkânında ilk müşteri: bir taksici. Arabasından bir ses geliyor; “Tık tık tık, sonra vıyyy.” Taksici sesi taklit ederken çevredeki üç usta durup dinledi.</t>
        </is>
      </c>
      <c r="G364" s="5" t="inlineStr">
        <is>
          <t>dukkan</t>
        </is>
      </c>
      <c r="H364" s="5" t="inlineStr"/>
      <c r="I364" s="5" t="inlineStr">
        <is>
          <t>E</t>
        </is>
      </c>
      <c r="J364" s="5" t="inlineStr"/>
      <c r="K364" s="5" t="inlineStr">
        <is>
          <t>hat-usta</t>
        </is>
      </c>
      <c r="L364" s="5" t="inlineStr"/>
      <c r="M364" s="5" t="inlineStr"/>
      <c r="N364" s="5" t="inlineStr"/>
      <c r="O364" s="5" t="inlineStr"/>
      <c r="P364" s="5" t="inlineStr"/>
      <c r="Q364" s="5" t="inlineStr"/>
      <c r="R364" s="6" t="inlineStr"/>
      <c r="S364" s="5" t="inlineStr"/>
      <c r="T364" s="5" t="inlineStr"/>
      <c r="U364" s="5" t="inlineStr"/>
      <c r="V364" s="5" t="inlineStr"/>
    </row>
    <row r="365">
      <c r="A365" s="5" t="inlineStr">
        <is>
          <t>b6-dolandirici-ilk-is</t>
        </is>
      </c>
      <c r="B365" s="5" t="n">
        <v>6</v>
      </c>
      <c r="C365" s="5" t="inlineStr">
        <is>
          <t>22 yaş 6 ay</t>
        </is>
      </c>
      <c r="D365" s="5" t="inlineStr">
        <is>
          <t>📞</t>
        </is>
      </c>
      <c r="E365" s="6" t="inlineStr">
        <is>
          <t>Size Özel Fırsat</t>
        </is>
      </c>
      <c r="F365" s="6" t="inlineStr">
        <is>
          <t>Masanda üç telefon, duvarda bir “Başarı” posteri. Bugün ilk büyük müşterin arıyor: emekli bir öğretmen, birikimini “değerlendirmek” istiyor. Sesi annenin sesine benziyor.</t>
        </is>
      </c>
      <c r="G365" s="5" t="inlineStr">
        <is>
          <t>ofis</t>
        </is>
      </c>
      <c r="H365" s="5" t="inlineStr"/>
      <c r="I365" s="5" t="inlineStr">
        <is>
          <t>E</t>
        </is>
      </c>
      <c r="J365" s="5" t="inlineStr"/>
      <c r="K365" s="5" t="inlineStr">
        <is>
          <t>hat-dolandirici</t>
        </is>
      </c>
      <c r="L365" s="5" t="inlineStr"/>
      <c r="M365" s="5" t="inlineStr"/>
      <c r="N365" s="5" t="inlineStr"/>
      <c r="O365" s="5" t="inlineStr"/>
      <c r="P365" s="5" t="inlineStr"/>
      <c r="Q365" s="5" t="inlineStr"/>
      <c r="R365" s="6" t="inlineStr"/>
      <c r="S365" s="5" t="inlineStr"/>
      <c r="T365" s="5" t="inlineStr"/>
      <c r="U365" s="5" t="inlineStr"/>
      <c r="V365" s="5" t="inlineStr"/>
    </row>
    <row r="366">
      <c r="A366" s="5" t="inlineStr">
        <is>
          <t>b6-girisim-sunumu</t>
        </is>
      </c>
      <c r="B366" s="5" t="n">
        <v>6</v>
      </c>
      <c r="C366" s="5" t="inlineStr">
        <is>
          <t>23 yaş</t>
        </is>
      </c>
      <c r="D366" s="5" t="inlineStr">
        <is>
          <t>📊</t>
        </is>
      </c>
      <c r="E366" s="6" t="inlineStr">
        <is>
          <t>Yatırımcı Sunumu</t>
        </is>
      </c>
      <c r="F366" s="6" t="inlineStr">
        <is>
          <t>Yirmi dakikan var. Karşında üç yatırımcı; biri telefonunda, biri kahvesinde, biri senin slaytındaki yazım hatasında. Şirketin şu an bir fikir, bir logo ve senden ibaret.</t>
        </is>
      </c>
      <c r="G366" s="5" t="inlineStr">
        <is>
          <t>ofis</t>
        </is>
      </c>
      <c r="H366" s="5" t="inlineStr"/>
      <c r="I366" s="5" t="inlineStr">
        <is>
          <t>E</t>
        </is>
      </c>
      <c r="J366" s="5" t="inlineStr"/>
      <c r="K366" s="5" t="inlineStr">
        <is>
          <t>hat-girisimci</t>
        </is>
      </c>
      <c r="L366" s="5" t="inlineStr"/>
      <c r="M366" s="5" t="inlineStr"/>
      <c r="N366" s="5" t="inlineStr"/>
      <c r="O366" s="5" t="inlineStr"/>
      <c r="P366" s="5" t="inlineStr"/>
      <c r="Q366" s="5" t="inlineStr"/>
      <c r="R366" s="6" t="inlineStr"/>
      <c r="S366" s="5" t="inlineStr"/>
      <c r="T366" s="5" t="inlineStr"/>
      <c r="U366" s="5" t="inlineStr"/>
      <c r="V366" s="5" t="inlineStr"/>
    </row>
    <row r="367">
      <c r="A367" s="5" t="inlineStr">
        <is>
          <t>b6-goc-ilk-kira</t>
        </is>
      </c>
      <c r="B367" s="5" t="n">
        <v>6</v>
      </c>
      <c r="C367" s="5" t="inlineStr">
        <is>
          <t>22 yaş 6 ay</t>
        </is>
      </c>
      <c r="D367" s="5" t="inlineStr">
        <is>
          <t>🏙️</t>
        </is>
      </c>
      <c r="E367" s="6" t="inlineStr">
        <is>
          <t>Gurbette İlk Kontrat</t>
        </is>
      </c>
      <c r="F367" s="6" t="inlineStr">
        <is>
          <t>Öte Diyar'da ilk kira sözleşmen önünde. Otuz dört sayfa, dördüncü sayfada çöp ayrıştırma kuralları, yirminci sayfada “Balkonda mangal yasaktır.” Annen soruyor: “Balkon var mı?”</t>
        </is>
      </c>
      <c r="G367" s="5" t="inlineStr">
        <is>
          <t>ofis</t>
        </is>
      </c>
      <c r="H367" s="5" t="inlineStr"/>
      <c r="I367" s="5" t="inlineStr">
        <is>
          <t>E</t>
        </is>
      </c>
      <c r="J367" s="5" t="inlineStr"/>
      <c r="K367" s="5" t="inlineStr">
        <is>
          <t>hat-goc</t>
        </is>
      </c>
      <c r="L367" s="5" t="inlineStr"/>
      <c r="M367" s="5" t="inlineStr"/>
      <c r="N367" s="5" t="inlineStr"/>
      <c r="O367" s="5" t="inlineStr"/>
      <c r="P367" s="5" t="inlineStr"/>
      <c r="Q367" s="5" t="inlineStr"/>
      <c r="R367" s="6" t="inlineStr"/>
      <c r="S367" s="5" t="inlineStr"/>
      <c r="T367" s="5" t="inlineStr"/>
      <c r="U367" s="5" t="inlineStr"/>
      <c r="V367" s="5" t="inlineStr"/>
    </row>
    <row r="368">
      <c r="A368" s="5" t="inlineStr">
        <is>
          <t>b7-polis-asayis</t>
        </is>
      </c>
      <c r="B368" s="5" t="n">
        <v>7</v>
      </c>
      <c r="C368" s="5" t="inlineStr">
        <is>
          <t>28 yaş 9 ay</t>
        </is>
      </c>
      <c r="D368" s="5" t="inlineStr">
        <is>
          <t>🚲</t>
        </is>
      </c>
      <c r="E368" s="6" t="inlineStr">
        <is>
          <t>Asayişte İlk Dosya</t>
        </is>
      </c>
      <c r="F368" s="6" t="inlineStr">
        <is>
          <t>Asayişe geçtin. İlk dosya: mahallede bir haftada on dört bisiklet kayboldu. Tanık yok, iz yok. Yalnızca her sabah aynı köşede duran bir simitçi var; her şeyi görmüş gibi bakıyor.</t>
        </is>
      </c>
      <c r="G368" s="5" t="inlineStr">
        <is>
          <t>karakol</t>
        </is>
      </c>
      <c r="H368" s="5" t="inlineStr"/>
      <c r="I368" s="5" t="inlineStr"/>
      <c r="J368" s="5" t="n">
        <v>3</v>
      </c>
      <c r="K368" s="5" t="inlineStr"/>
      <c r="L368" s="5" t="inlineStr">
        <is>
          <t>hapis</t>
        </is>
      </c>
      <c r="M368" s="5" t="inlineStr"/>
      <c r="N368" s="5" t="inlineStr"/>
      <c r="O368" s="5" t="inlineStr"/>
      <c r="P368" s="5" t="inlineStr"/>
      <c r="Q368" s="5" t="inlineStr"/>
      <c r="R368" s="6" t="inlineStr"/>
      <c r="S368" s="5" t="inlineStr"/>
      <c r="T368" s="5" t="inlineStr"/>
      <c r="U368" s="5" t="inlineStr"/>
      <c r="V368" s="5" t="inlineStr">
        <is>
          <t>polis</t>
        </is>
      </c>
    </row>
    <row r="369">
      <c r="A369" s="5" t="inlineStr">
        <is>
          <t>b7-polis-komiserlik</t>
        </is>
      </c>
      <c r="B369" s="5" t="n">
        <v>7</v>
      </c>
      <c r="C369" s="5" t="inlineStr">
        <is>
          <t>32 yaş 6 ay</t>
        </is>
      </c>
      <c r="D369" s="5" t="inlineStr">
        <is>
          <t>🎂</t>
        </is>
      </c>
      <c r="E369" s="6" t="inlineStr">
        <is>
          <t>Çalınan Gelin Pastası</t>
        </is>
      </c>
      <c r="F369" s="6" t="inlineStr">
        <is>
          <t>Komiser oldun, masan cam kenarında. İlk dosyan: bir düğün salonundan gelin pastası çalınmış. Şüpheliler damadın annesi, gelinin annesi ve pastacı. Üçü de birbirini gösteriyor.</t>
        </is>
      </c>
      <c r="G369" s="5" t="inlineStr">
        <is>
          <t>dugun-salonu</t>
        </is>
      </c>
      <c r="H369" s="5" t="inlineStr"/>
      <c r="I369" s="5" t="inlineStr"/>
      <c r="J369" s="5" t="n">
        <v>3</v>
      </c>
      <c r="K369" s="5" t="inlineStr"/>
      <c r="L369" s="5" t="inlineStr">
        <is>
          <t>hapis</t>
        </is>
      </c>
      <c r="M369" s="5" t="inlineStr"/>
      <c r="N369" s="5" t="inlineStr"/>
      <c r="O369" s="5" t="inlineStr"/>
      <c r="P369" s="5" t="inlineStr"/>
      <c r="Q369" s="5" t="inlineStr"/>
      <c r="R369" s="6" t="inlineStr"/>
      <c r="S369" s="5" t="inlineStr"/>
      <c r="T369" s="5" t="inlineStr"/>
      <c r="U369" s="5" t="inlineStr"/>
      <c r="V369" s="5" t="inlineStr">
        <is>
          <t>polis</t>
        </is>
      </c>
    </row>
    <row r="370">
      <c r="A370" s="5" t="inlineStr">
        <is>
          <t>b7-polis-ekip</t>
        </is>
      </c>
      <c r="B370" s="5" t="n">
        <v>7</v>
      </c>
      <c r="C370" s="5" t="inlineStr">
        <is>
          <t>37 yaş 3 ay</t>
        </is>
      </c>
      <c r="D370" s="5" t="inlineStr">
        <is>
          <t>🐈</t>
        </is>
      </c>
      <c r="E370" s="6" t="inlineStr">
        <is>
          <t>Ekip Artık Senin</t>
        </is>
      </c>
      <c r="F370" s="6" t="inlineStr">
        <is>
          <t>Büro amiri oldun: altı polis, bir çaycı, bir de kimsenin sahiplenmediği karakol kedisi. İlk sabah toplantısında herkes seni tartıyor; kedi hariç, o masanda uyuyor.</t>
        </is>
      </c>
      <c r="G370" s="5" t="inlineStr">
        <is>
          <t>karakol</t>
        </is>
      </c>
      <c r="H370" s="5" t="inlineStr"/>
      <c r="I370" s="5" t="inlineStr"/>
      <c r="J370" s="5" t="n">
        <v>3</v>
      </c>
      <c r="K370" s="5" t="inlineStr"/>
      <c r="L370" s="5" t="inlineStr">
        <is>
          <t>hapis</t>
        </is>
      </c>
      <c r="M370" s="5" t="inlineStr"/>
      <c r="N370" s="5" t="inlineStr"/>
      <c r="O370" s="5" t="inlineStr"/>
      <c r="P370" s="5" t="inlineStr"/>
      <c r="Q370" s="5" t="inlineStr"/>
      <c r="R370" s="6" t="inlineStr"/>
      <c r="S370" s="5" t="inlineStr"/>
      <c r="T370" s="5" t="inlineStr"/>
      <c r="U370" s="5" t="inlineStr"/>
      <c r="V370" s="5" t="inlineStr">
        <is>
          <t>polis</t>
        </is>
      </c>
    </row>
    <row r="371">
      <c r="A371" s="5" t="inlineStr">
        <is>
          <t>b8-polis-mudurluk</t>
        </is>
      </c>
      <c r="B371" s="5" t="n">
        <v>8</v>
      </c>
      <c r="C371" s="5" t="inlineStr">
        <is>
          <t>44 yaş</t>
        </is>
      </c>
      <c r="D371" s="5" t="inlineStr">
        <is>
          <t>🎖️</t>
        </is>
      </c>
      <c r="E371" s="6" t="inlineStr">
        <is>
          <t>Emniyet Müdürlüğü Mülakatı</t>
        </is>
      </c>
      <c r="F371" s="6" t="inlineStr">
        <is>
          <t>Emniyet müdürlüğü mülakatındasın. Beş kişilik kurul, önünde yirmi yıllık dosyan. Başkan gözlüğünü indirdi: “Sizi neden seçelim?” Arkada bir vantilatör cevabını bekler gibi dönüyor.</t>
        </is>
      </c>
      <c r="G371" s="5" t="inlineStr">
        <is>
          <t>devlet-dairesi</t>
        </is>
      </c>
      <c r="H371" s="5" t="inlineStr"/>
      <c r="I371" s="5" t="inlineStr"/>
      <c r="J371" s="5" t="n">
        <v>3</v>
      </c>
      <c r="K371" s="5" t="inlineStr"/>
      <c r="L371" s="5" t="inlineStr">
        <is>
          <t>hapis, zirve</t>
        </is>
      </c>
      <c r="M371" s="5" t="inlineStr"/>
      <c r="N371" s="5" t="inlineStr"/>
      <c r="O371" s="5" t="inlineStr"/>
      <c r="P371" s="5" t="inlineStr"/>
      <c r="Q371" s="5" t="inlineStr"/>
      <c r="R371" s="6" t="inlineStr"/>
      <c r="S371" s="5" t="inlineStr"/>
      <c r="T371" s="5" t="inlineStr"/>
      <c r="U371" s="5" t="inlineStr"/>
      <c r="V371" s="5" t="inlineStr">
        <is>
          <t>polis</t>
        </is>
      </c>
    </row>
    <row r="372">
      <c r="A372" s="5" t="inlineStr">
        <is>
          <t>b8-polis-teftis</t>
        </is>
      </c>
      <c r="B372" s="5" t="n">
        <v>8</v>
      </c>
      <c r="C372" s="5" t="inlineStr">
        <is>
          <t>48 yaş 6 ay</t>
        </is>
      </c>
      <c r="D372" s="5" t="inlineStr">
        <is>
          <t>📁</t>
        </is>
      </c>
      <c r="E372" s="6" t="inlineStr">
        <is>
          <t>Teftiş Geldi</t>
        </is>
      </c>
      <c r="F372" s="6" t="inlineStr">
        <is>
          <t>Teftiş kurulu geldi; eski dosyaların hepsi yeniden açılıyor. Müfettiş genç, titiz ve hiç gülümsemiyor. Arşiv odasında yirmi yılın tozu, bir de adını hatırlamadığın dosyalar var.</t>
        </is>
      </c>
      <c r="G372" s="5" t="inlineStr">
        <is>
          <t>karakol</t>
        </is>
      </c>
      <c r="H372" s="5" t="inlineStr"/>
      <c r="I372" s="5" t="inlineStr"/>
      <c r="J372" s="5" t="n">
        <v>3</v>
      </c>
      <c r="K372" s="5" t="inlineStr"/>
      <c r="L372" s="5" t="inlineStr">
        <is>
          <t>hapis</t>
        </is>
      </c>
      <c r="M372" s="5" t="inlineStr"/>
      <c r="N372" s="5" t="inlineStr"/>
      <c r="O372" s="5" t="inlineStr"/>
      <c r="P372" s="5" t="inlineStr"/>
      <c r="Q372" s="5" t="inlineStr"/>
      <c r="R372" s="6" t="inlineStr"/>
      <c r="S372" s="5" t="inlineStr"/>
      <c r="T372" s="5" t="inlineStr"/>
      <c r="U372" s="5" t="inlineStr"/>
      <c r="V372" s="5" t="inlineStr">
        <is>
          <t>polis</t>
        </is>
      </c>
    </row>
    <row r="373">
      <c r="A373" s="5" t="inlineStr">
        <is>
          <t>b9-polis-veda</t>
        </is>
      </c>
      <c r="B373" s="5" t="n">
        <v>9</v>
      </c>
      <c r="C373" s="5" t="inlineStr">
        <is>
          <t>60 yaş 6 ay</t>
        </is>
      </c>
      <c r="D373" s="5" t="inlineStr">
        <is>
          <t>🏅</t>
        </is>
      </c>
      <c r="E373" s="6" t="inlineStr">
        <is>
          <t>Son Tören</t>
        </is>
      </c>
      <c r="F373" s="6" t="inlineStr">
        <is>
          <t>Emekliliğe üç ay var. Teşkilat veda töreni hazırlıyor: kürsü, plaket, konuşman için beş dakika. Mahallede de başka bir hazırlık var; simitçiler bir şey fısıldaşıyor.</t>
        </is>
      </c>
      <c r="G373" s="5" t="inlineStr">
        <is>
          <t>karakol</t>
        </is>
      </c>
      <c r="H373" s="5" t="inlineStr"/>
      <c r="I373" s="5" t="inlineStr"/>
      <c r="J373" s="5" t="n">
        <v>3</v>
      </c>
      <c r="K373" s="5" t="inlineStr"/>
      <c r="L373" s="5" t="inlineStr">
        <is>
          <t>hapis</t>
        </is>
      </c>
      <c r="M373" s="5" t="inlineStr"/>
      <c r="N373" s="5" t="inlineStr"/>
      <c r="O373" s="5" t="inlineStr"/>
      <c r="P373" s="5" t="inlineStr"/>
      <c r="Q373" s="5" t="inlineStr"/>
      <c r="R373" s="6" t="inlineStr"/>
      <c r="S373" s="5" t="inlineStr"/>
      <c r="T373" s="5" t="inlineStr"/>
      <c r="U373" s="5" t="inlineStr"/>
      <c r="V373" s="5" t="inlineStr">
        <is>
          <t>polis</t>
        </is>
      </c>
    </row>
    <row r="374">
      <c r="A374" s="5" t="inlineStr">
        <is>
          <t>b7-yargi-horoz</t>
        </is>
      </c>
      <c r="B374" s="5" t="n">
        <v>7</v>
      </c>
      <c r="C374" s="5" t="inlineStr">
        <is>
          <t>28 yaş 2 ay</t>
        </is>
      </c>
      <c r="D374" s="5" t="inlineStr">
        <is>
          <t>🐓</t>
        </is>
      </c>
      <c r="E374" s="6" t="inlineStr">
        <is>
          <t>Horoz Davası</t>
        </is>
      </c>
      <c r="F374" s="6" t="inlineStr">
        <is>
          <t>Küçük bir kasabanın tek hâkimisin. Bugünkü dava: bir horoz sabah dörtte ötüyor, komşu uyuyamıyor. Sahibi “Horoz bu, saat değil” diyor. Salon dolu; kasabada başka bir şey olmuyor.</t>
        </is>
      </c>
      <c r="G374" s="5" t="inlineStr">
        <is>
          <t>mahkeme</t>
        </is>
      </c>
      <c r="H374" s="5" t="inlineStr"/>
      <c r="I374" s="5" t="inlineStr"/>
      <c r="J374" s="5" t="n">
        <v>3</v>
      </c>
      <c r="K374" s="5" t="inlineStr"/>
      <c r="L374" s="5" t="inlineStr">
        <is>
          <t>hapis</t>
        </is>
      </c>
      <c r="M374" s="5" t="inlineStr"/>
      <c r="N374" s="5" t="inlineStr"/>
      <c r="O374" s="5" t="inlineStr"/>
      <c r="P374" s="5" t="inlineStr"/>
      <c r="Q374" s="5" t="inlineStr"/>
      <c r="R374" s="6" t="inlineStr"/>
      <c r="S374" s="5" t="inlineStr"/>
      <c r="T374" s="5" t="inlineStr"/>
      <c r="U374" s="5" t="inlineStr"/>
      <c r="V374" s="5" t="inlineStr">
        <is>
          <t>yargi</t>
        </is>
      </c>
    </row>
    <row r="375">
      <c r="A375" s="5" t="inlineStr">
        <is>
          <t>b7-yargi-aidat</t>
        </is>
      </c>
      <c r="B375" s="5" t="n">
        <v>7</v>
      </c>
      <c r="C375" s="5" t="inlineStr">
        <is>
          <t>32 yaş</t>
        </is>
      </c>
      <c r="D375" s="5" t="inlineStr">
        <is>
          <t>🛗</t>
        </is>
      </c>
      <c r="E375" s="6" t="inlineStr">
        <is>
          <t>On Bir Yıllık Aidat</t>
        </is>
      </c>
      <c r="F375" s="6" t="inlineStr">
        <is>
          <t>Büyük şehir adliyesine tayin oldun. Masanda dört yüz dosya var; en eskisi on bir yıllık bir apartman aidatı davası. Borç, otuz yıl önceki bir asansör tamirinden. Asansör hâlâ bozuk.</t>
        </is>
      </c>
      <c r="G375" s="5" t="inlineStr">
        <is>
          <t>apartman</t>
        </is>
      </c>
      <c r="H375" s="5" t="inlineStr"/>
      <c r="I375" s="5" t="inlineStr"/>
      <c r="J375" s="5" t="n">
        <v>3</v>
      </c>
      <c r="K375" s="5" t="inlineStr"/>
      <c r="L375" s="5" t="inlineStr">
        <is>
          <t>hapis</t>
        </is>
      </c>
      <c r="M375" s="5" t="inlineStr"/>
      <c r="N375" s="5" t="inlineStr"/>
      <c r="O375" s="5" t="inlineStr"/>
      <c r="P375" s="5" t="inlineStr"/>
      <c r="Q375" s="5" t="inlineStr"/>
      <c r="R375" s="6" t="inlineStr"/>
      <c r="S375" s="5" t="inlineStr"/>
      <c r="T375" s="5" t="inlineStr"/>
      <c r="U375" s="5" t="inlineStr"/>
      <c r="V375" s="5" t="inlineStr">
        <is>
          <t>yargi</t>
        </is>
      </c>
    </row>
    <row r="376">
      <c r="A376" s="5" t="inlineStr">
        <is>
          <t>b7-yargi-kedi</t>
        </is>
      </c>
      <c r="B376" s="5" t="n">
        <v>7</v>
      </c>
      <c r="C376" s="5" t="inlineStr">
        <is>
          <t>37 yaş</t>
        </is>
      </c>
      <c r="D376" s="5" t="inlineStr">
        <is>
          <t>🐈</t>
        </is>
      </c>
      <c r="E376" s="6" t="inlineStr">
        <is>
          <t>Kedinin Velayeti</t>
        </is>
      </c>
      <c r="F376" s="6" t="inlineStr">
        <is>
          <t>Bir kedi iki komşunun evinde de besleniyor; ikisi de “Benim kedim” diyor. Biri Pamuk demiş, öbürü Paşa. Kedi duruşmaya getirildi; ikisine de gitmiyor, cübbenin ucuyla oynuyor.</t>
        </is>
      </c>
      <c r="G376" s="5" t="inlineStr">
        <is>
          <t>mahkeme</t>
        </is>
      </c>
      <c r="H376" s="5" t="inlineStr"/>
      <c r="I376" s="5" t="inlineStr"/>
      <c r="J376" s="5" t="n">
        <v>3</v>
      </c>
      <c r="K376" s="5" t="inlineStr"/>
      <c r="L376" s="5" t="inlineStr">
        <is>
          <t>hapis</t>
        </is>
      </c>
      <c r="M376" s="5" t="inlineStr"/>
      <c r="N376" s="5" t="inlineStr"/>
      <c r="O376" s="5" t="inlineStr"/>
      <c r="P376" s="5" t="inlineStr"/>
      <c r="Q376" s="5" t="inlineStr"/>
      <c r="R376" s="6" t="inlineStr"/>
      <c r="S376" s="5" t="inlineStr"/>
      <c r="T376" s="5" t="inlineStr"/>
      <c r="U376" s="5" t="inlineStr"/>
      <c r="V376" s="5" t="inlineStr">
        <is>
          <t>yargi</t>
        </is>
      </c>
    </row>
    <row r="377">
      <c r="A377" s="5" t="inlineStr">
        <is>
          <t>b8-yargi-yuksek</t>
        </is>
      </c>
      <c r="B377" s="5" t="n">
        <v>8</v>
      </c>
      <c r="C377" s="5" t="inlineStr">
        <is>
          <t>44 yaş 6 ay</t>
        </is>
      </c>
      <c r="D377" s="5" t="inlineStr">
        <is>
          <t>🏛️</t>
        </is>
      </c>
      <c r="E377" s="6" t="inlineStr">
        <is>
          <t>Yüksek Mahkeme Kapısı</t>
        </is>
      </c>
      <c r="F377" s="6" t="inlineStr">
        <is>
          <t>Yüksek mahkeme üyeliğine adaysın. Seçim kurulu kararlarını okuyacak; hangilerini sunacağın sana kalmış. Masada iki klasör: biri sade ve sağlam, öbürü tuhaf ama unutulmaz.</t>
        </is>
      </c>
      <c r="G377" s="5" t="inlineStr">
        <is>
          <t>mahkeme</t>
        </is>
      </c>
      <c r="H377" s="5" t="inlineStr"/>
      <c r="I377" s="5" t="inlineStr"/>
      <c r="J377" s="5" t="n">
        <v>3</v>
      </c>
      <c r="K377" s="5" t="inlineStr"/>
      <c r="L377" s="5" t="inlineStr">
        <is>
          <t>hapis, zirve</t>
        </is>
      </c>
      <c r="M377" s="5" t="inlineStr"/>
      <c r="N377" s="5" t="inlineStr"/>
      <c r="O377" s="5" t="inlineStr"/>
      <c r="P377" s="5" t="inlineStr"/>
      <c r="Q377" s="5" t="inlineStr"/>
      <c r="R377" s="6" t="inlineStr"/>
      <c r="S377" s="5" t="inlineStr"/>
      <c r="T377" s="5" t="inlineStr"/>
      <c r="U377" s="5" t="inlineStr"/>
      <c r="V377" s="5" t="inlineStr">
        <is>
          <t>yargi</t>
        </is>
      </c>
    </row>
    <row r="378">
      <c r="A378" s="5" t="inlineStr">
        <is>
          <t>b8-yargi-denetim</t>
        </is>
      </c>
      <c r="B378" s="5" t="n">
        <v>8</v>
      </c>
      <c r="C378" s="5" t="inlineStr">
        <is>
          <t>49 yaş</t>
        </is>
      </c>
      <c r="D378" s="5" t="inlineStr">
        <is>
          <t>🔍</t>
        </is>
      </c>
      <c r="E378" s="6" t="inlineStr">
        <is>
          <t>Eski Kararlar Masada</t>
        </is>
      </c>
      <c r="F378" s="6" t="inlineStr">
        <is>
          <t>Teftiş için adliyeye bir müfettiş geldi; eski kararlarını inceliyor. Tek tek soruyor: bu neden böyle, şu neden şöyle. Masada yirmi yılın dosyaları; içlerinden biri ötekilerden kalın.</t>
        </is>
      </c>
      <c r="G378" s="5" t="inlineStr">
        <is>
          <t>mahkeme</t>
        </is>
      </c>
      <c r="H378" s="5" t="inlineStr"/>
      <c r="I378" s="5" t="inlineStr"/>
      <c r="J378" s="5" t="n">
        <v>3</v>
      </c>
      <c r="K378" s="5" t="inlineStr"/>
      <c r="L378" s="5" t="inlineStr">
        <is>
          <t>hapis</t>
        </is>
      </c>
      <c r="M378" s="5" t="inlineStr"/>
      <c r="N378" s="5" t="inlineStr"/>
      <c r="O378" s="5" t="inlineStr"/>
      <c r="P378" s="5" t="inlineStr"/>
      <c r="Q378" s="5" t="inlineStr"/>
      <c r="R378" s="6" t="inlineStr"/>
      <c r="S378" s="5" t="inlineStr"/>
      <c r="T378" s="5" t="inlineStr"/>
      <c r="U378" s="5" t="inlineStr"/>
      <c r="V378" s="5" t="inlineStr">
        <is>
          <t>yargi</t>
        </is>
      </c>
    </row>
    <row r="379">
      <c r="A379" s="5" t="inlineStr">
        <is>
          <t>b9-yargi-ceviz</t>
        </is>
      </c>
      <c r="B379" s="5" t="n">
        <v>9</v>
      </c>
      <c r="C379" s="5" t="inlineStr">
        <is>
          <t>60 yaş 6 ay</t>
        </is>
      </c>
      <c r="D379" s="5" t="inlineStr">
        <is>
          <t>🌰</t>
        </is>
      </c>
      <c r="E379" s="6" t="inlineStr">
        <is>
          <t>Son Dosya: Ceviz Ağacı</t>
        </is>
      </c>
      <c r="F379" s="6" t="inlineStr">
        <is>
          <t>Emekliliğe bir dosya kaldı. Kapağı açtın: iki komşu, bir ceviz ağacı. Adaylığında izlediğin davanın ta kendisi; taraflar artık torunlar. Otuz beş yıl geçmiş; ağaç büyümüş, kin de.</t>
        </is>
      </c>
      <c r="G379" s="5" t="inlineStr">
        <is>
          <t>mahkeme</t>
        </is>
      </c>
      <c r="H379" s="5" t="inlineStr"/>
      <c r="I379" s="5" t="inlineStr"/>
      <c r="J379" s="5" t="n">
        <v>3</v>
      </c>
      <c r="K379" s="5" t="inlineStr"/>
      <c r="L379" s="5" t="inlineStr">
        <is>
          <t>hapis</t>
        </is>
      </c>
      <c r="M379" s="5" t="inlineStr"/>
      <c r="N379" s="5" t="inlineStr"/>
      <c r="O379" s="5" t="inlineStr"/>
      <c r="P379" s="5" t="inlineStr"/>
      <c r="Q379" s="5" t="inlineStr"/>
      <c r="R379" s="6" t="inlineStr"/>
      <c r="S379" s="5" t="inlineStr"/>
      <c r="T379" s="5" t="inlineStr"/>
      <c r="U379" s="5" t="inlineStr"/>
      <c r="V379" s="5" t="inlineStr">
        <is>
          <t>yargi</t>
        </is>
      </c>
    </row>
    <row r="380">
      <c r="A380" s="5" t="inlineStr">
        <is>
          <t>b7-hekim-ilce</t>
        </is>
      </c>
      <c r="B380" s="5" t="n">
        <v>7</v>
      </c>
      <c r="C380" s="5" t="inlineStr">
        <is>
          <t>27 yaş 6 ay</t>
        </is>
      </c>
      <c r="D380" s="5" t="inlineStr">
        <is>
          <t>🏥</t>
        </is>
      </c>
      <c r="E380" s="6" t="inlineStr">
        <is>
          <t>İlçenin Tek Doktoru</t>
        </is>
      </c>
      <c r="F380" s="6" t="inlineStr">
        <is>
          <t>Mecburi hizmettesin; ilçe hastanesinin tek doktoru sensin. Bakkal tansiyonunu, muhtar dizini, belediye başkanı her şeyi soruyor. Aile grubundan da sabah sabah teyzenin dizinin fotoğrafı geldi.</t>
        </is>
      </c>
      <c r="G380" s="5" t="inlineStr">
        <is>
          <t>hastane</t>
        </is>
      </c>
      <c r="H380" s="5" t="inlineStr"/>
      <c r="I380" s="5" t="inlineStr"/>
      <c r="J380" s="5" t="n">
        <v>3</v>
      </c>
      <c r="K380" s="5" t="inlineStr"/>
      <c r="L380" s="5" t="inlineStr">
        <is>
          <t>hapis</t>
        </is>
      </c>
      <c r="M380" s="5" t="inlineStr"/>
      <c r="N380" s="5" t="inlineStr"/>
      <c r="O380" s="5" t="inlineStr"/>
      <c r="P380" s="5" t="inlineStr"/>
      <c r="Q380" s="5" t="inlineStr"/>
      <c r="R380" s="6" t="inlineStr"/>
      <c r="S380" s="5" t="inlineStr"/>
      <c r="T380" s="5" t="inlineStr"/>
      <c r="U380" s="5" t="inlineStr"/>
      <c r="V380" s="5" t="inlineStr">
        <is>
          <t>hekim</t>
        </is>
      </c>
    </row>
    <row r="381">
      <c r="A381" s="5" t="inlineStr">
        <is>
          <t>b7-hekim-uzmanlik</t>
        </is>
      </c>
      <c r="B381" s="5" t="n">
        <v>7</v>
      </c>
      <c r="C381" s="5" t="inlineStr">
        <is>
          <t>31 yaş 8 ay</t>
        </is>
      </c>
      <c r="D381" s="5" t="inlineStr">
        <is>
          <t>🩺</t>
        </is>
      </c>
      <c r="E381" s="6" t="inlineStr">
        <is>
          <t>Vizitte Hocanın Sorusu</t>
        </is>
      </c>
      <c r="F381" s="6" t="inlineStr">
        <is>
          <t>Uzmanlık eğitimindesin. Sabah vizitinde hoca otuz kişinin önünde durup sana döndü: “Bu hastada ne düşünüyorsun?” Hasta da merakla bakıyor. Otuz altı saattir uyumadın.</t>
        </is>
      </c>
      <c r="G381" s="5" t="inlineStr">
        <is>
          <t>hastane</t>
        </is>
      </c>
      <c r="H381" s="5" t="inlineStr"/>
      <c r="I381" s="5" t="inlineStr"/>
      <c r="J381" s="5" t="n">
        <v>3</v>
      </c>
      <c r="K381" s="5" t="inlineStr"/>
      <c r="L381" s="5" t="inlineStr">
        <is>
          <t>hapis</t>
        </is>
      </c>
      <c r="M381" s="5" t="inlineStr"/>
      <c r="N381" s="5" t="inlineStr"/>
      <c r="O381" s="5" t="inlineStr"/>
      <c r="P381" s="5" t="inlineStr"/>
      <c r="Q381" s="5" t="inlineStr"/>
      <c r="R381" s="6" t="inlineStr"/>
      <c r="S381" s="5" t="inlineStr"/>
      <c r="T381" s="5" t="inlineStr"/>
      <c r="U381" s="5" t="inlineStr"/>
      <c r="V381" s="5" t="inlineStr">
        <is>
          <t>hekim</t>
        </is>
      </c>
    </row>
    <row r="382">
      <c r="A382" s="5" t="inlineStr">
        <is>
          <t>b7-hekim-hasta-yakini</t>
        </is>
      </c>
      <c r="B382" s="5" t="n">
        <v>7</v>
      </c>
      <c r="C382" s="5" t="inlineStr">
        <is>
          <t>37 yaş 6 ay</t>
        </is>
      </c>
      <c r="D382" s="5" t="inlineStr">
        <is>
          <t>👨‍👩‍👧‍👦</t>
        </is>
      </c>
      <c r="E382" s="6" t="inlineStr">
        <is>
          <t>Koridorda On Bir Yakın</t>
        </is>
      </c>
      <c r="F382" s="6" t="inlineStr">
        <is>
          <t>Servise bir amca yattı; koridorda on bir yakını var. Her biri durumu ayrı soruyor, her birine ayrı anlatıyorsun. On ikincisi telefonda, hoparlörde. Amcanın kendisi uyuyor, keyfi yerinde.</t>
        </is>
      </c>
      <c r="G382" s="5" t="inlineStr">
        <is>
          <t>hastane</t>
        </is>
      </c>
      <c r="H382" s="5" t="inlineStr"/>
      <c r="I382" s="5" t="inlineStr"/>
      <c r="J382" s="5" t="n">
        <v>3</v>
      </c>
      <c r="K382" s="5" t="inlineStr"/>
      <c r="L382" s="5" t="inlineStr">
        <is>
          <t>hapis</t>
        </is>
      </c>
      <c r="M382" s="5" t="inlineStr"/>
      <c r="N382" s="5" t="inlineStr"/>
      <c r="O382" s="5" t="inlineStr"/>
      <c r="P382" s="5" t="inlineStr"/>
      <c r="Q382" s="5" t="inlineStr"/>
      <c r="R382" s="6" t="inlineStr"/>
      <c r="S382" s="5" t="inlineStr"/>
      <c r="T382" s="5" t="inlineStr"/>
      <c r="U382" s="5" t="inlineStr"/>
      <c r="V382" s="5" t="inlineStr">
        <is>
          <t>hekim</t>
        </is>
      </c>
    </row>
    <row r="383">
      <c r="A383" s="5" t="inlineStr">
        <is>
          <t>b8-hekim-profesorluk</t>
        </is>
      </c>
      <c r="B383" s="5" t="n">
        <v>8</v>
      </c>
      <c r="C383" s="5" t="inlineStr">
        <is>
          <t>45 yaş</t>
        </is>
      </c>
      <c r="D383" s="5" t="inlineStr">
        <is>
          <t>📚</t>
        </is>
      </c>
      <c r="E383" s="6" t="inlineStr">
        <is>
          <t>Profesörlük Dosyası</t>
        </is>
      </c>
      <c r="F383" s="6" t="inlineStr">
        <is>
          <t>Profesörlük dosyana bir makale eksik. Laboratuvarda yarım bir çalışma, masada yarım bir çay, evde yarım kalmış akşam yemekleri. Jüri üç ay sonra toplanıyor; aile grubu “Profesör olunca ne değişiyor?” diye soruyor.</t>
        </is>
      </c>
      <c r="G383" s="5" t="inlineStr">
        <is>
          <t>universite</t>
        </is>
      </c>
      <c r="H383" s="5" t="inlineStr"/>
      <c r="I383" s="5" t="inlineStr"/>
      <c r="J383" s="5" t="n">
        <v>3</v>
      </c>
      <c r="K383" s="5" t="inlineStr"/>
      <c r="L383" s="5" t="inlineStr">
        <is>
          <t>hapis, zirve</t>
        </is>
      </c>
      <c r="M383" s="5" t="inlineStr"/>
      <c r="N383" s="5" t="inlineStr"/>
      <c r="O383" s="5" t="inlineStr"/>
      <c r="P383" s="5" t="inlineStr"/>
      <c r="Q383" s="5" t="inlineStr"/>
      <c r="R383" s="6" t="inlineStr"/>
      <c r="S383" s="5" t="inlineStr"/>
      <c r="T383" s="5" t="inlineStr"/>
      <c r="U383" s="5" t="inlineStr"/>
      <c r="V383" s="5" t="inlineStr">
        <is>
          <t>hekim</t>
        </is>
      </c>
    </row>
    <row r="384">
      <c r="A384" s="5" t="inlineStr">
        <is>
          <t>b8-hekim-aile-grubu</t>
        </is>
      </c>
      <c r="B384" s="5" t="n">
        <v>8</v>
      </c>
      <c r="C384" s="5" t="inlineStr">
        <is>
          <t>50 yaş 3 ay</t>
        </is>
      </c>
      <c r="D384" s="5" t="inlineStr">
        <is>
          <t>📱</t>
        </is>
      </c>
      <c r="E384" s="6" t="inlineStr">
        <is>
          <t>Aile Grubunda Yüz Kırk Kişi</t>
        </is>
      </c>
      <c r="F384" s="6" t="inlineStr">
        <is>
          <t>Aile grubu yüz kırk kişiye ulaştı. Bu sabahki mesajlar: kuzenin öksürüğü, halanın tansiyonu, eniştenin “Bu hap neydi?” fotoğrafı ve yeni katılan biri: “Doktor bu grupta mı?”</t>
        </is>
      </c>
      <c r="G384" s="5" t="inlineStr">
        <is>
          <t>ev</t>
        </is>
      </c>
      <c r="H384" s="5" t="inlineStr"/>
      <c r="I384" s="5" t="inlineStr"/>
      <c r="J384" s="5" t="n">
        <v>3</v>
      </c>
      <c r="K384" s="5" t="inlineStr"/>
      <c r="L384" s="5" t="inlineStr">
        <is>
          <t>hapis</t>
        </is>
      </c>
      <c r="M384" s="5" t="inlineStr"/>
      <c r="N384" s="5" t="inlineStr"/>
      <c r="O384" s="5" t="inlineStr"/>
      <c r="P384" s="5" t="inlineStr"/>
      <c r="Q384" s="5" t="inlineStr"/>
      <c r="R384" s="6" t="inlineStr"/>
      <c r="S384" s="5" t="inlineStr"/>
      <c r="T384" s="5" t="inlineStr"/>
      <c r="U384" s="5" t="inlineStr"/>
      <c r="V384" s="5" t="inlineStr">
        <is>
          <t>hekim</t>
        </is>
      </c>
    </row>
    <row r="385">
      <c r="A385" s="5" t="inlineStr">
        <is>
          <t>b9-hekim-son-vizit</t>
        </is>
      </c>
      <c r="B385" s="5" t="n">
        <v>9</v>
      </c>
      <c r="C385" s="5" t="inlineStr">
        <is>
          <t>60 yaş 6 ay</t>
        </is>
      </c>
      <c r="D385" s="5" t="inlineStr">
        <is>
          <t>🥼</t>
        </is>
      </c>
      <c r="E385" s="6" t="inlineStr">
        <is>
          <t>Son Vizit</t>
        </is>
      </c>
      <c r="F385" s="6" t="inlineStr">
        <is>
          <t>Emeklilikten önceki son vizit. Arkanda yirmi asistan, hepsi bir zamanlar senin olduğun kadar uykusuz. Bir yatağın başında durdun; asistanlar nefesini tuttu. Son sorunu soracaksın.</t>
        </is>
      </c>
      <c r="G385" s="5" t="inlineStr">
        <is>
          <t>hastane</t>
        </is>
      </c>
      <c r="H385" s="5" t="inlineStr"/>
      <c r="I385" s="5" t="inlineStr"/>
      <c r="J385" s="5" t="n">
        <v>3</v>
      </c>
      <c r="K385" s="5" t="inlineStr"/>
      <c r="L385" s="5" t="inlineStr">
        <is>
          <t>hapis</t>
        </is>
      </c>
      <c r="M385" s="5" t="inlineStr"/>
      <c r="N385" s="5" t="inlineStr"/>
      <c r="O385" s="5" t="inlineStr"/>
      <c r="P385" s="5" t="inlineStr"/>
      <c r="Q385" s="5" t="inlineStr"/>
      <c r="R385" s="6" t="inlineStr"/>
      <c r="S385" s="5" t="inlineStr"/>
      <c r="T385" s="5" t="inlineStr"/>
      <c r="U385" s="5" t="inlineStr"/>
      <c r="V385" s="5" t="inlineStr">
        <is>
          <t>hekim</t>
        </is>
      </c>
    </row>
    <row r="386">
      <c r="A386" s="5" t="inlineStr">
        <is>
          <t>k10-polis</t>
        </is>
      </c>
      <c r="B386" s="5" t="n">
        <v>7</v>
      </c>
      <c r="C386" s="5" t="inlineStr">
        <is>
          <t>35 yaş</t>
        </is>
      </c>
      <c r="D386" s="5" t="inlineStr">
        <is>
          <t>✉️</t>
        </is>
      </c>
      <c r="E386" s="6" t="inlineStr">
        <is>
          <t>Rüşvet Zarfı</t>
        </is>
      </c>
      <c r="F386" s="6" t="inlineStr">
        <is>
          <t>Büyük bir inşaat dosyası senin masanda. Müteahhidin adamı bir kahve içip gitti; fincan tabağının altında kalın bir zarf kaldı. Karakolda kimse görmedi. Sen gördün; zarf da seni görüyor gibi.</t>
        </is>
      </c>
      <c r="G386" s="5" t="inlineStr">
        <is>
          <t>karakol</t>
        </is>
      </c>
      <c r="H386" s="5" t="inlineStr"/>
      <c r="I386" s="5" t="inlineStr">
        <is>
          <t>E</t>
        </is>
      </c>
      <c r="J386" s="5" t="inlineStr"/>
      <c r="K386" s="5" t="inlineStr"/>
      <c r="L386" s="5" t="inlineStr">
        <is>
          <t>hapis</t>
        </is>
      </c>
      <c r="M386" s="5" t="inlineStr"/>
      <c r="N386" s="5" t="inlineStr"/>
      <c r="O386" s="5" t="inlineStr"/>
      <c r="P386" s="5" t="inlineStr"/>
      <c r="Q386" s="5" t="n">
        <v>10</v>
      </c>
      <c r="R386" s="6" t="inlineStr">
        <is>
          <t>Her polisin önüne bir gün bir zarf konur. Onu ne yaptığın, kalan yıllarını hangi tarafta geçireceğini belirler.</t>
        </is>
      </c>
      <c r="S386" s="5" t="inlineStr"/>
      <c r="T386" s="5" t="inlineStr"/>
      <c r="U386" s="5" t="inlineStr"/>
      <c r="V386" s="5" t="inlineStr">
        <is>
          <t>polis</t>
        </is>
      </c>
    </row>
    <row r="387">
      <c r="A387" s="5" t="inlineStr">
        <is>
          <t>k10-yargi</t>
        </is>
      </c>
      <c r="B387" s="5" t="n">
        <v>7</v>
      </c>
      <c r="C387" s="5" t="inlineStr">
        <is>
          <t>35 yaş</t>
        </is>
      </c>
      <c r="D387" s="5" t="inlineStr">
        <is>
          <t>⚖️</t>
        </is>
      </c>
      <c r="E387" s="6" t="inlineStr">
        <is>
          <t>Büyük Dosya</t>
        </is>
      </c>
      <c r="F387" s="6" t="inlineStr">
        <is>
          <t>Önünde şehrin en çok konuşulan dosyası var: dev bir alışveriş merkezi, bir mahalle parkı ve yüz yaşında bir çınar. Koridorda gazeteciler, telefonunda tanımadığın numaralar: “Çınar kesilse kimse ölmez.”</t>
        </is>
      </c>
      <c r="G387" s="5" t="inlineStr">
        <is>
          <t>mahkeme</t>
        </is>
      </c>
      <c r="H387" s="5" t="inlineStr"/>
      <c r="I387" s="5" t="inlineStr">
        <is>
          <t>E</t>
        </is>
      </c>
      <c r="J387" s="5" t="inlineStr"/>
      <c r="K387" s="5" t="inlineStr"/>
      <c r="L387" s="5" t="inlineStr">
        <is>
          <t>hapis</t>
        </is>
      </c>
      <c r="M387" s="5" t="inlineStr"/>
      <c r="N387" s="5" t="inlineStr"/>
      <c r="O387" s="5" t="inlineStr"/>
      <c r="P387" s="5" t="inlineStr"/>
      <c r="Q387" s="5" t="n">
        <v>10</v>
      </c>
      <c r="R387" s="6" t="inlineStr">
        <is>
          <t>Her hâkimin önüne bir gün herkesin konuştuğu dosya gelir. O dosyada ne yaptığın, cübbenin kalan ömrünü belirler.</t>
        </is>
      </c>
      <c r="S387" s="5" t="inlineStr"/>
      <c r="T387" s="5" t="inlineStr"/>
      <c r="U387" s="5" t="inlineStr"/>
      <c r="V387" s="5" t="inlineStr">
        <is>
          <t>yargi</t>
        </is>
      </c>
    </row>
    <row r="388">
      <c r="A388" s="5" t="inlineStr">
        <is>
          <t>k10-hekim</t>
        </is>
      </c>
      <c r="B388" s="5" t="n">
        <v>7</v>
      </c>
      <c r="C388" s="5" t="inlineStr">
        <is>
          <t>35 yaş</t>
        </is>
      </c>
      <c r="D388" s="5" t="inlineStr">
        <is>
          <t>🥼</t>
        </is>
      </c>
      <c r="E388" s="6" t="inlineStr">
        <is>
          <t>Önlüğün İkinci Rengi</t>
        </is>
      </c>
      <c r="F388" s="6" t="inlineStr">
        <is>
          <t>Uzman olalı iki yıl oldu. Aynı hafta üç teklif geldi: klinik şefliği sınavı, bir yatırımcıdan “Kendi kliniğini aç”, bir sabah programından “Haftada bir konuk doktor.” Posta kutunda da Öte Diyar'dan bir ilan.</t>
        </is>
      </c>
      <c r="G388" s="5" t="inlineStr">
        <is>
          <t>hastane</t>
        </is>
      </c>
      <c r="H388" s="5" t="inlineStr"/>
      <c r="I388" s="5" t="inlineStr">
        <is>
          <t>E</t>
        </is>
      </c>
      <c r="J388" s="5" t="inlineStr"/>
      <c r="K388" s="5" t="inlineStr"/>
      <c r="L388" s="5" t="inlineStr">
        <is>
          <t>hapis</t>
        </is>
      </c>
      <c r="M388" s="5" t="inlineStr"/>
      <c r="N388" s="5" t="inlineStr"/>
      <c r="O388" s="5" t="inlineStr"/>
      <c r="P388" s="5" t="inlineStr"/>
      <c r="Q388" s="5" t="n">
        <v>10</v>
      </c>
      <c r="R388" s="6" t="inlineStr">
        <is>
          <t>Her hekim bir gün beyaz önlüğe ikinci bir renk ekler. Seçtiğin renk, önlüğün son rengi olur.</t>
        </is>
      </c>
      <c r="S388" s="5" t="inlineStr"/>
      <c r="T388" s="5" t="inlineStr"/>
      <c r="U388" s="5" t="inlineStr"/>
      <c r="V388" s="5" t="inlineStr">
        <is>
          <t>hekim</t>
        </is>
      </c>
    </row>
    <row r="389">
      <c r="A389" s="5" t="inlineStr">
        <is>
          <t>k10-memur</t>
        </is>
      </c>
      <c r="B389" s="5" t="n">
        <v>7</v>
      </c>
      <c r="C389" s="5" t="inlineStr">
        <is>
          <t>35 yaş</t>
        </is>
      </c>
      <c r="D389" s="5" t="inlineStr">
        <is>
          <t>📋</t>
        </is>
      </c>
      <c r="E389" s="6" t="inlineStr">
        <is>
          <t>Tayin mi, Terfi mi?</t>
        </is>
      </c>
      <c r="F389" s="6" t="inlineStr">
        <is>
          <t>Müdür seni çağırdı, masaya iki kâğıt koydu: birinde memleketine tayin, öbüründe şube müdürlüğü sınavı. Bir de çalıştığın köy şubesinden bir mektup: “Siz gidince burası kapanır.”</t>
        </is>
      </c>
      <c r="G389" s="5" t="inlineStr">
        <is>
          <t>devlet-dairesi</t>
        </is>
      </c>
      <c r="H389" s="5" t="inlineStr"/>
      <c r="I389" s="5" t="inlineStr">
        <is>
          <t>E</t>
        </is>
      </c>
      <c r="J389" s="5" t="inlineStr"/>
      <c r="K389" s="5" t="inlineStr"/>
      <c r="L389" s="5" t="inlineStr">
        <is>
          <t>hapis</t>
        </is>
      </c>
      <c r="M389" s="5" t="inlineStr"/>
      <c r="N389" s="5" t="inlineStr"/>
      <c r="O389" s="5" t="inlineStr"/>
      <c r="P389" s="5" t="inlineStr"/>
      <c r="Q389" s="5" t="n">
        <v>10</v>
      </c>
      <c r="R389" s="6" t="inlineStr">
        <is>
          <t>Her memurun önüne bir gün iki kâğıt konur. Hangisini imzaladığın, emekliliğe kadar hangi masada oturacağını belirler.</t>
        </is>
      </c>
      <c r="S389" s="5" t="inlineStr"/>
      <c r="T389" s="5" t="inlineStr"/>
      <c r="U389" s="5" t="inlineStr"/>
      <c r="V389" s="5" t="inlineStr">
        <is>
          <t>memur</t>
        </is>
      </c>
    </row>
    <row r="390">
      <c r="A390" s="5" t="inlineStr">
        <is>
          <t>k10-beyazyaka</t>
        </is>
      </c>
      <c r="B390" s="5" t="n">
        <v>7</v>
      </c>
      <c r="C390" s="5" t="inlineStr">
        <is>
          <t>35 yaş</t>
        </is>
      </c>
      <c r="D390" s="5" t="inlineStr">
        <is>
          <t>📉</t>
        </is>
      </c>
      <c r="E390" s="6" t="inlineStr">
        <is>
          <t>Küçülme Dalgası</t>
        </is>
      </c>
      <c r="F390" s="6" t="inlineStr">
        <is>
          <t>Şirket “yeniden yapılanma” duyurdu; her katta üç kişiden biri gidecek. İnsan kaynakları toplantı odasına kutu taşıyor. Ekranında bir tazminat hesabı, yanında Öte Diyar ofisinin iç ilanı açık.</t>
        </is>
      </c>
      <c r="G390" s="5" t="inlineStr">
        <is>
          <t>ofis</t>
        </is>
      </c>
      <c r="H390" s="5" t="inlineStr"/>
      <c r="I390" s="5" t="inlineStr">
        <is>
          <t>E</t>
        </is>
      </c>
      <c r="J390" s="5" t="inlineStr"/>
      <c r="K390" s="5" t="inlineStr"/>
      <c r="L390" s="5" t="inlineStr">
        <is>
          <t>hapis</t>
        </is>
      </c>
      <c r="M390" s="5" t="inlineStr"/>
      <c r="N390" s="5" t="inlineStr"/>
      <c r="O390" s="5" t="inlineStr"/>
      <c r="P390" s="5" t="inlineStr"/>
      <c r="Q390" s="5" t="n">
        <v>10</v>
      </c>
      <c r="R390" s="6" t="inlineStr">
        <is>
          <t>Her plaza çalışanı bir gün bir küçülme dalgası görür. Dalgadan sonra nerede durduğun, kariyerinin geri kalanını belirler.</t>
        </is>
      </c>
      <c r="S390" s="5" t="inlineStr"/>
      <c r="T390" s="5" t="inlineStr"/>
      <c r="U390" s="5" t="inlineStr"/>
      <c r="V390" s="5" t="inlineStr">
        <is>
          <t>beyazyaka</t>
        </is>
      </c>
    </row>
    <row r="391">
      <c r="A391" s="5" t="inlineStr">
        <is>
          <t>b7-cete-tahsilat</t>
        </is>
      </c>
      <c r="B391" s="5" t="n">
        <v>7</v>
      </c>
      <c r="C391" s="5" t="inlineStr">
        <is>
          <t>28 yaş 6 ay</t>
        </is>
      </c>
      <c r="D391" s="5" t="inlineStr">
        <is>
          <t>🧾</t>
        </is>
      </c>
      <c r="E391" s="6" t="inlineStr">
        <is>
          <t>İlk Tahsilat</t>
        </is>
      </c>
      <c r="F391" s="6" t="inlineStr">
        <is>
          <t>Abi sana bir kâğıt verdi: “Kebapçı Nurettin üç aydır ödemiyor. Git, selamımı söyle.” Selamın ne kadar ağır olduğunu sormadın. Nurettin seni kapıda görünce hamur açmaya başladı; hızlı.</t>
        </is>
      </c>
      <c r="G391" s="5" t="inlineStr">
        <is>
          <t>carsi</t>
        </is>
      </c>
      <c r="H391" s="5" t="inlineStr"/>
      <c r="I391" s="5" t="inlineStr"/>
      <c r="J391" s="5" t="n">
        <v>3</v>
      </c>
      <c r="K391" s="5" t="inlineStr"/>
      <c r="L391" s="5" t="inlineStr">
        <is>
          <t>hapis</t>
        </is>
      </c>
      <c r="M391" s="5" t="inlineStr"/>
      <c r="N391" s="5" t="inlineStr"/>
      <c r="O391" s="5" t="inlineStr"/>
      <c r="P391" s="5" t="inlineStr"/>
      <c r="Q391" s="5" t="inlineStr"/>
      <c r="R391" s="6" t="inlineStr"/>
      <c r="S391" s="5" t="inlineStr"/>
      <c r="T391" s="5" t="inlineStr"/>
      <c r="U391" s="5" t="inlineStr"/>
      <c r="V391" s="5" t="inlineStr">
        <is>
          <t>cete</t>
        </is>
      </c>
    </row>
    <row r="392">
      <c r="A392" s="5" t="inlineStr">
        <is>
          <t>b7-cete-tefeci</t>
        </is>
      </c>
      <c r="B392" s="5" t="n">
        <v>7</v>
      </c>
      <c r="C392" s="5" t="inlineStr">
        <is>
          <t>32 yaş 6 ay</t>
        </is>
      </c>
      <c r="D392" s="5" t="inlineStr">
        <is>
          <t>📒</t>
        </is>
      </c>
      <c r="E392" s="6" t="inlineStr">
        <is>
          <t>Yıkamanın Arka Odası</t>
        </is>
      </c>
      <c r="F392" s="6" t="inlineStr">
        <is>
          <t>Oto yıkamanın arka odasına bir masa koydun. Mahalleli araba yıkatmaya gelip “Ay sonuna kadar biraz lazım” diyor. Defterin kalınlaşıyor; hesap makinenin yedi tuşu basmıyor.</t>
        </is>
      </c>
      <c r="G392" s="5" t="inlineStr">
        <is>
          <t>dukkan</t>
        </is>
      </c>
      <c r="H392" s="5" t="inlineStr"/>
      <c r="I392" s="5" t="inlineStr"/>
      <c r="J392" s="5" t="n">
        <v>3</v>
      </c>
      <c r="K392" s="5" t="inlineStr"/>
      <c r="L392" s="5" t="inlineStr">
        <is>
          <t>hapis</t>
        </is>
      </c>
      <c r="M392" s="5" t="inlineStr"/>
      <c r="N392" s="5" t="inlineStr"/>
      <c r="O392" s="5" t="inlineStr"/>
      <c r="P392" s="5" t="inlineStr"/>
      <c r="Q392" s="5" t="inlineStr"/>
      <c r="R392" s="6" t="inlineStr"/>
      <c r="S392" s="5" t="inlineStr"/>
      <c r="T392" s="5" t="inlineStr"/>
      <c r="U392" s="5" t="inlineStr"/>
      <c r="V392" s="5" t="inlineStr">
        <is>
          <t>cete</t>
        </is>
      </c>
    </row>
    <row r="393">
      <c r="A393" s="5" t="inlineStr">
        <is>
          <t>b7-cete-rakip</t>
        </is>
      </c>
      <c r="B393" s="5" t="n">
        <v>7</v>
      </c>
      <c r="C393" s="5" t="inlineStr">
        <is>
          <t>37 yaş</t>
        </is>
      </c>
      <c r="D393" s="5" t="inlineStr">
        <is>
          <t>🫧</t>
        </is>
      </c>
      <c r="E393" s="6" t="inlineStr">
        <is>
          <t>Karşı Kaldırımda Köpük</t>
        </is>
      </c>
      <c r="F393" s="6" t="inlineStr">
        <is>
          <t>Karşı kaldırıma yeni bir oto yıkama açıldı; adı seninkinin aynısı, bir harf fazlası var. Sahibi genç, hevesli ve abinin eski rakibinin yeğeni. Mahalle iki kaldırımın arasından bakıyor.</t>
        </is>
      </c>
      <c r="G393" s="5" t="inlineStr">
        <is>
          <t>sokak</t>
        </is>
      </c>
      <c r="H393" s="5" t="inlineStr"/>
      <c r="I393" s="5" t="inlineStr"/>
      <c r="J393" s="5" t="n">
        <v>3</v>
      </c>
      <c r="K393" s="5" t="inlineStr"/>
      <c r="L393" s="5" t="inlineStr">
        <is>
          <t>hapis</t>
        </is>
      </c>
      <c r="M393" s="5" t="inlineStr"/>
      <c r="N393" s="5" t="inlineStr"/>
      <c r="O393" s="5" t="inlineStr"/>
      <c r="P393" s="5" t="inlineStr"/>
      <c r="Q393" s="5" t="inlineStr"/>
      <c r="R393" s="6" t="inlineStr"/>
      <c r="S393" s="5" t="inlineStr"/>
      <c r="T393" s="5" t="inlineStr"/>
      <c r="U393" s="5" t="inlineStr"/>
      <c r="V393" s="5" t="inlineStr">
        <is>
          <t>cete</t>
        </is>
      </c>
    </row>
    <row r="394">
      <c r="A394" s="5" t="inlineStr">
        <is>
          <t>b8-cete-hatir-masasi</t>
        </is>
      </c>
      <c r="B394" s="5" t="n">
        <v>8</v>
      </c>
      <c r="C394" s="5" t="inlineStr">
        <is>
          <t>43 yaş</t>
        </is>
      </c>
      <c r="D394" s="5" t="inlineStr">
        <is>
          <t>🪑</t>
        </is>
      </c>
      <c r="E394" s="6" t="inlineStr">
        <is>
          <t>Hatır Masası</t>
        </is>
      </c>
      <c r="F394" s="6" t="inlineStr">
        <is>
          <t>Kahvenin köşe masası artık senin. Bugün iki aile geldi: aynı düğün salonunu aynı cumartesiye tutmuşlar. İki damat da sana bakıyor, iki kayınpeder de. Salon sahibi depoda saklanıyor.</t>
        </is>
      </c>
      <c r="G394" s="5" t="inlineStr">
        <is>
          <t>kafe</t>
        </is>
      </c>
      <c r="H394" s="5" t="inlineStr"/>
      <c r="I394" s="5" t="inlineStr"/>
      <c r="J394" s="5" t="n">
        <v>3</v>
      </c>
      <c r="K394" s="5" t="inlineStr"/>
      <c r="L394" s="5" t="inlineStr">
        <is>
          <t>hapis</t>
        </is>
      </c>
      <c r="M394" s="5" t="inlineStr"/>
      <c r="N394" s="5" t="inlineStr"/>
      <c r="O394" s="5" t="inlineStr"/>
      <c r="P394" s="5" t="inlineStr"/>
      <c r="Q394" s="5" t="inlineStr"/>
      <c r="R394" s="6" t="inlineStr"/>
      <c r="S394" s="5" t="inlineStr"/>
      <c r="T394" s="5" t="inlineStr"/>
      <c r="U394" s="5" t="inlineStr"/>
      <c r="V394" s="5" t="inlineStr">
        <is>
          <t>cete</t>
        </is>
      </c>
    </row>
    <row r="395">
      <c r="A395" s="5" t="inlineStr">
        <is>
          <t>b8-cete-abinin-emekliligi</t>
        </is>
      </c>
      <c r="B395" s="5" t="n">
        <v>8</v>
      </c>
      <c r="C395" s="5" t="inlineStr">
        <is>
          <t>48 yaş</t>
        </is>
      </c>
      <c r="D395" s="5" t="inlineStr">
        <is>
          <t>🗝️</t>
        </is>
      </c>
      <c r="E395" s="6" t="inlineStr">
        <is>
          <t>Abinin Son Çayı</t>
        </is>
      </c>
      <c r="F395" s="6" t="inlineStr">
        <is>
          <t>Abi yetmişini geçti, bastonla kahveye geldi. “Ben çekiliyorum. İşler senin olabilir; ama yeğenim de var.” Yeğen masanın öbür ucunda, yeni telefonuyla seni fotoğraflıyor.</t>
        </is>
      </c>
      <c r="G395" s="5" t="inlineStr">
        <is>
          <t>kafe</t>
        </is>
      </c>
      <c r="H395" s="5" t="inlineStr"/>
      <c r="I395" s="5" t="inlineStr"/>
      <c r="J395" s="5" t="n">
        <v>3</v>
      </c>
      <c r="K395" s="5" t="inlineStr"/>
      <c r="L395" s="5" t="inlineStr">
        <is>
          <t>hapis</t>
        </is>
      </c>
      <c r="M395" s="5" t="inlineStr"/>
      <c r="N395" s="5" t="inlineStr"/>
      <c r="O395" s="5" t="inlineStr"/>
      <c r="P395" s="5" t="inlineStr"/>
      <c r="Q395" s="5" t="inlineStr"/>
      <c r="R395" s="6" t="inlineStr"/>
      <c r="S395" s="5" t="inlineStr"/>
      <c r="T395" s="5" t="inlineStr"/>
      <c r="U395" s="5" t="inlineStr"/>
      <c r="V395" s="5" t="inlineStr">
        <is>
          <t>cete</t>
        </is>
      </c>
    </row>
    <row r="396">
      <c r="A396" s="5" t="inlineStr">
        <is>
          <t>b9-cete-kahvehane</t>
        </is>
      </c>
      <c r="B396" s="5" t="n">
        <v>9</v>
      </c>
      <c r="C396" s="5" t="inlineStr">
        <is>
          <t>63 yaş</t>
        </is>
      </c>
      <c r="D396" s="5" t="inlineStr">
        <is>
          <t>🎲</t>
        </is>
      </c>
      <c r="E396" s="6" t="inlineStr">
        <is>
          <t>Kahvehane Efsanesi</t>
        </is>
      </c>
      <c r="F396" s="6" t="inlineStr">
        <is>
          <t>Kahvede pencere kenarı hâlâ senin; gelmediğin günlerde de kimse oturmuyor. Mahallenin gençleri eski hikâyeleri soruyor. Sen anlattıkça oto yıkamanın köpük makinesi büyüyor, kovalamacalar uzuyor, sen gençleşiyorsun.</t>
        </is>
      </c>
      <c r="G396" s="5" t="inlineStr">
        <is>
          <t>kafe</t>
        </is>
      </c>
      <c r="H396" s="5" t="inlineStr"/>
      <c r="I396" s="5" t="inlineStr"/>
      <c r="J396" s="5" t="n">
        <v>3</v>
      </c>
      <c r="K396" s="5" t="inlineStr"/>
      <c r="L396" s="5" t="inlineStr">
        <is>
          <t>hapis</t>
        </is>
      </c>
      <c r="M396" s="5" t="inlineStr"/>
      <c r="N396" s="5" t="inlineStr"/>
      <c r="O396" s="5" t="inlineStr"/>
      <c r="P396" s="5" t="inlineStr"/>
      <c r="Q396" s="5" t="inlineStr"/>
      <c r="R396" s="6" t="inlineStr"/>
      <c r="S396" s="5" t="inlineStr"/>
      <c r="T396" s="5" t="inlineStr"/>
      <c r="U396" s="5" t="inlineStr"/>
      <c r="V396" s="5" t="inlineStr">
        <is>
          <t>cete</t>
        </is>
      </c>
    </row>
    <row r="397">
      <c r="A397" s="5" t="inlineStr">
        <is>
          <t>b7-dolandirici-ilan</t>
        </is>
      </c>
      <c r="B397" s="5" t="n">
        <v>7</v>
      </c>
      <c r="C397" s="5" t="inlineStr">
        <is>
          <t>28 yaş</t>
        </is>
      </c>
      <c r="D397" s="5" t="inlineStr">
        <is>
          <t>📦</t>
        </is>
      </c>
      <c r="E397" s="6" t="inlineStr">
        <is>
          <t>Az Kullanılmış Manzara</t>
        </is>
      </c>
      <c r="F397" s="6" t="inlineStr">
        <is>
          <t>İlan sitesine “Acil satılık, az kullanılmış deniz manzarası” yazdın. Fotoğraf balkonundan; deniz iki apartman arasında bir parmak. Bir alıcı yazdı: “Kamyonla geliyorum, sökmeyi siz mi yaparsınız?”</t>
        </is>
      </c>
      <c r="G397" s="5" t="inlineStr">
        <is>
          <t>apartman</t>
        </is>
      </c>
      <c r="H397" s="5" t="inlineStr"/>
      <c r="I397" s="5" t="inlineStr"/>
      <c r="J397" s="5" t="n">
        <v>3</v>
      </c>
      <c r="K397" s="5" t="inlineStr"/>
      <c r="L397" s="5" t="inlineStr">
        <is>
          <t>hapis</t>
        </is>
      </c>
      <c r="M397" s="5" t="inlineStr"/>
      <c r="N397" s="5" t="inlineStr"/>
      <c r="O397" s="5" t="inlineStr"/>
      <c r="P397" s="5" t="inlineStr"/>
      <c r="Q397" s="5" t="inlineStr"/>
      <c r="R397" s="6" t="inlineStr"/>
      <c r="S397" s="5" t="inlineStr"/>
      <c r="T397" s="5" t="inlineStr"/>
      <c r="U397" s="5" t="inlineStr"/>
      <c r="V397" s="5" t="inlineStr">
        <is>
          <t>dolandirici</t>
        </is>
      </c>
    </row>
    <row r="398">
      <c r="A398" s="5" t="inlineStr">
        <is>
          <t>b7-dolandirici-kurs</t>
        </is>
      </c>
      <c r="B398" s="5" t="n">
        <v>7</v>
      </c>
      <c r="C398" s="5" t="inlineStr">
        <is>
          <t>32 yaş</t>
        </is>
      </c>
      <c r="D398" s="5" t="inlineStr">
        <is>
          <t>🎤</t>
        </is>
      </c>
      <c r="E398" s="6" t="inlineStr">
        <is>
          <t>Kolay Para Akademisi</t>
        </is>
      </c>
      <c r="F398" s="6" t="inlineStr">
        <is>
          <t>Bir düğün salonu kiraladın; arkada “Kolay Para Akademisi” pankartı, önde iki yüz sandalye. Kursun tek konusu kursun kendisi. Ön sırada bir teyze defterini açmış, kalemini hazırlamış.</t>
        </is>
      </c>
      <c r="G398" s="5" t="inlineStr">
        <is>
          <t>dugun-salonu</t>
        </is>
      </c>
      <c r="H398" s="5" t="inlineStr"/>
      <c r="I398" s="5" t="inlineStr"/>
      <c r="J398" s="5" t="n">
        <v>3</v>
      </c>
      <c r="K398" s="5" t="inlineStr"/>
      <c r="L398" s="5" t="inlineStr">
        <is>
          <t>hapis</t>
        </is>
      </c>
      <c r="M398" s="5" t="inlineStr"/>
      <c r="N398" s="5" t="inlineStr"/>
      <c r="O398" s="5" t="inlineStr"/>
      <c r="P398" s="5" t="inlineStr"/>
      <c r="Q398" s="5" t="inlineStr"/>
      <c r="R398" s="6" t="inlineStr"/>
      <c r="S398" s="5" t="inlineStr"/>
      <c r="T398" s="5" t="inlineStr"/>
      <c r="U398" s="5" t="inlineStr"/>
      <c r="V398" s="5" t="inlineStr">
        <is>
          <t>dolandirici</t>
        </is>
      </c>
    </row>
    <row r="399">
      <c r="A399" s="5" t="inlineStr">
        <is>
          <t>b7-dolandirici-kulup</t>
        </is>
      </c>
      <c r="B399" s="5" t="n">
        <v>7</v>
      </c>
      <c r="C399" s="5" t="inlineStr">
        <is>
          <t>37 yaş</t>
        </is>
      </c>
      <c r="D399" s="5" t="inlineStr">
        <is>
          <t>📈</t>
        </is>
      </c>
      <c r="E399" s="6" t="inlineStr">
        <is>
          <t>Altın Yaprak Yatırım Kulübü</t>
        </is>
      </c>
      <c r="F399" s="6" t="inlineStr">
        <is>
          <t>Yatırım kulübün her ay bir kafede toplanıyor. Üyeler bu ay “Kâr nerede?” diye soruyor. Elinde tek bir grafik var: kafenin peçetesine çizilmiş, yukarı gidiyor, tepesinde bir güneş.</t>
        </is>
      </c>
      <c r="G399" s="5" t="inlineStr">
        <is>
          <t>kafe</t>
        </is>
      </c>
      <c r="H399" s="5" t="inlineStr"/>
      <c r="I399" s="5" t="inlineStr"/>
      <c r="J399" s="5" t="n">
        <v>3</v>
      </c>
      <c r="K399" s="5" t="inlineStr"/>
      <c r="L399" s="5" t="inlineStr">
        <is>
          <t>hapis</t>
        </is>
      </c>
      <c r="M399" s="5" t="inlineStr"/>
      <c r="N399" s="5" t="inlineStr"/>
      <c r="O399" s="5" t="inlineStr"/>
      <c r="P399" s="5" t="inlineStr"/>
      <c r="Q399" s="5" t="inlineStr"/>
      <c r="R399" s="6" t="inlineStr"/>
      <c r="S399" s="5" t="inlineStr"/>
      <c r="T399" s="5" t="inlineStr"/>
      <c r="U399" s="5" t="inlineStr"/>
      <c r="V399" s="5" t="inlineStr">
        <is>
          <t>dolandirici</t>
        </is>
      </c>
    </row>
    <row r="400">
      <c r="A400" s="5" t="inlineStr">
        <is>
          <t>b8-dolandirici-kitap</t>
        </is>
      </c>
      <c r="B400" s="5" t="n">
        <v>8</v>
      </c>
      <c r="C400" s="5" t="inlineStr">
        <is>
          <t>44 yaş</t>
        </is>
      </c>
      <c r="D400" s="5" t="inlineStr">
        <is>
          <t>📚</t>
        </is>
      </c>
      <c r="E400" s="6" t="inlineStr">
        <is>
          <t>Zengin Olmanın Yedi Kısa Yolu</t>
        </is>
      </c>
      <c r="F400" s="6" t="inlineStr">
        <is>
          <t>Kitabın çıktı: “Zengin Olmanın Yedi Kısa Yolu.” Altı bölüm boş sayfa, yedincisi “Sabırlı ol.” Bir sabah programı seni canlı yayına çağırdı. Sunucu kitabı açık tutuyor; boş bir sayfada.</t>
        </is>
      </c>
      <c r="G400" s="5" t="inlineStr">
        <is>
          <t>studyo</t>
        </is>
      </c>
      <c r="H400" s="5" t="inlineStr"/>
      <c r="I400" s="5" t="inlineStr"/>
      <c r="J400" s="5" t="n">
        <v>3</v>
      </c>
      <c r="K400" s="5" t="inlineStr"/>
      <c r="L400" s="5" t="inlineStr">
        <is>
          <t>hapis</t>
        </is>
      </c>
      <c r="M400" s="5" t="inlineStr"/>
      <c r="N400" s="5" t="inlineStr"/>
      <c r="O400" s="5" t="inlineStr"/>
      <c r="P400" s="5" t="inlineStr"/>
      <c r="Q400" s="5" t="inlineStr"/>
      <c r="R400" s="6" t="inlineStr"/>
      <c r="S400" s="5" t="inlineStr"/>
      <c r="T400" s="5" t="inlineStr"/>
      <c r="U400" s="5" t="inlineStr"/>
      <c r="V400" s="5" t="inlineStr">
        <is>
          <t>dolandirici</t>
        </is>
      </c>
    </row>
    <row r="401">
      <c r="A401" s="5" t="inlineStr">
        <is>
          <t>b8-dolandirici-mektup</t>
        </is>
      </c>
      <c r="B401" s="5" t="n">
        <v>8</v>
      </c>
      <c r="C401" s="5" t="inlineStr">
        <is>
          <t>49 yaş</t>
        </is>
      </c>
      <c r="D401" s="5" t="inlineStr">
        <is>
          <t>✉️</t>
        </is>
      </c>
      <c r="E401" s="6" t="inlineStr">
        <is>
          <t>El Yazısıyla Bir Mektup</t>
        </is>
      </c>
      <c r="F401" s="6" t="inlineStr">
        <is>
          <t>Posta kutusunda el yazısıyla bir mektup var. Yıllar önce telefonda konuştuğun emekli öğretmenden: “Evladım, sesini bir haberde duydum. Hâlâ o işi mi yapıyorsun?” Zarfta bir de fotoğraf: öğretmen ve torunu.</t>
        </is>
      </c>
      <c r="G401" s="5" t="inlineStr">
        <is>
          <t>ev</t>
        </is>
      </c>
      <c r="H401" s="5" t="inlineStr"/>
      <c r="I401" s="5" t="inlineStr"/>
      <c r="J401" s="5" t="n">
        <v>3</v>
      </c>
      <c r="K401" s="5" t="inlineStr"/>
      <c r="L401" s="5" t="inlineStr">
        <is>
          <t>hapis</t>
        </is>
      </c>
      <c r="M401" s="5" t="inlineStr"/>
      <c r="N401" s="5" t="inlineStr"/>
      <c r="O401" s="5" t="inlineStr"/>
      <c r="P401" s="5" t="inlineStr"/>
      <c r="Q401" s="5" t="inlineStr"/>
      <c r="R401" s="6" t="inlineStr"/>
      <c r="S401" s="5" t="inlineStr"/>
      <c r="T401" s="5" t="inlineStr"/>
      <c r="U401" s="5" t="inlineStr"/>
      <c r="V401" s="5" t="inlineStr">
        <is>
          <t>dolandirici</t>
        </is>
      </c>
    </row>
    <row r="402">
      <c r="A402" s="5" t="inlineStr">
        <is>
          <t>b9-dolandirici-son-numara</t>
        </is>
      </c>
      <c r="B402" s="5" t="n">
        <v>9</v>
      </c>
      <c r="C402" s="5" t="inlineStr">
        <is>
          <t>64 yaş</t>
        </is>
      </c>
      <c r="D402" s="5" t="inlineStr">
        <is>
          <t>🧴</t>
        </is>
      </c>
      <c r="E402" s="6" t="inlineStr">
        <is>
          <t>Bankın Son Fırsatı</t>
        </is>
      </c>
      <c r="F402" s="6" t="inlineStr">
        <is>
          <t>Parkın bankında her sabah aynı emekliler oturuyor. Biri “gençleştiren krem” diye bir kavanozdan bahsetti; içinde ne olduğunu bilen yok. Herkes sana dönüyor: bu işlerden bir sen anlarsın.</t>
        </is>
      </c>
      <c r="G402" s="5" t="inlineStr">
        <is>
          <t>park</t>
        </is>
      </c>
      <c r="H402" s="5" t="inlineStr"/>
      <c r="I402" s="5" t="inlineStr"/>
      <c r="J402" s="5" t="n">
        <v>3</v>
      </c>
      <c r="K402" s="5" t="inlineStr"/>
      <c r="L402" s="5" t="inlineStr">
        <is>
          <t>hapis</t>
        </is>
      </c>
      <c r="M402" s="5" t="inlineStr"/>
      <c r="N402" s="5" t="inlineStr"/>
      <c r="O402" s="5" t="inlineStr"/>
      <c r="P402" s="5" t="inlineStr"/>
      <c r="Q402" s="5" t="inlineStr"/>
      <c r="R402" s="6" t="inlineStr"/>
      <c r="S402" s="5" t="inlineStr"/>
      <c r="T402" s="5" t="inlineStr"/>
      <c r="U402" s="5" t="inlineStr"/>
      <c r="V402" s="5" t="inlineStr">
        <is>
          <t>dolandirici</t>
        </is>
      </c>
    </row>
    <row r="403">
      <c r="A403" s="5" t="inlineStr">
        <is>
          <t>k10-cete</t>
        </is>
      </c>
      <c r="B403" s="5" t="n">
        <v>7</v>
      </c>
      <c r="C403" s="5" t="inlineStr">
        <is>
          <t>35 yaş</t>
        </is>
      </c>
      <c r="D403" s="5" t="inlineStr">
        <is>
          <t>🎯</t>
        </is>
      </c>
      <c r="E403" s="6" t="inlineStr">
        <is>
          <t>Büyük İş</t>
        </is>
      </c>
      <c r="F403" s="6" t="inlineStr">
        <is>
          <t>Abi seni kahvenin arka odasına çağırdı. Masada bir harita, bir anahtar, bir tespih: “Büyük iş bu. Sonra mahalle senin.” Oto yıkamanın köpük makinesi bu sabah kendiliğinden durdu. Bunu bir işaret saydın.</t>
        </is>
      </c>
      <c r="G403" s="5" t="inlineStr">
        <is>
          <t>kafe</t>
        </is>
      </c>
      <c r="H403" s="5" t="inlineStr"/>
      <c r="I403" s="5" t="inlineStr">
        <is>
          <t>E</t>
        </is>
      </c>
      <c r="J403" s="5" t="inlineStr"/>
      <c r="K403" s="5" t="inlineStr"/>
      <c r="L403" s="5" t="inlineStr">
        <is>
          <t>hapis</t>
        </is>
      </c>
      <c r="M403" s="5" t="inlineStr"/>
      <c r="N403" s="5" t="inlineStr"/>
      <c r="O403" s="5" t="inlineStr"/>
      <c r="P403" s="5" t="inlineStr"/>
      <c r="Q403" s="5" t="n">
        <v>10</v>
      </c>
      <c r="R403" s="6" t="inlineStr">
        <is>
          <t>Mahallenin kaderi üçe ayrılıyor: büyük iş, sade bir kepenk ya da bir komiserin masası. Hangisini seçtiğin, kalan yıllarını hangi masada, hangi adla geçireceğini belirleyecek.</t>
        </is>
      </c>
      <c r="S403" s="5" t="inlineStr"/>
      <c r="T403" s="5" t="inlineStr"/>
      <c r="U403" s="5" t="inlineStr"/>
      <c r="V403" s="5" t="inlineStr">
        <is>
          <t>cete</t>
        </is>
      </c>
    </row>
    <row r="404">
      <c r="A404" s="5" t="inlineStr">
        <is>
          <t>k10-dolandirici</t>
        </is>
      </c>
      <c r="B404" s="5" t="n">
        <v>7</v>
      </c>
      <c r="C404" s="5" t="inlineStr">
        <is>
          <t>35 yaş</t>
        </is>
      </c>
      <c r="D404" s="5" t="inlineStr">
        <is>
          <t>🧳</t>
        </is>
      </c>
      <c r="E404" s="6" t="inlineStr">
        <is>
          <t>Büyük Vurgun</t>
        </is>
      </c>
      <c r="F404" s="6" t="inlineStr">
        <is>
          <t>Kulübün kasasında hiç görmediğin kadar rakam var, hepsi başkalarının. Masada iki davetiye: biri Öte Diyar'a uçak bileti, biri Yeşil Balkon Partisi'nin açılış yemeği. Telefonda üçüncüsü çalıyor: annen.</t>
        </is>
      </c>
      <c r="G404" s="5" t="inlineStr">
        <is>
          <t>ofis</t>
        </is>
      </c>
      <c r="H404" s="5" t="inlineStr"/>
      <c r="I404" s="5" t="inlineStr">
        <is>
          <t>E</t>
        </is>
      </c>
      <c r="J404" s="5" t="inlineStr"/>
      <c r="K404" s="5" t="inlineStr"/>
      <c r="L404" s="5" t="inlineStr">
        <is>
          <t>hapis</t>
        </is>
      </c>
      <c r="M404" s="5" t="inlineStr"/>
      <c r="N404" s="5" t="inlineStr"/>
      <c r="O404" s="5" t="inlineStr"/>
      <c r="P404" s="5" t="inlineStr"/>
      <c r="Q404" s="5" t="n">
        <v>10</v>
      </c>
      <c r="R404" s="6" t="inlineStr">
        <is>
          <t>Bir kasa dolusu başkasının parası ve üç kapı: havalimanı, meclis yolu ya da sade bir hayat. Seçtiğin kapı, bundan sonra telefonun kimden çalacağını belirleyecek.</t>
        </is>
      </c>
      <c r="S404" s="5" t="inlineStr"/>
      <c r="T404" s="5" t="inlineStr"/>
      <c r="U404" s="5" t="inlineStr"/>
      <c r="V404" s="5" t="inlineStr">
        <is>
          <t>dolandirici</t>
        </is>
      </c>
    </row>
    <row r="405">
      <c r="A405" s="5" t="inlineStr">
        <is>
          <t>k10-esnaf</t>
        </is>
      </c>
      <c r="B405" s="5" t="n">
        <v>7</v>
      </c>
      <c r="C405" s="5" t="inlineStr">
        <is>
          <t>35 yaş</t>
        </is>
      </c>
      <c r="D405" s="5" t="inlineStr">
        <is>
          <t>🏪</t>
        </is>
      </c>
      <c r="E405" s="6" t="inlineStr">
        <is>
          <t>Karşıya Zincir Market Açıldı</t>
        </is>
      </c>
      <c r="F405" s="6" t="inlineStr">
        <is>
          <t>Dükkânının tam karşısına dev bir zincir market açıldı. Açılışta balon, müzik, yüzde elli indirim. Müşterilerin balon almaya gitti, poşetlerle döndü; sana utanarak selam verdiler.</t>
        </is>
      </c>
      <c r="G405" s="5" t="inlineStr">
        <is>
          <t>dukkan</t>
        </is>
      </c>
      <c r="H405" s="5" t="inlineStr"/>
      <c r="I405" s="5" t="inlineStr">
        <is>
          <t>E</t>
        </is>
      </c>
      <c r="J405" s="5" t="inlineStr"/>
      <c r="K405" s="5" t="inlineStr"/>
      <c r="L405" s="5" t="inlineStr">
        <is>
          <t>hapis</t>
        </is>
      </c>
      <c r="M405" s="5" t="inlineStr"/>
      <c r="N405" s="5" t="inlineStr"/>
      <c r="O405" s="5" t="inlineStr"/>
      <c r="P405" s="5" t="inlineStr"/>
      <c r="Q405" s="5" t="n">
        <v>10</v>
      </c>
      <c r="R405" s="6" t="inlineStr">
        <is>
          <t>Karşıya açılan market mahallenin dengesini değiştirdi. Kimi direnir, kimi karşıya geçer, kimi başka bir kapı çalar; hangisini seçtiğin, dükkânının ve senin geri kalan hayatını belirleyecek.</t>
        </is>
      </c>
      <c r="S405" s="5" t="inlineStr"/>
      <c r="T405" s="5" t="inlineStr"/>
      <c r="U405" s="5" t="inlineStr"/>
      <c r="V405" s="5" t="inlineStr">
        <is>
          <t>esnaf</t>
        </is>
      </c>
    </row>
    <row r="406">
      <c r="A406" s="5" t="inlineStr">
        <is>
          <t>k10-serbest</t>
        </is>
      </c>
      <c r="B406" s="5" t="n">
        <v>7</v>
      </c>
      <c r="C406" s="5" t="inlineStr">
        <is>
          <t>35 yaş</t>
        </is>
      </c>
      <c r="D406" s="5" t="inlineStr">
        <is>
          <t>📱</t>
        </is>
      </c>
      <c r="E406" s="6" t="inlineStr">
        <is>
          <t>Viral Oldun</t>
        </is>
      </c>
      <c r="F406" s="6" t="inlineStr">
        <is>
          <t>Dün akşam balkonda söylediğin bir cümleyi komşunun oğlu videoya çekmiş. Sabah uyandığında üç milyon kişi o cümleyi tekrar ediyordu. Cümle neydi, sen de hatırlamıyorsun; herkes sana soruyor.</t>
        </is>
      </c>
      <c r="G406" s="5" t="inlineStr">
        <is>
          <t>ev</t>
        </is>
      </c>
      <c r="H406" s="5" t="inlineStr"/>
      <c r="I406" s="5" t="inlineStr">
        <is>
          <t>E</t>
        </is>
      </c>
      <c r="J406" s="5" t="inlineStr"/>
      <c r="K406" s="5" t="inlineStr"/>
      <c r="L406" s="5" t="inlineStr">
        <is>
          <t>hapis</t>
        </is>
      </c>
      <c r="M406" s="5" t="inlineStr"/>
      <c r="N406" s="5" t="inlineStr"/>
      <c r="O406" s="5" t="inlineStr"/>
      <c r="P406" s="5" t="inlineStr"/>
      <c r="Q406" s="5" t="n">
        <v>10</v>
      </c>
      <c r="R406" s="6" t="inlineStr">
        <is>
          <t>Bir gecede herkes seni tanıdı. Bu şöhreti ya büyütürsün, ya işe çevirirsin ya da geçmesini beklersin; hangisini seçtiğin, hayatının geri kalanında kimin seni tanıyacağını belirleyecek.</t>
        </is>
      </c>
      <c r="S406" s="5" t="inlineStr"/>
      <c r="T406" s="5" t="inlineStr"/>
      <c r="U406" s="5" t="inlineStr"/>
      <c r="V406" s="5" t="inlineStr">
        <is>
          <t>serbest</t>
        </is>
      </c>
    </row>
    <row r="407">
      <c r="A407" s="5" t="inlineStr">
        <is>
          <t>b7-hapis-kogus-ilk-gun</t>
        </is>
      </c>
      <c r="B407" s="5" t="n">
        <v>7</v>
      </c>
      <c r="C407" s="5" t="inlineStr">
        <is>
          <t>35 yaş 3 ay</t>
        </is>
      </c>
      <c r="D407" s="5" t="inlineStr">
        <is>
          <t>🛏️</t>
        </is>
      </c>
      <c r="E407" s="6" t="inlineStr">
        <is>
          <t>Koğuşta İlk Gün</t>
        </is>
      </c>
      <c r="F407" s="6" t="inlineStr">
        <is>
          <t>Seni yeni bir koğuşa aldılar: on dört yatak, bir çay ocağı, bir tavla. Kapı arkandan kapanınca kimse başını kaldırmadı; yalnızca ocağın başındaki çaycı. Kimin çayı kaç şekerli içtiğini ezbere biliyor. Sana da sordu: “Kaç şeker?” Cevabın burada nerede yatacağını belirleyecek gibi.</t>
        </is>
      </c>
      <c r="G407" s="5" t="inlineStr">
        <is>
          <t>cezaevi</t>
        </is>
      </c>
      <c r="H407" s="5" t="inlineStr"/>
      <c r="I407" s="5" t="inlineStr">
        <is>
          <t>E</t>
        </is>
      </c>
      <c r="J407" s="5" t="inlineStr"/>
      <c r="K407" s="5" t="inlineStr">
        <is>
          <t>hapis</t>
        </is>
      </c>
      <c r="L407" s="5" t="inlineStr"/>
      <c r="M407" s="5" t="inlineStr"/>
      <c r="N407" s="5" t="inlineStr"/>
      <c r="O407" s="5" t="inlineStr"/>
      <c r="P407" s="5" t="inlineStr"/>
      <c r="Q407" s="5" t="inlineStr"/>
      <c r="R407" s="6" t="inlineStr"/>
      <c r="S407" s="5" t="inlineStr"/>
      <c r="T407" s="5" t="inlineStr"/>
      <c r="U407" s="5" t="inlineStr"/>
      <c r="V407" s="5" t="inlineStr"/>
    </row>
    <row r="408">
      <c r="A408" s="5" t="inlineStr">
        <is>
          <t>b7-hapis-gorus-gunu</t>
        </is>
      </c>
      <c r="B408" s="5" t="n">
        <v>7</v>
      </c>
      <c r="C408" s="5" t="inlineStr">
        <is>
          <t>36 yaş 3 ay</t>
        </is>
      </c>
      <c r="D408" s="5" t="inlineStr">
        <is>
          <t>🪟</t>
        </is>
      </c>
      <c r="E408" s="6" t="inlineStr">
        <is>
          <t>Görüş Günü</t>
        </is>
      </c>
      <c r="F408" s="6" t="inlineStr">
        <is>
          <t>Görüş günü. Camın arkasında bir telefon ahizesi, önünde yirmi dakika. Annen poşet dolusu yiyecek getirmiş; kapıda yarısını geri çevirmişler. Kalanını bir sandalyeye dizmiş, tek tek gösteriyor.</t>
        </is>
      </c>
      <c r="G408" s="5" t="inlineStr">
        <is>
          <t>cezaevi</t>
        </is>
      </c>
      <c r="H408" s="5" t="inlineStr"/>
      <c r="I408" s="5" t="inlineStr">
        <is>
          <t>E</t>
        </is>
      </c>
      <c r="J408" s="5" t="inlineStr"/>
      <c r="K408" s="5" t="inlineStr">
        <is>
          <t>hapis</t>
        </is>
      </c>
      <c r="L408" s="5" t="inlineStr"/>
      <c r="M408" s="5" t="inlineStr"/>
      <c r="N408" s="5" t="inlineStr"/>
      <c r="O408" s="5" t="inlineStr"/>
      <c r="P408" s="5" t="inlineStr"/>
      <c r="Q408" s="5" t="inlineStr"/>
      <c r="R408" s="6" t="inlineStr"/>
      <c r="S408" s="5" t="inlineStr"/>
      <c r="T408" s="5" t="inlineStr"/>
      <c r="U408" s="5" t="inlineStr"/>
      <c r="V408" s="5" t="inlineStr"/>
    </row>
    <row r="409">
      <c r="A409" s="5" t="inlineStr">
        <is>
          <t>b7-hapis-islah-kursu</t>
        </is>
      </c>
      <c r="B409" s="5" t="n">
        <v>7</v>
      </c>
      <c r="C409" s="5" t="inlineStr">
        <is>
          <t>35 yaş 9 ay</t>
        </is>
      </c>
      <c r="D409" s="5" t="inlineStr">
        <is>
          <t>🧼</t>
        </is>
      </c>
      <c r="E409" s="6" t="inlineStr">
        <is>
          <t>Islah Kursu</t>
        </is>
      </c>
      <c r="F409" s="6" t="inlineStr">
        <is>
          <t>Kurs dönemi başladı. Seçenekler: sabun yapımı, ahşap oymacılığı ve “Kişisel Gelişim”; hocası da bir mahkûm, eskiden seminer veriyormuş. Koğuş hangi kursa yazılacağını merakla izliyor.</t>
        </is>
      </c>
      <c r="G409" s="5" t="inlineStr">
        <is>
          <t>cezaevi</t>
        </is>
      </c>
      <c r="H409" s="5" t="inlineStr"/>
      <c r="I409" s="5" t="inlineStr">
        <is>
          <t>E</t>
        </is>
      </c>
      <c r="J409" s="5" t="inlineStr"/>
      <c r="K409" s="5" t="inlineStr">
        <is>
          <t>hapis</t>
        </is>
      </c>
      <c r="L409" s="5" t="inlineStr"/>
      <c r="M409" s="5" t="inlineStr"/>
      <c r="N409" s="5" t="inlineStr"/>
      <c r="O409" s="5" t="inlineStr"/>
      <c r="P409" s="5" t="inlineStr"/>
      <c r="Q409" s="5" t="inlineStr"/>
      <c r="R409" s="6" t="inlineStr"/>
      <c r="S409" s="5" t="inlineStr"/>
      <c r="T409" s="5" t="inlineStr"/>
      <c r="U409" s="5" t="inlineStr"/>
      <c r="V409" s="5" t="inlineStr"/>
    </row>
    <row r="410">
      <c r="A410" s="5" t="inlineStr">
        <is>
          <t>b7-hapis-af-soylentisi</t>
        </is>
      </c>
      <c r="B410" s="5" t="n">
        <v>7</v>
      </c>
      <c r="C410" s="5" t="inlineStr">
        <is>
          <t>38 yaş 3 ay</t>
        </is>
      </c>
      <c r="D410" s="5" t="inlineStr">
        <is>
          <t>📻</t>
        </is>
      </c>
      <c r="E410" s="6" t="inlineStr">
        <is>
          <t>Af Söylentisi</t>
        </is>
      </c>
      <c r="F410" s="6" t="inlineStr">
        <is>
          <t>Koğuşta bir radyo var; radyonun sesi kısık, söylentinin sesi yüksek. “Af çıkacakmış” diyor biri, öbürü “Bayrama kadar.” Çaycı söylentiyi takvime işlemiş. Herkes sana dönüyor: “Sen ne duydun?”</t>
        </is>
      </c>
      <c r="G410" s="5" t="inlineStr">
        <is>
          <t>cezaevi</t>
        </is>
      </c>
      <c r="H410" s="5" t="inlineStr"/>
      <c r="I410" s="5" t="inlineStr">
        <is>
          <t>E</t>
        </is>
      </c>
      <c r="J410" s="5" t="inlineStr"/>
      <c r="K410" s="5" t="inlineStr">
        <is>
          <t>hapis</t>
        </is>
      </c>
      <c r="L410" s="5" t="inlineStr"/>
      <c r="M410" s="5" t="inlineStr"/>
      <c r="N410" s="5" t="inlineStr"/>
      <c r="O410" s="5" t="inlineStr"/>
      <c r="P410" s="5" t="inlineStr"/>
      <c r="Q410" s="5" t="inlineStr"/>
      <c r="R410" s="6" t="inlineStr"/>
      <c r="S410" s="5" t="inlineStr"/>
      <c r="T410" s="5" t="inlineStr"/>
      <c r="U410" s="5" t="inlineStr"/>
      <c r="V410" s="5" t="inlineStr"/>
    </row>
    <row r="411">
      <c r="A411" s="5" t="inlineStr">
        <is>
          <t>b7-cezaevi-kapisi</t>
        </is>
      </c>
      <c r="B411" s="5" t="n">
        <v>7</v>
      </c>
      <c r="C411" s="5" t="inlineStr">
        <is>
          <t>39 yaş</t>
        </is>
      </c>
      <c r="D411" s="5" t="inlineStr">
        <is>
          <t>🚪</t>
        </is>
      </c>
      <c r="E411" s="6" t="inlineStr">
        <is>
          <t>Cezaevi Kapısı</t>
        </is>
      </c>
      <c r="F411" s="6" t="inlineStr">
        <is>
          <t>Tahliye kâğıdın imzalandı. Elinde bir poşet eşya var. Dışarıda hava hatırladığından büyük. Kapıda annen bekliyor; elinde bir termos çay ve girerken bıraktığın mont. Mont hâlâ naftalin kokuyor.</t>
        </is>
      </c>
      <c r="G411" s="5" t="inlineStr">
        <is>
          <t>cezaevi</t>
        </is>
      </c>
      <c r="H411" s="5" t="inlineStr"/>
      <c r="I411" s="5" t="inlineStr">
        <is>
          <t>E</t>
        </is>
      </c>
      <c r="J411" s="5" t="inlineStr"/>
      <c r="K411" s="5" t="inlineStr">
        <is>
          <t>hapis</t>
        </is>
      </c>
      <c r="L411" s="5" t="inlineStr"/>
      <c r="M411" s="5" t="inlineStr"/>
      <c r="N411" s="5" t="inlineStr"/>
      <c r="O411" s="5" t="inlineStr"/>
      <c r="P411" s="5" t="inlineStr"/>
      <c r="Q411" s="5" t="inlineStr"/>
      <c r="R411" s="6" t="inlineStr"/>
      <c r="S411" s="5" t="inlineStr"/>
      <c r="T411" s="5" t="inlineStr"/>
      <c r="U411" s="5" t="inlineStr"/>
      <c r="V411" s="5" t="inlineStr"/>
    </row>
    <row r="412">
      <c r="A412" s="5" t="inlineStr">
        <is>
          <t>b8-hapis-tavla-turnuvasi</t>
        </is>
      </c>
      <c r="B412" s="5" t="n">
        <v>8</v>
      </c>
      <c r="C412" s="5" t="inlineStr">
        <is>
          <t>41 yaş</t>
        </is>
      </c>
      <c r="D412" s="5" t="inlineStr">
        <is>
          <t>🎲</t>
        </is>
      </c>
      <c r="E412" s="6" t="inlineStr">
        <is>
          <t>Koğuşlar Arası Tavla</t>
        </is>
      </c>
      <c r="F412" s="6" t="inlineStr">
        <is>
          <t>Yıllık tavla turnuvası. Koğuşunun temsilcisi sensin; rakibin otuz yıldır içeride olan, zarlarına “Fikriye” ile “Nuriye” diyen Hikmet Amca. Bütün koğuş kapının arkasından izliyor.</t>
        </is>
      </c>
      <c r="G412" s="5" t="inlineStr">
        <is>
          <t>cezaevi</t>
        </is>
      </c>
      <c r="H412" s="5" t="inlineStr"/>
      <c r="I412" s="5" t="inlineStr">
        <is>
          <t>E</t>
        </is>
      </c>
      <c r="J412" s="5" t="inlineStr"/>
      <c r="K412" s="5" t="inlineStr">
        <is>
          <t>hapis</t>
        </is>
      </c>
      <c r="L412" s="5" t="inlineStr"/>
      <c r="M412" s="5" t="inlineStr"/>
      <c r="N412" s="5" t="inlineStr"/>
      <c r="O412" s="5" t="inlineStr"/>
      <c r="P412" s="5" t="inlineStr"/>
      <c r="Q412" s="5" t="inlineStr"/>
      <c r="R412" s="6" t="inlineStr"/>
      <c r="S412" s="5" t="inlineStr"/>
      <c r="T412" s="5" t="inlineStr"/>
      <c r="U412" s="5" t="inlineStr"/>
      <c r="V412" s="5" t="inlineStr"/>
    </row>
    <row r="413">
      <c r="A413" s="5" t="inlineStr">
        <is>
          <t>b8-hapis-mektup</t>
        </is>
      </c>
      <c r="B413" s="5" t="n">
        <v>8</v>
      </c>
      <c r="C413" s="5" t="inlineStr">
        <is>
          <t>51 yaş 6 ay</t>
        </is>
      </c>
      <c r="D413" s="5" t="inlineStr">
        <is>
          <t>✉️</t>
        </is>
      </c>
      <c r="E413" s="6" t="inlineStr">
        <is>
          <t>Mektup Saati</t>
        </is>
      </c>
      <c r="F413" s="6" t="inlineStr">
        <is>
          <t>Koğuşta mektup saati. Koğuşun yarısı kendi mektubunu sana yazdırmak istiyor: koğuşun en genci annesine, en yaşlısı kırk yıl önceki sevgilisine, biri de vergi dairesine yazacak.</t>
        </is>
      </c>
      <c r="G413" s="5" t="inlineStr">
        <is>
          <t>cezaevi</t>
        </is>
      </c>
      <c r="H413" s="5" t="inlineStr"/>
      <c r="I413" s="5" t="inlineStr">
        <is>
          <t>E</t>
        </is>
      </c>
      <c r="J413" s="5" t="inlineStr"/>
      <c r="K413" s="5" t="inlineStr">
        <is>
          <t>hapis</t>
        </is>
      </c>
      <c r="L413" s="5" t="inlineStr"/>
      <c r="M413" s="5" t="inlineStr"/>
      <c r="N413" s="5" t="inlineStr"/>
      <c r="O413" s="5" t="inlineStr"/>
      <c r="P413" s="5" t="inlineStr"/>
      <c r="Q413" s="5" t="inlineStr"/>
      <c r="R413" s="6" t="inlineStr"/>
      <c r="S413" s="5" t="inlineStr"/>
      <c r="T413" s="5" t="inlineStr"/>
      <c r="U413" s="5" t="inlineStr"/>
      <c r="V413" s="5" t="inlineStr"/>
    </row>
    <row r="414">
      <c r="A414" s="5" t="inlineStr">
        <is>
          <t>b8-hapis-cay-ocagi</t>
        </is>
      </c>
      <c r="B414" s="5" t="n">
        <v>8</v>
      </c>
      <c r="C414" s="5" t="inlineStr">
        <is>
          <t>52 yaş 6 ay</t>
        </is>
      </c>
      <c r="D414" s="5" t="inlineStr">
        <is>
          <t>🫖</t>
        </is>
      </c>
      <c r="E414" s="6" t="inlineStr">
        <is>
          <t>Çay Ocağının Varisi</t>
        </is>
      </c>
      <c r="F414" s="6" t="inlineStr">
        <is>
          <t>Koğuşun eski çaycısı tahliye oluyor. Demliği sana mı, genç ve hırslı Deniz'e mi bırakacağını düşünüyor. Koğuşta müdür değişse kimse fark etmez; çaycı değişirse herkes fark eder.</t>
        </is>
      </c>
      <c r="G414" s="5" t="inlineStr">
        <is>
          <t>cezaevi</t>
        </is>
      </c>
      <c r="H414" s="5" t="inlineStr"/>
      <c r="I414" s="5" t="inlineStr">
        <is>
          <t>E</t>
        </is>
      </c>
      <c r="J414" s="5" t="inlineStr"/>
      <c r="K414" s="5" t="inlineStr">
        <is>
          <t>hapis</t>
        </is>
      </c>
      <c r="L414" s="5" t="inlineStr"/>
      <c r="M414" s="5" t="inlineStr"/>
      <c r="N414" s="5" t="inlineStr"/>
      <c r="O414" s="5" t="inlineStr"/>
      <c r="P414" s="5" t="inlineStr"/>
      <c r="Q414" s="5" t="inlineStr"/>
      <c r="R414" s="6" t="inlineStr"/>
      <c r="S414" s="5" t="inlineStr"/>
      <c r="T414" s="5" t="inlineStr"/>
      <c r="U414" s="5" t="inlineStr"/>
      <c r="V414" s="5" t="inlineStr"/>
    </row>
    <row r="415">
      <c r="A415" s="5" t="inlineStr">
        <is>
          <t>b8-hapis-gorus-gunu</t>
        </is>
      </c>
      <c r="B415" s="5" t="n">
        <v>8</v>
      </c>
      <c r="C415" s="5" t="inlineStr">
        <is>
          <t>53 yaş 6 ay</t>
        </is>
      </c>
      <c r="D415" s="5" t="inlineStr">
        <is>
          <t>🪟</t>
        </is>
      </c>
      <c r="E415" s="6" t="inlineStr">
        <is>
          <t>Uzun Yılların Görüşü</t>
        </is>
      </c>
      <c r="F415" s="6" t="inlineStr">
        <is>
          <t>Görüş günü. Camın arkasında bu kez poşet değil, bir albüm var. Seni ziyaret edenler yaşlanmış, sen de. Ahize eskisi gibi cızırtılı; tek fark, artık ikiniz de gözlük takıyorsunuz.</t>
        </is>
      </c>
      <c r="G415" s="5" t="inlineStr">
        <is>
          <t>cezaevi</t>
        </is>
      </c>
      <c r="H415" s="5" t="inlineStr"/>
      <c r="I415" s="5" t="inlineStr">
        <is>
          <t>E</t>
        </is>
      </c>
      <c r="J415" s="5" t="inlineStr"/>
      <c r="K415" s="5" t="inlineStr">
        <is>
          <t>hapis</t>
        </is>
      </c>
      <c r="L415" s="5" t="inlineStr"/>
      <c r="M415" s="5" t="inlineStr"/>
      <c r="N415" s="5" t="inlineStr"/>
      <c r="O415" s="5" t="inlineStr"/>
      <c r="P415" s="5" t="inlineStr"/>
      <c r="Q415" s="5" t="inlineStr"/>
      <c r="R415" s="6" t="inlineStr"/>
      <c r="S415" s="5" t="inlineStr"/>
      <c r="T415" s="5" t="inlineStr"/>
      <c r="U415" s="5" t="inlineStr"/>
      <c r="V415" s="5" t="inlineStr"/>
    </row>
    <row r="416">
      <c r="A416" s="5" t="inlineStr">
        <is>
          <t>b8-cezaevi-kapisi</t>
        </is>
      </c>
      <c r="B416" s="5" t="n">
        <v>8</v>
      </c>
      <c r="C416" s="5" t="inlineStr">
        <is>
          <t>54 yaş</t>
        </is>
      </c>
      <c r="D416" s="5" t="inlineStr">
        <is>
          <t>🚪</t>
        </is>
      </c>
      <c r="E416" s="6" t="inlineStr">
        <is>
          <t>Tahliye Sabahı</t>
        </is>
      </c>
      <c r="F416" s="6" t="inlineStr">
        <is>
          <t>Yıllar sonra kapı açıldı. Poşetinde bir çay bardağı, bir zar ve bir deste mektup var. Otobüslerin rengi, telefonların boyu değişmiş; karşı kaldırımda elinde simitle bekleyen yüz değişmemiş. Arkandan koğuştan biri bağırdı: “Unutma bizi!”</t>
        </is>
      </c>
      <c r="G416" s="5" t="inlineStr">
        <is>
          <t>cezaevi</t>
        </is>
      </c>
      <c r="H416" s="5" t="inlineStr"/>
      <c r="I416" s="5" t="inlineStr">
        <is>
          <t>E</t>
        </is>
      </c>
      <c r="J416" s="5" t="inlineStr"/>
      <c r="K416" s="5" t="inlineStr">
        <is>
          <t>hapis</t>
        </is>
      </c>
      <c r="L416" s="5" t="inlineStr"/>
      <c r="M416" s="5" t="inlineStr"/>
      <c r="N416" s="5" t="inlineStr"/>
      <c r="O416" s="5" t="inlineStr"/>
      <c r="P416" s="5" t="inlineStr"/>
      <c r="Q416" s="5" t="inlineStr"/>
      <c r="R416" s="6" t="inlineStr"/>
      <c r="S416" s="5" t="inlineStr"/>
      <c r="T416" s="5" t="inlineStr"/>
      <c r="U416" s="5" t="inlineStr"/>
      <c r="V416" s="5" t="inlineStr"/>
    </row>
    <row r="417">
      <c r="A417" s="5" t="inlineStr">
        <is>
          <t>b9-cezaevi-kapisi</t>
        </is>
      </c>
      <c r="B417" s="5" t="n">
        <v>9</v>
      </c>
      <c r="C417" s="5" t="inlineStr">
        <is>
          <t>56 yaş</t>
        </is>
      </c>
      <c r="D417" s="5" t="inlineStr">
        <is>
          <t>🚪</t>
        </is>
      </c>
      <c r="E417" s="6" t="inlineStr">
        <is>
          <t>Geç Gelen Tahliye</t>
        </is>
      </c>
      <c r="F417" s="6" t="inlineStr">
        <is>
          <t>Kapı açıldığında saçlarının rengi girdiğin günkünden farklıydı. Poşette bir gözlük, bir tavla zarı ve kırk üç mektup var. Otobüs durağında bir genç sana yer verdi; ilk kez bunun ne demek olduğunu düşündün.</t>
        </is>
      </c>
      <c r="G417" s="5" t="inlineStr">
        <is>
          <t>cezaevi</t>
        </is>
      </c>
      <c r="H417" s="5" t="inlineStr"/>
      <c r="I417" s="5" t="inlineStr">
        <is>
          <t>E</t>
        </is>
      </c>
      <c r="J417" s="5" t="inlineStr"/>
      <c r="K417" s="5" t="inlineStr">
        <is>
          <t>hapis</t>
        </is>
      </c>
      <c r="L417" s="5" t="inlineStr"/>
      <c r="M417" s="5" t="inlineStr"/>
      <c r="N417" s="5" t="inlineStr"/>
      <c r="O417" s="5" t="inlineStr"/>
      <c r="P417" s="5" t="inlineStr"/>
      <c r="Q417" s="5" t="inlineStr"/>
      <c r="R417" s="6" t="inlineStr"/>
      <c r="S417" s="5" t="inlineStr"/>
      <c r="T417" s="5" t="inlineStr"/>
      <c r="U417" s="5" t="inlineStr"/>
      <c r="V417" s="5" t="inlineStr"/>
    </row>
    <row r="418">
      <c r="A418" s="5" t="inlineStr">
        <is>
          <t>b7-sohret-secmeler</t>
        </is>
      </c>
      <c r="B418" s="5" t="n">
        <v>7</v>
      </c>
      <c r="C418" s="5" t="inlineStr">
        <is>
          <t>28 yaş</t>
        </is>
      </c>
      <c r="D418" s="5" t="inlineStr">
        <is>
          <t>🎭</t>
        </is>
      </c>
      <c r="E418" s="6" t="inlineStr">
        <is>
          <t>Akşam Kuşağı Seçmeleri</t>
        </is>
      </c>
      <c r="F418" s="6" t="inlineStr">
        <is>
          <t>Akşam kuşağı dizisi için seçmeler. Koridorda senin gibi kırk kişi, hepsinin elinde aynı sayfa: “Ağabey, o arsayı babam bana bıraktı!” Sıra sende. Yapımcı sandviç yiyor.</t>
        </is>
      </c>
      <c r="G418" s="5" t="inlineStr">
        <is>
          <t>studyo</t>
        </is>
      </c>
      <c r="H418" s="5" t="inlineStr"/>
      <c r="I418" s="5" t="inlineStr"/>
      <c r="J418" s="5" t="n">
        <v>3</v>
      </c>
      <c r="K418" s="5" t="inlineStr"/>
      <c r="L418" s="5" t="inlineStr">
        <is>
          <t>hapis</t>
        </is>
      </c>
      <c r="M418" s="5" t="inlineStr"/>
      <c r="N418" s="5" t="inlineStr"/>
      <c r="O418" s="5" t="inlineStr"/>
      <c r="P418" s="5" t="inlineStr"/>
      <c r="Q418" s="5" t="inlineStr"/>
      <c r="R418" s="6" t="inlineStr"/>
      <c r="S418" s="5" t="inlineStr"/>
      <c r="T418" s="5" t="inlineStr"/>
      <c r="U418" s="5" t="inlineStr"/>
      <c r="V418" s="5" t="inlineStr">
        <is>
          <t>sohret</t>
        </is>
      </c>
    </row>
    <row r="419">
      <c r="A419" s="5" t="inlineStr">
        <is>
          <t>b7-sohret-reklam</t>
        </is>
      </c>
      <c r="B419" s="5" t="n">
        <v>7</v>
      </c>
      <c r="C419" s="5" t="inlineStr">
        <is>
          <t>32 yaş 6 ay</t>
        </is>
      </c>
      <c r="D419" s="5" t="inlineStr">
        <is>
          <t>📱</t>
        </is>
      </c>
      <c r="E419" s="6" t="inlineStr">
        <is>
          <t>Deterjan Reklamı</t>
        </is>
      </c>
      <c r="F419" s="6" t="inlineStr">
        <is>
          <t>Kısa video uygulamasında bir videon patladı: pazarda bir domatesi kokladın ve “Bu domates bana küsmüş” dedin. Üç milyon kişi aynı domatese küstü. Şimdi bir deterjan firması seni reklam yüzü yapmak istiyor; sözleşmede “leke tutmama” maddesi var.</t>
        </is>
      </c>
      <c r="G419" s="5" t="inlineStr">
        <is>
          <t>studyo</t>
        </is>
      </c>
      <c r="H419" s="5" t="inlineStr"/>
      <c r="I419" s="5" t="inlineStr"/>
      <c r="J419" s="5" t="n">
        <v>3</v>
      </c>
      <c r="K419" s="5" t="inlineStr"/>
      <c r="L419" s="5" t="inlineStr">
        <is>
          <t>hapis</t>
        </is>
      </c>
      <c r="M419" s="5" t="inlineStr"/>
      <c r="N419" s="5" t="inlineStr"/>
      <c r="O419" s="5" t="inlineStr"/>
      <c r="P419" s="5" t="inlineStr"/>
      <c r="Q419" s="5" t="inlineStr"/>
      <c r="R419" s="6" t="inlineStr"/>
      <c r="S419" s="5" t="inlineStr"/>
      <c r="T419" s="5" t="inlineStr"/>
      <c r="U419" s="5" t="inlineStr"/>
      <c r="V419" s="5" t="inlineStr">
        <is>
          <t>sohret</t>
        </is>
      </c>
    </row>
    <row r="420">
      <c r="A420" s="5" t="inlineStr">
        <is>
          <t>b7-sohret-taninma</t>
        </is>
      </c>
      <c r="B420" s="5" t="n">
        <v>7</v>
      </c>
      <c r="C420" s="5" t="inlineStr">
        <is>
          <t>37 yaş</t>
        </is>
      </c>
      <c r="D420" s="5" t="inlineStr">
        <is>
          <t>🛒</t>
        </is>
      </c>
      <c r="E420" s="6" t="inlineStr">
        <is>
          <t>Markette Tanınmak</t>
        </is>
      </c>
      <c r="F420" s="6" t="inlineStr">
        <is>
          <t>Kasa sırası. Önündeki teyze dönüp gözlerini kısıyor: “Seni bir yerden tanıyorum. Ya dizide oynuyorsun ya da damadımın bankadaki arkadaşısın.” Sıra ilerlemiyor; herkes cevabını bekliyor.</t>
        </is>
      </c>
      <c r="G420" s="5" t="inlineStr">
        <is>
          <t>market</t>
        </is>
      </c>
      <c r="H420" s="5" t="inlineStr"/>
      <c r="I420" s="5" t="inlineStr"/>
      <c r="J420" s="5" t="n">
        <v>3</v>
      </c>
      <c r="K420" s="5" t="inlineStr"/>
      <c r="L420" s="5" t="inlineStr">
        <is>
          <t>hapis</t>
        </is>
      </c>
      <c r="M420" s="5" t="inlineStr"/>
      <c r="N420" s="5" t="inlineStr"/>
      <c r="O420" s="5" t="inlineStr"/>
      <c r="P420" s="5" t="inlineStr"/>
      <c r="Q420" s="5" t="inlineStr"/>
      <c r="R420" s="6" t="inlineStr"/>
      <c r="S420" s="5" t="inlineStr"/>
      <c r="T420" s="5" t="inlineStr"/>
      <c r="U420" s="5" t="inlineStr"/>
      <c r="V420" s="5" t="inlineStr">
        <is>
          <t>sohret</t>
        </is>
      </c>
    </row>
    <row r="421">
      <c r="A421" s="5" t="inlineStr">
        <is>
          <t>b8-sohret-kapak</t>
        </is>
      </c>
      <c r="B421" s="5" t="n">
        <v>8</v>
      </c>
      <c r="C421" s="5" t="inlineStr">
        <is>
          <t>44 yaş</t>
        </is>
      </c>
      <c r="D421" s="5" t="inlineStr">
        <is>
          <t>📰</t>
        </is>
      </c>
      <c r="E421" s="6" t="inlineStr">
        <is>
          <t>Magazin Kapağı</t>
        </is>
      </c>
      <c r="F421" s="6" t="inlineStr">
        <is>
          <t>Bir magazin dergisi kapağını sana ayırdı. Fotoğrafçı “Doğal ol” diyor, stilist üstüne üç kat ceket giydiriyor. Kapak başlığı hâlâ belli değil; editör seninle konuşup karar verecek.</t>
        </is>
      </c>
      <c r="G421" s="5" t="inlineStr">
        <is>
          <t>studyo</t>
        </is>
      </c>
      <c r="H421" s="5" t="inlineStr"/>
      <c r="I421" s="5" t="inlineStr"/>
      <c r="J421" s="5" t="n">
        <v>3</v>
      </c>
      <c r="K421" s="5" t="inlineStr"/>
      <c r="L421" s="5" t="inlineStr">
        <is>
          <t>hapis</t>
        </is>
      </c>
      <c r="M421" s="5" t="inlineStr"/>
      <c r="N421" s="5" t="inlineStr"/>
      <c r="O421" s="5" t="inlineStr"/>
      <c r="P421" s="5" t="inlineStr"/>
      <c r="Q421" s="5" t="inlineStr"/>
      <c r="R421" s="6" t="inlineStr"/>
      <c r="S421" s="5" t="inlineStr"/>
      <c r="T421" s="5" t="inlineStr"/>
      <c r="U421" s="5" t="inlineStr"/>
      <c r="V421" s="5" t="inlineStr">
        <is>
          <t>sohret</t>
        </is>
      </c>
    </row>
    <row r="422">
      <c r="A422" s="5" t="inlineStr">
        <is>
          <t>b8-sohret-program</t>
        </is>
      </c>
      <c r="B422" s="5" t="n">
        <v>8</v>
      </c>
      <c r="C422" s="5" t="inlineStr">
        <is>
          <t>52 yaş</t>
        </is>
      </c>
      <c r="D422" s="5" t="inlineStr">
        <is>
          <t>🎙️</t>
        </is>
      </c>
      <c r="E422" s="6" t="inlineStr">
        <is>
          <t>Kendi Programın</t>
        </is>
      </c>
      <c r="F422" s="6" t="inlineStr">
        <is>
          <t>Bir kanal sana akşam kuşağında sohbet programı teklif etti. Adı henüz yok, dekoru var: iki koltuk, bir sehpa, sahte bir kütüphane. Yapımcı ilk konuğu soruyor; sen de ilk cümleyi.</t>
        </is>
      </c>
      <c r="G422" s="5" t="inlineStr">
        <is>
          <t>studyo</t>
        </is>
      </c>
      <c r="H422" s="5" t="inlineStr"/>
      <c r="I422" s="5" t="inlineStr"/>
      <c r="J422" s="5" t="n">
        <v>3</v>
      </c>
      <c r="K422" s="5" t="inlineStr"/>
      <c r="L422" s="5" t="inlineStr">
        <is>
          <t>hapis</t>
        </is>
      </c>
      <c r="M422" s="5" t="inlineStr"/>
      <c r="N422" s="5" t="inlineStr"/>
      <c r="O422" s="5" t="inlineStr"/>
      <c r="P422" s="5" t="inlineStr"/>
      <c r="Q422" s="5" t="inlineStr"/>
      <c r="R422" s="6" t="inlineStr"/>
      <c r="S422" s="5" t="inlineStr"/>
      <c r="T422" s="5" t="inlineStr"/>
      <c r="U422" s="5" t="inlineStr"/>
      <c r="V422" s="5" t="inlineStr">
        <is>
          <t>sohret</t>
        </is>
      </c>
    </row>
    <row r="423">
      <c r="A423" s="5" t="inlineStr">
        <is>
          <t>b9-sohret-juri</t>
        </is>
      </c>
      <c r="B423" s="5" t="n">
        <v>9</v>
      </c>
      <c r="C423" s="5" t="inlineStr">
        <is>
          <t>60 yaş</t>
        </is>
      </c>
      <c r="D423" s="5" t="inlineStr">
        <is>
          <t>🏆</t>
        </is>
      </c>
      <c r="E423" s="6" t="inlineStr">
        <is>
          <t>Jüri Koltuğu</t>
        </is>
      </c>
      <c r="F423" s="6" t="inlineStr">
        <is>
          <t>Yarışma programında jürisin. Yarışmacı yirmi beş yıl önceki dizinden senin repliğini okuyor, yanlış. Yanındaki jüri fısıldıyor: “Nerede o eski diziler?” Akşam da “Nerede O Eski Yıldızlar” programına konuksun.</t>
        </is>
      </c>
      <c r="G423" s="5" t="inlineStr">
        <is>
          <t>studyo</t>
        </is>
      </c>
      <c r="H423" s="5" t="inlineStr"/>
      <c r="I423" s="5" t="inlineStr"/>
      <c r="J423" s="5" t="n">
        <v>3</v>
      </c>
      <c r="K423" s="5" t="inlineStr"/>
      <c r="L423" s="5" t="inlineStr">
        <is>
          <t>hapis</t>
        </is>
      </c>
      <c r="M423" s="5" t="inlineStr"/>
      <c r="N423" s="5" t="inlineStr"/>
      <c r="O423" s="5" t="inlineStr"/>
      <c r="P423" s="5" t="inlineStr"/>
      <c r="Q423" s="5" t="inlineStr"/>
      <c r="R423" s="6" t="inlineStr"/>
      <c r="S423" s="5" t="inlineStr"/>
      <c r="T423" s="5" t="inlineStr"/>
      <c r="U423" s="5" t="inlineStr"/>
      <c r="V423" s="5" t="inlineStr">
        <is>
          <t>sohret</t>
        </is>
      </c>
    </row>
    <row r="424">
      <c r="A424" s="5" t="inlineStr">
        <is>
          <t>b7-girisim-garaj</t>
        </is>
      </c>
      <c r="B424" s="5" t="n">
        <v>7</v>
      </c>
      <c r="C424" s="5" t="inlineStr">
        <is>
          <t>28 yaş 6 ay</t>
        </is>
      </c>
      <c r="D424" s="5" t="inlineStr">
        <is>
          <t>🔧</t>
        </is>
      </c>
      <c r="E424" s="6" t="inlineStr">
        <is>
          <t>Garajdaki Şirket</t>
        </is>
      </c>
      <c r="F424" s="6" t="inlineStr">
        <is>
          <t>Şirketin, babanın garajında. Masa bir kapı, sunucu eski buzdolabının üstünde, çalışanlar sen ve kuzen. Kuzen maaş istemiyor ama şirket arabası istiyor; araba da babanın.</t>
        </is>
      </c>
      <c r="G424" s="5" t="inlineStr">
        <is>
          <t>ev</t>
        </is>
      </c>
      <c r="H424" s="5" t="inlineStr"/>
      <c r="I424" s="5" t="inlineStr"/>
      <c r="J424" s="5" t="n">
        <v>3</v>
      </c>
      <c r="K424" s="5" t="inlineStr"/>
      <c r="L424" s="5" t="inlineStr">
        <is>
          <t>hapis</t>
        </is>
      </c>
      <c r="M424" s="5" t="inlineStr"/>
      <c r="N424" s="5" t="inlineStr"/>
      <c r="O424" s="5" t="inlineStr"/>
      <c r="P424" s="5" t="inlineStr"/>
      <c r="Q424" s="5" t="inlineStr"/>
      <c r="R424" s="6" t="inlineStr"/>
      <c r="S424" s="5" t="inlineStr"/>
      <c r="T424" s="5" t="inlineStr"/>
      <c r="U424" s="5" t="inlineStr"/>
      <c r="V424" s="5" t="inlineStr">
        <is>
          <t>girisimci</t>
        </is>
      </c>
    </row>
    <row r="425">
      <c r="A425" s="5" t="inlineStr">
        <is>
          <t>b7-girisim-pivot</t>
        </is>
      </c>
      <c r="B425" s="5" t="n">
        <v>7</v>
      </c>
      <c r="C425" s="5" t="inlineStr">
        <is>
          <t>33 yaş</t>
        </is>
      </c>
      <c r="D425" s="5" t="inlineStr">
        <is>
          <t>🔄</t>
        </is>
      </c>
      <c r="E425" s="6" t="inlineStr">
        <is>
          <t>Pivot Zamanı</t>
        </is>
      </c>
      <c r="F425" s="6" t="inlineStr">
        <is>
          <t>Rakip bir girişim senin ürününü yapay zekâyla, yarı fiyatına, iki haftada yapmış. Yatırımcın toplantıda tek kelime söylüyor: “Pivot.” Hangi yöne döneceğini sormuyor; sadece dönmeni istiyor.</t>
        </is>
      </c>
      <c r="G425" s="5" t="inlineStr">
        <is>
          <t>ofis</t>
        </is>
      </c>
      <c r="H425" s="5" t="inlineStr"/>
      <c r="I425" s="5" t="inlineStr"/>
      <c r="J425" s="5" t="n">
        <v>3</v>
      </c>
      <c r="K425" s="5" t="inlineStr"/>
      <c r="L425" s="5" t="inlineStr">
        <is>
          <t>hapis</t>
        </is>
      </c>
      <c r="M425" s="5" t="inlineStr"/>
      <c r="N425" s="5" t="inlineStr"/>
      <c r="O425" s="5" t="inlineStr"/>
      <c r="P425" s="5" t="inlineStr"/>
      <c r="Q425" s="5" t="inlineStr"/>
      <c r="R425" s="6" t="inlineStr"/>
      <c r="S425" s="5" t="inlineStr"/>
      <c r="T425" s="5" t="inlineStr"/>
      <c r="U425" s="5" t="inlineStr"/>
      <c r="V425" s="5" t="inlineStr">
        <is>
          <t>girisimci</t>
        </is>
      </c>
    </row>
    <row r="426">
      <c r="A426" s="5" t="inlineStr">
        <is>
          <t>b7-girisim-ekosistem</t>
        </is>
      </c>
      <c r="B426" s="5" t="n">
        <v>7</v>
      </c>
      <c r="C426" s="5" t="inlineStr">
        <is>
          <t>38 yaş</t>
        </is>
      </c>
      <c r="D426" s="5" t="inlineStr">
        <is>
          <t>🚀</t>
        </is>
      </c>
      <c r="E426" s="6" t="inlineStr">
        <is>
          <t>Ekosistem Buluşması</t>
        </is>
      </c>
      <c r="F426" s="6" t="inlineStr">
        <is>
          <t>Ekosistem buluşması: yüz kişi, üç yüz kartvizit, tek mikrofon. Herkes “sektörü sarsmaktan” bahsediyor; sarsılan tek şey kahve makinesi. Moderatör sana dönüyor: “Başarının sırrı neydi?”</t>
        </is>
      </c>
      <c r="G426" s="5" t="inlineStr">
        <is>
          <t>kafe</t>
        </is>
      </c>
      <c r="H426" s="5" t="inlineStr"/>
      <c r="I426" s="5" t="inlineStr"/>
      <c r="J426" s="5" t="n">
        <v>3</v>
      </c>
      <c r="K426" s="5" t="inlineStr"/>
      <c r="L426" s="5" t="inlineStr">
        <is>
          <t>hapis</t>
        </is>
      </c>
      <c r="M426" s="5" t="inlineStr"/>
      <c r="N426" s="5" t="inlineStr"/>
      <c r="O426" s="5" t="inlineStr"/>
      <c r="P426" s="5" t="inlineStr"/>
      <c r="Q426" s="5" t="inlineStr"/>
      <c r="R426" s="6" t="inlineStr"/>
      <c r="S426" s="5" t="inlineStr"/>
      <c r="T426" s="5" t="inlineStr"/>
      <c r="U426" s="5" t="inlineStr"/>
      <c r="V426" s="5" t="inlineStr">
        <is>
          <t>girisimci</t>
        </is>
      </c>
    </row>
    <row r="427">
      <c r="A427" s="5" t="inlineStr">
        <is>
          <t>b8-girisim-kurul</t>
        </is>
      </c>
      <c r="B427" s="5" t="n">
        <v>8</v>
      </c>
      <c r="C427" s="5" t="inlineStr">
        <is>
          <t>43 yaş</t>
        </is>
      </c>
      <c r="D427" s="5" t="inlineStr">
        <is>
          <t>📈</t>
        </is>
      </c>
      <c r="E427" s="6" t="inlineStr">
        <is>
          <t>Yönetim Kurulu</t>
        </is>
      </c>
      <c r="F427" s="6" t="inlineStr">
        <is>
          <t>Şirket büyüdü: iki kat ofis, bir masa tenisi, adını bilmediğin kırk çalışan. Kurul toplantısında biri “kültür” sunumu yapıyor. Yirminci slaytta senin fotoğrafın var; altında “Kurucu (tarihî)” yazıyor.</t>
        </is>
      </c>
      <c r="G427" s="5" t="inlineStr">
        <is>
          <t>ofis</t>
        </is>
      </c>
      <c r="H427" s="5" t="inlineStr"/>
      <c r="I427" s="5" t="inlineStr"/>
      <c r="J427" s="5" t="n">
        <v>3</v>
      </c>
      <c r="K427" s="5" t="inlineStr"/>
      <c r="L427" s="5" t="inlineStr">
        <is>
          <t>hapis</t>
        </is>
      </c>
      <c r="M427" s="5" t="inlineStr"/>
      <c r="N427" s="5" t="inlineStr"/>
      <c r="O427" s="5" t="inlineStr"/>
      <c r="P427" s="5" t="inlineStr"/>
      <c r="Q427" s="5" t="inlineStr"/>
      <c r="R427" s="6" t="inlineStr"/>
      <c r="S427" s="5" t="inlineStr"/>
      <c r="T427" s="5" t="inlineStr"/>
      <c r="U427" s="5" t="inlineStr"/>
      <c r="V427" s="5" t="inlineStr">
        <is>
          <t>girisimci</t>
        </is>
      </c>
    </row>
    <row r="428">
      <c r="A428" s="5" t="inlineStr">
        <is>
          <t>b8-girisim-kader</t>
        </is>
      </c>
      <c r="B428" s="5" t="n">
        <v>8</v>
      </c>
      <c r="C428" s="5" t="inlineStr">
        <is>
          <t>48 yaş</t>
        </is>
      </c>
      <c r="D428" s="5" t="inlineStr">
        <is>
          <t>⚖️</t>
        </is>
      </c>
      <c r="E428" s="6" t="inlineStr">
        <is>
          <t>Holding ya da Konkordato</t>
        </is>
      </c>
      <c r="F428" s="6" t="inlineStr">
        <is>
          <t>Banka müdürünün masasında iki dosya: birinde “grup şirketleri”, diğerinde “yapılandırma” yazıyor. “Hangisi olacağı bu hafta belli olur” diyor. Çay geldi; müdürünki cam bardakta, seninki kartonda.</t>
        </is>
      </c>
      <c r="G428" s="5" t="inlineStr">
        <is>
          <t>banka</t>
        </is>
      </c>
      <c r="H428" s="5" t="inlineStr"/>
      <c r="I428" s="5" t="inlineStr"/>
      <c r="J428" s="5" t="n">
        <v>3</v>
      </c>
      <c r="K428" s="5" t="inlineStr"/>
      <c r="L428" s="5" t="inlineStr">
        <is>
          <t>hapis</t>
        </is>
      </c>
      <c r="M428" s="5" t="inlineStr"/>
      <c r="N428" s="5" t="inlineStr"/>
      <c r="O428" s="5" t="inlineStr"/>
      <c r="P428" s="5" t="inlineStr"/>
      <c r="Q428" s="5" t="inlineStr"/>
      <c r="R428" s="6" t="inlineStr"/>
      <c r="S428" s="5" t="inlineStr"/>
      <c r="T428" s="5" t="inlineStr"/>
      <c r="U428" s="5" t="inlineStr"/>
      <c r="V428" s="5" t="inlineStr">
        <is>
          <t>girisimci</t>
        </is>
      </c>
    </row>
    <row r="429">
      <c r="A429" s="5" t="inlineStr">
        <is>
          <t>b9-girisim-nasihat</t>
        </is>
      </c>
      <c r="B429" s="5" t="n">
        <v>9</v>
      </c>
      <c r="C429" s="5" t="inlineStr">
        <is>
          <t>61 yaş</t>
        </is>
      </c>
      <c r="D429" s="5" t="inlineStr">
        <is>
          <t>🎓</t>
        </is>
      </c>
      <c r="E429" s="6" t="inlineStr">
        <is>
          <t>Genç Girişimcilere Nasihat</t>
        </is>
      </c>
      <c r="F429" s="6" t="inlineStr">
        <is>
          <t>Üniversitede genç girişimcilere konuşacaksın. Salonda yüz genç; hepsinin şirketi var, hiçbirinin müşterisi yok. İlk soru ön sıradan: “Emekli olunca ne yapacaksınız?” Soran, emeklilere uygulama yapıyor.</t>
        </is>
      </c>
      <c r="G429" s="5" t="inlineStr">
        <is>
          <t>universite</t>
        </is>
      </c>
      <c r="H429" s="5" t="inlineStr"/>
      <c r="I429" s="5" t="inlineStr"/>
      <c r="J429" s="5" t="n">
        <v>3</v>
      </c>
      <c r="K429" s="5" t="inlineStr"/>
      <c r="L429" s="5" t="inlineStr">
        <is>
          <t>hapis</t>
        </is>
      </c>
      <c r="M429" s="5" t="inlineStr"/>
      <c r="N429" s="5" t="inlineStr"/>
      <c r="O429" s="5" t="inlineStr"/>
      <c r="P429" s="5" t="inlineStr"/>
      <c r="Q429" s="5" t="inlineStr"/>
      <c r="R429" s="6" t="inlineStr"/>
      <c r="S429" s="5" t="inlineStr"/>
      <c r="T429" s="5" t="inlineStr"/>
      <c r="U429" s="5" t="inlineStr"/>
      <c r="V429" s="5" t="inlineStr">
        <is>
          <t>girisimci</t>
        </is>
      </c>
    </row>
    <row r="430">
      <c r="A430" s="5" t="inlineStr">
        <is>
          <t>b7-politika-cay</t>
        </is>
      </c>
      <c r="B430" s="5" t="n">
        <v>7</v>
      </c>
      <c r="C430" s="5" t="inlineStr">
        <is>
          <t>36 yaş 6 ay</t>
        </is>
      </c>
      <c r="D430" s="5" t="inlineStr">
        <is>
          <t>🫖</t>
        </is>
      </c>
      <c r="E430" s="6" t="inlineStr">
        <is>
          <t>Gençlik Kollarının En Yaşlısı</t>
        </is>
      </c>
      <c r="F430" s="6" t="inlineStr">
        <is>
          <t>Yeşil Balkon Partisi'nin il başkanı seni gençlik kollarına yazdı: “Önce teşkilatı tanı.” Otuz altı yaşınla en yaşlı gençsin. İlk görevin: mahalle mitingi için iki yüz bardak çay. Semaver bir tane, il başkanı yolda.</t>
        </is>
      </c>
      <c r="G430" s="5" t="inlineStr">
        <is>
          <t>sokak</t>
        </is>
      </c>
      <c r="H430" s="5" t="inlineStr"/>
      <c r="I430" s="5" t="inlineStr"/>
      <c r="J430" s="5" t="n">
        <v>3</v>
      </c>
      <c r="K430" s="5" t="inlineStr"/>
      <c r="L430" s="5" t="inlineStr">
        <is>
          <t>hapis</t>
        </is>
      </c>
      <c r="M430" s="5" t="inlineStr"/>
      <c r="N430" s="5" t="inlineStr"/>
      <c r="O430" s="5" t="inlineStr"/>
      <c r="P430" s="5" t="inlineStr"/>
      <c r="Q430" s="5" t="inlineStr"/>
      <c r="R430" s="6" t="inlineStr"/>
      <c r="S430" s="5" t="inlineStr"/>
      <c r="T430" s="5" t="inlineStr"/>
      <c r="U430" s="5" t="inlineStr"/>
      <c r="V430" s="5" t="inlineStr">
        <is>
          <t>politika</t>
        </is>
      </c>
    </row>
    <row r="431">
      <c r="A431" s="5" t="inlineStr">
        <is>
          <t>b7-politika-kaldirim</t>
        </is>
      </c>
      <c r="B431" s="5" t="n">
        <v>7</v>
      </c>
      <c r="C431" s="5" t="inlineStr">
        <is>
          <t>38 yaş 6 ay</t>
        </is>
      </c>
      <c r="D431" s="5" t="inlineStr">
        <is>
          <t>🧱</t>
        </is>
      </c>
      <c r="E431" s="6" t="inlineStr">
        <is>
          <t>Kaldırım Vaadi</t>
        </is>
      </c>
      <c r="F431" s="6" t="inlineStr">
        <is>
          <t>Belediye meclis üyeliğine adaysın. Bölgende tek mesele var: kırk yıldır yapılmayan bir kaldırım. Rakip aday Çınar Altı Hareketi'nden; o da kaldırım vaat ediyor, üstelik iki taraflı.</t>
        </is>
      </c>
      <c r="G431" s="5" t="inlineStr">
        <is>
          <t>sokak</t>
        </is>
      </c>
      <c r="H431" s="5" t="inlineStr"/>
      <c r="I431" s="5" t="inlineStr"/>
      <c r="J431" s="5" t="n">
        <v>3</v>
      </c>
      <c r="K431" s="5" t="inlineStr"/>
      <c r="L431" s="5" t="inlineStr">
        <is>
          <t>hapis</t>
        </is>
      </c>
      <c r="M431" s="5" t="inlineStr"/>
      <c r="N431" s="5" t="inlineStr"/>
      <c r="O431" s="5" t="inlineStr"/>
      <c r="P431" s="5" t="inlineStr"/>
      <c r="Q431" s="5" t="inlineStr"/>
      <c r="R431" s="6" t="inlineStr"/>
      <c r="S431" s="5" t="inlineStr"/>
      <c r="T431" s="5" t="inlineStr"/>
      <c r="U431" s="5" t="inlineStr"/>
      <c r="V431" s="5" t="inlineStr">
        <is>
          <t>politika</t>
        </is>
      </c>
    </row>
    <row r="432">
      <c r="A432" s="5" t="inlineStr">
        <is>
          <t>b8-politika-otobus</t>
        </is>
      </c>
      <c r="B432" s="5" t="n">
        <v>8</v>
      </c>
      <c r="C432" s="5" t="inlineStr">
        <is>
          <t>43 yaş</t>
        </is>
      </c>
      <c r="D432" s="5" t="inlineStr">
        <is>
          <t>🚌</t>
        </is>
      </c>
      <c r="E432" s="6" t="inlineStr">
        <is>
          <t>Seçim Otobüsü</t>
        </is>
      </c>
      <c r="F432" s="6" t="inlineStr">
        <is>
          <t>Belediye başkan adayısın. Parti bir seçim otobüsü verdi: tepesinde hoparlör, yanında dev fotoğrafın, içinde yalnızca şoföre çalışan bir klima. Günde on iki mahalle, her mahallede aynı şarkı.</t>
        </is>
      </c>
      <c r="G432" s="5" t="inlineStr">
        <is>
          <t>trafik</t>
        </is>
      </c>
      <c r="H432" s="5" t="inlineStr"/>
      <c r="I432" s="5" t="inlineStr"/>
      <c r="J432" s="5" t="n">
        <v>3</v>
      </c>
      <c r="K432" s="5" t="inlineStr"/>
      <c r="L432" s="5" t="inlineStr">
        <is>
          <t>hapis</t>
        </is>
      </c>
      <c r="M432" s="5" t="inlineStr"/>
      <c r="N432" s="5" t="inlineStr"/>
      <c r="O432" s="5" t="inlineStr"/>
      <c r="P432" s="5" t="inlineStr"/>
      <c r="Q432" s="5" t="inlineStr"/>
      <c r="R432" s="6" t="inlineStr"/>
      <c r="S432" s="5" t="inlineStr"/>
      <c r="T432" s="5" t="inlineStr"/>
      <c r="U432" s="5" t="inlineStr"/>
      <c r="V432" s="5" t="inlineStr">
        <is>
          <t>politika</t>
        </is>
      </c>
    </row>
    <row r="433">
      <c r="A433" s="5" t="inlineStr">
        <is>
          <t>b8-politika-tartisma</t>
        </is>
      </c>
      <c r="B433" s="5" t="n">
        <v>8</v>
      </c>
      <c r="C433" s="5" t="inlineStr">
        <is>
          <t>47 yaş</t>
        </is>
      </c>
      <c r="D433" s="5" t="inlineStr">
        <is>
          <t>📺</t>
        </is>
      </c>
      <c r="E433" s="6" t="inlineStr">
        <is>
          <t>Gece Yarısı Tartışması</t>
        </is>
      </c>
      <c r="F433" s="6" t="inlineStr">
        <is>
          <t>Gece yarısı tartışma programı. Masada dört konuk, tek bardak su; sunucunun kırmızı bir zili var. Konu: “Kavşaklara göbek mi, ışık mı?” Karşındaki göbeği savunuyor. Sen parti adına henüz karar vermedin.</t>
        </is>
      </c>
      <c r="G433" s="5" t="inlineStr">
        <is>
          <t>studyo</t>
        </is>
      </c>
      <c r="H433" s="5" t="inlineStr"/>
      <c r="I433" s="5" t="inlineStr"/>
      <c r="J433" s="5" t="n">
        <v>3</v>
      </c>
      <c r="K433" s="5" t="inlineStr"/>
      <c r="L433" s="5" t="inlineStr">
        <is>
          <t>hapis</t>
        </is>
      </c>
      <c r="M433" s="5" t="inlineStr"/>
      <c r="N433" s="5" t="inlineStr"/>
      <c r="O433" s="5" t="inlineStr"/>
      <c r="P433" s="5" t="inlineStr"/>
      <c r="Q433" s="5" t="inlineStr"/>
      <c r="R433" s="6" t="inlineStr"/>
      <c r="S433" s="5" t="inlineStr"/>
      <c r="T433" s="5" t="inlineStr"/>
      <c r="U433" s="5" t="inlineStr"/>
      <c r="V433" s="5" t="inlineStr">
        <is>
          <t>politika</t>
        </is>
      </c>
    </row>
    <row r="434">
      <c r="A434" s="5" t="inlineStr">
        <is>
          <t>b8-politika-kurdele</t>
        </is>
      </c>
      <c r="B434" s="5" t="n">
        <v>8</v>
      </c>
      <c r="C434" s="5" t="inlineStr">
        <is>
          <t>53 yaş</t>
        </is>
      </c>
      <c r="D434" s="5" t="inlineStr">
        <is>
          <t>🎀</t>
        </is>
      </c>
      <c r="E434" s="6" t="inlineStr">
        <is>
          <t>Kör Makas</t>
        </is>
      </c>
      <c r="F434" s="6" t="inlineStr">
        <is>
          <t>Bir mahalle çeşmesinin açılışı. Kurdeleyi kesecek kişi gelmedi; makas sana uzatıldı. Makas kör, kurdele kalın, kalabalık sabırsız, çeşmeden henüz su akmıyor.</t>
        </is>
      </c>
      <c r="G434" s="5" t="inlineStr">
        <is>
          <t>sokak</t>
        </is>
      </c>
      <c r="H434" s="5" t="inlineStr"/>
      <c r="I434" s="5" t="inlineStr"/>
      <c r="J434" s="5" t="n">
        <v>3</v>
      </c>
      <c r="K434" s="5" t="inlineStr"/>
      <c r="L434" s="5" t="inlineStr">
        <is>
          <t>hapis</t>
        </is>
      </c>
      <c r="M434" s="5" t="inlineStr"/>
      <c r="N434" s="5" t="inlineStr"/>
      <c r="O434" s="5" t="inlineStr"/>
      <c r="P434" s="5" t="inlineStr"/>
      <c r="Q434" s="5" t="inlineStr"/>
      <c r="R434" s="6" t="inlineStr"/>
      <c r="S434" s="5" t="inlineStr"/>
      <c r="T434" s="5" t="inlineStr"/>
      <c r="U434" s="5" t="inlineStr"/>
      <c r="V434" s="5" t="inlineStr">
        <is>
          <t>politika</t>
        </is>
      </c>
    </row>
    <row r="435">
      <c r="A435" s="5" t="inlineStr">
        <is>
          <t>b9-politika-ani</t>
        </is>
      </c>
      <c r="B435" s="5" t="n">
        <v>9</v>
      </c>
      <c r="C435" s="5" t="inlineStr">
        <is>
          <t>58 yaş</t>
        </is>
      </c>
      <c r="D435" s="5" t="inlineStr">
        <is>
          <t>📖</t>
        </is>
      </c>
      <c r="E435" s="6" t="inlineStr">
        <is>
          <t>Anı Kitabı</t>
        </is>
      </c>
      <c r="F435" s="6" t="inlineStr">
        <is>
          <t>Anı kitabını yazıyorsun. Yayınevi üç şey istiyor: bir sır, bir kavga, bir de ciddi ama sıcak bir kapak fotoğrafı. Sende çok miting çayı, iki kaldırım ve bir seçim otobüsü var. Sır yok.</t>
        </is>
      </c>
      <c r="G435" s="5" t="inlineStr">
        <is>
          <t>ev</t>
        </is>
      </c>
      <c r="H435" s="5" t="inlineStr"/>
      <c r="I435" s="5" t="inlineStr"/>
      <c r="J435" s="5" t="n">
        <v>3</v>
      </c>
      <c r="K435" s="5" t="inlineStr"/>
      <c r="L435" s="5" t="inlineStr">
        <is>
          <t>hapis</t>
        </is>
      </c>
      <c r="M435" s="5" t="inlineStr"/>
      <c r="N435" s="5" t="inlineStr"/>
      <c r="O435" s="5" t="inlineStr"/>
      <c r="P435" s="5" t="inlineStr"/>
      <c r="Q435" s="5" t="inlineStr"/>
      <c r="R435" s="6" t="inlineStr"/>
      <c r="S435" s="5" t="inlineStr"/>
      <c r="T435" s="5" t="inlineStr"/>
      <c r="U435" s="5" t="inlineStr"/>
      <c r="V435" s="5" t="inlineStr">
        <is>
          <t>politika</t>
        </is>
      </c>
    </row>
    <row r="436">
      <c r="A436" s="5" t="inlineStr">
        <is>
          <t>b9-politika-kahve</t>
        </is>
      </c>
      <c r="B436" s="5" t="n">
        <v>9</v>
      </c>
      <c r="C436" s="5" t="inlineStr">
        <is>
          <t>66 yaş</t>
        </is>
      </c>
      <c r="D436" s="5" t="inlineStr">
        <is>
          <t>🪑</t>
        </is>
      </c>
      <c r="E436" s="6" t="inlineStr">
        <is>
          <t>Başkanım</t>
        </is>
      </c>
      <c r="F436" s="6" t="inlineStr">
        <is>
          <t>Kahvede sana “Başkanım” diyorlar; neyin başkanı olduğunu kimse sormuyor. Masana üç ricacı geldi: biri kaldırım istiyor, biri torununa iş, biri de kedisinin belediyeden yediği cezayı kaldırmanı.</t>
        </is>
      </c>
      <c r="G436" s="5" t="inlineStr">
        <is>
          <t>kafe</t>
        </is>
      </c>
      <c r="H436" s="5" t="inlineStr"/>
      <c r="I436" s="5" t="inlineStr"/>
      <c r="J436" s="5" t="n">
        <v>3</v>
      </c>
      <c r="K436" s="5" t="inlineStr"/>
      <c r="L436" s="5" t="inlineStr">
        <is>
          <t>hapis</t>
        </is>
      </c>
      <c r="M436" s="5" t="inlineStr"/>
      <c r="N436" s="5" t="inlineStr"/>
      <c r="O436" s="5" t="inlineStr"/>
      <c r="P436" s="5" t="inlineStr"/>
      <c r="Q436" s="5" t="inlineStr"/>
      <c r="R436" s="6" t="inlineStr"/>
      <c r="S436" s="5" t="inlineStr"/>
      <c r="T436" s="5" t="inlineStr"/>
      <c r="U436" s="5" t="inlineStr"/>
      <c r="V436" s="5" t="inlineStr">
        <is>
          <t>politika</t>
        </is>
      </c>
    </row>
    <row r="437">
      <c r="A437" s="5" t="inlineStr">
        <is>
          <t>k10-sohret</t>
        </is>
      </c>
      <c r="B437" s="5" t="n">
        <v>7</v>
      </c>
      <c r="C437" s="5" t="inlineStr">
        <is>
          <t>35 yaş</t>
        </is>
      </c>
      <c r="D437" s="5" t="inlineStr">
        <is>
          <t>💥</t>
        </is>
      </c>
      <c r="E437" s="6" t="inlineStr">
        <is>
          <t>Skandal</t>
        </is>
      </c>
      <c r="F437" s="6" t="inlineStr">
        <is>
          <t>Bir restoranda garsona “Beni tanımıyor musun?” derken çekilmiş on saniyelik video her yerde. Sponsorlar arıyor, yapımcı aramıyor. Kısa video uygulamasında adın bir fiile dönüştü.</t>
        </is>
      </c>
      <c r="G437" s="5" t="inlineStr">
        <is>
          <t>studyo</t>
        </is>
      </c>
      <c r="H437" s="5" t="inlineStr"/>
      <c r="I437" s="5" t="inlineStr">
        <is>
          <t>E</t>
        </is>
      </c>
      <c r="J437" s="5" t="inlineStr"/>
      <c r="K437" s="5" t="inlineStr"/>
      <c r="L437" s="5" t="inlineStr">
        <is>
          <t>hapis</t>
        </is>
      </c>
      <c r="M437" s="5" t="inlineStr"/>
      <c r="N437" s="5" t="inlineStr"/>
      <c r="O437" s="5" t="inlineStr"/>
      <c r="P437" s="5" t="inlineStr"/>
      <c r="Q437" s="5" t="n">
        <v>10</v>
      </c>
      <c r="R437" s="6" t="inlineStr">
        <is>
          <t>Şöhretin ilk büyük sınavı: bu karardan sonra ya ekranda kalırsın ya da ekrandan tamamen çıkarsın.</t>
        </is>
      </c>
      <c r="S437" s="5" t="inlineStr"/>
      <c r="T437" s="5" t="inlineStr"/>
      <c r="U437" s="5" t="inlineStr"/>
      <c r="V437" s="5" t="inlineStr">
        <is>
          <t>sohret</t>
        </is>
      </c>
    </row>
    <row r="438">
      <c r="A438" s="5" t="inlineStr">
        <is>
          <t>k10-girisimci</t>
        </is>
      </c>
      <c r="B438" s="5" t="n">
        <v>7</v>
      </c>
      <c r="C438" s="5" t="inlineStr">
        <is>
          <t>35 yaş</t>
        </is>
      </c>
      <c r="D438" s="5" t="inlineStr">
        <is>
          <t>💰</t>
        </is>
      </c>
      <c r="E438" s="6" t="inlineStr">
        <is>
          <t>Yatırım Turu</t>
        </is>
      </c>
      <c r="F438" s="6" t="inlineStr">
        <is>
          <t>Yatırım turu masada. Bir fon şirketinin yarısını istiyor; karşılığında para ve “ekosisteme erişim”. Bir holding şirketin tamamını istiyor. Kasada üç aylık maaş var, kuzende hâlâ şirket arabası isteği.</t>
        </is>
      </c>
      <c r="G438" s="5" t="inlineStr">
        <is>
          <t>ofis</t>
        </is>
      </c>
      <c r="H438" s="5" t="inlineStr"/>
      <c r="I438" s="5" t="inlineStr">
        <is>
          <t>E</t>
        </is>
      </c>
      <c r="J438" s="5" t="inlineStr"/>
      <c r="K438" s="5" t="inlineStr"/>
      <c r="L438" s="5" t="inlineStr">
        <is>
          <t>hapis</t>
        </is>
      </c>
      <c r="M438" s="5" t="inlineStr"/>
      <c r="N438" s="5" t="inlineStr"/>
      <c r="O438" s="5" t="inlineStr"/>
      <c r="P438" s="5" t="inlineStr"/>
      <c r="Q438" s="5" t="n">
        <v>10</v>
      </c>
      <c r="R438" s="6" t="inlineStr">
        <is>
          <t>Şirketinin kaderi bu masada belirleniyor: ya büyüyecek, ya el değiştirecek, ya da sen şehirden gideceksin.</t>
        </is>
      </c>
      <c r="S438" s="5" t="inlineStr"/>
      <c r="T438" s="5" t="inlineStr"/>
      <c r="U438" s="5" t="inlineStr"/>
      <c r="V438" s="5" t="inlineStr">
        <is>
          <t>girisimci</t>
        </is>
      </c>
    </row>
    <row r="439">
      <c r="A439" s="5" t="inlineStr">
        <is>
          <t>k10-politika</t>
        </is>
      </c>
      <c r="B439" s="5" t="n">
        <v>8</v>
      </c>
      <c r="C439" s="5" t="inlineStr">
        <is>
          <t>51 yaş</t>
        </is>
      </c>
      <c r="D439" s="5" t="inlineStr">
        <is>
          <t>🗳️</t>
        </is>
      </c>
      <c r="E439" s="6" t="inlineStr">
        <is>
          <t>Seçim Gecesi</t>
        </is>
      </c>
      <c r="F439" s="6" t="inlineStr">
        <is>
          <t>Makarya Meclisi seçimine üç gün var, anketler başa baş. Bir müteahhit sonuç ne olursa olsun “bir ihaleyi konuşmak” istiyor. Parti ise son miting için kalabalık, çay ve seni istiyor.</t>
        </is>
      </c>
      <c r="G439" s="5" t="inlineStr">
        <is>
          <t>ofis</t>
        </is>
      </c>
      <c r="H439" s="5" t="inlineStr"/>
      <c r="I439" s="5" t="inlineStr">
        <is>
          <t>E</t>
        </is>
      </c>
      <c r="J439" s="5" t="inlineStr"/>
      <c r="K439" s="5" t="inlineStr"/>
      <c r="L439" s="5" t="inlineStr">
        <is>
          <t>hapis</t>
        </is>
      </c>
      <c r="M439" s="5" t="inlineStr"/>
      <c r="N439" s="5" t="inlineStr"/>
      <c r="O439" s="5" t="inlineStr"/>
      <c r="P439" s="5" t="inlineStr"/>
      <c r="Q439" s="5" t="n">
        <v>10</v>
      </c>
      <c r="R439" s="6" t="inlineStr">
        <is>
          <t>Makarya Meclisi seçimi: bu karar seni ya Meclis'e, ya televizyona, ya da parmaklıkların arkasına götürür.</t>
        </is>
      </c>
      <c r="S439" s="5" t="inlineStr"/>
      <c r="T439" s="5" t="inlineStr"/>
      <c r="U439" s="5" t="inlineStr"/>
      <c r="V439" s="5" t="inlineStr">
        <is>
          <t>politika</t>
        </is>
      </c>
    </row>
    <row r="440">
      <c r="A440" s="5" t="inlineStr">
        <is>
          <t>b7-goc-oturma-izni</t>
        </is>
      </c>
      <c r="B440" s="5" t="n">
        <v>7</v>
      </c>
      <c r="C440" s="5" t="inlineStr">
        <is>
          <t>28 yaş 6 ay</t>
        </is>
      </c>
      <c r="D440" s="5" t="inlineStr">
        <is>
          <t>🛂</t>
        </is>
      </c>
      <c r="E440" s="6" t="inlineStr">
        <is>
          <t>Oturma İzni Yenileme</t>
        </is>
      </c>
      <c r="F440" s="6" t="inlineStr">
        <is>
          <t>Öte Diyar'da oturma iznin iki ay sonra bitiyor, ilk boş randevu üç ay sonra. Formun yedinci kutusu “Babanızın ikinci adı” diyor. Babanın ikinci adı yok. Memur, kutunun boş bırakılamayacağını iki dilde de açıkladı.</t>
        </is>
      </c>
      <c r="G440" s="5" t="inlineStr">
        <is>
          <t>devlet-dairesi</t>
        </is>
      </c>
      <c r="H440" s="5" t="inlineStr"/>
      <c r="I440" s="5" t="inlineStr"/>
      <c r="J440" s="5" t="n">
        <v>3</v>
      </c>
      <c r="K440" s="5" t="inlineStr"/>
      <c r="L440" s="5" t="inlineStr">
        <is>
          <t>hapis</t>
        </is>
      </c>
      <c r="M440" s="5" t="inlineStr"/>
      <c r="N440" s="5" t="inlineStr"/>
      <c r="O440" s="5" t="inlineStr"/>
      <c r="P440" s="5" t="inlineStr"/>
      <c r="Q440" s="5" t="inlineStr"/>
      <c r="R440" s="6" t="inlineStr"/>
      <c r="S440" s="5" t="inlineStr"/>
      <c r="T440" s="5" t="inlineStr"/>
      <c r="U440" s="5" t="inlineStr"/>
      <c r="V440" s="5" t="inlineStr">
        <is>
          <t>goc</t>
        </is>
      </c>
    </row>
    <row r="441">
      <c r="A441" s="5" t="inlineStr">
        <is>
          <t>b7-goc-akrabalar</t>
        </is>
      </c>
      <c r="B441" s="5" t="n">
        <v>7</v>
      </c>
      <c r="C441" s="5" t="inlineStr">
        <is>
          <t>32 yaş</t>
        </is>
      </c>
      <c r="D441" s="5" t="inlineStr">
        <is>
          <t>🧳</t>
        </is>
      </c>
      <c r="E441" s="6" t="inlineStr">
        <is>
          <t>Gurbetçi Geldi</t>
        </is>
      </c>
      <c r="F441" s="6" t="inlineStr">
        <is>
          <t>Öte Diyar'dan yaz iznine, memlekete geldin. Karşılamaya on bir akraba gelmiş; biri valizleri sayıyor. Akşam sofrada teyzen “Orada herkes zengin” dedi, amcan arabanı sordu, kuzen de bir iş fikri anlatmaya başladı.</t>
        </is>
      </c>
      <c r="G441" s="5" t="inlineStr">
        <is>
          <t>ev</t>
        </is>
      </c>
      <c r="H441" s="5" t="inlineStr"/>
      <c r="I441" s="5" t="inlineStr"/>
      <c r="J441" s="5" t="n">
        <v>3</v>
      </c>
      <c r="K441" s="5" t="inlineStr"/>
      <c r="L441" s="5" t="inlineStr">
        <is>
          <t>hapis</t>
        </is>
      </c>
      <c r="M441" s="5" t="inlineStr"/>
      <c r="N441" s="5" t="inlineStr"/>
      <c r="O441" s="5" t="inlineStr"/>
      <c r="P441" s="5" t="inlineStr"/>
      <c r="Q441" s="5" t="inlineStr"/>
      <c r="R441" s="6" t="inlineStr"/>
      <c r="S441" s="5" t="inlineStr"/>
      <c r="T441" s="5" t="inlineStr"/>
      <c r="U441" s="5" t="inlineStr"/>
      <c r="V441" s="5" t="inlineStr">
        <is>
          <t>goc</t>
        </is>
      </c>
    </row>
    <row r="442">
      <c r="A442" s="5" t="inlineStr">
        <is>
          <t>b7-goc-bayram-sofrasi</t>
        </is>
      </c>
      <c r="B442" s="5" t="n">
        <v>7</v>
      </c>
      <c r="C442" s="5" t="inlineStr">
        <is>
          <t>37 yaş</t>
        </is>
      </c>
      <c r="D442" s="5" t="inlineStr">
        <is>
          <t>🍬</t>
        </is>
      </c>
      <c r="E442" s="6" t="inlineStr">
        <is>
          <t>Gurbette Bayram Sofrası</t>
        </is>
      </c>
      <c r="F442" s="6" t="inlineStr">
        <is>
          <t>Bayram sabahı. Evinde on iki Makaryalı, üç Öte Diyarlı komşu ve bir ekran var; ekranda annen. Komşular baklavanın neden “bayram” olduğunu soruyor, annen de ekrandan şerbetin kıvamını.</t>
        </is>
      </c>
      <c r="G442" s="5" t="inlineStr">
        <is>
          <t>ev</t>
        </is>
      </c>
      <c r="H442" s="5" t="inlineStr"/>
      <c r="I442" s="5" t="inlineStr"/>
      <c r="J442" s="5" t="n">
        <v>3</v>
      </c>
      <c r="K442" s="5" t="inlineStr"/>
      <c r="L442" s="5" t="inlineStr">
        <is>
          <t>hapis</t>
        </is>
      </c>
      <c r="M442" s="5" t="inlineStr"/>
      <c r="N442" s="5" t="inlineStr"/>
      <c r="O442" s="5" t="inlineStr"/>
      <c r="P442" s="5" t="inlineStr"/>
      <c r="Q442" s="5" t="inlineStr"/>
      <c r="R442" s="6" t="inlineStr"/>
      <c r="S442" s="5" t="inlineStr"/>
      <c r="T442" s="5" t="inlineStr"/>
      <c r="U442" s="5" t="inlineStr"/>
      <c r="V442" s="5" t="inlineStr">
        <is>
          <t>goc</t>
        </is>
      </c>
    </row>
    <row r="443">
      <c r="A443" s="5" t="inlineStr">
        <is>
          <t>k10-goc</t>
        </is>
      </c>
      <c r="B443" s="5" t="n">
        <v>7</v>
      </c>
      <c r="C443" s="5" t="inlineStr">
        <is>
          <t>35 yaş</t>
        </is>
      </c>
      <c r="D443" s="5" t="inlineStr">
        <is>
          <t>🛂</t>
        </is>
      </c>
      <c r="E443" s="6" t="inlineStr">
        <is>
          <t>Kalıcı mı, Dönüş mü?</t>
        </is>
      </c>
      <c r="F443" s="6" t="inlineStr">
        <is>
          <t>Öte Diyar'da on yılı doldurdun. Vatandaşlık formu masada, kırk iki sayfa. Annen telefonda “Artık dön” dedi, patronun “Kalıcı kadro” dedi. Bir arkadaşın da mahalledeki dükkânını devretmek istiyor.</t>
        </is>
      </c>
      <c r="G443" s="5" t="inlineStr">
        <is>
          <t>devlet-dairesi</t>
        </is>
      </c>
      <c r="H443" s="5" t="inlineStr"/>
      <c r="I443" s="5" t="inlineStr">
        <is>
          <t>E</t>
        </is>
      </c>
      <c r="J443" s="5" t="inlineStr"/>
      <c r="K443" s="5" t="inlineStr"/>
      <c r="L443" s="5" t="inlineStr">
        <is>
          <t>hapis</t>
        </is>
      </c>
      <c r="M443" s="5" t="inlineStr"/>
      <c r="N443" s="5" t="inlineStr"/>
      <c r="O443" s="5" t="inlineStr"/>
      <c r="P443" s="5" t="inlineStr"/>
      <c r="Q443" s="5" t="n">
        <v>10</v>
      </c>
      <c r="R443" s="6" t="inlineStr">
        <is>
          <t>On yıl bir karar ister. Pasaport, dönüş bileti ya da kendi tabelan: hangisini seçersen seç, iki memleketten biri seni bundan sonra misafir sayacak.</t>
        </is>
      </c>
      <c r="S443" s="5" t="inlineStr"/>
      <c r="T443" s="5" t="inlineStr"/>
      <c r="U443" s="5" t="inlineStr"/>
      <c r="V443" s="5" t="inlineStr"/>
    </row>
    <row r="444">
      <c r="A444" s="5" t="inlineStr">
        <is>
          <t>b8-goc-dil-okulu</t>
        </is>
      </c>
      <c r="B444" s="5" t="n">
        <v>8</v>
      </c>
      <c r="C444" s="5" t="inlineStr">
        <is>
          <t>44 yaş</t>
        </is>
      </c>
      <c r="D444" s="5" t="inlineStr">
        <is>
          <t>📚</t>
        </is>
      </c>
      <c r="E444" s="6" t="inlineStr">
        <is>
          <t>Hafta Sonu Dil Okulu</t>
        </is>
      </c>
      <c r="F444" s="6" t="inlineStr">
        <is>
          <t>Makaryalılar Derneği bodrumda hafta sonu okulu açtı; öğretmen bulunamadı, sen oldun. Sınıfta dokuz çocuk var. Hepsi “Makarya” kelimesini Öte Diyar aksanıyla söylüyor, “teyze”nin ne işe yaradığını soruyor.</t>
        </is>
      </c>
      <c r="G444" s="5" t="inlineStr">
        <is>
          <t>apartman</t>
        </is>
      </c>
      <c r="H444" s="5" t="inlineStr"/>
      <c r="I444" s="5" t="inlineStr"/>
      <c r="J444" s="5" t="n">
        <v>3</v>
      </c>
      <c r="K444" s="5" t="inlineStr"/>
      <c r="L444" s="5" t="inlineStr">
        <is>
          <t>hapis</t>
        </is>
      </c>
      <c r="M444" s="5" t="inlineStr"/>
      <c r="N444" s="5" t="inlineStr"/>
      <c r="O444" s="5" t="inlineStr"/>
      <c r="P444" s="5" t="inlineStr"/>
      <c r="Q444" s="5" t="inlineStr"/>
      <c r="R444" s="6" t="inlineStr"/>
      <c r="S444" s="5" t="inlineStr"/>
      <c r="T444" s="5" t="inlineStr"/>
      <c r="U444" s="5" t="inlineStr"/>
      <c r="V444" s="5" t="inlineStr">
        <is>
          <t>goc</t>
        </is>
      </c>
    </row>
    <row r="445">
      <c r="A445" s="5" t="inlineStr">
        <is>
          <t>b8-goc-donsem-mi</t>
        </is>
      </c>
      <c r="B445" s="5" t="n">
        <v>8</v>
      </c>
      <c r="C445" s="5" t="inlineStr">
        <is>
          <t>51 yaş</t>
        </is>
      </c>
      <c r="D445" s="5" t="inlineStr">
        <is>
          <t>🧭</t>
        </is>
      </c>
      <c r="E445" s="6" t="inlineStr">
        <is>
          <t>Dönsem mi?</t>
        </is>
      </c>
      <c r="F445" s="6" t="inlineStr">
        <is>
          <t>Gece üçte uyandın ve memleketteki fırının kokusunu hatırladın. Sabah kahvaltıda kendi kendine sordun: “Dönsem mi?” Bu soruyu her kış soruyorsun; cevap her yaz değişiyor.</t>
        </is>
      </c>
      <c r="G445" s="5" t="inlineStr">
        <is>
          <t>ev</t>
        </is>
      </c>
      <c r="H445" s="5" t="inlineStr"/>
      <c r="I445" s="5" t="inlineStr"/>
      <c r="J445" s="5" t="n">
        <v>3</v>
      </c>
      <c r="K445" s="5" t="inlineStr"/>
      <c r="L445" s="5" t="inlineStr">
        <is>
          <t>hapis</t>
        </is>
      </c>
      <c r="M445" s="5" t="inlineStr"/>
      <c r="N445" s="5" t="inlineStr"/>
      <c r="O445" s="5" t="inlineStr"/>
      <c r="P445" s="5" t="inlineStr"/>
      <c r="Q445" s="5" t="inlineStr"/>
      <c r="R445" s="6" t="inlineStr"/>
      <c r="S445" s="5" t="inlineStr"/>
      <c r="T445" s="5" t="inlineStr"/>
      <c r="U445" s="5" t="inlineStr"/>
      <c r="V445" s="5" t="inlineStr">
        <is>
          <t>goc</t>
        </is>
      </c>
    </row>
    <row r="446">
      <c r="A446" s="5" t="inlineStr">
        <is>
          <t>b9-goc-iki-dilde-emeklilik</t>
        </is>
      </c>
      <c r="B446" s="5" t="n">
        <v>9</v>
      </c>
      <c r="C446" s="5" t="inlineStr">
        <is>
          <t>60 yaş 6 ay</t>
        </is>
      </c>
      <c r="D446" s="5" t="inlineStr">
        <is>
          <t>🏖️</t>
        </is>
      </c>
      <c r="E446" s="6" t="inlineStr">
        <is>
          <t>İki Dilde Emeklilik</t>
        </is>
      </c>
      <c r="F446" s="6" t="inlineStr">
        <is>
          <t>Emeklilik dosyan iki ülkeye bölünmüş: yıllarının bir kısmı burada, bir kısmı orada. İki kurum da öbüründen bir yazı istiyor. İki yazı da ötekinin önce gelmesini bekliyor.</t>
        </is>
      </c>
      <c r="G446" s="5" t="inlineStr">
        <is>
          <t>devlet-dairesi</t>
        </is>
      </c>
      <c r="H446" s="5" t="inlineStr"/>
      <c r="I446" s="5" t="inlineStr"/>
      <c r="J446" s="5" t="n">
        <v>3</v>
      </c>
      <c r="K446" s="5" t="inlineStr"/>
      <c r="L446" s="5" t="inlineStr">
        <is>
          <t>hapis</t>
        </is>
      </c>
      <c r="M446" s="5" t="inlineStr"/>
      <c r="N446" s="5" t="inlineStr"/>
      <c r="O446" s="5" t="inlineStr"/>
      <c r="P446" s="5" t="inlineStr"/>
      <c r="Q446" s="5" t="inlineStr"/>
      <c r="R446" s="6" t="inlineStr"/>
      <c r="S446" s="5" t="inlineStr"/>
      <c r="T446" s="5" t="inlineStr"/>
      <c r="U446" s="5" t="inlineStr"/>
      <c r="V446" s="5" t="inlineStr">
        <is>
          <t>goc</t>
        </is>
      </c>
    </row>
    <row r="447">
      <c r="A447" s="5" t="inlineStr">
        <is>
          <t>b7-koy-keciler</t>
        </is>
      </c>
      <c r="B447" s="5" t="n">
        <v>7</v>
      </c>
      <c r="C447" s="5" t="inlineStr">
        <is>
          <t>28 yaş 3 ay</t>
        </is>
      </c>
      <c r="D447" s="5" t="inlineStr">
        <is>
          <t>🐐</t>
        </is>
      </c>
      <c r="E447" s="6" t="inlineStr">
        <is>
          <t>Keçilerle Tanışma</t>
        </is>
      </c>
      <c r="F447" s="6" t="inlineStr">
        <is>
          <t>Dedenin on dört keçisi artık senin. En yaşlısı kapı mandalını açmayı biliyor, en genci dama çıkmayı. Bu sabah sürü komşunun bahçesinde; komşu da kapıda, elinde yarısı yenmiş bir lahana.</t>
        </is>
      </c>
      <c r="G447" s="5" t="inlineStr">
        <is>
          <t>koy</t>
        </is>
      </c>
      <c r="H447" s="5" t="inlineStr"/>
      <c r="I447" s="5" t="inlineStr"/>
      <c r="J447" s="5" t="n">
        <v>3</v>
      </c>
      <c r="K447" s="5" t="inlineStr"/>
      <c r="L447" s="5" t="inlineStr">
        <is>
          <t>hapis</t>
        </is>
      </c>
      <c r="M447" s="5" t="inlineStr"/>
      <c r="N447" s="5" t="inlineStr"/>
      <c r="O447" s="5" t="inlineStr"/>
      <c r="P447" s="5" t="inlineStr"/>
      <c r="Q447" s="5" t="inlineStr"/>
      <c r="R447" s="6" t="inlineStr"/>
      <c r="S447" s="5" t="inlineStr"/>
      <c r="T447" s="5" t="inlineStr"/>
      <c r="U447" s="5" t="inlineStr"/>
      <c r="V447" s="5" t="inlineStr">
        <is>
          <t>koy</t>
        </is>
      </c>
    </row>
    <row r="448">
      <c r="A448" s="5" t="inlineStr">
        <is>
          <t>b7-koy-kooperatif</t>
        </is>
      </c>
      <c r="B448" s="5" t="n">
        <v>7</v>
      </c>
      <c r="C448" s="5" t="inlineStr">
        <is>
          <t>32 yaş</t>
        </is>
      </c>
      <c r="D448" s="5" t="inlineStr">
        <is>
          <t>🥛</t>
        </is>
      </c>
      <c r="E448" s="6" t="inlineStr">
        <is>
          <t>Kooperatif Toplantısı</t>
        </is>
      </c>
      <c r="F448" s="6" t="inlineStr">
        <is>
          <t>Toplantı köy kahvesinde yedide başlayacaktı; sekizde çay geldi, dokuzda muhtar boğazını temizledi: “Gündemimiz süt tankı.” İlk kırk dakika eski tankın neden bozulduğu, sonraki kırk dakika hava durumu konuşuldu. Arka sırada biri horluyor; kimse uyandırmıyor, oyu sayılıyor.</t>
        </is>
      </c>
      <c r="G448" s="5" t="inlineStr">
        <is>
          <t>koy</t>
        </is>
      </c>
      <c r="H448" s="5" t="inlineStr"/>
      <c r="I448" s="5" t="inlineStr"/>
      <c r="J448" s="5" t="n">
        <v>3</v>
      </c>
      <c r="K448" s="5" t="inlineStr"/>
      <c r="L448" s="5" t="inlineStr">
        <is>
          <t>hapis</t>
        </is>
      </c>
      <c r="M448" s="5" t="inlineStr"/>
      <c r="N448" s="5" t="inlineStr"/>
      <c r="O448" s="5" t="inlineStr"/>
      <c r="P448" s="5" t="inlineStr"/>
      <c r="Q448" s="5" t="inlineStr"/>
      <c r="R448" s="6" t="inlineStr"/>
      <c r="S448" s="5" t="inlineStr"/>
      <c r="T448" s="5" t="inlineStr"/>
      <c r="U448" s="5" t="inlineStr"/>
      <c r="V448" s="5" t="inlineStr">
        <is>
          <t>koy</t>
        </is>
      </c>
    </row>
    <row r="449">
      <c r="A449" s="5" t="inlineStr">
        <is>
          <t>b7-koy-sehirliler</t>
        </is>
      </c>
      <c r="B449" s="5" t="n">
        <v>7</v>
      </c>
      <c r="C449" s="5" t="inlineStr">
        <is>
          <t>37 yaş</t>
        </is>
      </c>
      <c r="D449" s="5" t="inlineStr">
        <is>
          <t>🐓</t>
        </is>
      </c>
      <c r="E449" s="6" t="inlineStr">
        <is>
          <t>Şehirliler Geldi</t>
        </is>
      </c>
      <c r="F449" s="6" t="inlineStr">
        <is>
          <t>Köyün girişindeki tarlayı şehirli bir çift aldı. İlk hafta horozdan şikâyet ettiler, ikinci hafta “organik” yumurta sordular, üçüncü hafta bir tabela astılar: “Sessiz Bölge.” Horoz tabelayı okumadı.</t>
        </is>
      </c>
      <c r="G449" s="5" t="inlineStr">
        <is>
          <t>koy</t>
        </is>
      </c>
      <c r="H449" s="5" t="inlineStr"/>
      <c r="I449" s="5" t="inlineStr"/>
      <c r="J449" s="5" t="n">
        <v>3</v>
      </c>
      <c r="K449" s="5" t="inlineStr"/>
      <c r="L449" s="5" t="inlineStr">
        <is>
          <t>hapis</t>
        </is>
      </c>
      <c r="M449" s="5" t="inlineStr"/>
      <c r="N449" s="5" t="inlineStr"/>
      <c r="O449" s="5" t="inlineStr"/>
      <c r="P449" s="5" t="inlineStr"/>
      <c r="Q449" s="5" t="inlineStr"/>
      <c r="R449" s="6" t="inlineStr"/>
      <c r="S449" s="5" t="inlineStr"/>
      <c r="T449" s="5" t="inlineStr"/>
      <c r="U449" s="5" t="inlineStr"/>
      <c r="V449" s="5" t="inlineStr">
        <is>
          <t>koy</t>
        </is>
      </c>
    </row>
    <row r="450">
      <c r="A450" s="5" t="inlineStr">
        <is>
          <t>k10-koy</t>
        </is>
      </c>
      <c r="B450" s="5" t="n">
        <v>7</v>
      </c>
      <c r="C450" s="5" t="inlineStr">
        <is>
          <t>35 yaş</t>
        </is>
      </c>
      <c r="D450" s="5" t="inlineStr">
        <is>
          <t>🌾</t>
        </is>
      </c>
      <c r="E450" s="6" t="inlineStr">
        <is>
          <t>Köy Seni Kabul Etti mi?</t>
        </is>
      </c>
      <c r="F450" s="6" t="inlineStr">
        <is>
          <t>Kahvede artık sana “bizim çocuk” diyorlar ama çayı ilk sen koymuyorsun. Bu kış muhtarlık seçimi var, kooperatif başkansız, keçiler kameraya meraklı. Şehirden de bir iş teklifi geldi.</t>
        </is>
      </c>
      <c r="G450" s="5" t="inlineStr">
        <is>
          <t>koy</t>
        </is>
      </c>
      <c r="H450" s="5" t="inlineStr"/>
      <c r="I450" s="5" t="inlineStr">
        <is>
          <t>E</t>
        </is>
      </c>
      <c r="J450" s="5" t="inlineStr"/>
      <c r="K450" s="5" t="inlineStr"/>
      <c r="L450" s="5" t="inlineStr">
        <is>
          <t>hapis</t>
        </is>
      </c>
      <c r="M450" s="5" t="inlineStr"/>
      <c r="N450" s="5" t="inlineStr"/>
      <c r="O450" s="5" t="inlineStr"/>
      <c r="P450" s="5" t="inlineStr"/>
      <c r="Q450" s="5" t="n">
        <v>10</v>
      </c>
      <c r="R450" s="6" t="inlineStr">
        <is>
          <t>Köyde ya kalıcı olursun ya da hep “döndü, gidecek” denen kişi. Mühür, kooperatif defteri, telefon kamerası ya da şehir bileti: köy seni hangisiyle hatırlayacak?</t>
        </is>
      </c>
      <c r="S450" s="5" t="inlineStr"/>
      <c r="T450" s="5" t="inlineStr"/>
      <c r="U450" s="5" t="inlineStr"/>
      <c r="V450" s="5" t="inlineStr"/>
    </row>
    <row r="451">
      <c r="A451" s="5" t="inlineStr">
        <is>
          <t>b8-koy-muhtarlik-secimi</t>
        </is>
      </c>
      <c r="B451" s="5" t="n">
        <v>8</v>
      </c>
      <c r="C451" s="5" t="inlineStr">
        <is>
          <t>46 yaş</t>
        </is>
      </c>
      <c r="D451" s="5" t="inlineStr">
        <is>
          <t>🗳️</t>
        </is>
      </c>
      <c r="E451" s="6" t="inlineStr">
        <is>
          <t>Muhtarlık Seçimi</t>
        </is>
      </c>
      <c r="F451" s="6" t="inlineStr">
        <is>
          <t>Seçim yaklaştı. Köy kahvesinde iki masa var: biri seni destekliyor, öbürü rakibini; ikisi aynı çaydanlıktan içiyor. Rakibin kuzenin. Vaatler şimdiden sobanın boyutuna geldi.</t>
        </is>
      </c>
      <c r="G451" s="5" t="inlineStr">
        <is>
          <t>koy</t>
        </is>
      </c>
      <c r="H451" s="5" t="inlineStr"/>
      <c r="I451" s="5" t="inlineStr"/>
      <c r="J451" s="5" t="n">
        <v>3</v>
      </c>
      <c r="K451" s="5" t="inlineStr"/>
      <c r="L451" s="5" t="inlineStr">
        <is>
          <t>hapis, zirve</t>
        </is>
      </c>
      <c r="M451" s="5" t="inlineStr"/>
      <c r="N451" s="5" t="inlineStr"/>
      <c r="O451" s="5" t="inlineStr"/>
      <c r="P451" s="5" t="inlineStr"/>
      <c r="Q451" s="5" t="inlineStr"/>
      <c r="R451" s="6" t="inlineStr"/>
      <c r="S451" s="5" t="inlineStr"/>
      <c r="T451" s="5" t="inlineStr"/>
      <c r="U451" s="5" t="inlineStr"/>
      <c r="V451" s="5" t="inlineStr">
        <is>
          <t>koy</t>
        </is>
      </c>
    </row>
    <row r="452">
      <c r="A452" s="5" t="inlineStr">
        <is>
          <t>b8-koy-unlu-koylu</t>
        </is>
      </c>
      <c r="B452" s="5" t="n">
        <v>8</v>
      </c>
      <c r="C452" s="5" t="inlineStr">
        <is>
          <t>52 yaş</t>
        </is>
      </c>
      <c r="D452" s="5" t="inlineStr">
        <is>
          <t>📺</t>
        </is>
      </c>
      <c r="E452" s="6" t="inlineStr">
        <is>
          <t>Ünlü Köylü</t>
        </is>
      </c>
      <c r="F452" s="6" t="inlineStr">
        <is>
          <t>Bir televizyon ekibi köyü “Kaybolan Tatlar” belgeseli için çekmeye geldi. Yönetmen köyün en sıradan hâlini istiyor. Köy ise en iyi kıyafetlerini giydi, meydanı yıkadı, keçilere kurdele taktı.</t>
        </is>
      </c>
      <c r="G452" s="5" t="inlineStr">
        <is>
          <t>koy</t>
        </is>
      </c>
      <c r="H452" s="5" t="inlineStr"/>
      <c r="I452" s="5" t="inlineStr"/>
      <c r="J452" s="5" t="n">
        <v>3</v>
      </c>
      <c r="K452" s="5" t="inlineStr"/>
      <c r="L452" s="5" t="inlineStr">
        <is>
          <t>hapis</t>
        </is>
      </c>
      <c r="M452" s="5" t="inlineStr"/>
      <c r="N452" s="5" t="inlineStr"/>
      <c r="O452" s="5" t="inlineStr"/>
      <c r="P452" s="5" t="inlineStr"/>
      <c r="Q452" s="5" t="inlineStr"/>
      <c r="R452" s="6" t="inlineStr"/>
      <c r="S452" s="5" t="inlineStr"/>
      <c r="T452" s="5" t="inlineStr"/>
      <c r="U452" s="5" t="inlineStr"/>
      <c r="V452" s="5" t="inlineStr">
        <is>
          <t>koy</t>
        </is>
      </c>
    </row>
    <row r="453">
      <c r="A453" s="5" t="inlineStr">
        <is>
          <t>b9-koy-cinarin-alti</t>
        </is>
      </c>
      <c r="B453" s="5" t="n">
        <v>9</v>
      </c>
      <c r="C453" s="5" t="inlineStr">
        <is>
          <t>61 yaş</t>
        </is>
      </c>
      <c r="D453" s="5" t="inlineStr">
        <is>
          <t>🌳</t>
        </is>
      </c>
      <c r="E453" s="6" t="inlineStr">
        <is>
          <t>Çınarın Altında</t>
        </is>
      </c>
      <c r="F453" s="6" t="inlineStr">
        <is>
          <t>Köy çınarının altında artık sana ayrılmış bir sandalye var. Gençler şehre gidiyor, yazın şehirden çocuklar geliyor, kışın sen ve keçiler kalıyorsunuz. Bu sabah muhtarın oğlu geldi: elinde şehirden bir iş teklifi, kulağında annesinin 'Gitme'si.</t>
        </is>
      </c>
      <c r="G453" s="5" t="inlineStr">
        <is>
          <t>koy</t>
        </is>
      </c>
      <c r="H453" s="5" t="inlineStr"/>
      <c r="I453" s="5" t="inlineStr"/>
      <c r="J453" s="5" t="n">
        <v>3</v>
      </c>
      <c r="K453" s="5" t="inlineStr"/>
      <c r="L453" s="5" t="inlineStr">
        <is>
          <t>hapis</t>
        </is>
      </c>
      <c r="M453" s="5" t="inlineStr"/>
      <c r="N453" s="5" t="inlineStr"/>
      <c r="O453" s="5" t="inlineStr"/>
      <c r="P453" s="5" t="inlineStr"/>
      <c r="Q453" s="5" t="inlineStr"/>
      <c r="R453" s="6" t="inlineStr"/>
      <c r="S453" s="5" t="inlineStr"/>
      <c r="T453" s="5" t="inlineStr"/>
      <c r="U453" s="5" t="inlineStr"/>
      <c r="V453" s="5" t="inlineStr">
        <is>
          <t>koy</t>
        </is>
      </c>
    </row>
    <row r="454">
      <c r="A454" s="5" t="inlineStr">
        <is>
          <t>b7-usta-ilk-cirak</t>
        </is>
      </c>
      <c r="B454" s="5" t="n">
        <v>7</v>
      </c>
      <c r="C454" s="5" t="inlineStr">
        <is>
          <t>28 yaş</t>
        </is>
      </c>
      <c r="D454" s="5" t="inlineStr">
        <is>
          <t>🧰</t>
        </is>
      </c>
      <c r="E454" s="6" t="inlineStr">
        <is>
          <t>İlk Çırağın</t>
        </is>
      </c>
      <c r="F454" s="6" t="inlineStr">
        <is>
          <t>Bir müşterinin yeğeni çırak olarak kapına geldi. On altı yaşında, telefon elinden düşmüyor. Anahtar takımının sırasını bilmiyor ama her şeyin videosunu çekiyor. İlk gün bir bijon kaybetti, bir takipçi kazandı.</t>
        </is>
      </c>
      <c r="G454" s="5" t="inlineStr">
        <is>
          <t>dukkan</t>
        </is>
      </c>
      <c r="H454" s="5" t="inlineStr"/>
      <c r="I454" s="5" t="inlineStr"/>
      <c r="J454" s="5" t="n">
        <v>3</v>
      </c>
      <c r="K454" s="5" t="inlineStr"/>
      <c r="L454" s="5" t="inlineStr">
        <is>
          <t>hapis</t>
        </is>
      </c>
      <c r="M454" s="5" t="inlineStr"/>
      <c r="N454" s="5" t="inlineStr"/>
      <c r="O454" s="5" t="inlineStr"/>
      <c r="P454" s="5" t="inlineStr"/>
      <c r="Q454" s="5" t="inlineStr"/>
      <c r="R454" s="6" t="inlineStr"/>
      <c r="S454" s="5" t="inlineStr"/>
      <c r="T454" s="5" t="inlineStr"/>
      <c r="U454" s="5" t="inlineStr"/>
      <c r="V454" s="5" t="inlineStr">
        <is>
          <t>usta</t>
        </is>
      </c>
    </row>
    <row r="455">
      <c r="A455" s="5" t="inlineStr">
        <is>
          <t>b7-usta-karsi-dukkan</t>
        </is>
      </c>
      <c r="B455" s="5" t="n">
        <v>7</v>
      </c>
      <c r="C455" s="5" t="inlineStr">
        <is>
          <t>32 yaş</t>
        </is>
      </c>
      <c r="D455" s="5" t="inlineStr">
        <is>
          <t>🔌</t>
        </is>
      </c>
      <c r="E455" s="6" t="inlineStr">
        <is>
          <t>Karşı Dükkân</t>
        </is>
      </c>
      <c r="F455" s="6" t="inlineStr">
        <is>
          <t>Karşına bir dükkân açıldı; camında “Bilgisayarlı arıza tespiti” yazıyor. Müşteriler önce oraya gidiyor, cihaz arızayı buluyor, tamir için sana geliyorlar. Karşının ustası da arada sana danışıyor, gizlice.</t>
        </is>
      </c>
      <c r="G455" s="5" t="inlineStr">
        <is>
          <t>dukkan</t>
        </is>
      </c>
      <c r="H455" s="5" t="inlineStr"/>
      <c r="I455" s="5" t="inlineStr"/>
      <c r="J455" s="5" t="n">
        <v>3</v>
      </c>
      <c r="K455" s="5" t="inlineStr"/>
      <c r="L455" s="5" t="inlineStr">
        <is>
          <t>hapis</t>
        </is>
      </c>
      <c r="M455" s="5" t="inlineStr"/>
      <c r="N455" s="5" t="inlineStr"/>
      <c r="O455" s="5" t="inlineStr"/>
      <c r="P455" s="5" t="inlineStr"/>
      <c r="Q455" s="5" t="inlineStr"/>
      <c r="R455" s="6" t="inlineStr"/>
      <c r="S455" s="5" t="inlineStr"/>
      <c r="T455" s="5" t="inlineStr"/>
      <c r="U455" s="5" t="inlineStr"/>
      <c r="V455" s="5" t="inlineStr">
        <is>
          <t>usta</t>
        </is>
      </c>
    </row>
    <row r="456">
      <c r="A456" s="5" t="inlineStr">
        <is>
          <t>b7-usta-sanayi-hakemi</t>
        </is>
      </c>
      <c r="B456" s="5" t="n">
        <v>7</v>
      </c>
      <c r="C456" s="5" t="inlineStr">
        <is>
          <t>37 yaş</t>
        </is>
      </c>
      <c r="D456" s="5" t="inlineStr">
        <is>
          <t>⚖️</t>
        </is>
      </c>
      <c r="E456" s="6" t="inlineStr">
        <is>
          <t>Sanayinin Hakemi</t>
        </is>
      </c>
      <c r="F456" s="6" t="inlineStr">
        <is>
          <t>Sanayide iki usta aynı park yeri için bir haftadır küs. Biri kaportacı, biri boyacı; müşterileri ortak. Site yönetimi çözemedi. İki usta da sana geldi: “Sen ne dersen o.”</t>
        </is>
      </c>
      <c r="G456" s="5" t="inlineStr">
        <is>
          <t>dukkan</t>
        </is>
      </c>
      <c r="H456" s="5" t="inlineStr"/>
      <c r="I456" s="5" t="inlineStr"/>
      <c r="J456" s="5" t="n">
        <v>3</v>
      </c>
      <c r="K456" s="5" t="inlineStr"/>
      <c r="L456" s="5" t="inlineStr">
        <is>
          <t>hapis</t>
        </is>
      </c>
      <c r="M456" s="5" t="inlineStr"/>
      <c r="N456" s="5" t="inlineStr"/>
      <c r="O456" s="5" t="inlineStr"/>
      <c r="P456" s="5" t="inlineStr"/>
      <c r="Q456" s="5" t="inlineStr"/>
      <c r="R456" s="6" t="inlineStr"/>
      <c r="S456" s="5" t="inlineStr"/>
      <c r="T456" s="5" t="inlineStr"/>
      <c r="U456" s="5" t="inlineStr"/>
      <c r="V456" s="5" t="inlineStr">
        <is>
          <t>usta</t>
        </is>
      </c>
    </row>
    <row r="457">
      <c r="A457" s="5" t="inlineStr">
        <is>
          <t>k10-usta</t>
        </is>
      </c>
      <c r="B457" s="5" t="n">
        <v>7</v>
      </c>
      <c r="C457" s="5" t="inlineStr">
        <is>
          <t>35 yaş</t>
        </is>
      </c>
      <c r="D457" s="5" t="inlineStr">
        <is>
          <t>🏗️</t>
        </is>
      </c>
      <c r="E457" s="6" t="inlineStr">
        <is>
          <t>Sanayi Taşınıyor</t>
        </is>
      </c>
      <c r="F457" s="6" t="inlineStr">
        <is>
          <t>Belediye sanayiyi şehrin dışına, yeni bir siteye taşıyor. Yeni dükkânlar geniş, kiraları da. Bir fabrika seni usta başı istiyor. Eski müşterilerin ise “Nereye gidersen geliriz” diyor, adresi sormadan.</t>
        </is>
      </c>
      <c r="G457" s="5" t="inlineStr">
        <is>
          <t>dukkan</t>
        </is>
      </c>
      <c r="H457" s="5" t="inlineStr"/>
      <c r="I457" s="5" t="inlineStr">
        <is>
          <t>E</t>
        </is>
      </c>
      <c r="J457" s="5" t="inlineStr"/>
      <c r="K457" s="5" t="inlineStr"/>
      <c r="L457" s="5" t="inlineStr">
        <is>
          <t>hapis</t>
        </is>
      </c>
      <c r="M457" s="5" t="inlineStr"/>
      <c r="N457" s="5" t="inlineStr"/>
      <c r="O457" s="5" t="inlineStr"/>
      <c r="P457" s="5" t="inlineStr"/>
      <c r="Q457" s="5" t="n">
        <v>10</v>
      </c>
      <c r="R457" s="6" t="inlineStr">
        <is>
          <t>Kepenk yer değiştiriyor. Yeni sitede büyüyebilir, bir fabrikanın maaşlı ustası olabilir ya da adını bir markaya çevirebilirsin. Eski sanayinin sesi bir daha aynı olmayacak.</t>
        </is>
      </c>
      <c r="S457" s="5" t="inlineStr"/>
      <c r="T457" s="5" t="inlineStr"/>
      <c r="U457" s="5" t="inlineStr"/>
      <c r="V457" s="5" t="inlineStr"/>
    </row>
    <row r="458">
      <c r="A458" s="5" t="inlineStr">
        <is>
          <t>b8-usta-sessiz-motor</t>
        </is>
      </c>
      <c r="B458" s="5" t="n">
        <v>8</v>
      </c>
      <c r="C458" s="5" t="inlineStr">
        <is>
          <t>45 yaş</t>
        </is>
      </c>
      <c r="D458" s="5" t="inlineStr">
        <is>
          <t>🔋</t>
        </is>
      </c>
      <c r="E458" s="6" t="inlineStr">
        <is>
          <t>Sessiz Motor</t>
        </is>
      </c>
      <c r="F458" s="6" t="inlineStr">
        <is>
          <t>Tezgâhına ilk elektrikli araç geldi. Kaputu açtın; motor yok gibi, ses hiç yok. Yirmi yıldır arızayı kulağınla buluyordun. Sahibi “Bir tık sesi var” diyor; sen duymuyorsun, kalfan duyuyor.</t>
        </is>
      </c>
      <c r="G458" s="5" t="inlineStr">
        <is>
          <t>dukkan</t>
        </is>
      </c>
      <c r="H458" s="5" t="inlineStr"/>
      <c r="I458" s="5" t="inlineStr"/>
      <c r="J458" s="5" t="n">
        <v>3</v>
      </c>
      <c r="K458" s="5" t="inlineStr"/>
      <c r="L458" s="5" t="inlineStr">
        <is>
          <t>hapis</t>
        </is>
      </c>
      <c r="M458" s="5" t="inlineStr"/>
      <c r="N458" s="5" t="inlineStr"/>
      <c r="O458" s="5" t="inlineStr"/>
      <c r="P458" s="5" t="inlineStr"/>
      <c r="Q458" s="5" t="inlineStr"/>
      <c r="R458" s="6" t="inlineStr"/>
      <c r="S458" s="5" t="inlineStr"/>
      <c r="T458" s="5" t="inlineStr"/>
      <c r="U458" s="5" t="inlineStr"/>
      <c r="V458" s="5" t="inlineStr">
        <is>
          <t>usta</t>
        </is>
      </c>
    </row>
    <row r="459">
      <c r="A459" s="5" t="inlineStr">
        <is>
          <t>b8-usta-ustalarin-ustasi</t>
        </is>
      </c>
      <c r="B459" s="5" t="n">
        <v>8</v>
      </c>
      <c r="C459" s="5" t="inlineStr">
        <is>
          <t>51 yaş</t>
        </is>
      </c>
      <c r="D459" s="5" t="inlineStr">
        <is>
          <t>🏅</t>
        </is>
      </c>
      <c r="E459" s="6" t="inlineStr">
        <is>
          <t>Ustaların Ustası</t>
        </is>
      </c>
      <c r="F459" s="6" t="inlineStr">
        <is>
          <t>Yanında yetişen bir çırak karşı sırada kendi dükkânını açtı. Tabelada “Ustası:” yazıyor, yanında senin adın. Kurdeleyi sana kestirmek istiyor. Makası da senin tezgâhından almış, sormadan.</t>
        </is>
      </c>
      <c r="G459" s="5" t="inlineStr">
        <is>
          <t>dukkan</t>
        </is>
      </c>
      <c r="H459" s="5" t="inlineStr"/>
      <c r="I459" s="5" t="inlineStr"/>
      <c r="J459" s="5" t="n">
        <v>3</v>
      </c>
      <c r="K459" s="5" t="inlineStr"/>
      <c r="L459" s="5" t="inlineStr">
        <is>
          <t>hapis, zirve</t>
        </is>
      </c>
      <c r="M459" s="5" t="inlineStr"/>
      <c r="N459" s="5" t="inlineStr"/>
      <c r="O459" s="5" t="inlineStr"/>
      <c r="P459" s="5" t="inlineStr"/>
      <c r="Q459" s="5" t="inlineStr"/>
      <c r="R459" s="6" t="inlineStr"/>
      <c r="S459" s="5" t="inlineStr"/>
      <c r="T459" s="5" t="inlineStr"/>
      <c r="U459" s="5" t="inlineStr"/>
      <c r="V459" s="5" t="inlineStr">
        <is>
          <t>usta</t>
        </is>
      </c>
    </row>
    <row r="460">
      <c r="A460" s="5" t="inlineStr">
        <is>
          <t>b9-usta-son-kepenk</t>
        </is>
      </c>
      <c r="B460" s="5" t="n">
        <v>9</v>
      </c>
      <c r="C460" s="5" t="inlineStr">
        <is>
          <t>60 yaş 6 ay</t>
        </is>
      </c>
      <c r="D460" s="5" t="inlineStr">
        <is>
          <t>🔑</t>
        </is>
      </c>
      <c r="E460" s="6" t="inlineStr">
        <is>
          <t>Telefonda Teşhis</t>
        </is>
      </c>
      <c r="F460" s="6" t="inlineStr">
        <is>
          <t>Emeklilik evrakın hazır, dükkânın devri konuşuluyor. Ama her sabah telefon çalıyor: “Usta, bir ses var.” Arayanlar sesi taklit ediyor, sen telefonda teşhis koyuyorsun. Kalfan buna “uzaktan çalışma” diyor.</t>
        </is>
      </c>
      <c r="G460" s="5" t="inlineStr">
        <is>
          <t>dukkan</t>
        </is>
      </c>
      <c r="H460" s="5" t="inlineStr"/>
      <c r="I460" s="5" t="inlineStr"/>
      <c r="J460" s="5" t="n">
        <v>3</v>
      </c>
      <c r="K460" s="5" t="inlineStr"/>
      <c r="L460" s="5" t="inlineStr">
        <is>
          <t>hapis</t>
        </is>
      </c>
      <c r="M460" s="5" t="inlineStr"/>
      <c r="N460" s="5" t="inlineStr"/>
      <c r="O460" s="5" t="inlineStr"/>
      <c r="P460" s="5" t="inlineStr"/>
      <c r="Q460" s="5" t="inlineStr"/>
      <c r="R460" s="6" t="inlineStr"/>
      <c r="S460" s="5" t="inlineStr"/>
      <c r="T460" s="5" t="inlineStr"/>
      <c r="U460" s="5" t="inlineStr"/>
      <c r="V460" s="5" t="inlineStr">
        <is>
          <t>usta</t>
        </is>
      </c>
    </row>
    <row r="461">
      <c r="A461" s="5" t="inlineStr">
        <is>
          <t>b7-kiz-isteme</t>
        </is>
      </c>
      <c r="B461" s="5" t="n">
        <v>7</v>
      </c>
      <c r="C461" s="5" t="inlineStr">
        <is>
          <t>29 yaş 2 ay</t>
        </is>
      </c>
      <c r="D461" s="5" t="inlineStr">
        <is>
          <t>☕</t>
        </is>
      </c>
      <c r="E461" s="6" t="inlineStr">
        <is>
          <t>Tuzlu Kahve</t>
        </is>
      </c>
      <c r="F461" s="6" t="inlineStr">
        <is>
          <t>Kız istemeye gittiniz. Annen çikolatayı taşıyor, baban cümleyi. Kahveler geldi; seninkinin rengi biraz farklı. Salondaki herkes senin yüzüne bakıyor.</t>
        </is>
      </c>
      <c r="G461" s="5" t="inlineStr">
        <is>
          <t>ev</t>
        </is>
      </c>
      <c r="H461" s="5" t="inlineStr"/>
      <c r="I461" s="5" t="inlineStr">
        <is>
          <t>E</t>
        </is>
      </c>
      <c r="J461" s="5" t="inlineStr"/>
      <c r="K461" s="5" t="inlineStr">
        <is>
          <t>ask-evliligi</t>
        </is>
      </c>
      <c r="L461" s="5" t="inlineStr">
        <is>
          <t>hapis</t>
        </is>
      </c>
      <c r="M461" s="5" t="inlineStr"/>
      <c r="N461" s="5" t="inlineStr">
        <is>
          <t>erkek</t>
        </is>
      </c>
      <c r="O461" s="5" t="inlineStr"/>
      <c r="P461" s="5" t="inlineStr"/>
      <c r="Q461" s="5" t="inlineStr"/>
      <c r="R461" s="6" t="inlineStr"/>
      <c r="S461" s="5" t="inlineStr"/>
      <c r="T461" s="5" t="inlineStr"/>
      <c r="U461" s="5" t="inlineStr"/>
      <c r="V461" s="5" t="inlineStr"/>
    </row>
    <row r="462">
      <c r="A462" s="5" t="inlineStr">
        <is>
          <t>b7-gorucu-kahve</t>
        </is>
      </c>
      <c r="B462" s="5" t="n">
        <v>7</v>
      </c>
      <c r="C462" s="5" t="inlineStr">
        <is>
          <t>29 yaş 1 ay</t>
        </is>
      </c>
      <c r="D462" s="5" t="inlineStr">
        <is>
          <t>🫖</t>
        </is>
      </c>
      <c r="E462" s="6" t="inlineStr">
        <is>
          <t>Sadece Bir Kahve</t>
        </is>
      </c>
      <c r="F462" s="6" t="inlineStr">
        <is>
          <t>Annenin arkadaşının kızının teyzesinin önerisi. Pastanede karşı karşıya oturuyorsunuz; iki anne iki masa ötede, gazete okuyormuş gibi yapıyor. Gazete ters.</t>
        </is>
      </c>
      <c r="G462" s="5" t="inlineStr">
        <is>
          <t>kafe</t>
        </is>
      </c>
      <c r="H462" s="5" t="inlineStr"/>
      <c r="I462" s="5" t="inlineStr">
        <is>
          <t>E</t>
        </is>
      </c>
      <c r="J462" s="5" t="inlineStr"/>
      <c r="K462" s="5" t="inlineStr">
        <is>
          <t>gorucu</t>
        </is>
      </c>
      <c r="L462" s="5" t="inlineStr">
        <is>
          <t>hapis</t>
        </is>
      </c>
      <c r="M462" s="5" t="inlineStr"/>
      <c r="N462" s="5" t="inlineStr"/>
      <c r="O462" s="5" t="inlineStr"/>
      <c r="P462" s="5" t="inlineStr"/>
      <c r="Q462" s="5" t="inlineStr"/>
      <c r="R462" s="6" t="inlineStr"/>
      <c r="S462" s="5" t="inlineStr"/>
      <c r="T462" s="5" t="inlineStr"/>
      <c r="U462" s="5" t="inlineStr"/>
      <c r="V462" s="5" t="inlineStr"/>
    </row>
    <row r="463">
      <c r="A463" s="5" t="inlineStr">
        <is>
          <t>b7-capkin-rezervasyon</t>
        </is>
      </c>
      <c r="B463" s="5" t="n">
        <v>7</v>
      </c>
      <c r="C463" s="5" t="inlineStr">
        <is>
          <t>30 yaş 6 ay</t>
        </is>
      </c>
      <c r="D463" s="5" t="inlineStr">
        <is>
          <t>🌹</t>
        </is>
      </c>
      <c r="E463" s="6" t="inlineStr">
        <is>
          <t>Aynı Restoran, Üç Akşam</t>
        </is>
      </c>
      <c r="F463" s="6" t="inlineStr">
        <is>
          <t>Pazartesi, çarşamba, cuma. Aynı restoran, aynı masa, üç ayrı isim. Garson artık menüyü getirmiyor; sadece “Bugün kim?” diye soruyor. Bu akşam biri erken geldi.</t>
        </is>
      </c>
      <c r="G463" s="5" t="inlineStr">
        <is>
          <t>kafe</t>
        </is>
      </c>
      <c r="H463" s="5" t="inlineStr"/>
      <c r="I463" s="5" t="inlineStr"/>
      <c r="J463" s="5" t="n">
        <v>3</v>
      </c>
      <c r="K463" s="5" t="inlineStr">
        <is>
          <t>capkin</t>
        </is>
      </c>
      <c r="L463" s="5" t="inlineStr">
        <is>
          <t>evli, hapis</t>
        </is>
      </c>
      <c r="M463" s="5" t="inlineStr"/>
      <c r="N463" s="5" t="inlineStr"/>
      <c r="O463" s="5" t="inlineStr"/>
      <c r="P463" s="5" t="inlineStr"/>
      <c r="Q463" s="5" t="inlineStr"/>
      <c r="R463" s="6" t="inlineStr"/>
      <c r="S463" s="5" t="inlineStr"/>
      <c r="T463" s="5" t="inlineStr"/>
      <c r="U463" s="5" t="inlineStr"/>
      <c r="V463" s="5" t="inlineStr"/>
    </row>
    <row r="464">
      <c r="A464" s="5" t="inlineStr">
        <is>
          <t>b8-capkin-orta-yas</t>
        </is>
      </c>
      <c r="B464" s="5" t="n">
        <v>8</v>
      </c>
      <c r="C464" s="5" t="inlineStr">
        <is>
          <t>44 yaş</t>
        </is>
      </c>
      <c r="D464" s="5" t="inlineStr">
        <is>
          <t>🥂</t>
        </is>
      </c>
      <c r="E464" s="6" t="inlineStr">
        <is>
          <t>Hâlâ Aynı Restoran</t>
        </is>
      </c>
      <c r="F464" s="6" t="inlineStr">
        <is>
          <t>Kırk dört yaşındasın ve restoranın eski garsonu emekli oldu. Yerine gelen genç senin masanı “Efsane masa” diye biliyor. Bu akşam karşına oturan kişi, yıllar önce aynı masada buluştuğun birinin kuzeni çıktı: “Sizi bizim evde çok anlatırlar.”</t>
        </is>
      </c>
      <c r="G464" s="5" t="inlineStr">
        <is>
          <t>kafe</t>
        </is>
      </c>
      <c r="H464" s="5" t="inlineStr"/>
      <c r="I464" s="5" t="inlineStr"/>
      <c r="J464" s="5" t="n">
        <v>3</v>
      </c>
      <c r="K464" s="5" t="inlineStr">
        <is>
          <t>capkin</t>
        </is>
      </c>
      <c r="L464" s="5" t="inlineStr">
        <is>
          <t>evli, hapis</t>
        </is>
      </c>
      <c r="M464" s="5" t="inlineStr"/>
      <c r="N464" s="5" t="inlineStr"/>
      <c r="O464" s="5" t="inlineStr"/>
      <c r="P464" s="5" t="inlineStr"/>
      <c r="Q464" s="5" t="inlineStr"/>
      <c r="R464" s="6" t="inlineStr"/>
      <c r="S464" s="5" t="inlineStr"/>
      <c r="T464" s="5" t="inlineStr"/>
      <c r="U464" s="5" t="inlineStr"/>
      <c r="V464" s="5" t="inlineStr"/>
    </row>
    <row r="465">
      <c r="A465" s="5" t="inlineStr">
        <is>
          <t>b7-evin-oglu</t>
        </is>
      </c>
      <c r="B465" s="5" t="n">
        <v>7</v>
      </c>
      <c r="C465" s="5" t="inlineStr">
        <is>
          <t>35 yaş 6 ay</t>
        </is>
      </c>
      <c r="D465" s="5" t="inlineStr">
        <is>
          <t>🛏️</t>
        </is>
      </c>
      <c r="E465" s="6" t="inlineStr">
        <is>
          <t>Bizim Evin Çocuğu</t>
        </is>
      </c>
      <c r="F465" s="6" t="inlineStr">
        <is>
          <t>Otuz beş yaşındasın ve annenin evindesin. Odanın kapısında hâlâ ilkokul çıkartması var. Annen misafirlere seni “Bizim evin çocuğu” diye tanıtıyor; misafirler bunun bir iltifat mı, bir teşhis mi olduğunu çözemiyor.</t>
        </is>
      </c>
      <c r="G465" s="5" t="inlineStr">
        <is>
          <t>ev</t>
        </is>
      </c>
      <c r="H465" s="5" t="inlineStr"/>
      <c r="I465" s="5" t="inlineStr">
        <is>
          <t>E</t>
        </is>
      </c>
      <c r="J465" s="5" t="inlineStr"/>
      <c r="K465" s="5" t="inlineStr">
        <is>
          <t>evde-kaldi</t>
        </is>
      </c>
      <c r="L465" s="5" t="inlineStr">
        <is>
          <t>evli, hapis</t>
        </is>
      </c>
      <c r="M465" s="5" t="inlineStr"/>
      <c r="N465" s="5" t="inlineStr"/>
      <c r="O465" s="5" t="inlineStr"/>
      <c r="P465" s="5" t="inlineStr"/>
      <c r="Q465" s="5" t="inlineStr"/>
      <c r="R465" s="6" t="inlineStr"/>
      <c r="S465" s="5" t="inlineStr"/>
      <c r="T465" s="5" t="inlineStr"/>
      <c r="U465" s="5" t="inlineStr"/>
      <c r="V465" s="5" t="inlineStr"/>
    </row>
    <row r="466">
      <c r="A466" s="5" t="inlineStr">
        <is>
          <t>b8-evin-oglu-orta</t>
        </is>
      </c>
      <c r="B466" s="5" t="n">
        <v>8</v>
      </c>
      <c r="C466" s="5" t="inlineStr">
        <is>
          <t>46 yaş</t>
        </is>
      </c>
      <c r="D466" s="5" t="inlineStr">
        <is>
          <t>🍲</t>
        </is>
      </c>
      <c r="E466" s="6" t="inlineStr">
        <is>
          <t>Annenin Tencere Takvimi</t>
        </is>
      </c>
      <c r="F466" s="6" t="inlineStr">
        <is>
          <t>Kırk altı yaşındasın. Annen hâlâ pazartesi mercimek, salı taze fasulye yapıyor. Takvimi bozan tek şey sensin: dün geç geldin, annen fasulyeyi perşembeye erteledi.</t>
        </is>
      </c>
      <c r="G466" s="5" t="inlineStr">
        <is>
          <t>ev</t>
        </is>
      </c>
      <c r="H466" s="5" t="inlineStr"/>
      <c r="I466" s="5" t="inlineStr"/>
      <c r="J466" s="5" t="n">
        <v>3</v>
      </c>
      <c r="K466" s="5" t="inlineStr">
        <is>
          <t>evin-oglu</t>
        </is>
      </c>
      <c r="L466" s="5" t="inlineStr">
        <is>
          <t>evli, hapis</t>
        </is>
      </c>
      <c r="M466" s="5" t="inlineStr"/>
      <c r="N466" s="5" t="inlineStr"/>
      <c r="O466" s="5" t="inlineStr"/>
      <c r="P466" s="5" t="inlineStr"/>
      <c r="Q466" s="5" t="inlineStr"/>
      <c r="R466" s="6" t="inlineStr"/>
      <c r="S466" s="5" t="inlineStr"/>
      <c r="T466" s="5" t="inlineStr"/>
      <c r="U466" s="5" t="inlineStr"/>
      <c r="V466" s="5" t="inlineStr"/>
    </row>
    <row r="467">
      <c r="A467" s="5" t="inlineStr">
        <is>
          <t>kriz-7</t>
        </is>
      </c>
      <c r="B467" s="5" t="n">
        <v>7</v>
      </c>
      <c r="C467" s="5" t="inlineStr">
        <is>
          <t>30 yaş</t>
        </is>
      </c>
      <c r="D467" s="5" t="inlineStr">
        <is>
          <t>🌀</t>
        </is>
      </c>
      <c r="E467" s="6" t="inlineStr">
        <is>
          <t>Üçüncü Tökezleme</t>
        </is>
      </c>
      <c r="F467" s="6" t="inlineStr">
        <is>
          <t>Son aylarda elini neye attıysan ters gitti. Maaş gecikti, kira gecikmedi, bir kapı yüzüne kapandı. Mutfak masasında bir kâğıt var; üstünde senin el yazınla tek kelime: “Şimdi?”</t>
        </is>
      </c>
      <c r="G467" s="5" t="inlineStr">
        <is>
          <t>ev</t>
        </is>
      </c>
      <c r="H467" s="5" t="inlineStr"/>
      <c r="I467" s="5" t="inlineStr"/>
      <c r="J467" s="5" t="inlineStr"/>
      <c r="K467" s="5" t="inlineStr"/>
      <c r="L467" s="5" t="inlineStr">
        <is>
          <t>hapis</t>
        </is>
      </c>
      <c r="M467" s="5" t="inlineStr"/>
      <c r="N467" s="5" t="inlineStr"/>
      <c r="O467" s="5" t="inlineStr"/>
      <c r="P467" s="5" t="inlineStr"/>
      <c r="Q467" s="5" t="inlineStr"/>
      <c r="R467" s="6" t="inlineStr"/>
      <c r="S467" s="5" t="inlineStr"/>
      <c r="T467" s="5" t="inlineStr"/>
      <c r="U467" s="5" t="inlineStr"/>
      <c r="V467" s="5" t="inlineStr"/>
    </row>
    <row r="468">
      <c r="A468" s="5" t="inlineStr">
        <is>
          <t>kriz-8</t>
        </is>
      </c>
      <c r="B468" s="5" t="n">
        <v>8</v>
      </c>
      <c r="C468" s="5" t="inlineStr">
        <is>
          <t>47 yaş</t>
        </is>
      </c>
      <c r="D468" s="5" t="inlineStr">
        <is>
          <t>🌀</t>
        </is>
      </c>
      <c r="E468" s="6" t="inlineStr">
        <is>
          <t>Ortası Çöktü</t>
        </is>
      </c>
      <c r="F468" s="6" t="inlineStr">
        <is>
          <t>Kırkların sonuna doğru her şey aynı anda sallandı: iş, hesap, bel. Banka mesaj attı, doktor mesaj attı, aile grubu mesaj attı. Tek iyi haber: kargo yolda.</t>
        </is>
      </c>
      <c r="G468" s="5" t="inlineStr">
        <is>
          <t>ev</t>
        </is>
      </c>
      <c r="H468" s="5" t="inlineStr"/>
      <c r="I468" s="5" t="inlineStr"/>
      <c r="J468" s="5" t="inlineStr"/>
      <c r="K468" s="5" t="inlineStr"/>
      <c r="L468" s="5" t="inlineStr">
        <is>
          <t>hapis</t>
        </is>
      </c>
      <c r="M468" s="5" t="inlineStr"/>
      <c r="N468" s="5" t="inlineStr"/>
      <c r="O468" s="5" t="inlineStr"/>
      <c r="P468" s="5" t="inlineStr"/>
      <c r="Q468" s="5" t="inlineStr"/>
      <c r="R468" s="6" t="inlineStr"/>
      <c r="S468" s="5" t="inlineStr"/>
      <c r="T468" s="5" t="inlineStr"/>
      <c r="U468" s="5" t="inlineStr"/>
      <c r="V468" s="5" t="inlineStr"/>
    </row>
    <row r="469">
      <c r="A469" s="5" t="inlineStr">
        <is>
          <t>kriz-9</t>
        </is>
      </c>
      <c r="B469" s="5" t="n">
        <v>9</v>
      </c>
      <c r="C469" s="5" t="inlineStr">
        <is>
          <t>60 yaş</t>
        </is>
      </c>
      <c r="D469" s="5" t="inlineStr">
        <is>
          <t>🌀</t>
        </is>
      </c>
      <c r="E469" s="6" t="inlineStr">
        <is>
          <t>Emekliliğe Beş Kala</t>
        </is>
      </c>
      <c r="F469" s="6" t="inlineStr">
        <is>
          <t>Emekliliğine bir yıl kala hesaplar tutmadı. Birikim eridi, prim eksik çıktı, aile grubu “Sen bilirsin” yazdı. Takvim sana değil, sen takvime bakıyorsun.</t>
        </is>
      </c>
      <c r="G469" s="5" t="inlineStr">
        <is>
          <t>ev</t>
        </is>
      </c>
      <c r="H469" s="5" t="inlineStr"/>
      <c r="I469" s="5" t="inlineStr"/>
      <c r="J469" s="5" t="inlineStr"/>
      <c r="K469" s="5" t="inlineStr"/>
      <c r="L469" s="5" t="inlineStr">
        <is>
          <t>hapis, emekli, emekliligi-reddetti</t>
        </is>
      </c>
      <c r="M469" s="5" t="inlineStr"/>
      <c r="N469" s="5" t="inlineStr"/>
      <c r="O469" s="5" t="inlineStr"/>
      <c r="P469" s="5" t="inlineStr"/>
      <c r="Q469" s="5" t="inlineStr"/>
      <c r="R469" s="6" t="inlineStr"/>
      <c r="S469" s="5" t="inlineStr"/>
      <c r="T469" s="5" t="inlineStr"/>
      <c r="U469" s="5" t="inlineStr"/>
      <c r="V469" s="5" t="inlineStr"/>
    </row>
    <row r="470">
      <c r="A470" s="5" t="inlineStr">
        <is>
          <t>b8-orta-yas</t>
        </is>
      </c>
      <c r="B470" s="5" t="n">
        <v>8</v>
      </c>
      <c r="C470" s="5" t="inlineStr">
        <is>
          <t>44 yaş</t>
        </is>
      </c>
      <c r="D470" s="5" t="inlineStr">
        <is>
          <t>🏍️</t>
        </is>
      </c>
      <c r="E470" s="6" t="inlineStr">
        <is>
          <t>Aynadaki Soru</t>
        </is>
      </c>
      <c r="F470" s="6" t="inlineStr">
        <is>
          <t>Sabah aynaya baktın; ayna bir soru sordu: “Bu kadar mı?” Galerideki motosiklet, köydeki dedenin tarlası ve yıllardır ertelediğin o son adım aynı anda aklına geldi.</t>
        </is>
      </c>
      <c r="G470" s="5" t="inlineStr">
        <is>
          <t>ev</t>
        </is>
      </c>
      <c r="H470" s="5" t="inlineStr"/>
      <c r="I470" s="5" t="inlineStr">
        <is>
          <t>E</t>
        </is>
      </c>
      <c r="J470" s="5" t="inlineStr"/>
      <c r="K470" s="5" t="inlineStr"/>
      <c r="L470" s="5" t="inlineStr">
        <is>
          <t>hapis</t>
        </is>
      </c>
      <c r="M470" s="5" t="inlineStr"/>
      <c r="N470" s="5" t="inlineStr"/>
      <c r="O470" s="5" t="inlineStr"/>
      <c r="P470" s="5" t="inlineStr"/>
      <c r="Q470" s="5" t="n">
        <v>11</v>
      </c>
      <c r="R470" s="6" t="inlineStr">
        <is>
          <t>Kırkların ortası bir kavşaktır: kimi her şeyi bırakır, kimi zirveye son bir kez oynar, kimi motosiklet alır. Burada seçtiğin, ellili yaşlarını kimin olarak geçireceğini belirler.</t>
        </is>
      </c>
      <c r="S470" s="5" t="inlineStr"/>
      <c r="T470" s="5" t="inlineStr"/>
      <c r="U470" s="5" t="inlineStr"/>
      <c r="V470" s="5" t="inlineStr"/>
    </row>
    <row r="471">
      <c r="A471" s="5" t="inlineStr">
        <is>
          <t>b8-buyuk-firsat</t>
        </is>
      </c>
      <c r="B471" s="5" t="n">
        <v>8</v>
      </c>
      <c r="C471" s="5" t="inlineStr">
        <is>
          <t>50 yaş</t>
        </is>
      </c>
      <c r="D471" s="5" t="inlineStr">
        <is>
          <t>📞</t>
        </is>
      </c>
      <c r="E471" s="6" t="inlineStr">
        <is>
          <t>Aynı Hafta Üç Telefon</t>
        </is>
      </c>
      <c r="F471" s="6" t="inlineStr">
        <is>
          <t>Ellinci yaş gününün haftasında üç telefon geldi: bir parti il başkanı, Öte Diyar'dan bir şirket ve bir yarışma programının yapımcısı. Üçü de aynı cümleyle başladı: “Sizi çok konuşuyoruz.”</t>
        </is>
      </c>
      <c r="G471" s="5" t="inlineStr">
        <is>
          <t>ev</t>
        </is>
      </c>
      <c r="H471" s="5" t="inlineStr"/>
      <c r="I471" s="5" t="inlineStr">
        <is>
          <t>E</t>
        </is>
      </c>
      <c r="J471" s="5" t="inlineStr"/>
      <c r="K471" s="5" t="inlineStr"/>
      <c r="L471" s="5" t="inlineStr">
        <is>
          <t>hapis</t>
        </is>
      </c>
      <c r="M471" s="5" t="inlineStr"/>
      <c r="N471" s="5" t="inlineStr"/>
      <c r="O471" s="5" t="inlineStr"/>
      <c r="P471" s="5" t="inlineStr"/>
      <c r="Q471" s="5" t="inlineStr"/>
      <c r="R471" s="6" t="inlineStr"/>
      <c r="S471" s="5" t="inlineStr"/>
      <c r="T471" s="5" t="inlineStr"/>
      <c r="U471" s="5" t="inlineStr"/>
      <c r="V471" s="5" t="inlineStr"/>
    </row>
    <row r="472">
      <c r="A472" s="5" t="inlineStr">
        <is>
          <t>b7-erken-tahliye</t>
        </is>
      </c>
      <c r="B472" s="5" t="n">
        <v>7</v>
      </c>
      <c r="C472" s="5" t="inlineStr">
        <is>
          <t>36 yaş 6 ay</t>
        </is>
      </c>
      <c r="D472" s="5" t="inlineStr">
        <is>
          <t>🚪</t>
        </is>
      </c>
      <c r="E472" s="6" t="inlineStr">
        <is>
          <t>Erken Tahliye</t>
        </is>
      </c>
      <c r="F472" s="6" t="inlineStr">
        <is>
          <t>Mahalleden gelen dilekçeler, kefil mektupları ve bir de muhtarın ziyareti işe yaradı: cezan kısaldı. Gardiyan eşyalarını bir poşete koydu. Poşet, girdiğin gün getirdiğinden hafif.</t>
        </is>
      </c>
      <c r="G472" s="5" t="inlineStr">
        <is>
          <t>cezaevi</t>
        </is>
      </c>
      <c r="H472" s="5" t="inlineStr"/>
      <c r="I472" s="5" t="inlineStr">
        <is>
          <t>E</t>
        </is>
      </c>
      <c r="J472" s="5" t="inlineStr"/>
      <c r="K472" s="5" t="inlineStr">
        <is>
          <t>hapis, ceza-indirimi</t>
        </is>
      </c>
      <c r="L472" s="5" t="inlineStr"/>
      <c r="M472" s="5" t="inlineStr"/>
      <c r="N472" s="5" t="inlineStr"/>
      <c r="O472" s="5" t="inlineStr"/>
      <c r="P472" s="5" t="inlineStr"/>
      <c r="Q472" s="5" t="inlineStr"/>
      <c r="R472" s="6" t="inlineStr"/>
      <c r="S472" s="5" t="inlineStr"/>
      <c r="T472" s="5" t="inlineStr"/>
      <c r="U472" s="5" t="inlineStr"/>
      <c r="V472" s="5" t="inlineStr"/>
    </row>
    <row r="473">
      <c r="A473" s="5" t="inlineStr">
        <is>
          <t>b8-erken-tahliye</t>
        </is>
      </c>
      <c r="B473" s="5" t="n">
        <v>8</v>
      </c>
      <c r="C473" s="5" t="inlineStr">
        <is>
          <t>52 yaş</t>
        </is>
      </c>
      <c r="D473" s="5" t="inlineStr">
        <is>
          <t>🚪</t>
        </is>
      </c>
      <c r="E473" s="6" t="inlineStr">
        <is>
          <t>Erken Tahliye</t>
        </is>
      </c>
      <c r="F473" s="6" t="inlineStr">
        <is>
          <t>Mahalleden gelen dilekçeler, kefil mektupları ve bir de muhtarın ziyareti işe yaradı: cezan kısaldı. Gardiyan eşyalarını bir poşete koydu. Poşet, girdiğin gün getirdiğinden hafif.</t>
        </is>
      </c>
      <c r="G473" s="5" t="inlineStr">
        <is>
          <t>cezaevi</t>
        </is>
      </c>
      <c r="H473" s="5" t="inlineStr"/>
      <c r="I473" s="5" t="inlineStr">
        <is>
          <t>E</t>
        </is>
      </c>
      <c r="J473" s="5" t="inlineStr"/>
      <c r="K473" s="5" t="inlineStr">
        <is>
          <t>hapis, ceza-indirimi</t>
        </is>
      </c>
      <c r="L473" s="5" t="inlineStr"/>
      <c r="M473" s="5" t="inlineStr"/>
      <c r="N473" s="5" t="inlineStr"/>
      <c r="O473" s="5" t="inlineStr"/>
      <c r="P473" s="5" t="inlineStr"/>
      <c r="Q473" s="5" t="inlineStr"/>
      <c r="R473" s="6" t="inlineStr"/>
      <c r="S473" s="5" t="inlineStr"/>
      <c r="T473" s="5" t="inlineStr"/>
      <c r="U473" s="5" t="inlineStr"/>
      <c r="V473" s="5" t="inlineStr"/>
    </row>
    <row r="474">
      <c r="A474" s="5" t="inlineStr">
        <is>
          <t>b1-misafir-geldi</t>
        </is>
      </c>
      <c r="B474" s="5" t="n">
        <v>1</v>
      </c>
      <c r="C474" s="5" t="inlineStr">
        <is>
          <t>2 yaş 5 ay</t>
        </is>
      </c>
      <c r="D474" s="5" t="inlineStr">
        <is>
          <t>🫖</t>
        </is>
      </c>
      <c r="E474" s="6" t="inlineStr">
        <is>
          <t>Misafir Geldi</t>
        </is>
      </c>
      <c r="F474" s="6" t="inlineStr">
        <is>
          <t>Kapı çaldı. Annen on saniyede salonu topladı, sana “Uslu dur” dedi, kapıyı açtı. İçeri komşu teyze ve bir kutu çikolata girdi. Çikolata vitrine gitti.</t>
        </is>
      </c>
      <c r="G474" s="5" t="inlineStr">
        <is>
          <t>ev</t>
        </is>
      </c>
      <c r="H474" s="5" t="inlineStr">
        <is>
          <t>sosyal</t>
        </is>
      </c>
      <c r="I474" s="5" t="inlineStr"/>
      <c r="J474" s="5" t="inlineStr"/>
      <c r="K474" s="5" t="inlineStr"/>
      <c r="L474" s="5" t="inlineStr"/>
      <c r="M474" s="5" t="inlineStr"/>
      <c r="N474" s="5" t="inlineStr"/>
      <c r="O474" s="5" t="inlineStr"/>
      <c r="P474" s="5" t="inlineStr"/>
      <c r="Q474" s="5" t="inlineStr"/>
      <c r="R474" s="6" t="inlineStr"/>
      <c r="S474" s="5" t="inlineStr"/>
      <c r="T474" s="5" t="inlineStr"/>
      <c r="U474" s="5" t="inlineStr"/>
      <c r="V474" s="5" t="inlineStr"/>
    </row>
    <row r="475">
      <c r="A475" s="5" t="inlineStr">
        <is>
          <t>b2-kardes-geldi</t>
        </is>
      </c>
      <c r="B475" s="5" t="n">
        <v>2</v>
      </c>
      <c r="C475" s="5" t="inlineStr">
        <is>
          <t>3 yaş 10 ay</t>
        </is>
      </c>
      <c r="D475" s="5" t="inlineStr">
        <is>
          <t>👶</t>
        </is>
      </c>
      <c r="E475" s="6" t="inlineStr">
        <is>
          <t>Kardeş Geldi</t>
        </is>
      </c>
      <c r="F475" s="6" t="inlineStr">
        <is>
          <t>Annenle baban eve bir bebekle döndü. Herkes ona bakıyor, hediyeler ona geliyor. Babaannen sana “Artık büyüdün” dedi. Dün de bu kadardın.</t>
        </is>
      </c>
      <c r="G475" s="5" t="inlineStr">
        <is>
          <t>ev</t>
        </is>
      </c>
      <c r="H475" s="5" t="inlineStr">
        <is>
          <t>ev</t>
        </is>
      </c>
      <c r="I475" s="5" t="inlineStr"/>
      <c r="J475" s="5" t="inlineStr"/>
      <c r="K475" s="5" t="inlineStr"/>
      <c r="L475" s="5" t="inlineStr"/>
      <c r="M475" s="5" t="inlineStr"/>
      <c r="N475" s="5" t="inlineStr"/>
      <c r="O475" s="5" t="inlineStr"/>
      <c r="P475" s="5" t="inlineStr"/>
      <c r="Q475" s="5" t="inlineStr"/>
      <c r="R475" s="6" t="inlineStr"/>
      <c r="S475" s="5" t="inlineStr"/>
      <c r="T475" s="5" t="inlineStr"/>
      <c r="U475" s="5" t="inlineStr"/>
      <c r="V475" s="5" t="inlineStr"/>
    </row>
    <row r="476">
      <c r="A476" s="5" t="inlineStr">
        <is>
          <t>b2-bayram-sabahi</t>
        </is>
      </c>
      <c r="B476" s="5" t="n">
        <v>2</v>
      </c>
      <c r="C476" s="5" t="inlineStr">
        <is>
          <t>4 yaş 6 ay</t>
        </is>
      </c>
      <c r="D476" s="5" t="inlineStr">
        <is>
          <t>🍬</t>
        </is>
      </c>
      <c r="E476" s="6" t="inlineStr">
        <is>
          <t>Bayram Sabahı</t>
        </is>
      </c>
      <c r="F476" s="6" t="inlineStr">
        <is>
          <t>Bayram sabahı. Salonda on iki akraba, bir şişe kolonya, bir kâse şeker. Annen kapıda kulağına son kez fısıldadı: “Önce el, sonra cep. Cebe bakmak yok.” Herkesin cebinde bir şey var.</t>
        </is>
      </c>
      <c r="G476" s="5" t="inlineStr">
        <is>
          <t>ev</t>
        </is>
      </c>
      <c r="H476" s="5" t="inlineStr">
        <is>
          <t>sosyal</t>
        </is>
      </c>
      <c r="I476" s="5" t="inlineStr"/>
      <c r="J476" s="5" t="inlineStr"/>
      <c r="K476" s="5" t="inlineStr"/>
      <c r="L476" s="5" t="inlineStr"/>
      <c r="M476" s="5" t="inlineStr"/>
      <c r="N476" s="5" t="inlineStr"/>
      <c r="O476" s="5" t="inlineStr"/>
      <c r="P476" s="5" t="inlineStr"/>
      <c r="Q476" s="5" t="inlineStr"/>
      <c r="R476" s="6" t="inlineStr"/>
      <c r="S476" s="5" t="inlineStr"/>
      <c r="T476" s="5" t="inlineStr"/>
      <c r="U476" s="5" t="inlineStr"/>
      <c r="V476" s="5" t="inlineStr"/>
    </row>
    <row r="477">
      <c r="A477" s="5" t="inlineStr">
        <is>
          <t>b3-okuma-bayrami</t>
        </is>
      </c>
      <c r="B477" s="5" t="n">
        <v>3</v>
      </c>
      <c r="C477" s="5" t="inlineStr">
        <is>
          <t>6 yaş 9 ay</t>
        </is>
      </c>
      <c r="D477" s="5" t="inlineStr">
        <is>
          <t>🎀</t>
        </is>
      </c>
      <c r="E477" s="6" t="inlineStr">
        <is>
          <t>Kırmızı Kurdele</t>
        </is>
      </c>
      <c r="F477" s="6" t="inlineStr">
        <is>
          <t>Okuma bayramı. Salon veli dolu; babaannen en önde, telefonu kayıtta. Sırayla sahneye çıkıp bir cümle okuyacaksınız; okuyanın yakasına kırmızı kurdele takılacak. Sıra sana geldi.</t>
        </is>
      </c>
      <c r="G477" s="5" t="inlineStr">
        <is>
          <t>okul</t>
        </is>
      </c>
      <c r="H477" s="5" t="inlineStr">
        <is>
          <t>okul-iş</t>
        </is>
      </c>
      <c r="I477" s="5" t="inlineStr"/>
      <c r="J477" s="5" t="n">
        <v>1</v>
      </c>
      <c r="K477" s="5" t="inlineStr"/>
      <c r="L477" s="5" t="inlineStr"/>
      <c r="M477" s="5" t="inlineStr"/>
      <c r="N477" s="5" t="inlineStr"/>
      <c r="O477" s="5" t="inlineStr"/>
      <c r="P477" s="5" t="inlineStr"/>
      <c r="Q477" s="5" t="inlineStr"/>
      <c r="R477" s="6" t="inlineStr"/>
      <c r="S477" s="5" t="inlineStr"/>
      <c r="T477" s="5" t="inlineStr"/>
      <c r="U477" s="5" t="inlineStr"/>
      <c r="V477" s="5" t="inlineStr"/>
    </row>
    <row r="478">
      <c r="A478" s="5" t="inlineStr">
        <is>
          <t>b5-kuzenin-dugunu</t>
        </is>
      </c>
      <c r="B478" s="5" t="n">
        <v>5</v>
      </c>
      <c r="C478" s="5" t="inlineStr">
        <is>
          <t>16 yaş 9 ay</t>
        </is>
      </c>
      <c r="D478" s="5" t="inlineStr">
        <is>
          <t>🥁</t>
        </is>
      </c>
      <c r="E478" s="6" t="inlineStr">
        <is>
          <t>Kuzenin Düğünü</t>
        </is>
      </c>
      <c r="F478" s="6" t="inlineStr">
        <is>
          <t>Kuzenin evleniyor. Sabah gelin alma, akşam düğün salonu: yüz elli kişi, bir davul, bir zurna ve her masada sana “Sıra sende” diyen bir teyze.</t>
        </is>
      </c>
      <c r="G478" s="5" t="inlineStr">
        <is>
          <t>dugun-salonu</t>
        </is>
      </c>
      <c r="H478" s="5" t="inlineStr">
        <is>
          <t>ev</t>
        </is>
      </c>
      <c r="I478" s="5" t="inlineStr"/>
      <c r="J478" s="5" t="n">
        <v>1</v>
      </c>
      <c r="K478" s="5" t="inlineStr"/>
      <c r="L478" s="5" t="inlineStr"/>
      <c r="M478" s="5" t="inlineStr"/>
      <c r="N478" s="5" t="inlineStr"/>
      <c r="O478" s="5" t="inlineStr"/>
      <c r="P478" s="5" t="inlineStr"/>
      <c r="Q478" s="5" t="inlineStr"/>
      <c r="R478" s="6" t="inlineStr"/>
      <c r="S478" s="5" t="inlineStr"/>
      <c r="T478" s="5" t="inlineStr"/>
      <c r="U478" s="5" t="inlineStr"/>
      <c r="V478" s="5" t="inlineStr"/>
    </row>
    <row r="479">
      <c r="A479" s="5" t="inlineStr">
        <is>
          <t>b6-anneannenin-sandalyesi</t>
        </is>
      </c>
      <c r="B479" s="5" t="n">
        <v>6</v>
      </c>
      <c r="C479" s="5" t="inlineStr">
        <is>
          <t>21 yaş 7 ay</t>
        </is>
      </c>
      <c r="D479" s="5" t="inlineStr">
        <is>
          <t>🫖</t>
        </is>
      </c>
      <c r="E479" s="6" t="inlineStr">
        <is>
          <t>Anneannenin Sandalyesi</t>
        </is>
      </c>
      <c r="F479" s="6" t="inlineStr">
        <is>
          <t>Anneannen gece uykusunda gitti. Üç gündür evin kapısı kapanmıyor: komşular tencere taşıyor, kolonya elden ele dolaşıyor, kimse balkondaki sandalyesine oturmuyor. Annen hiç ağlamadı; durmadan çay demledi.</t>
        </is>
      </c>
      <c r="G479" s="5" t="inlineStr">
        <is>
          <t>ev</t>
        </is>
      </c>
      <c r="H479" s="5" t="inlineStr">
        <is>
          <t>ev</t>
        </is>
      </c>
      <c r="I479" s="5" t="inlineStr"/>
      <c r="J479" s="5" t="n">
        <v>1</v>
      </c>
      <c r="K479" s="5" t="inlineStr"/>
      <c r="L479" s="5" t="inlineStr"/>
      <c r="M479" s="5" t="inlineStr"/>
      <c r="N479" s="5" t="inlineStr"/>
      <c r="O479" s="5" t="inlineStr"/>
      <c r="P479" s="5" t="inlineStr"/>
      <c r="Q479" s="5" t="inlineStr"/>
      <c r="R479" s="6" t="inlineStr"/>
      <c r="S479" s="5" t="inlineStr"/>
      <c r="T479" s="5" t="inlineStr"/>
      <c r="U479" s="5" t="inlineStr"/>
      <c r="V479" s="5" t="inlineStr"/>
    </row>
    <row r="480">
      <c r="A480" s="5" t="inlineStr">
        <is>
          <t>b7-bebegin-adi</t>
        </is>
      </c>
      <c r="B480" s="5" t="n">
        <v>7</v>
      </c>
      <c r="C480" s="5" t="inlineStr">
        <is>
          <t>32 yaş 3 ay</t>
        </is>
      </c>
      <c r="D480" s="5" t="inlineStr">
        <is>
          <t>👶</t>
        </is>
      </c>
      <c r="E480" s="6" t="inlineStr">
        <is>
          <t>Bebeğin Adı</t>
        </is>
      </c>
      <c r="F480" s="6" t="inlineStr">
        <is>
          <t>Bebek doğdu. Hastane koridorunda iki aile var; hemşire bebeği getirip “Kim almak ister?” dedi, dört el birden uzandı. Önce sen aldın. Adı daha yok: babaanne kendi babasının adını istiyor, anneanne kendi annesininkini. Eşinin telefonunda da bir liste var.</t>
        </is>
      </c>
      <c r="G480" s="5" t="inlineStr">
        <is>
          <t>hastane</t>
        </is>
      </c>
      <c r="H480" s="5" t="inlineStr">
        <is>
          <t>ev</t>
        </is>
      </c>
      <c r="I480" s="5" t="inlineStr"/>
      <c r="J480" s="5" t="n">
        <v>2</v>
      </c>
      <c r="K480" s="5" t="inlineStr">
        <is>
          <t>cocuklu</t>
        </is>
      </c>
      <c r="L480" s="5" t="inlineStr">
        <is>
          <t>hapis, ikiz</t>
        </is>
      </c>
      <c r="M480" s="5" t="inlineStr"/>
      <c r="N480" s="5" t="inlineStr"/>
      <c r="O480" s="5" t="inlineStr"/>
      <c r="P480" s="5" t="inlineStr"/>
      <c r="Q480" s="5" t="inlineStr"/>
      <c r="R480" s="6" t="inlineStr"/>
      <c r="S480" s="5" t="inlineStr"/>
      <c r="T480" s="5" t="inlineStr"/>
      <c r="U480" s="5" t="inlineStr"/>
      <c r="V480" s="5" t="inlineStr"/>
    </row>
    <row r="481">
      <c r="A481" s="5" t="inlineStr">
        <is>
          <t>b7-okulun-ilk-gunu</t>
        </is>
      </c>
      <c r="B481" s="5" t="n">
        <v>7</v>
      </c>
      <c r="C481" s="5" t="inlineStr">
        <is>
          <t>38 yaş 6 ay</t>
        </is>
      </c>
      <c r="D481" s="5" t="inlineStr">
        <is>
          <t>🎒</t>
        </is>
      </c>
      <c r="E481" s="6" t="inlineStr">
        <is>
          <t>Önlük Bir Beden Büyük</t>
        </is>
      </c>
      <c r="F481" s="6" t="inlineStr">
        <is>
          <t>Çocuğun ilkokula başlıyor. Önlük bir beden büyük, beslenme çantasında dilimlenmiş elma, adı her kaleme tek tek yazılmış. Bahçede iki yüz veli var; yarısı ağlıyor, öbür yarısı ağlayanları çekiyor.</t>
        </is>
      </c>
      <c r="G481" s="5" t="inlineStr">
        <is>
          <t>okul-bahcesi</t>
        </is>
      </c>
      <c r="H481" s="5" t="inlineStr">
        <is>
          <t>okul-iş</t>
        </is>
      </c>
      <c r="I481" s="5" t="inlineStr"/>
      <c r="J481" s="5" t="n">
        <v>1</v>
      </c>
      <c r="K481" s="5" t="inlineStr">
        <is>
          <t>cocuklu</t>
        </is>
      </c>
      <c r="L481" s="5" t="inlineStr">
        <is>
          <t>hapis</t>
        </is>
      </c>
      <c r="M481" s="5" t="inlineStr"/>
      <c r="N481" s="5" t="inlineStr"/>
      <c r="O481" s="5" t="inlineStr"/>
      <c r="P481" s="5" t="inlineStr"/>
      <c r="Q481" s="5" t="inlineStr"/>
      <c r="R481" s="6" t="inlineStr"/>
      <c r="S481" s="5" t="inlineStr"/>
      <c r="T481" s="5" t="inlineStr"/>
      <c r="U481" s="5" t="inlineStr"/>
      <c r="V481" s="5" t="inlineStr"/>
    </row>
    <row r="482">
      <c r="A482" s="5" t="inlineStr">
        <is>
          <t>b8-taki-sirasi</t>
        </is>
      </c>
      <c r="B482" s="5" t="n">
        <v>8</v>
      </c>
      <c r="C482" s="5" t="inlineStr">
        <is>
          <t>45 yaş</t>
        </is>
      </c>
      <c r="D482" s="5" t="inlineStr">
        <is>
          <t>🎊</t>
        </is>
      </c>
      <c r="E482" s="6" t="inlineStr">
        <is>
          <t>Takı Sırası</t>
        </is>
      </c>
      <c r="F482" s="6" t="inlineStr">
        <is>
          <t>Kuzeninin oğlu evleniyor. Takı masasının başında mikrofonlu bir amca her takıyı anons ediyor: “Damadın teyzesi, iki bilezik!” Sıra sana yaklaşıyor. Cebinde bir çeyrek altın ve bir zarf var; arkanda bütün akraba.</t>
        </is>
      </c>
      <c r="G482" s="5" t="inlineStr">
        <is>
          <t>dugun-salonu</t>
        </is>
      </c>
      <c r="H482" s="5" t="inlineStr">
        <is>
          <t>sosyal</t>
        </is>
      </c>
      <c r="I482" s="5" t="inlineStr"/>
      <c r="J482" s="5" t="n">
        <v>1</v>
      </c>
      <c r="K482" s="5" t="inlineStr"/>
      <c r="L482" s="5" t="inlineStr">
        <is>
          <t>hapis</t>
        </is>
      </c>
      <c r="M482" s="5" t="inlineStr"/>
      <c r="N482" s="5" t="inlineStr"/>
      <c r="O482" s="5" t="inlineStr"/>
      <c r="P482" s="5" t="inlineStr"/>
      <c r="Q482" s="5" t="inlineStr"/>
      <c r="R482" s="6" t="inlineStr"/>
      <c r="S482" s="5" t="inlineStr"/>
      <c r="T482" s="5" t="inlineStr"/>
      <c r="U482" s="5" t="inlineStr"/>
      <c r="V482" s="5" t="inlineStr"/>
    </row>
    <row r="483">
      <c r="A483" s="5" t="inlineStr">
        <is>
          <t>b8-babanin-evi</t>
        </is>
      </c>
      <c r="B483" s="5" t="n">
        <v>8</v>
      </c>
      <c r="C483" s="5" t="inlineStr">
        <is>
          <t>53 yaş</t>
        </is>
      </c>
      <c r="D483" s="5" t="inlineStr">
        <is>
          <t>🧥</t>
        </is>
      </c>
      <c r="E483" s="6" t="inlineStr">
        <is>
          <t>Babanın Evi</t>
        </is>
      </c>
      <c r="F483" s="6" t="inlineStr">
        <is>
          <t>Babanı geçen ay toprağa verdiniz. Annen “Dolabını boşaltın, baktıkça içim gidiyor” dedi. Bugün kardeşlerle babanın dolabındasınız: kırk yıllık bir ceket, cebinde de senin ilkokul karnen.</t>
        </is>
      </c>
      <c r="G483" s="5" t="inlineStr">
        <is>
          <t>ev</t>
        </is>
      </c>
      <c r="H483" s="5" t="inlineStr">
        <is>
          <t>ev</t>
        </is>
      </c>
      <c r="I483" s="5" t="inlineStr"/>
      <c r="J483" s="5" t="n">
        <v>1</v>
      </c>
      <c r="K483" s="5" t="inlineStr"/>
      <c r="L483" s="5" t="inlineStr">
        <is>
          <t>hapis</t>
        </is>
      </c>
      <c r="M483" s="5" t="inlineStr"/>
      <c r="N483" s="5" t="inlineStr"/>
      <c r="O483" s="5" t="inlineStr"/>
      <c r="P483" s="5" t="inlineStr"/>
      <c r="Q483" s="5" t="inlineStr"/>
      <c r="R483" s="6" t="inlineStr"/>
      <c r="S483" s="5" t="inlineStr"/>
      <c r="T483" s="5" t="inlineStr"/>
      <c r="U483" s="5" t="inlineStr"/>
      <c r="V483" s="5" t="inlineStr"/>
    </row>
    <row r="484">
      <c r="A484" s="5" t="inlineStr">
        <is>
          <t>b9-dunurler</t>
        </is>
      </c>
      <c r="B484" s="5" t="n">
        <v>9</v>
      </c>
      <c r="C484" s="5" t="inlineStr">
        <is>
          <t>56 yaş 6 ay</t>
        </is>
      </c>
      <c r="D484" s="5" t="inlineStr">
        <is>
          <t>☕</t>
        </is>
      </c>
      <c r="E484" s="6" t="inlineStr">
        <is>
          <t>Dünürler</t>
        </is>
      </c>
      <c r="F484" s="6" t="inlineStr">
        <is>
          <t>Çocuğun evlenmek istiyor. Bu akşam iki aile ilk kez aynı salonda: kapıda kolonya, sehpada çikolata, ortada bir sessizlik. Herkes lafı kimin açacağını bekliyor; herkes sana bakıyor.</t>
        </is>
      </c>
      <c r="G484" s="5" t="inlineStr">
        <is>
          <t>ev</t>
        </is>
      </c>
      <c r="H484" s="5" t="inlineStr">
        <is>
          <t>ev</t>
        </is>
      </c>
      <c r="I484" s="5" t="inlineStr"/>
      <c r="J484" s="5" t="n">
        <v>1</v>
      </c>
      <c r="K484" s="5" t="inlineStr">
        <is>
          <t>cocuklu</t>
        </is>
      </c>
      <c r="L484" s="5" t="inlineStr">
        <is>
          <t>hapis</t>
        </is>
      </c>
      <c r="M484" s="5" t="inlineStr"/>
      <c r="N484" s="5" t="inlineStr"/>
      <c r="O484" s="5" t="inlineStr"/>
      <c r="P484" s="5" t="inlineStr"/>
      <c r="Q484" s="5" t="inlineStr"/>
      <c r="R484" s="6" t="inlineStr"/>
      <c r="S484" s="5" t="inlineStr"/>
      <c r="T484" s="5" t="inlineStr"/>
      <c r="U484" s="5" t="inlineStr"/>
      <c r="V484" s="5" t="inlineStr"/>
    </row>
    <row r="485">
      <c r="A485" s="5" t="inlineStr">
        <is>
          <t>b10-tek-fincan</t>
        </is>
      </c>
      <c r="B485" s="5" t="n">
        <v>10</v>
      </c>
      <c r="C485" s="5" t="inlineStr">
        <is>
          <t>79 yaş 6 ay</t>
        </is>
      </c>
      <c r="D485" s="5" t="inlineStr">
        <is>
          <t>☕</t>
        </is>
      </c>
      <c r="E485" s="6" t="inlineStr">
        <is>
          <t>Tek Fincan</t>
        </is>
      </c>
      <c r="F485" s="6" t="inlineStr">
        <is>
          <t>Eşin bu kış gitti. Sabah yine iki fincan çıkardın; birini dolaba geri koymak on dakika sürdü. Elli yıl çayı o demledi; demliğin kaç kaşık aldığını bilmiyorsun.</t>
        </is>
      </c>
      <c r="G485" s="5" t="inlineStr">
        <is>
          <t>mutfak</t>
        </is>
      </c>
      <c r="H485" s="5" t="inlineStr">
        <is>
          <t>ev</t>
        </is>
      </c>
      <c r="I485" s="5" t="inlineStr"/>
      <c r="J485" s="5" t="n">
        <v>1</v>
      </c>
      <c r="K485" s="5" t="inlineStr">
        <is>
          <t>evli</t>
        </is>
      </c>
      <c r="L485" s="5" t="inlineStr"/>
      <c r="M485" s="5" t="inlineStr"/>
      <c r="N485" s="5" t="inlineStr"/>
      <c r="O485" s="5" t="inlineStr"/>
      <c r="P485" s="5" t="inlineStr"/>
      <c r="Q485" s="5" t="inlineStr"/>
      <c r="R485" s="6" t="inlineStr"/>
      <c r="S485" s="5" t="inlineStr"/>
      <c r="T485" s="5" t="inlineStr"/>
      <c r="U485" s="5" t="inlineStr"/>
      <c r="V485" s="5" t="inlineStr"/>
    </row>
    <row r="486">
      <c r="A486" s="5" t="inlineStr">
        <is>
          <t>b7-isteme-kahvesi</t>
        </is>
      </c>
      <c r="B486" s="5" t="n">
        <v>7</v>
      </c>
      <c r="C486" s="5" t="inlineStr">
        <is>
          <t>29 yaş 2 ay</t>
        </is>
      </c>
      <c r="D486" s="5" t="inlineStr">
        <is>
          <t>☕</t>
        </is>
      </c>
      <c r="E486" s="6" t="inlineStr">
        <is>
          <t>Damada Tuzlu Kahve</t>
        </is>
      </c>
      <c r="F486" s="6" t="inlineStr">
        <is>
          <t>Seni istemeye geldiler. Annen salonu üç kez topladı, baban kravatını iki kez değiştirdi. Kahveleri sen yapıyorsun; mutfakta tuzluk sana göz kırpıyor. Salondan müstakbel kayınvalidenin sesi geliyor: “Kızımızın kahvesini bir içelim.”</t>
        </is>
      </c>
      <c r="G486" s="5" t="inlineStr">
        <is>
          <t>ev</t>
        </is>
      </c>
      <c r="H486" s="5" t="inlineStr"/>
      <c r="I486" s="5" t="inlineStr">
        <is>
          <t>E</t>
        </is>
      </c>
      <c r="J486" s="5" t="inlineStr"/>
      <c r="K486" s="5" t="inlineStr">
        <is>
          <t>ask-evliligi</t>
        </is>
      </c>
      <c r="L486" s="5" t="inlineStr">
        <is>
          <t>hapis</t>
        </is>
      </c>
      <c r="M486" s="5" t="inlineStr"/>
      <c r="N486" s="5" t="inlineStr">
        <is>
          <t>kız</t>
        </is>
      </c>
      <c r="O486" s="5" t="inlineStr"/>
      <c r="P486" s="5" t="inlineStr"/>
      <c r="Q486" s="5" t="inlineStr"/>
      <c r="R486" s="6" t="inlineStr"/>
      <c r="S486" s="5" t="inlineStr"/>
      <c r="T486" s="5" t="inlineStr"/>
      <c r="U486" s="5" t="inlineStr"/>
      <c r="V486" s="5" t="inlineStr"/>
    </row>
  </sheetData>
  <autoFilter ref="A1:V486"/>
  <dataValidations count="6">
    <dataValidation sqref="B2:B885" showDropDown="0" showInputMessage="0" showErrorMessage="1" allowBlank="1" errorTitle="Geçersiz değer" error="Listeden bir değer seçin." type="list">
      <formula1>"1,2,3,4,5,6,7,8,9,10"</formula1>
    </dataValidation>
    <dataValidation sqref="G2:G885" showDropDown="0" showInputMessage="0" showErrorMessage="1" allowBlank="1" errorTitle="Geçersiz değer" error="Listeden bir değer seçin." type="list">
      <formula1>"ev,mutfak,cocuk-odasi,okul,sinif,okul-bahcesi,sokak,park,bakkal,market,carsi,ofis,dukkan,devlet-dairesi,hastane,dugun-salonu,kafe,toplu-tasima,trafik,universite,kisla,banka,apartman,sahil,huzurevi,mezarlik,yazlik,stadyum,sahne,mahkeme,karakol,cezaevi,koy,havalimani,meclis,studyo"</formula1>
    </dataValidation>
    <dataValidation sqref="H2:H885" showDropDown="0" showInputMessage="0" showErrorMessage="1" allowBlank="1" errorTitle="Geçersiz değer" error="Listeden bir değer seçin." type="list">
      <formula1>"ev,para,sosyal,okul-iş"</formula1>
    </dataValidation>
    <dataValidation sqref="I2:I885" showDropDown="0" showInputMessage="0" showErrorMessage="1" allowBlank="1" errorTitle="Geçersiz değer" error="Listeden bir değer seçin." type="list">
      <formula1>"E"</formula1>
    </dataValidation>
    <dataValidation sqref="N2:N885" showDropDown="0" showInputMessage="0" showErrorMessage="1" allowBlank="1" errorTitle="Geçersiz değer" error="Listeden bir değer seçin." type="list">
      <formula1>"erkek,kız"</formula1>
    </dataValidation>
    <dataValidation sqref="Q2:Q885" showDropDown="0" showInputMessage="0" showErrorMessage="1" allowBlank="1" errorTitle="Geçersiz değer" error="Listeden bir değer seçin." type="list">
      <formula1>"1,2,3,4,5,6,7,8,9,10,11,12"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18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6" customWidth="1" min="2" max="2"/>
    <col width="34" customWidth="1" min="3" max="3"/>
    <col width="13" customWidth="1" min="4" max="4"/>
    <col width="10" customWidth="1" min="5" max="5"/>
    <col width="20" customWidth="1" min="6" max="6"/>
    <col width="44" customWidth="1" min="7" max="7"/>
    <col width="44" customWidth="1" min="8" max="8"/>
    <col width="44" customWidth="1" min="9" max="9"/>
    <col width="44" customWidth="1" min="10" max="10"/>
    <col width="44" customWidth="1" min="11" max="11"/>
    <col width="36" customWidth="1" min="12" max="12"/>
    <col width="11" customWidth="1" min="13" max="13"/>
    <col width="20" customWidth="1" min="14" max="14"/>
    <col width="34" customWidth="1" min="15" max="15"/>
    <col width="30" customWidth="1" min="16" max="16"/>
    <col width="18" customWidth="1" min="17" max="17"/>
    <col width="18" customWidth="1" min="18" max="18"/>
    <col width="13" customWidth="1" min="19" max="19"/>
    <col width="18" customWidth="1" min="20" max="20"/>
    <col width="16" customWidth="1" min="21" max="21"/>
    <col width="16" customWidth="1" min="22" max="22"/>
    <col width="16" customWidth="1" min="23" max="23"/>
    <col width="14" customWidth="1" min="24" max="24"/>
    <col width="9" customWidth="1" min="25" max="25"/>
    <col width="4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s>
  <sheetData>
    <row r="1" ht="32" customHeight="1">
      <c r="A1" s="4" t="inlineStr">
        <is>
          <t>Olay ID</t>
        </is>
      </c>
      <c r="B1" s="4" t="inlineStr">
        <is>
          <t>Sıra</t>
        </is>
      </c>
      <c r="C1" s="4" t="inlineStr">
        <is>
          <t>Seçim metni</t>
        </is>
      </c>
      <c r="D1" s="4" t="inlineStr">
        <is>
          <t>Özellik</t>
        </is>
      </c>
      <c r="E1" s="4" t="inlineStr">
        <is>
          <t>Zorluk</t>
        </is>
      </c>
      <c r="F1" s="4" t="inlineStr">
        <is>
          <t>Kesin etki</t>
        </is>
      </c>
      <c r="G1" s="4" t="inlineStr">
        <is>
          <t>Kesin sonuç metni</t>
        </is>
      </c>
      <c r="H1" s="4" t="inlineStr">
        <is>
          <t>Başarı</t>
        </is>
      </c>
      <c r="I1" s="4" t="inlineStr">
        <is>
          <t>Kritik başarı</t>
        </is>
      </c>
      <c r="J1" s="4" t="inlineStr">
        <is>
          <t>Başarısız</t>
        </is>
      </c>
      <c r="K1" s="4" t="inlineStr">
        <is>
          <t>Kritik hata</t>
        </is>
      </c>
      <c r="L1" s="4" t="inlineStr">
        <is>
          <t>Yarım (mini oyun)</t>
        </is>
      </c>
      <c r="M1" s="4" t="inlineStr">
        <is>
          <t>Mini oyun</t>
        </is>
      </c>
      <c r="N1" s="4" t="inlineStr">
        <is>
          <t>Mini oyun başlığı</t>
        </is>
      </c>
      <c r="O1" s="4" t="inlineStr">
        <is>
          <t>Mini oyun ipucu</t>
        </is>
      </c>
      <c r="P1" s="4" t="inlineStr">
        <is>
          <t>Mini oyun ayarı</t>
        </is>
      </c>
      <c r="Q1" s="4" t="inlineStr">
        <is>
          <t>Gereken rozet</t>
        </is>
      </c>
      <c r="R1" s="4" t="inlineStr">
        <is>
          <t>Gereken hafıza</t>
        </is>
      </c>
      <c r="S1" s="4" t="inlineStr">
        <is>
          <t>İç ses açar</t>
        </is>
      </c>
      <c r="T1" s="4" t="inlineStr">
        <is>
          <t>Kazandırdığı rozet</t>
        </is>
      </c>
      <c r="U1" s="4" t="inlineStr">
        <is>
          <t>Seçince hafıza</t>
        </is>
      </c>
      <c r="V1" s="4" t="inlineStr">
        <is>
          <t>Başarıda hafıza</t>
        </is>
      </c>
      <c r="W1" s="4" t="inlineStr">
        <is>
          <t>Kritik hatada hafıza</t>
        </is>
      </c>
      <c r="X1" s="4" t="inlineStr">
        <is>
          <t>Silinen hafıza</t>
        </is>
      </c>
      <c r="Y1" s="4" t="inlineStr">
        <is>
          <t>Ölüm riski %</t>
        </is>
      </c>
      <c r="Z1" s="4" t="inlineStr">
        <is>
          <t>Ölüm sebebi</t>
        </is>
      </c>
      <c r="AA1" s="4" t="inlineStr">
        <is>
          <t>Aile desteği</t>
        </is>
      </c>
      <c r="AB1" s="4" t="inlineStr">
        <is>
          <t>Başarısızlıkta hafıza</t>
        </is>
      </c>
      <c r="AC1" s="4" t="inlineStr">
        <is>
          <t>Gereken varlık</t>
        </is>
      </c>
      <c r="AD1" s="4" t="inlineStr">
        <is>
          <t>Kazanç kademesi</t>
        </is>
      </c>
      <c r="AE1" s="4" t="inlineStr">
        <is>
          <t>Gereken aile desteği</t>
        </is>
      </c>
      <c r="AF1" s="4" t="inlineStr">
        <is>
          <t>Varlık kaybı</t>
        </is>
      </c>
      <c r="AG1" s="4" t="inlineStr">
        <is>
          <t>Engelleyen hafıza</t>
        </is>
      </c>
      <c r="AH1" s="4" t="inlineStr">
        <is>
          <t>Gereken özellik değeri</t>
        </is>
      </c>
      <c r="AI1" s="4" t="inlineStr">
        <is>
          <t>Lakap</t>
        </is>
      </c>
      <c r="AJ1" s="4" t="inlineStr">
        <is>
          <t>Cinsiyet</t>
        </is>
      </c>
    </row>
    <row r="2">
      <c r="A2" s="5" t="inlineStr">
        <is>
          <t>dogum</t>
        </is>
      </c>
      <c r="B2" s="5" t="n">
        <v>1</v>
      </c>
      <c r="C2" s="6" t="inlineStr">
        <is>
          <t>Ağla</t>
        </is>
      </c>
      <c r="D2" s="5" t="inlineStr"/>
      <c r="E2" s="5" t="inlineStr"/>
      <c r="F2" s="5" t="inlineStr">
        <is>
          <t>Çene +1</t>
        </is>
      </c>
      <c r="G2" s="6" t="inlineStr">
        <is>
          <t>Ağladın. Odadaki herkes rahat bir nefes aldı; babaannen “Ciğeri sağlammış” dedi. Hayattaki ilk övgünü aldın.</t>
        </is>
      </c>
      <c r="H2" s="6" t="inlineStr"/>
      <c r="I2" s="6" t="inlineStr"/>
      <c r="J2" s="6" t="inlineStr"/>
      <c r="K2" s="6" t="inlineStr"/>
      <c r="L2" s="6" t="inlineStr"/>
      <c r="M2" s="5" t="inlineStr"/>
      <c r="N2" s="5" t="inlineStr"/>
      <c r="O2" s="6" t="inlineStr"/>
      <c r="P2" s="6" t="inlineStr"/>
      <c r="Q2" s="5" t="inlineStr"/>
      <c r="R2" s="5" t="inlineStr"/>
      <c r="S2" s="5" t="inlineStr"/>
      <c r="T2" s="5" t="inlineStr"/>
      <c r="U2" s="5" t="inlineStr"/>
      <c r="V2" s="5" t="inlineStr"/>
      <c r="W2" s="5" t="inlineStr"/>
      <c r="X2" s="5" t="inlineStr"/>
      <c r="Y2" s="5" t="inlineStr"/>
      <c r="Z2" s="6" t="inlineStr"/>
      <c r="AA2" s="5" t="inlineStr"/>
      <c r="AB2" s="5" t="inlineStr"/>
      <c r="AC2" s="5" t="inlineStr"/>
      <c r="AD2" s="5" t="inlineStr"/>
      <c r="AE2" s="5" t="inlineStr"/>
      <c r="AF2" s="5" t="inlineStr"/>
      <c r="AG2" s="5" t="inlineStr"/>
      <c r="AH2" s="5" t="inlineStr"/>
      <c r="AI2" s="5" t="inlineStr"/>
      <c r="AJ2" s="5" t="inlineStr"/>
    </row>
    <row r="3">
      <c r="A3" s="5" t="inlineStr">
        <is>
          <t>dogum</t>
        </is>
      </c>
      <c r="B3" s="5" t="n">
        <v>2</v>
      </c>
      <c r="C3" s="6" t="inlineStr">
        <is>
          <t>Daha çok ağla</t>
        </is>
      </c>
      <c r="D3" s="5" t="inlineStr">
        <is>
          <t>Çene</t>
        </is>
      </c>
      <c r="E3" s="5" t="inlineStr">
        <is>
          <t>Orta</t>
        </is>
      </c>
      <c r="F3" s="5" t="inlineStr"/>
      <c r="G3" s="6" t="inlineStr"/>
      <c r="H3" s="6" t="inlineStr">
        <is>
          <t>Sesini biraz daha açtın. Hemşire koştu, baban ayağa fırladı. İlk dersin: bu evde sesi yükselten kazanıyor.</t>
        </is>
      </c>
      <c r="I3" s="6" t="inlineStr">
        <is>
          <t>Doğumhanedeki herkes aynı anda sustu, sonra hepsi sana koştu. İlk günden masada söz hakkın var.</t>
        </is>
      </c>
      <c r="J3" s="6" t="inlineStr">
        <is>
          <t>Daha çok ağladın ama yandaki bebek senden yüksek sesliydi. İlk gün, ilk rekabet.</t>
        </is>
      </c>
      <c r="K3" s="6" t="inlineStr">
        <is>
          <t>O kadar ağladın ki hıçkırık tuttu, sabaha kadar geçmedi. Babaannen “Nazar” dedi, annen “Açtır” dedi, doktor “Normal” dedi. Baban hepsini videoya çekti; video hâlâ aile grubunda.</t>
        </is>
      </c>
      <c r="L3" s="6" t="inlineStr"/>
      <c r="M3" s="5" t="inlineStr"/>
      <c r="N3" s="5" t="inlineStr"/>
      <c r="O3" s="6" t="inlineStr"/>
      <c r="P3" s="6" t="inlineStr"/>
      <c r="Q3" s="5" t="inlineStr"/>
      <c r="R3" s="5" t="inlineStr"/>
      <c r="S3" s="5" t="inlineStr"/>
      <c r="T3" s="5" t="inlineStr">
        <is>
          <t>Ses Yükseltince Oluyor</t>
        </is>
      </c>
      <c r="U3" s="5" t="inlineStr"/>
      <c r="V3" s="5" t="inlineStr"/>
      <c r="W3" s="5" t="inlineStr"/>
      <c r="X3" s="5" t="inlineStr"/>
      <c r="Y3" s="5" t="inlineStr"/>
      <c r="Z3" s="6" t="inlineStr"/>
      <c r="AA3" s="5" t="inlineStr"/>
      <c r="AB3" s="5" t="inlineStr"/>
      <c r="AC3" s="5" t="inlineStr"/>
      <c r="AD3" s="5" t="inlineStr"/>
      <c r="AE3" s="5" t="inlineStr"/>
      <c r="AF3" s="5" t="inlineStr"/>
      <c r="AG3" s="5" t="inlineStr"/>
      <c r="AH3" s="5" t="inlineStr"/>
      <c r="AI3" s="5" t="inlineStr">
        <is>
          <t>Hıçkırık</t>
        </is>
      </c>
      <c r="AJ3" s="5" t="inlineStr"/>
    </row>
    <row r="4">
      <c r="A4" s="5" t="inlineStr">
        <is>
          <t>dogum</t>
        </is>
      </c>
      <c r="B4" s="5" t="n">
        <v>3</v>
      </c>
      <c r="C4" s="6" t="inlineStr">
        <is>
          <t>Etrafı izle</t>
        </is>
      </c>
      <c r="D4" s="5" t="inlineStr">
        <is>
          <t>Sosyal Radar</t>
        </is>
      </c>
      <c r="E4" s="5" t="inlineStr">
        <is>
          <t>Orta</t>
        </is>
      </c>
      <c r="F4" s="5" t="inlineStr"/>
      <c r="G4" s="6" t="inlineStr"/>
      <c r="H4" s="6" t="inlineStr">
        <is>
          <t>Konuşmadan önce ortamı okumayı seçtin.</t>
        </is>
      </c>
      <c r="I4" s="6" t="inlineStr">
        <is>
          <t>Odadaki altı kişiyi tek tek süzdün. Hemşire seni “müfettiş” diye çağırmaya başladı.</t>
        </is>
      </c>
      <c r="J4" s="6" t="inlineStr">
        <is>
          <t>Etrafı izledin ama ışıklar fazla parlaktı. Gördüğün tek şey tavandı.</t>
        </is>
      </c>
      <c r="K4" s="6" t="inlineStr">
        <is>
          <t>İzlemeye öyle daldın ki doktor seni bir saat gözleme aldı. Bütün aile camın önüne dizildi. Dünyadaki ilk saatin vitrinde geçti.</t>
        </is>
      </c>
      <c r="L4" s="6" t="inlineStr"/>
      <c r="M4" s="5" t="inlineStr"/>
      <c r="N4" s="5" t="inlineStr"/>
      <c r="O4" s="6" t="inlineStr"/>
      <c r="P4" s="6" t="inlineStr"/>
      <c r="Q4" s="5" t="inlineStr"/>
      <c r="R4" s="5" t="inlineStr"/>
      <c r="S4" s="5" t="inlineStr"/>
      <c r="T4" s="5" t="inlineStr">
        <is>
          <t>Sessiz Gözlemci</t>
        </is>
      </c>
      <c r="U4" s="5" t="inlineStr"/>
      <c r="V4" s="5" t="inlineStr"/>
      <c r="W4" s="5" t="inlineStr"/>
      <c r="X4" s="5" t="inlineStr"/>
      <c r="Y4" s="5" t="inlineStr"/>
      <c r="Z4" s="6" t="inlineStr"/>
      <c r="AA4" s="5" t="inlineStr"/>
      <c r="AB4" s="5" t="inlineStr"/>
      <c r="AC4" s="5" t="inlineStr"/>
      <c r="AD4" s="5" t="inlineStr"/>
      <c r="AE4" s="5" t="inlineStr"/>
      <c r="AF4" s="5" t="inlineStr"/>
      <c r="AG4" s="5" t="inlineStr"/>
      <c r="AH4" s="5" t="inlineStr"/>
      <c r="AI4" s="5" t="inlineStr"/>
      <c r="AJ4" s="5" t="inlineStr"/>
    </row>
    <row r="5">
      <c r="A5" s="5" t="inlineStr">
        <is>
          <t>dogum</t>
        </is>
      </c>
      <c r="B5" s="5" t="n">
        <v>4</v>
      </c>
      <c r="C5" s="6" t="inlineStr">
        <is>
          <t>Sessiz kal</t>
        </is>
      </c>
      <c r="D5" s="5" t="inlineStr"/>
      <c r="E5" s="5" t="inlineStr"/>
      <c r="F5" s="5" t="inlineStr">
        <is>
          <t>Sosyal Radar +1</t>
        </is>
      </c>
      <c r="G5" s="6" t="inlineStr">
        <is>
          <t>Sessiz kaldın. Önce doktor, sonra annen, sonra babaannen eğilip yüzüne baktı. Üçü de “Bir şey mi var?” dedi. Yoktu; sadece bakıyordun.</t>
        </is>
      </c>
      <c r="H5" s="6" t="inlineStr"/>
      <c r="I5" s="6" t="inlineStr"/>
      <c r="J5" s="6" t="inlineStr"/>
      <c r="K5" s="6" t="inlineStr"/>
      <c r="L5" s="6" t="inlineStr"/>
      <c r="M5" s="5" t="inlineStr"/>
      <c r="N5" s="5" t="inlineStr"/>
      <c r="O5" s="6" t="inlineStr"/>
      <c r="P5" s="6" t="inlineStr"/>
      <c r="Q5" s="5" t="inlineStr"/>
      <c r="R5" s="5" t="inlineStr"/>
      <c r="S5" s="5" t="inlineStr"/>
      <c r="T5" s="5" t="inlineStr"/>
      <c r="U5" s="5" t="inlineStr"/>
      <c r="V5" s="5" t="inlineStr"/>
      <c r="W5" s="5" t="inlineStr"/>
      <c r="X5" s="5" t="inlineStr"/>
      <c r="Y5" s="5" t="inlineStr"/>
      <c r="Z5" s="6" t="inlineStr"/>
      <c r="AA5" s="5" t="inlineStr"/>
      <c r="AB5" s="5" t="inlineStr"/>
      <c r="AC5" s="5" t="inlineStr"/>
      <c r="AD5" s="5" t="inlineStr"/>
      <c r="AE5" s="5" t="inlineStr"/>
      <c r="AF5" s="5" t="inlineStr"/>
      <c r="AG5" s="5" t="inlineStr"/>
      <c r="AH5" s="5" t="inlineStr"/>
      <c r="AI5" s="5" t="inlineStr"/>
      <c r="AJ5" s="5" t="inlineStr"/>
    </row>
    <row r="6">
      <c r="A6" s="5" t="inlineStr">
        <is>
          <t>gece-vardiyasi</t>
        </is>
      </c>
      <c r="B6" s="5" t="n">
        <v>1</v>
      </c>
      <c r="C6" s="6" t="inlineStr">
        <is>
          <t>Kendi kendine uyu</t>
        </is>
      </c>
      <c r="D6" s="5" t="inlineStr">
        <is>
          <t>Dayanıklılık</t>
        </is>
      </c>
      <c r="E6" s="5" t="inlineStr">
        <is>
          <t>Zor</t>
        </is>
      </c>
      <c r="F6" s="5" t="inlineStr"/>
      <c r="G6" s="6" t="inlineStr"/>
      <c r="H6" s="6" t="inlineStr">
        <is>
          <t>İki saat deliksiz uyudun. Annen de uyudu, baban da. Sabah ikisi de aynı şeyi söyledi: “Ne güzel bir geceydi.” İki saat.</t>
        </is>
      </c>
      <c r="I6" s="6" t="inlineStr">
        <is>
          <t>Sabaha kadar deliksiz uyudun. Annenle baban ise uyuyamadı; “Bu kadar sessiz olmaz” diye saatlerce başında nöbet tuttular.</t>
        </is>
      </c>
      <c r="J6" s="6" t="inlineStr">
        <is>
          <t>Gözlerini kapadın, açtın, kapadın. Uyku gelmedi; onun yerine babaannen geldi, “Gaz sancısı” dedi, karnını ovdu.</t>
        </is>
      </c>
      <c r="K6" s="6" t="inlineStr">
        <is>
          <t>Kendi kendine uyumaya çalışırken kendi kendini uyandırdın. Bu sinirle sabaha kadar daha çok ağladın.</t>
        </is>
      </c>
      <c r="L6" s="6" t="inlineStr">
        <is>
          <t>Yarım saat uyudun. Ev halkı bunu tam bir gece gibi kutladı.</t>
        </is>
      </c>
      <c r="M6" s="5" t="inlineStr">
        <is>
          <t>simon</t>
        </is>
      </c>
      <c r="N6" s="5" t="inlineStr">
        <is>
          <t>Ninni Sırası</t>
        </is>
      </c>
      <c r="O6" s="6" t="inlineStr">
        <is>
          <t>Sırayı dinle, aynı sırayla tekrar et.</t>
        </is>
      </c>
      <c r="P6" s="6" t="inlineStr">
        <is>
          <t>{"items": ["🌙", "🧸", "🍼", "🎵"]}</t>
        </is>
      </c>
      <c r="Q6" s="5" t="inlineStr"/>
      <c r="R6" s="5" t="inlineStr"/>
      <c r="S6" s="5" t="inlineStr"/>
      <c r="T6" s="5" t="inlineStr"/>
      <c r="U6" s="5" t="inlineStr"/>
      <c r="V6" s="5" t="inlineStr"/>
      <c r="W6" s="5" t="inlineStr"/>
      <c r="X6" s="5" t="inlineStr"/>
      <c r="Y6" s="5" t="inlineStr"/>
      <c r="Z6" s="6" t="inlineStr"/>
      <c r="AA6" s="5" t="inlineStr"/>
      <c r="AB6" s="5" t="inlineStr"/>
      <c r="AC6" s="5" t="inlineStr"/>
      <c r="AD6" s="5" t="inlineStr"/>
      <c r="AE6" s="5" t="inlineStr"/>
      <c r="AF6" s="5" t="inlineStr"/>
      <c r="AG6" s="5" t="inlineStr"/>
      <c r="AH6" s="5" t="inlineStr"/>
      <c r="AI6" s="5" t="inlineStr"/>
      <c r="AJ6" s="5" t="inlineStr"/>
    </row>
    <row r="7">
      <c r="A7" s="5" t="inlineStr">
        <is>
          <t>gece-vardiyasi</t>
        </is>
      </c>
      <c r="B7" s="5" t="n">
        <v>2</v>
      </c>
      <c r="C7" s="6" t="inlineStr">
        <is>
          <t>Ağlayarak yardım çağır</t>
        </is>
      </c>
      <c r="D7" s="5" t="inlineStr">
        <is>
          <t>Çene</t>
        </is>
      </c>
      <c r="E7" s="5" t="inlineStr">
        <is>
          <t>Kolay</t>
        </is>
      </c>
      <c r="F7" s="5" t="inlineStr"/>
      <c r="G7" s="6" t="inlineStr"/>
      <c r="H7" s="6" t="inlineStr">
        <is>
          <t>Ağladın; annen geldi. Yarı uykuda, tek gözü kapalı, kolları açık. Ama geldi.</t>
        </is>
      </c>
      <c r="I7" s="6" t="inlineStr">
        <is>
          <t>Tek bir “ıngaa” ile bütün ev ayaklandı: annen biberonla, baban bezle, babaannen nazar boncuğuyla geldi. Üç çözüm, bir bebek. Hepsini kabul ettin.</t>
        </is>
      </c>
      <c r="J7" s="6" t="inlineStr">
        <is>
          <t>Ağladın; kapının ardından “Uyur şimdi” dendi. Uyumadın. Onlar uyudu.</t>
        </is>
      </c>
      <c r="K7" s="6" t="inlineStr">
        <is>
          <t>Ağladın, ev halkı seferber oldu. Annen, baban ve babaannen aynı anda “Ben bakarım” diye kapıya yüklendi; üçü birden kapıda sıkıştı. Yardım çağırdın, şimdi yardıma yardım lazım.</t>
        </is>
      </c>
      <c r="L7" s="6" t="inlineStr"/>
      <c r="M7" s="5" t="inlineStr"/>
      <c r="N7" s="5" t="inlineStr"/>
      <c r="O7" s="6" t="inlineStr"/>
      <c r="P7" s="6" t="inlineStr"/>
      <c r="Q7" s="5" t="inlineStr"/>
      <c r="R7" s="5" t="inlineStr"/>
      <c r="S7" s="5" t="inlineStr"/>
      <c r="T7" s="5" t="inlineStr"/>
      <c r="U7" s="5" t="inlineStr"/>
      <c r="V7" s="5" t="inlineStr"/>
      <c r="W7" s="5" t="inlineStr"/>
      <c r="X7" s="5" t="inlineStr"/>
      <c r="Y7" s="5" t="inlineStr"/>
      <c r="Z7" s="6" t="inlineStr"/>
      <c r="AA7" s="5" t="inlineStr"/>
      <c r="AB7" s="5" t="inlineStr"/>
      <c r="AC7" s="5" t="inlineStr"/>
      <c r="AD7" s="5" t="inlineStr"/>
      <c r="AE7" s="5" t="inlineStr"/>
      <c r="AF7" s="5" t="inlineStr"/>
      <c r="AG7" s="5" t="inlineStr"/>
      <c r="AH7" s="5" t="inlineStr"/>
      <c r="AI7" s="5" t="inlineStr"/>
      <c r="AJ7" s="5" t="inlineStr"/>
    </row>
    <row r="8">
      <c r="A8" s="5" t="inlineStr">
        <is>
          <t>gece-vardiyasi</t>
        </is>
      </c>
      <c r="B8" s="5" t="n">
        <v>3</v>
      </c>
      <c r="C8" s="6" t="inlineStr">
        <is>
          <t>Sessizce bekle</t>
        </is>
      </c>
      <c r="D8" s="5" t="inlineStr"/>
      <c r="E8" s="5" t="inlineStr"/>
      <c r="F8" s="5" t="inlineStr">
        <is>
          <t>Sosyal Radar +1</t>
        </is>
      </c>
      <c r="G8" s="6" t="inlineStr">
        <is>
          <t>Sessizce tavana baktın. Sabah annen “Hiç ağlamadı” dedi; babaannen “Hasta mı?” diye alnına dokundu.</t>
        </is>
      </c>
      <c r="H8" s="6" t="inlineStr"/>
      <c r="I8" s="6" t="inlineStr"/>
      <c r="J8" s="6" t="inlineStr"/>
      <c r="K8" s="6" t="inlineStr"/>
      <c r="L8" s="6" t="inlineStr"/>
      <c r="M8" s="5" t="inlineStr"/>
      <c r="N8" s="5" t="inlineStr"/>
      <c r="O8" s="6" t="inlineStr"/>
      <c r="P8" s="6" t="inlineStr"/>
      <c r="Q8" s="5" t="inlineStr"/>
      <c r="R8" s="5" t="inlineStr"/>
      <c r="S8" s="5" t="inlineStr"/>
      <c r="T8" s="5" t="inlineStr"/>
      <c r="U8" s="5" t="inlineStr"/>
      <c r="V8" s="5" t="inlineStr"/>
      <c r="W8" s="5" t="inlineStr"/>
      <c r="X8" s="5" t="inlineStr"/>
      <c r="Y8" s="5" t="inlineStr"/>
      <c r="Z8" s="6" t="inlineStr"/>
      <c r="AA8" s="5" t="inlineStr"/>
      <c r="AB8" s="5" t="inlineStr"/>
      <c r="AC8" s="5" t="inlineStr"/>
      <c r="AD8" s="5" t="inlineStr"/>
      <c r="AE8" s="5" t="inlineStr"/>
      <c r="AF8" s="5" t="inlineStr"/>
      <c r="AG8" s="5" t="inlineStr"/>
      <c r="AH8" s="5" t="inlineStr"/>
      <c r="AI8" s="5" t="inlineStr"/>
      <c r="AJ8" s="5" t="inlineStr"/>
    </row>
    <row r="9">
      <c r="A9" s="5" t="inlineStr">
        <is>
          <t>yabanci-krizi</t>
        </is>
      </c>
      <c r="B9" s="5" t="n">
        <v>1</v>
      </c>
      <c r="C9" s="6" t="inlineStr">
        <is>
          <t>Anneni ara</t>
        </is>
      </c>
      <c r="D9" s="5" t="inlineStr">
        <is>
          <t>Sosyal Radar</t>
        </is>
      </c>
      <c r="E9" s="5" t="inlineStr">
        <is>
          <t>Kolay</t>
        </is>
      </c>
      <c r="F9" s="5" t="inlineStr"/>
      <c r="G9" s="6" t="inlineStr"/>
      <c r="H9" s="6" t="inlineStr">
        <is>
          <t>Anneni buldun, yüzünü omzuna gömdün. Teyze “Utangaçmış” dedi. Değildin; seçiciydin.</t>
        </is>
      </c>
      <c r="I9" s="6" t="inlineStr">
        <is>
          <t>Anneni tek bakışta buldun; yabancı, hiç yaklaşmamış gibi geri çekildi.</t>
        </is>
      </c>
      <c r="J9" s="6" t="inlineStr">
        <is>
          <t>Anneni aradın. Bulduğun kişi halanmış.</t>
        </is>
      </c>
      <c r="K9" s="6" t="inlineStr">
        <is>
          <t>Anne diye kucağına atladığın kişi yabancının ta kendisiydi.</t>
        </is>
      </c>
      <c r="L9" s="6" t="inlineStr"/>
      <c r="M9" s="5" t="inlineStr"/>
      <c r="N9" s="5" t="inlineStr"/>
      <c r="O9" s="6" t="inlineStr"/>
      <c r="P9" s="6" t="inlineStr"/>
      <c r="Q9" s="5" t="inlineStr"/>
      <c r="R9" s="5" t="inlineStr"/>
      <c r="S9" s="5" t="inlineStr"/>
      <c r="T9" s="5" t="inlineStr"/>
      <c r="U9" s="5" t="inlineStr"/>
      <c r="V9" s="5" t="inlineStr"/>
      <c r="W9" s="5" t="inlineStr"/>
      <c r="X9" s="5" t="inlineStr"/>
      <c r="Y9" s="5" t="inlineStr"/>
      <c r="Z9" s="6" t="inlineStr"/>
      <c r="AA9" s="5" t="inlineStr"/>
      <c r="AB9" s="5" t="inlineStr"/>
      <c r="AC9" s="5" t="inlineStr"/>
      <c r="AD9" s="5" t="inlineStr"/>
      <c r="AE9" s="5" t="inlineStr"/>
      <c r="AF9" s="5" t="inlineStr"/>
      <c r="AG9" s="5" t="inlineStr"/>
      <c r="AH9" s="5" t="inlineStr"/>
      <c r="AI9" s="5" t="inlineStr"/>
      <c r="AJ9" s="5" t="inlineStr"/>
    </row>
    <row r="10">
      <c r="A10" s="5" t="inlineStr">
        <is>
          <t>yabanci-krizi</t>
        </is>
      </c>
      <c r="B10" s="5" t="n">
        <v>2</v>
      </c>
      <c r="C10" s="6" t="inlineStr">
        <is>
          <t>Gözlüğüne saldır</t>
        </is>
      </c>
      <c r="D10" s="5" t="inlineStr">
        <is>
          <t>Cesaret</t>
        </is>
      </c>
      <c r="E10" s="5" t="inlineStr">
        <is>
          <t>Orta</t>
        </is>
      </c>
      <c r="F10" s="5" t="inlineStr"/>
      <c r="G10" s="6" t="inlineStr"/>
      <c r="H10" s="6" t="inlineStr">
        <is>
          <t>Bir hamlede gözlüğü kaptın. Teyze bir süre annene “Neredesin?” diye seslendi; annen yanındaydı.</t>
        </is>
      </c>
      <c r="I10" s="6" t="inlineStr">
        <is>
          <t>Gözlük elinde. Teyze ne olduğunu anlayana kadar sen çoktan zaferini ilan ettin.</t>
        </is>
      </c>
      <c r="J10" s="6" t="inlineStr">
        <is>
          <t>Teyze senden hızlı çıktı; gözlüğü cebine koydu, yanağını bir kez daha sıktı.</t>
        </is>
      </c>
      <c r="K10" s="6" t="inlineStr">
        <is>
          <t>Gözlüğe uzandın, küpesini yakaladın. Teyze çığlık attı, sen ağladın, annen bir saat özür diledi. Teyze bir daha gelmedi; küpenin öbür teki de.</t>
        </is>
      </c>
      <c r="L10" s="6" t="inlineStr">
        <is>
          <t>Parmakların çerçeveye değdi ama gözlük sende kalmadı.</t>
        </is>
      </c>
      <c r="M10" s="5" t="inlineStr">
        <is>
          <t>timing</t>
        </is>
      </c>
      <c r="N10" s="5" t="inlineStr">
        <is>
          <t>Gözlüğü Kap!</t>
        </is>
      </c>
      <c r="O10" s="6" t="inlineStr">
        <is>
          <t>Kırmızı işareti yeşil alanda durdur.</t>
        </is>
      </c>
      <c r="P10" s="6" t="inlineStr"/>
      <c r="Q10" s="5" t="inlineStr"/>
      <c r="R10" s="5" t="inlineStr"/>
      <c r="S10" s="5" t="inlineStr"/>
      <c r="T10" s="5" t="inlineStr"/>
      <c r="U10" s="5" t="inlineStr"/>
      <c r="V10" s="5" t="inlineStr"/>
      <c r="W10" s="5" t="inlineStr"/>
      <c r="X10" s="5" t="inlineStr"/>
      <c r="Y10" s="5" t="inlineStr"/>
      <c r="Z10" s="6" t="inlineStr"/>
      <c r="AA10" s="5" t="inlineStr"/>
      <c r="AB10" s="5" t="inlineStr"/>
      <c r="AC10" s="5" t="inlineStr"/>
      <c r="AD10" s="5" t="inlineStr"/>
      <c r="AE10" s="5" t="inlineStr"/>
      <c r="AF10" s="5" t="inlineStr"/>
      <c r="AG10" s="5" t="inlineStr"/>
      <c r="AH10" s="5" t="inlineStr"/>
      <c r="AI10" s="5" t="inlineStr"/>
      <c r="AJ10" s="5" t="inlineStr"/>
    </row>
    <row r="11">
      <c r="A11" s="5" t="inlineStr">
        <is>
          <t>yabanci-krizi</t>
        </is>
      </c>
      <c r="B11" s="5" t="n">
        <v>3</v>
      </c>
      <c r="C11" s="6" t="inlineStr">
        <is>
          <t>Kabullen</t>
        </is>
      </c>
      <c r="D11" s="5" t="inlineStr"/>
      <c r="E11" s="5" t="inlineStr"/>
      <c r="F11" s="5" t="inlineStr">
        <is>
          <t>Sosyal Radar +1</t>
        </is>
      </c>
      <c r="G11" s="6" t="inlineStr">
        <is>
          <t>Kabullendin. İki yanağın da sıkıldı, kucaktan kucağa bir tur attın. Akşam yanakların hâlâ kırmızıydı; teyze çok memnun gitti.</t>
        </is>
      </c>
      <c r="H11" s="6" t="inlineStr"/>
      <c r="I11" s="6" t="inlineStr"/>
      <c r="J11" s="6" t="inlineStr"/>
      <c r="K11" s="6" t="inlineStr"/>
      <c r="L11" s="6" t="inlineStr"/>
      <c r="M11" s="5" t="inlineStr"/>
      <c r="N11" s="5" t="inlineStr"/>
      <c r="O11" s="6" t="inlineStr"/>
      <c r="P11" s="6" t="inlineStr"/>
      <c r="Q11" s="5" t="inlineStr"/>
      <c r="R11" s="5" t="inlineStr"/>
      <c r="S11" s="5" t="inlineStr"/>
      <c r="T11" s="5" t="inlineStr"/>
      <c r="U11" s="5" t="inlineStr"/>
      <c r="V11" s="5" t="inlineStr"/>
      <c r="W11" s="5" t="inlineStr"/>
      <c r="X11" s="5" t="inlineStr"/>
      <c r="Y11" s="5" t="inlineStr"/>
      <c r="Z11" s="6" t="inlineStr"/>
      <c r="AA11" s="5" t="inlineStr"/>
      <c r="AB11" s="5" t="inlineStr"/>
      <c r="AC11" s="5" t="inlineStr"/>
      <c r="AD11" s="5" t="inlineStr"/>
      <c r="AE11" s="5" t="inlineStr"/>
      <c r="AF11" s="5" t="inlineStr"/>
      <c r="AG11" s="5" t="inlineStr"/>
      <c r="AH11" s="5" t="inlineStr"/>
      <c r="AI11" s="5" t="inlineStr"/>
      <c r="AJ11" s="5" t="inlineStr"/>
    </row>
    <row r="12">
      <c r="A12" s="5" t="inlineStr">
        <is>
          <t>yabanci-krizi</t>
        </is>
      </c>
      <c r="B12" s="5" t="n">
        <v>4</v>
      </c>
      <c r="C12" s="6" t="inlineStr">
        <is>
          <t>Ağla</t>
        </is>
      </c>
      <c r="D12" s="5" t="inlineStr"/>
      <c r="E12" s="5" t="inlineStr"/>
      <c r="F12" s="5" t="inlineStr">
        <is>
          <t>Çene +1</t>
        </is>
      </c>
      <c r="G12" s="6" t="inlineStr">
        <is>
          <t>Ağladın. Teyze “Ay, beni sevmedi” deyip geri çekildi ve annene küstü. Annen bunu bayrama kadar duyacak.</t>
        </is>
      </c>
      <c r="H12" s="6" t="inlineStr"/>
      <c r="I12" s="6" t="inlineStr"/>
      <c r="J12" s="6" t="inlineStr"/>
      <c r="K12" s="6" t="inlineStr"/>
      <c r="L12" s="6" t="inlineStr"/>
      <c r="M12" s="5" t="inlineStr"/>
      <c r="N12" s="5" t="inlineStr"/>
      <c r="O12" s="6" t="inlineStr"/>
      <c r="P12" s="6" t="inlineStr"/>
      <c r="Q12" s="5" t="inlineStr"/>
      <c r="R12" s="5" t="inlineStr"/>
      <c r="S12" s="5" t="inlineStr"/>
      <c r="T12" s="5" t="inlineStr"/>
      <c r="U12" s="5" t="inlineStr"/>
      <c r="V12" s="5" t="inlineStr"/>
      <c r="W12" s="5" t="inlineStr"/>
      <c r="X12" s="5" t="inlineStr"/>
      <c r="Y12" s="5" t="inlineStr"/>
      <c r="Z12" s="6" t="inlineStr"/>
      <c r="AA12" s="5" t="inlineStr"/>
      <c r="AB12" s="5" t="inlineStr"/>
      <c r="AC12" s="5" t="inlineStr"/>
      <c r="AD12" s="5" t="inlineStr"/>
      <c r="AE12" s="5" t="inlineStr"/>
      <c r="AF12" s="5" t="inlineStr"/>
      <c r="AG12" s="5" t="inlineStr"/>
      <c r="AH12" s="5" t="inlineStr"/>
      <c r="AI12" s="5" t="inlineStr"/>
      <c r="AJ12" s="5" t="inlineStr"/>
    </row>
    <row r="13">
      <c r="A13" s="5" t="inlineStr">
        <is>
          <t>yasak-nesne</t>
        </is>
      </c>
      <c r="B13" s="5" t="n">
        <v>1</v>
      </c>
      <c r="C13" s="6" t="inlineStr">
        <is>
          <t>Dokunma</t>
        </is>
      </c>
      <c r="D13" s="5" t="inlineStr"/>
      <c r="E13" s="5" t="inlineStr"/>
      <c r="F13" s="5" t="inlineStr">
        <is>
          <t>İtibar +1</t>
        </is>
      </c>
      <c r="G13" s="6" t="inlineStr">
        <is>
          <t>Dokunmadın. Annen “Aferin” dedi ve şekerliği yine de vitrine kaldırdı. Güven var ama sınırlı.</t>
        </is>
      </c>
      <c r="H13" s="6" t="inlineStr"/>
      <c r="I13" s="6" t="inlineStr"/>
      <c r="J13" s="6" t="inlineStr"/>
      <c r="K13" s="6" t="inlineStr"/>
      <c r="L13" s="6" t="inlineStr"/>
      <c r="M13" s="5" t="inlineStr"/>
      <c r="N13" s="5" t="inlineStr"/>
      <c r="O13" s="6" t="inlineStr"/>
      <c r="P13" s="6" t="inlineStr"/>
      <c r="Q13" s="5" t="inlineStr"/>
      <c r="R13" s="5" t="inlineStr"/>
      <c r="S13" s="5" t="inlineStr"/>
      <c r="T13" s="5" t="inlineStr"/>
      <c r="U13" s="5" t="inlineStr"/>
      <c r="V13" s="5" t="inlineStr"/>
      <c r="W13" s="5" t="inlineStr"/>
      <c r="X13" s="5" t="inlineStr"/>
      <c r="Y13" s="5" t="inlineStr"/>
      <c r="Z13" s="6" t="inlineStr"/>
      <c r="AA13" s="5" t="inlineStr"/>
      <c r="AB13" s="5" t="inlineStr"/>
      <c r="AC13" s="5" t="inlineStr"/>
      <c r="AD13" s="5" t="inlineStr"/>
      <c r="AE13" s="5" t="inlineStr"/>
      <c r="AF13" s="5" t="inlineStr"/>
      <c r="AG13" s="5" t="inlineStr"/>
      <c r="AH13" s="5" t="inlineStr"/>
      <c r="AI13" s="5" t="inlineStr"/>
      <c r="AJ13" s="5" t="inlineStr"/>
    </row>
    <row r="14">
      <c r="A14" s="5" t="inlineStr">
        <is>
          <t>yasak-nesne</t>
        </is>
      </c>
      <c r="B14" s="5" t="n">
        <v>2</v>
      </c>
      <c r="C14" s="6" t="inlineStr">
        <is>
          <t>Anne çıkana kadar bekle</t>
        </is>
      </c>
      <c r="D14" s="5" t="inlineStr">
        <is>
          <t>Kurnazlık</t>
        </is>
      </c>
      <c r="E14" s="5" t="inlineStr">
        <is>
          <t>Kolay</t>
        </is>
      </c>
      <c r="F14" s="5" t="inlineStr"/>
      <c r="G14" s="6" t="inlineStr"/>
      <c r="H14" s="6" t="inlineStr">
        <is>
          <t>Annen telefona döndüğü an şekerliği okşadın: soğuk, kaygan, güzel. Annen döndüğünde elin dizindeydi.</t>
        </is>
      </c>
      <c r="I14" s="6" t="inlineStr">
        <is>
          <t>Anne çıktı, sen aldın, anne döndü, nesne yerindeydi. Kimse hiçbir şey anlamadı.</t>
        </is>
      </c>
      <c r="J14" s="6" t="inlineStr">
        <is>
          <t>Beklerken uyuyakaldın. Uyandığında şekerlik vitrine dönmüştü.</t>
        </is>
      </c>
      <c r="K14" s="6" t="inlineStr">
        <is>
          <t>Annen çıkmadı; kapı aralığından izledi. Elin şekerliğe değdiği an “Gördüm!” dedi. Şekerlik vitrine, sen oyun parkına kaldırıldın.</t>
        </is>
      </c>
      <c r="L14" s="6" t="inlineStr"/>
      <c r="M14" s="5" t="inlineStr"/>
      <c r="N14" s="5" t="inlineStr"/>
      <c r="O14" s="6" t="inlineStr"/>
      <c r="P14" s="6" t="inlineStr"/>
      <c r="Q14" s="5" t="inlineStr"/>
      <c r="R14" s="5" t="inlineStr"/>
      <c r="S14" s="5" t="inlineStr"/>
      <c r="T14" s="5" t="inlineStr"/>
      <c r="U14" s="5" t="inlineStr"/>
      <c r="V14" s="5" t="inlineStr"/>
      <c r="W14" s="5" t="inlineStr"/>
      <c r="X14" s="5" t="inlineStr"/>
      <c r="Y14" s="5" t="inlineStr"/>
      <c r="Z14" s="6" t="inlineStr"/>
      <c r="AA14" s="5" t="inlineStr"/>
      <c r="AB14" s="5" t="inlineStr"/>
      <c r="AC14" s="5" t="inlineStr"/>
      <c r="AD14" s="5" t="inlineStr"/>
      <c r="AE14" s="5" t="inlineStr"/>
      <c r="AF14" s="5" t="inlineStr"/>
      <c r="AG14" s="5" t="inlineStr"/>
      <c r="AH14" s="5" t="inlineStr"/>
      <c r="AI14" s="5" t="inlineStr"/>
      <c r="AJ14" s="5" t="inlineStr"/>
    </row>
    <row r="15">
      <c r="A15" s="5" t="inlineStr">
        <is>
          <t>yasak-nesne</t>
        </is>
      </c>
      <c r="B15" s="5" t="n">
        <v>3</v>
      </c>
      <c r="C15" s="6" t="inlineStr">
        <is>
          <t>Direkt al</t>
        </is>
      </c>
      <c r="D15" s="5" t="inlineStr">
        <is>
          <t>Pişkinlik</t>
        </is>
      </c>
      <c r="E15" s="5" t="inlineStr">
        <is>
          <t>Kolay</t>
        </is>
      </c>
      <c r="F15" s="5" t="inlineStr"/>
      <c r="G15" s="6" t="inlineStr"/>
      <c r="H15" s="6" t="inlineStr">
        <is>
          <t>Aldın. Annen “Bırak” dedi; bırakmadın. Misafir “Aman, çocuk işte” dedi. Misafir sayesinde bir dakika senindi.</t>
        </is>
      </c>
      <c r="I15" s="6" t="inlineStr">
        <is>
          <t>Aldın ve kimse itiraz edemedi. Yüz ifaden tüm soruları cevapladı.</t>
        </is>
      </c>
      <c r="J15" s="6" t="inlineStr">
        <is>
          <t>Uzandın; şekerlik sehpanın ortasındaydı, kolun kenarında kaldı.</t>
        </is>
      </c>
      <c r="K15" s="6" t="inlineStr">
        <is>
          <t>Aldın, düşürdün, kırdın. Babaannenin çeyizinden kalan şekerlikmiş. O akşam misafire şeker tabakta geldi; herkes nedenini biliyordu.</t>
        </is>
      </c>
      <c r="L15" s="6" t="inlineStr"/>
      <c r="M15" s="5" t="inlineStr"/>
      <c r="N15" s="5" t="inlineStr"/>
      <c r="O15" s="6" t="inlineStr"/>
      <c r="P15" s="6" t="inlineStr"/>
      <c r="Q15" s="5" t="inlineStr"/>
      <c r="R15" s="5" t="inlineStr"/>
      <c r="S15" s="5" t="inlineStr"/>
      <c r="T15" s="5" t="inlineStr"/>
      <c r="U15" s="5" t="inlineStr"/>
      <c r="V15" s="5" t="inlineStr"/>
      <c r="W15" s="5" t="inlineStr"/>
      <c r="X15" s="5" t="inlineStr"/>
      <c r="Y15" s="5" t="inlineStr"/>
      <c r="Z15" s="6" t="inlineStr"/>
      <c r="AA15" s="5" t="inlineStr"/>
      <c r="AB15" s="5" t="inlineStr"/>
      <c r="AC15" s="5" t="inlineStr"/>
      <c r="AD15" s="5" t="inlineStr"/>
      <c r="AE15" s="5" t="inlineStr"/>
      <c r="AF15" s="5" t="inlineStr"/>
      <c r="AG15" s="5" t="inlineStr"/>
      <c r="AH15" s="5" t="inlineStr"/>
      <c r="AI15" s="5" t="inlineStr"/>
      <c r="AJ15" s="5" t="inlineStr"/>
    </row>
    <row r="16">
      <c r="A16" s="5" t="inlineStr">
        <is>
          <t>ilk-kelime</t>
        </is>
      </c>
      <c r="B16" s="5" t="n">
        <v>1</v>
      </c>
      <c r="C16" s="6" t="inlineStr">
        <is>
          <t>Anne</t>
        </is>
      </c>
      <c r="D16" s="5" t="inlineStr"/>
      <c r="E16" s="5" t="inlineStr"/>
      <c r="F16" s="5" t="inlineStr">
        <is>
          <t>Gönül +1</t>
        </is>
      </c>
      <c r="G16" s="6" t="inlineStr">
        <is>
          <t>“Anne” dedin. Annen ağladı. Baban “Ben de buradayım” dedi; kimse duymadı.</t>
        </is>
      </c>
      <c r="H16" s="6" t="inlineStr"/>
      <c r="I16" s="6" t="inlineStr"/>
      <c r="J16" s="6" t="inlineStr"/>
      <c r="K16" s="6" t="inlineStr"/>
      <c r="L16" s="6" t="inlineStr"/>
      <c r="M16" s="5" t="inlineStr"/>
      <c r="N16" s="5" t="inlineStr"/>
      <c r="O16" s="6" t="inlineStr"/>
      <c r="P16" s="6" t="inlineStr"/>
      <c r="Q16" s="5" t="inlineStr"/>
      <c r="R16" s="5" t="inlineStr"/>
      <c r="S16" s="5" t="inlineStr"/>
      <c r="T16" s="5" t="inlineStr"/>
      <c r="U16" s="5" t="inlineStr"/>
      <c r="V16" s="5" t="inlineStr"/>
      <c r="W16" s="5" t="inlineStr"/>
      <c r="X16" s="5" t="inlineStr"/>
      <c r="Y16" s="5" t="inlineStr"/>
      <c r="Z16" s="6" t="inlineStr"/>
      <c r="AA16" s="5" t="inlineStr"/>
      <c r="AB16" s="5" t="inlineStr"/>
      <c r="AC16" s="5" t="inlineStr"/>
      <c r="AD16" s="5" t="inlineStr"/>
      <c r="AE16" s="5" t="inlineStr"/>
      <c r="AF16" s="5" t="inlineStr"/>
      <c r="AG16" s="5" t="inlineStr"/>
      <c r="AH16" s="5" t="inlineStr"/>
      <c r="AI16" s="5" t="inlineStr"/>
      <c r="AJ16" s="5" t="inlineStr"/>
    </row>
    <row r="17">
      <c r="A17" s="5" t="inlineStr">
        <is>
          <t>ilk-kelime</t>
        </is>
      </c>
      <c r="B17" s="5" t="n">
        <v>2</v>
      </c>
      <c r="C17" s="6" t="inlineStr">
        <is>
          <t>Baba</t>
        </is>
      </c>
      <c r="D17" s="5" t="inlineStr"/>
      <c r="E17" s="5" t="inlineStr"/>
      <c r="F17" s="5" t="inlineStr">
        <is>
          <t>Çene +1</t>
        </is>
      </c>
      <c r="G17" s="6" t="inlineStr">
        <is>
          <t>“Baba” dedin. Baban o akşam bütün sülaleyi aradı. Annen “Dokuz ay ben taşıdım” diye mırıldandı.</t>
        </is>
      </c>
      <c r="H17" s="6" t="inlineStr"/>
      <c r="I17" s="6" t="inlineStr"/>
      <c r="J17" s="6" t="inlineStr"/>
      <c r="K17" s="6" t="inlineStr"/>
      <c r="L17" s="6" t="inlineStr"/>
      <c r="M17" s="5" t="inlineStr"/>
      <c r="N17" s="5" t="inlineStr"/>
      <c r="O17" s="6" t="inlineStr"/>
      <c r="P17" s="6" t="inlineStr"/>
      <c r="Q17" s="5" t="inlineStr"/>
      <c r="R17" s="5" t="inlineStr"/>
      <c r="S17" s="5" t="inlineStr"/>
      <c r="T17" s="5" t="inlineStr"/>
      <c r="U17" s="5" t="inlineStr"/>
      <c r="V17" s="5" t="inlineStr"/>
      <c r="W17" s="5" t="inlineStr"/>
      <c r="X17" s="5" t="inlineStr"/>
      <c r="Y17" s="5" t="inlineStr"/>
      <c r="Z17" s="6" t="inlineStr"/>
      <c r="AA17" s="5" t="inlineStr"/>
      <c r="AB17" s="5" t="inlineStr"/>
      <c r="AC17" s="5" t="inlineStr"/>
      <c r="AD17" s="5" t="inlineStr"/>
      <c r="AE17" s="5" t="inlineStr"/>
      <c r="AF17" s="5" t="inlineStr"/>
      <c r="AG17" s="5" t="inlineStr"/>
      <c r="AH17" s="5" t="inlineStr"/>
      <c r="AI17" s="5" t="inlineStr"/>
      <c r="AJ17" s="5" t="inlineStr"/>
    </row>
    <row r="18">
      <c r="A18" s="5" t="inlineStr">
        <is>
          <t>ilk-kelime</t>
        </is>
      </c>
      <c r="B18" s="5" t="n">
        <v>3</v>
      </c>
      <c r="C18" s="6" t="inlineStr">
        <is>
          <t>Mama</t>
        </is>
      </c>
      <c r="D18" s="5" t="inlineStr"/>
      <c r="E18" s="5" t="inlineStr"/>
      <c r="F18" s="5" t="inlineStr">
        <is>
          <t>Dayanıklılık +1</t>
        </is>
      </c>
      <c r="G18" s="6" t="inlineStr">
        <is>
          <t>“Mama” dedin. Önce herkes güldü, sonra herkes mutfağa koştu. Bu kelime hâlâ işe yarıyor.</t>
        </is>
      </c>
      <c r="H18" s="6" t="inlineStr"/>
      <c r="I18" s="6" t="inlineStr"/>
      <c r="J18" s="6" t="inlineStr"/>
      <c r="K18" s="6" t="inlineStr"/>
      <c r="L18" s="6" t="inlineStr"/>
      <c r="M18" s="5" t="inlineStr"/>
      <c r="N18" s="5" t="inlineStr"/>
      <c r="O18" s="6" t="inlineStr"/>
      <c r="P18" s="6" t="inlineStr"/>
      <c r="Q18" s="5" t="inlineStr"/>
      <c r="R18" s="5" t="inlineStr"/>
      <c r="S18" s="5" t="inlineStr"/>
      <c r="T18" s="5" t="inlineStr"/>
      <c r="U18" s="5" t="inlineStr"/>
      <c r="V18" s="5" t="inlineStr"/>
      <c r="W18" s="5" t="inlineStr"/>
      <c r="X18" s="5" t="inlineStr"/>
      <c r="Y18" s="5" t="inlineStr"/>
      <c r="Z18" s="6" t="inlineStr"/>
      <c r="AA18" s="5" t="inlineStr"/>
      <c r="AB18" s="5" t="inlineStr"/>
      <c r="AC18" s="5" t="inlineStr"/>
      <c r="AD18" s="5" t="inlineStr"/>
      <c r="AE18" s="5" t="inlineStr"/>
      <c r="AF18" s="5" t="inlineStr"/>
      <c r="AG18" s="5" t="inlineStr"/>
      <c r="AH18" s="5" t="inlineStr"/>
      <c r="AI18" s="5" t="inlineStr"/>
      <c r="AJ18" s="5" t="inlineStr"/>
    </row>
    <row r="19">
      <c r="A19" s="5" t="inlineStr">
        <is>
          <t>ilk-kelime</t>
        </is>
      </c>
      <c r="B19" s="5" t="n">
        <v>4</v>
      </c>
      <c r="C19" s="6" t="inlineStr">
        <is>
          <t>Para</t>
        </is>
      </c>
      <c r="D19" s="5" t="inlineStr">
        <is>
          <t>Kurnazlık</t>
        </is>
      </c>
      <c r="E19" s="5" t="inlineStr">
        <is>
          <t>Zor</t>
        </is>
      </c>
      <c r="F19" s="5" t="inlineStr"/>
      <c r="G19" s="6" t="inlineStr"/>
      <c r="H19" s="6" t="inlineStr">
        <is>
          <t>“Para” dedin. Salon sustu. Deden gülmeye başladı; annen “Kimden duydu bunu?” diye babana baktı.</t>
        </is>
      </c>
      <c r="I19" s="6" t="inlineStr">
        <is>
          <t>“Para” dedin ve elini uzattın. Deden cüzdanını çıkardı. Aile bunu hâlâ konuşuyor.</t>
        </is>
      </c>
      <c r="J19" s="6" t="inlineStr">
        <is>
          <t>“Para” dedin ama televizyon açıktı, kimse duymadı. Yine de sen ne dediğini biliyorsun.</t>
        </is>
      </c>
      <c r="K19" s="6" t="inlineStr">
        <is>
          <t>“Para” dedin. Babaannen üç gün boyunca seni “küçük tefeci” diye çağırdı.</t>
        </is>
      </c>
      <c r="L19" s="6" t="inlineStr"/>
      <c r="M19" s="5" t="inlineStr"/>
      <c r="N19" s="5" t="inlineStr"/>
      <c r="O19" s="6" t="inlineStr"/>
      <c r="P19" s="6" t="inlineStr"/>
      <c r="Q19" s="5" t="inlineStr"/>
      <c r="R19" s="5" t="inlineStr"/>
      <c r="S19" s="5" t="inlineStr"/>
      <c r="T19" s="5" t="inlineStr">
        <is>
          <t>Kumbara Çocuğu</t>
        </is>
      </c>
      <c r="U19" s="5" t="n"/>
      <c r="V19" s="5" t="inlineStr">
        <is>
          <t>ilkKelimePara</t>
        </is>
      </c>
      <c r="W19" s="5" t="inlineStr"/>
      <c r="X19" s="5" t="inlineStr"/>
      <c r="Y19" s="5" t="inlineStr"/>
      <c r="Z19" s="6" t="inlineStr"/>
      <c r="AA19" s="5" t="inlineStr"/>
      <c r="AB19" s="5" t="inlineStr"/>
      <c r="AC19" s="5" t="inlineStr"/>
      <c r="AD19" s="5" t="inlineStr"/>
      <c r="AE19" s="5" t="inlineStr"/>
      <c r="AF19" s="5" t="inlineStr"/>
      <c r="AG19" s="5" t="inlineStr"/>
      <c r="AH19" s="5" t="inlineStr"/>
      <c r="AI19" s="5" t="inlineStr">
        <is>
          <t>Küçük Tefeci</t>
        </is>
      </c>
      <c r="AJ19" s="5" t="inlineStr"/>
    </row>
    <row r="20">
      <c r="A20" s="5" t="inlineStr">
        <is>
          <t>ilk-adimlar</t>
        </is>
      </c>
      <c r="B20" s="5" t="n">
        <v>1</v>
      </c>
      <c r="C20" s="6" t="inlineStr">
        <is>
          <t>Koşmayı dene</t>
        </is>
      </c>
      <c r="D20" s="5" t="inlineStr">
        <is>
          <t>Cesaret</t>
        </is>
      </c>
      <c r="E20" s="5" t="inlineStr">
        <is>
          <t>Orta</t>
        </is>
      </c>
      <c r="F20" s="5" t="inlineStr"/>
      <c r="G20" s="6" t="inlineStr"/>
      <c r="H20" s="6" t="inlineStr">
        <is>
          <t>Yürümeden önce hızlanmayı tercih ettin. Adımlar sallantılı ama gerçek.</t>
        </is>
      </c>
      <c r="I20" s="6" t="inlineStr">
        <is>
          <t>İki ayağın da yerde, rüzgâr arkanda. Bir anlığına evren dengede.</t>
        </is>
      </c>
      <c r="J20" s="6" t="inlineStr">
        <is>
          <t>Denge seni henüz ikna etmedi.</t>
        </is>
      </c>
      <c r="K20" s="6" t="inlineStr">
        <is>
          <t>Bir adım attın. Yer senden daha hızlı davrandı.</t>
        </is>
      </c>
      <c r="L20" s="6" t="inlineStr">
        <is>
          <t>Bir adım, sonra güvenli bir oturuş.</t>
        </is>
      </c>
      <c r="M20" s="5" t="inlineStr">
        <is>
          <t>timing</t>
        </is>
      </c>
      <c r="N20" s="5" t="inlineStr">
        <is>
          <t>Dengede Kal</t>
        </is>
      </c>
      <c r="O20" s="6" t="inlineStr">
        <is>
          <t>İbre yeşil alandayken DURDUR'a bas. Art arda tutturdukça kombo kazanırsın.</t>
        </is>
      </c>
      <c r="P20" s="6" t="n"/>
      <c r="Q20" s="5" t="inlineStr"/>
      <c r="R20" s="5" t="inlineStr"/>
      <c r="S20" s="5" t="inlineStr"/>
      <c r="T20" s="5" t="inlineStr"/>
      <c r="U20" s="5" t="inlineStr"/>
      <c r="V20" s="5" t="inlineStr"/>
      <c r="W20" s="5" t="inlineStr"/>
      <c r="X20" s="5" t="inlineStr"/>
      <c r="Y20" s="5" t="inlineStr"/>
      <c r="Z20" s="6" t="inlineStr"/>
      <c r="AA20" s="5" t="inlineStr"/>
      <c r="AB20" s="5" t="inlineStr"/>
      <c r="AC20" s="5" t="inlineStr"/>
      <c r="AD20" s="5" t="inlineStr"/>
      <c r="AE20" s="5" t="inlineStr"/>
      <c r="AF20" s="5" t="inlineStr"/>
      <c r="AG20" s="5" t="inlineStr"/>
      <c r="AH20" s="5" t="inlineStr"/>
      <c r="AI20" s="5" t="inlineStr"/>
      <c r="AJ20" s="5" t="inlineStr"/>
    </row>
    <row r="21">
      <c r="A21" s="5" t="inlineStr">
        <is>
          <t>ilk-adimlar</t>
        </is>
      </c>
      <c r="B21" s="5" t="n">
        <v>2</v>
      </c>
      <c r="C21" s="6" t="inlineStr">
        <is>
          <t>Mobilyaya tutun</t>
        </is>
      </c>
      <c r="D21" s="5" t="inlineStr">
        <is>
          <t>Dayanıklılık</t>
        </is>
      </c>
      <c r="E21" s="5" t="inlineStr">
        <is>
          <t>Çok Kolay</t>
        </is>
      </c>
      <c r="F21" s="5" t="inlineStr"/>
      <c r="G21" s="6" t="inlineStr"/>
      <c r="H21" s="6" t="inlineStr">
        <is>
          <t>Koltuğa tutundun, sehpaya geçtin, sehpada durdun. Üstündeki çay bardakları tıkırdadı; annen koştu, sen gülümsedin.</t>
        </is>
      </c>
      <c r="I21" s="6" t="inlineStr">
        <is>
          <t>Koltuktan sehpaya, sehpadan kapıya: evin bütün tutunacak yerlerini bir turda gezdin. Baban “Bu çocuk yürüdü sayılır” dedi.</t>
        </is>
      </c>
      <c r="J21" s="6" t="inlineStr">
        <is>
          <t>Tuttuğun mobilya tekerlekliymiş.</t>
        </is>
      </c>
      <c r="K21" s="6" t="inlineStr">
        <is>
          <t>Tuttuğun şey masa örtüsüydü. Üstündekilerle birlikte indin.</t>
        </is>
      </c>
      <c r="L21" s="6" t="inlineStr"/>
      <c r="M21" s="5" t="inlineStr"/>
      <c r="N21" s="5" t="inlineStr"/>
      <c r="O21" s="6" t="inlineStr"/>
      <c r="P21" s="6" t="inlineStr"/>
      <c r="Q21" s="5" t="inlineStr"/>
      <c r="R21" s="5" t="inlineStr"/>
      <c r="S21" s="5" t="inlineStr"/>
      <c r="T21" s="5" t="inlineStr"/>
      <c r="U21" s="5" t="inlineStr"/>
      <c r="V21" s="5" t="inlineStr"/>
      <c r="W21" s="5" t="inlineStr"/>
      <c r="X21" s="5" t="inlineStr"/>
      <c r="Y21" s="5" t="inlineStr"/>
      <c r="Z21" s="6" t="inlineStr"/>
      <c r="AA21" s="5" t="inlineStr"/>
      <c r="AB21" s="5" t="inlineStr"/>
      <c r="AC21" s="5" t="inlineStr"/>
      <c r="AD21" s="5" t="inlineStr"/>
      <c r="AE21" s="5" t="inlineStr"/>
      <c r="AF21" s="5" t="inlineStr"/>
      <c r="AG21" s="5" t="inlineStr"/>
      <c r="AH21" s="5" t="inlineStr"/>
      <c r="AI21" s="5" t="inlineStr"/>
      <c r="AJ21" s="5" t="inlineStr"/>
    </row>
    <row r="22">
      <c r="A22" s="5" t="inlineStr">
        <is>
          <t>ilk-adimlar</t>
        </is>
      </c>
      <c r="B22" s="5" t="n">
        <v>3</v>
      </c>
      <c r="C22" s="6" t="inlineStr">
        <is>
          <t>Önce diğerlerini izle</t>
        </is>
      </c>
      <c r="D22" s="5" t="inlineStr">
        <is>
          <t>Akıl</t>
        </is>
      </c>
      <c r="E22" s="5" t="inlineStr">
        <is>
          <t>Kolay</t>
        </is>
      </c>
      <c r="F22" s="5" t="inlineStr"/>
      <c r="G22" s="6" t="inlineStr"/>
      <c r="H22" s="6" t="inlineStr">
        <is>
          <t>Babanı izledin: önce bir ayak, sonra öbürü. Denedin: iki adım, bir koltuk. Baban “Benden öğrendi” dedi; doğruydu.</t>
        </is>
      </c>
      <c r="I22" s="6" t="inlineStr">
        <is>
          <t>Kediyi izledin: dört ayak daha dengeli, iki ayak daha prestijli. Prestij kazandı.</t>
        </is>
      </c>
      <c r="J22" s="6" t="inlineStr">
        <is>
          <t>İzledin, izledin. O sırada herkes oturuyordu.</t>
        </is>
      </c>
      <c r="K22" s="6" t="inlineStr">
        <is>
          <t>Örnek aldığın kişi dedendi. Bir adım, bir “of”, bir bel tutma. Yürümeyi değil “of”u öğrendin; bir hafta her kalkışta “of” dedin.</t>
        </is>
      </c>
      <c r="L22" s="6" t="inlineStr"/>
      <c r="M22" s="5" t="inlineStr"/>
      <c r="N22" s="5" t="inlineStr"/>
      <c r="O22" s="6" t="inlineStr"/>
      <c r="P22" s="6" t="inlineStr"/>
      <c r="Q22" s="5" t="inlineStr"/>
      <c r="R22" s="5" t="inlineStr"/>
      <c r="S22" s="5" t="inlineStr"/>
      <c r="T22" s="5" t="inlineStr"/>
      <c r="U22" s="5" t="inlineStr"/>
      <c r="V22" s="5" t="inlineStr"/>
      <c r="W22" s="5" t="inlineStr"/>
      <c r="X22" s="5" t="inlineStr"/>
      <c r="Y22" s="5" t="inlineStr"/>
      <c r="Z22" s="6" t="inlineStr"/>
      <c r="AA22" s="5" t="inlineStr"/>
      <c r="AB22" s="5" t="inlineStr"/>
      <c r="AC22" s="5" t="inlineStr"/>
      <c r="AD22" s="5" t="inlineStr"/>
      <c r="AE22" s="5" t="inlineStr"/>
      <c r="AF22" s="5" t="inlineStr"/>
      <c r="AG22" s="5" t="inlineStr"/>
      <c r="AH22" s="5" t="inlineStr"/>
      <c r="AI22" s="5" t="inlineStr"/>
      <c r="AJ22" s="5" t="inlineStr"/>
    </row>
    <row r="23">
      <c r="A23" s="5" t="inlineStr">
        <is>
          <t>masadaki-telefon</t>
        </is>
      </c>
      <c r="B23" s="5" t="n">
        <v>1</v>
      </c>
      <c r="C23" s="6" t="inlineStr">
        <is>
          <t>Dokunma</t>
        </is>
      </c>
      <c r="D23" s="5" t="inlineStr"/>
      <c r="E23" s="5" t="inlineStr"/>
      <c r="F23" s="5" t="inlineStr">
        <is>
          <t>İtibar +1</t>
        </is>
      </c>
      <c r="G23" s="6" t="inlineStr">
        <is>
          <t>Dokunmadın. Annen “Bak, bizimki telefona bakmıyor” dedi; komşuya, telefondan.</t>
        </is>
      </c>
      <c r="H23" s="6" t="inlineStr"/>
      <c r="I23" s="6" t="inlineStr"/>
      <c r="J23" s="6" t="inlineStr"/>
      <c r="K23" s="6" t="inlineStr"/>
      <c r="L23" s="6" t="inlineStr"/>
      <c r="M23" s="5" t="inlineStr"/>
      <c r="N23" s="5" t="inlineStr"/>
      <c r="O23" s="6" t="inlineStr"/>
      <c r="P23" s="6" t="inlineStr"/>
      <c r="Q23" s="5" t="inlineStr"/>
      <c r="R23" s="5" t="inlineStr"/>
      <c r="S23" s="5" t="inlineStr"/>
      <c r="T23" s="5" t="inlineStr"/>
      <c r="U23" s="5" t="inlineStr"/>
      <c r="V23" s="5" t="inlineStr"/>
      <c r="W23" s="5" t="inlineStr"/>
      <c r="X23" s="5" t="inlineStr"/>
      <c r="Y23" s="5" t="inlineStr"/>
      <c r="Z23" s="6" t="inlineStr"/>
      <c r="AA23" s="5" t="inlineStr"/>
      <c r="AB23" s="5" t="inlineStr"/>
      <c r="AC23" s="5" t="inlineStr"/>
      <c r="AD23" s="5" t="inlineStr"/>
      <c r="AE23" s="5" t="inlineStr"/>
      <c r="AF23" s="5" t="inlineStr"/>
      <c r="AG23" s="5" t="inlineStr"/>
      <c r="AH23" s="5" t="inlineStr"/>
      <c r="AI23" s="5" t="inlineStr"/>
      <c r="AJ23" s="5" t="inlineStr"/>
    </row>
    <row r="24">
      <c r="A24" s="5" t="inlineStr">
        <is>
          <t>masadaki-telefon</t>
        </is>
      </c>
      <c r="B24" s="5" t="n">
        <v>2</v>
      </c>
      <c r="C24" s="6" t="inlineStr">
        <is>
          <t>Ekranı kurcala</t>
        </is>
      </c>
      <c r="D24" s="5" t="inlineStr">
        <is>
          <t>Kurnazlık</t>
        </is>
      </c>
      <c r="E24" s="5" t="inlineStr">
        <is>
          <t>Kolay</t>
        </is>
      </c>
      <c r="F24" s="5" t="inlineStr"/>
      <c r="G24" s="6" t="inlineStr"/>
      <c r="H24" s="6" t="inlineStr">
        <is>
          <t>Ekranı açtın, her yere bastın. Telefonun dili değişti; baban üç gün Öte Diyar diliyle idare etti.</t>
        </is>
      </c>
      <c r="I24" s="6" t="inlineStr">
        <is>
          <t>Ekranı açtın ve babanın çalma listesini 'Ninniler' olarak güncelledin.</t>
        </is>
      </c>
      <c r="J24" s="6" t="inlineStr">
        <is>
          <t>Ekran kilitliydi. Sen de bir süre kilitlendin.</t>
        </is>
      </c>
      <c r="K24" s="6" t="inlineStr">
        <is>
          <t>Rastgele dokunuşların babanın patronunu görüntülü aradı. Patron açtı. Ekranda sen, arkada atletle koşturan baban.</t>
        </is>
      </c>
      <c r="L24" s="6" t="inlineStr"/>
      <c r="M24" s="5" t="inlineStr"/>
      <c r="N24" s="5" t="inlineStr"/>
      <c r="O24" s="6" t="inlineStr"/>
      <c r="P24" s="6" t="inlineStr"/>
      <c r="Q24" s="5" t="inlineStr"/>
      <c r="R24" s="5" t="inlineStr"/>
      <c r="S24" s="5" t="inlineStr"/>
      <c r="T24" s="5" t="inlineStr"/>
      <c r="U24" s="5" t="inlineStr"/>
      <c r="V24" s="5" t="inlineStr"/>
      <c r="W24" s="5" t="inlineStr"/>
      <c r="X24" s="5" t="inlineStr"/>
      <c r="Y24" s="5" t="inlineStr"/>
      <c r="Z24" s="6" t="inlineStr"/>
      <c r="AA24" s="5" t="inlineStr"/>
      <c r="AB24" s="5" t="inlineStr"/>
      <c r="AC24" s="5" t="inlineStr"/>
      <c r="AD24" s="5" t="inlineStr"/>
      <c r="AE24" s="5" t="inlineStr"/>
      <c r="AF24" s="5" t="inlineStr"/>
      <c r="AG24" s="5" t="inlineStr"/>
      <c r="AH24" s="5" t="inlineStr"/>
      <c r="AI24" s="5" t="inlineStr"/>
      <c r="AJ24" s="5" t="inlineStr"/>
    </row>
    <row r="25">
      <c r="A25" s="5" t="inlineStr">
        <is>
          <t>masadaki-telefon</t>
        </is>
      </c>
      <c r="B25" s="5" t="n">
        <v>3</v>
      </c>
      <c r="C25" s="6" t="inlineStr">
        <is>
          <t>Gizlice al</t>
        </is>
      </c>
      <c r="D25" s="5" t="inlineStr">
        <is>
          <t>Kurnazlık</t>
        </is>
      </c>
      <c r="E25" s="5" t="inlineStr">
        <is>
          <t>Zor</t>
        </is>
      </c>
      <c r="F25" s="5" t="inlineStr"/>
      <c r="G25" s="6" t="inlineStr"/>
      <c r="H25" s="6" t="inlineStr">
        <is>
          <t>Telefonu aldın; kilidi açamadın ama kamerayı açtın. Kırk üç fotoğraf: tavan, burun, tavan.</t>
        </is>
      </c>
      <c r="I25" s="6" t="inlineStr">
        <is>
          <t>Telefonu aldın, bir oyun açtın, rekor kırdın. Kimse şifreyi nasıl bildiğini anlamadı.</t>
        </is>
      </c>
      <c r="J25" s="6" t="inlineStr">
        <is>
          <t>Telefon elinde titreşti; irkildin, bıraktın. Halıda titremeye devam etti, sen de.</t>
        </is>
      </c>
      <c r="K25" s="6" t="inlineStr">
        <is>
          <t>Telefonu aldın ve doğrudan su bardağına bıraktın. Pirinç torbası devreye girdi.</t>
        </is>
      </c>
      <c r="L25" s="6" t="inlineStr"/>
      <c r="M25" s="5" t="inlineStr"/>
      <c r="N25" s="5" t="inlineStr"/>
      <c r="O25" s="6" t="inlineStr"/>
      <c r="P25" s="6" t="inlineStr"/>
      <c r="Q25" s="5" t="inlineStr"/>
      <c r="R25" s="5" t="inlineStr"/>
      <c r="S25" s="5" t="inlineStr"/>
      <c r="T25" s="5" t="inlineStr">
        <is>
          <t>Şifreyi Bilen</t>
        </is>
      </c>
      <c r="U25" s="5" t="inlineStr"/>
      <c r="V25" s="5" t="inlineStr"/>
      <c r="W25" s="5" t="inlineStr"/>
      <c r="X25" s="5" t="inlineStr"/>
      <c r="Y25" s="5" t="inlineStr"/>
      <c r="Z25" s="6" t="inlineStr"/>
      <c r="AA25" s="5" t="inlineStr"/>
      <c r="AB25" s="5" t="inlineStr"/>
      <c r="AC25" s="5" t="inlineStr"/>
      <c r="AD25" s="5" t="inlineStr"/>
      <c r="AE25" s="5" t="inlineStr"/>
      <c r="AF25" s="5" t="inlineStr"/>
      <c r="AG25" s="5" t="inlineStr"/>
      <c r="AH25" s="5" t="inlineStr"/>
      <c r="AI25" s="5" t="inlineStr"/>
      <c r="AJ25" s="5" t="inlineStr"/>
    </row>
    <row r="26">
      <c r="A26" s="5" t="inlineStr">
        <is>
          <t>dogum-gunu-pastasi</t>
        </is>
      </c>
      <c r="B26" s="5" t="n">
        <v>1</v>
      </c>
      <c r="C26" s="6" t="inlineStr">
        <is>
          <t>Bekle</t>
        </is>
      </c>
      <c r="D26" s="5" t="inlineStr">
        <is>
          <t>Dayanıklılık</t>
        </is>
      </c>
      <c r="E26" s="5" t="inlineStr">
        <is>
          <t>Kolay</t>
        </is>
      </c>
      <c r="F26" s="5" t="inlineStr"/>
      <c r="G26" s="6" t="inlineStr"/>
      <c r="H26" s="6" t="inlineStr">
        <is>
          <t>Pasta hâlâ orada. Sen de hâlâ buradasın.</t>
        </is>
      </c>
      <c r="I26" s="6" t="inlineStr">
        <is>
          <t>Sabrın ödüllendirildi: en büyük dilim, üstünde çilekle sana geldi.</t>
        </is>
      </c>
      <c r="J26" s="6" t="inlineStr">
        <is>
          <t>Bekledin, bekledin; sıra sana geldiğinde kremalı kısım bitmişti.</t>
        </is>
      </c>
      <c r="K26" s="6" t="inlineStr">
        <is>
          <t>Bekledin, bekledin, uyuyakaldın. Uyandığında pasta bitmişti; sana mum kaldı. Fotoğraflarda herkes yiyor, sen uyuyorsun.</t>
        </is>
      </c>
      <c r="L26" s="6" t="inlineStr"/>
      <c r="M26" s="5" t="inlineStr"/>
      <c r="N26" s="5" t="inlineStr"/>
      <c r="O26" s="6" t="inlineStr"/>
      <c r="P26" s="6" t="inlineStr"/>
      <c r="Q26" s="5" t="inlineStr"/>
      <c r="R26" s="5" t="inlineStr"/>
      <c r="S26" s="5" t="inlineStr"/>
      <c r="T26" s="5" t="inlineStr"/>
      <c r="U26" s="5" t="inlineStr"/>
      <c r="V26" s="5" t="inlineStr"/>
      <c r="W26" s="5" t="inlineStr"/>
      <c r="X26" s="5" t="inlineStr"/>
      <c r="Y26" s="5" t="inlineStr"/>
      <c r="Z26" s="6" t="inlineStr"/>
      <c r="AA26" s="5" t="inlineStr"/>
      <c r="AB26" s="5" t="inlineStr"/>
      <c r="AC26" s="5" t="inlineStr"/>
      <c r="AD26" s="5" t="inlineStr"/>
      <c r="AE26" s="5" t="inlineStr"/>
      <c r="AF26" s="5" t="inlineStr"/>
      <c r="AG26" s="5" t="inlineStr"/>
      <c r="AH26" s="5" t="inlineStr"/>
      <c r="AI26" s="5" t="inlineStr"/>
      <c r="AJ26" s="5" t="inlineStr"/>
    </row>
    <row r="27">
      <c r="A27" s="5" t="inlineStr">
        <is>
          <t>dogum-gunu-pastasi</t>
        </is>
      </c>
      <c r="B27" s="5" t="n">
        <v>2</v>
      </c>
      <c r="C27" s="6" t="inlineStr">
        <is>
          <t>Pastaya erken saldır</t>
        </is>
      </c>
      <c r="D27" s="5" t="inlineStr">
        <is>
          <t>Pişkinlik</t>
        </is>
      </c>
      <c r="E27" s="5" t="inlineStr">
        <is>
          <t>Orta</t>
        </is>
      </c>
      <c r="F27" s="5" t="inlineStr"/>
      <c r="G27" s="6" t="inlineStr"/>
      <c r="H27" s="6" t="inlineStr">
        <is>
          <t>Şarkı bitmeden parmağını kremaya daldırdın. Teyzen “Dur!” dedi; parmak çoktan ağzındaydı.</t>
        </is>
      </c>
      <c r="I27" s="6" t="inlineStr">
        <is>
          <t>Pastanın en güzel köşesi artık senin. Herkes alkışladı, çünkü başka seçenek yoktu.</t>
        </is>
      </c>
      <c r="J27" s="6" t="inlineStr">
        <is>
          <t>Uzandın, biri tabağı kaydırdı. Elin havayı kremaladı.</t>
        </is>
      </c>
      <c r="K27" s="6" t="inlineStr">
        <is>
          <t>Pastaya daldın. Pasta da sana daldı. Aile albümüne kalıcı kayıt.</t>
        </is>
      </c>
      <c r="L27" s="6" t="inlineStr"/>
      <c r="M27" s="5" t="inlineStr"/>
      <c r="N27" s="5" t="inlineStr"/>
      <c r="O27" s="6" t="inlineStr"/>
      <c r="P27" s="6" t="inlineStr"/>
      <c r="Q27" s="5" t="inlineStr"/>
      <c r="R27" s="5" t="inlineStr"/>
      <c r="S27" s="5" t="inlineStr"/>
      <c r="T27" s="5" t="inlineStr"/>
      <c r="U27" s="5" t="inlineStr"/>
      <c r="V27" s="5" t="inlineStr"/>
      <c r="W27" s="5" t="inlineStr"/>
      <c r="X27" s="5" t="inlineStr"/>
      <c r="Y27" s="5" t="inlineStr"/>
      <c r="Z27" s="6" t="inlineStr"/>
      <c r="AA27" s="5" t="inlineStr"/>
      <c r="AB27" s="5" t="inlineStr"/>
      <c r="AC27" s="5" t="inlineStr"/>
      <c r="AD27" s="5" t="inlineStr"/>
      <c r="AE27" s="5" t="inlineStr"/>
      <c r="AF27" s="5" t="inlineStr"/>
      <c r="AG27" s="5" t="inlineStr"/>
      <c r="AH27" s="5" t="inlineStr"/>
      <c r="AI27" s="5" t="inlineStr">
        <is>
          <t>Kremalı</t>
        </is>
      </c>
      <c r="AJ27" s="5" t="inlineStr"/>
    </row>
    <row r="28">
      <c r="A28" s="5" t="inlineStr">
        <is>
          <t>dogum-gunu-pastasi</t>
        </is>
      </c>
      <c r="B28" s="5" t="n">
        <v>3</v>
      </c>
      <c r="C28" s="6" t="inlineStr">
        <is>
          <t>Mumları önce üfle</t>
        </is>
      </c>
      <c r="D28" s="5" t="inlineStr">
        <is>
          <t>Pişkinlik</t>
        </is>
      </c>
      <c r="E28" s="5" t="inlineStr">
        <is>
          <t>Orta</t>
        </is>
      </c>
      <c r="F28" s="5" t="inlineStr"/>
      <c r="G28" s="6" t="inlineStr"/>
      <c r="H28" s="6" t="inlineStr">
        <is>
          <t>Doğum günü sahibinin kim olduğu geçici olarak belirsizleşti.</t>
        </is>
      </c>
      <c r="I28" s="6" t="inlineStr">
        <is>
          <t>Mumları söndürdün, dilek tuttun, alkışları topladın. Hediyeler de yön değiştirmek üzere.</t>
        </is>
      </c>
      <c r="J28" s="6" t="inlineStr">
        <is>
          <t>Üfledin ama mumlar senden daha kararlıydı.</t>
        </is>
      </c>
      <c r="K28" s="6" t="inlineStr">
        <is>
          <t>Üfledin; mum yerine pastanın süsü uçtu. Doğum günü çocuğu ağlamaya başladı.</t>
        </is>
      </c>
      <c r="L28" s="6" t="inlineStr">
        <is>
          <t>Mumların yarısı söndü, yarısı direndi. Kuzenin kalanları üfledi; alkış ikinize bölündü.</t>
        </is>
      </c>
      <c r="M28" s="5" t="inlineStr">
        <is>
          <t>timing</t>
        </is>
      </c>
      <c r="N28" s="5" t="inlineStr">
        <is>
          <t>Mumu Üfle</t>
        </is>
      </c>
      <c r="O28" s="6" t="inlineStr">
        <is>
          <t>İbre yeşil alandayken DURDUR'a bas. Art arda tutturdukça kombo kazanırsın.</t>
        </is>
      </c>
      <c r="P28" s="6" t="n"/>
      <c r="Q28" s="5" t="inlineStr"/>
      <c r="R28" s="5" t="inlineStr"/>
      <c r="S28" s="5" t="inlineStr"/>
      <c r="T28" s="5" t="inlineStr">
        <is>
          <t>Sahne Sever</t>
        </is>
      </c>
      <c r="U28" s="5" t="inlineStr"/>
      <c r="V28" s="5" t="inlineStr"/>
      <c r="W28" s="5" t="inlineStr"/>
      <c r="X28" s="5" t="inlineStr"/>
      <c r="Y28" s="5" t="inlineStr"/>
      <c r="Z28" s="6" t="inlineStr"/>
      <c r="AA28" s="5" t="inlineStr"/>
      <c r="AB28" s="5" t="inlineStr"/>
      <c r="AC28" s="5" t="inlineStr"/>
      <c r="AD28" s="5" t="inlineStr"/>
      <c r="AE28" s="5" t="inlineStr"/>
      <c r="AF28" s="5" t="inlineStr"/>
      <c r="AG28" s="5" t="inlineStr"/>
      <c r="AH28" s="5" t="inlineStr"/>
      <c r="AI28" s="5" t="inlineStr"/>
      <c r="AJ28" s="5" t="inlineStr"/>
    </row>
    <row r="29">
      <c r="A29" s="5" t="inlineStr">
        <is>
          <t>vazo-kirildi</t>
        </is>
      </c>
      <c r="B29" s="5" t="n">
        <v>1</v>
      </c>
      <c r="C29" s="6" t="inlineStr">
        <is>
          <t>Bekle</t>
        </is>
      </c>
      <c r="D29" s="5" t="inlineStr"/>
      <c r="E29" s="5" t="inlineStr"/>
      <c r="F29" s="5" t="inlineStr">
        <is>
          <t>İtibar +2</t>
        </is>
      </c>
      <c r="G29" s="6" t="inlineStr">
        <is>
          <t>Parçaların yanında bekledin. Annen geldi; önce ellerine baktı, sonra vazoya. “Elini kestin mi?” Kesmemiştin. Vazo ikinci sıradaydı.</t>
        </is>
      </c>
      <c r="H29" s="6" t="inlineStr"/>
      <c r="I29" s="6" t="inlineStr"/>
      <c r="J29" s="6" t="inlineStr"/>
      <c r="K29" s="6" t="inlineStr"/>
      <c r="L29" s="6" t="inlineStr"/>
      <c r="M29" s="5" t="inlineStr"/>
      <c r="N29" s="5" t="inlineStr"/>
      <c r="O29" s="6" t="inlineStr"/>
      <c r="P29" s="6" t="inlineStr"/>
      <c r="Q29" s="5" t="inlineStr"/>
      <c r="R29" s="5" t="inlineStr"/>
      <c r="S29" s="5" t="inlineStr"/>
      <c r="T29" s="5" t="inlineStr"/>
      <c r="U29" s="5" t="inlineStr"/>
      <c r="V29" s="5" t="inlineStr"/>
      <c r="W29" s="5" t="inlineStr"/>
      <c r="X29" s="5" t="inlineStr"/>
      <c r="Y29" s="5" t="inlineStr"/>
      <c r="Z29" s="6" t="inlineStr"/>
      <c r="AA29" s="5" t="inlineStr"/>
      <c r="AB29" s="5" t="inlineStr"/>
      <c r="AC29" s="5" t="inlineStr"/>
      <c r="AD29" s="5" t="inlineStr"/>
      <c r="AE29" s="5" t="inlineStr"/>
      <c r="AF29" s="5" t="inlineStr"/>
      <c r="AG29" s="5" t="inlineStr"/>
      <c r="AH29" s="5" t="inlineStr"/>
      <c r="AI29" s="5" t="inlineStr"/>
      <c r="AJ29" s="5" t="inlineStr"/>
    </row>
    <row r="30">
      <c r="A30" s="5" t="inlineStr">
        <is>
          <t>vazo-kirildi</t>
        </is>
      </c>
      <c r="B30" s="5" t="n">
        <v>2</v>
      </c>
      <c r="C30" s="6" t="inlineStr">
        <is>
          <t>Kaç</t>
        </is>
      </c>
      <c r="D30" s="5" t="inlineStr">
        <is>
          <t>Kurnazlık</t>
        </is>
      </c>
      <c r="E30" s="5" t="inlineStr">
        <is>
          <t>Orta</t>
        </is>
      </c>
      <c r="F30" s="5" t="inlineStr"/>
      <c r="G30" s="6" t="inlineStr"/>
      <c r="H30" s="6" t="inlineStr">
        <is>
          <t>Kaçtın, yatağına girdin, uyuyormuş gibi yaptın. Annen geldi, baktı, inanmadı; ama kanıt da bulamadı.</t>
        </is>
      </c>
      <c r="I30" s="6" t="inlineStr">
        <is>
          <t>Kaçtın ve üç dakika sonra 'Ne oldu?' diye içeri girdin. Annen bile inandı; babaannen 'Bu çocuk oyuncu olur' dedi.</t>
        </is>
      </c>
      <c r="J30" s="6" t="inlineStr">
        <is>
          <t>Kaçarken terlikler ses yaptı. Şüpheli tespit edildi.</t>
        </is>
      </c>
      <c r="K30" s="6" t="inlineStr">
        <is>
          <t>Kaçarken ikinci vazoyu da devirdin. O da babaannenindi; babaannen bu akşam yemeğe geliyor.</t>
        </is>
      </c>
      <c r="L30" s="6" t="inlineStr"/>
      <c r="M30" s="5" t="inlineStr"/>
      <c r="N30" s="5" t="inlineStr"/>
      <c r="O30" s="6" t="inlineStr"/>
      <c r="P30" s="6" t="inlineStr"/>
      <c r="Q30" s="5" t="inlineStr"/>
      <c r="R30" s="5" t="inlineStr"/>
      <c r="S30" s="5" t="inlineStr"/>
      <c r="T30" s="5" t="inlineStr"/>
      <c r="U30" s="5" t="inlineStr"/>
      <c r="V30" s="5" t="inlineStr"/>
      <c r="W30" s="5" t="inlineStr"/>
      <c r="X30" s="5" t="inlineStr"/>
      <c r="Y30" s="5" t="inlineStr"/>
      <c r="Z30" s="6" t="inlineStr"/>
      <c r="AA30" s="5" t="inlineStr"/>
      <c r="AB30" s="5" t="inlineStr"/>
      <c r="AC30" s="5" t="inlineStr"/>
      <c r="AD30" s="5" t="inlineStr"/>
      <c r="AE30" s="5" t="inlineStr"/>
      <c r="AF30" s="5" t="inlineStr"/>
      <c r="AG30" s="5" t="inlineStr"/>
      <c r="AH30" s="5" t="inlineStr"/>
      <c r="AI30" s="5" t="inlineStr"/>
      <c r="AJ30" s="5" t="inlineStr"/>
    </row>
    <row r="31">
      <c r="A31" s="5" t="inlineStr">
        <is>
          <t>vazo-kirildi</t>
        </is>
      </c>
      <c r="B31" s="5" t="n">
        <v>3</v>
      </c>
      <c r="C31" s="6" t="inlineStr">
        <is>
          <t>Kediyi suçla</t>
        </is>
      </c>
      <c r="D31" s="5" t="inlineStr">
        <is>
          <t>Pişkinlik</t>
        </is>
      </c>
      <c r="E31" s="5" t="inlineStr">
        <is>
          <t>Çok Zor</t>
        </is>
      </c>
      <c r="F31" s="5" t="inlineStr"/>
      <c r="G31" s="6" t="inlineStr"/>
      <c r="H31" s="6" t="inlineStr">
        <is>
          <t>Savunma yaratıcıydı. Kedinin odada olmaması küçük bir ayrıntıydı.</t>
        </is>
      </c>
      <c r="I31" s="6" t="inlineStr">
        <is>
          <t>Kedi mahkûm edildi. Mama tayınları kısıldı. Sen o gece iki tatlı yedin.</t>
        </is>
      </c>
      <c r="J31" s="6" t="inlineStr">
        <is>
          <t>Kediye baktın. Kedi sana baktı. Ailen ikinize de baktı. Kimse ikna olmadı.</t>
        </is>
      </c>
      <c r="K31" s="6" t="inlineStr">
        <is>
          <t>Kediyi suçladın. Kedi o sırada annenin kucağındaydı.</t>
        </is>
      </c>
      <c r="L31" s="6" t="inlineStr"/>
      <c r="M31" s="5" t="inlineStr"/>
      <c r="N31" s="5" t="inlineStr"/>
      <c r="O31" s="6" t="inlineStr"/>
      <c r="P31" s="6" t="inlineStr"/>
      <c r="Q31" s="5" t="inlineStr"/>
      <c r="R31" s="5" t="inlineStr"/>
      <c r="S31" s="5" t="inlineStr"/>
      <c r="T31" s="5" t="inlineStr"/>
      <c r="U31" s="5" t="inlineStr">
        <is>
          <t>kediSuclu</t>
        </is>
      </c>
      <c r="V31" s="5" t="inlineStr"/>
      <c r="W31" s="5" t="inlineStr"/>
      <c r="X31" s="5" t="inlineStr"/>
      <c r="Y31" s="5" t="inlineStr"/>
      <c r="Z31" s="6" t="inlineStr"/>
      <c r="AA31" s="5" t="inlineStr"/>
      <c r="AB31" s="5" t="inlineStr"/>
      <c r="AC31" s="5" t="inlineStr"/>
      <c r="AD31" s="5" t="inlineStr"/>
      <c r="AE31" s="5" t="inlineStr"/>
      <c r="AF31" s="5" t="inlineStr"/>
      <c r="AG31" s="5" t="inlineStr"/>
      <c r="AH31" s="5" t="inlineStr"/>
      <c r="AI31" s="5" t="inlineStr">
        <is>
          <t>Kedinin Savcısı</t>
        </is>
      </c>
      <c r="AJ31" s="5" t="inlineStr"/>
    </row>
    <row r="32">
      <c r="A32" s="5" t="inlineStr">
        <is>
          <t>vazo-kirildi</t>
        </is>
      </c>
      <c r="B32" s="5" t="n">
        <v>4</v>
      </c>
      <c r="C32" s="6" t="inlineStr">
        <is>
          <t>Ayak seslerini say, tam zamanında ağla</t>
        </is>
      </c>
      <c r="D32" s="5" t="inlineStr">
        <is>
          <t>Çene</t>
        </is>
      </c>
      <c r="E32" s="5" t="inlineStr">
        <is>
          <t>Kolay</t>
        </is>
      </c>
      <c r="F32" s="5" t="inlineStr"/>
      <c r="G32" s="6" t="inlineStr"/>
      <c r="H32" s="6" t="inlineStr">
        <is>
          <t>Ağladın. Annen seni kucağına aldı, sırtını sıvazladı; vazoyu ancak sen susunca hatırladı.</t>
        </is>
      </c>
      <c r="I32" s="6" t="inlineStr">
        <is>
          <t>Ağladın; anne vazoyu değil seni sordu. Vazo resmî kayıtlara 'kaza' olarak geçti.</t>
        </is>
      </c>
      <c r="J32" s="6" t="inlineStr">
        <is>
          <t>Ağladın; anne önce vazoya baktı. Sonra sana. Sonra yine vazoya.</t>
        </is>
      </c>
      <c r="K32" s="6" t="inlineStr">
        <is>
          <t>Ağladın ama kediyle aynı anda. Anne ikinizi de şüpheli ilan etti.</t>
        </is>
      </c>
      <c r="L32" s="6" t="inlineStr"/>
      <c r="M32" s="5" t="inlineStr"/>
      <c r="N32" s="5" t="inlineStr"/>
      <c r="O32" s="6" t="inlineStr"/>
      <c r="P32" s="6" t="inlineStr"/>
      <c r="Q32" s="5" t="inlineStr"/>
      <c r="R32" s="5" t="inlineStr"/>
      <c r="S32" s="5" t="inlineStr">
        <is>
          <t>Sosyal Radar</t>
        </is>
      </c>
      <c r="T32" s="5" t="inlineStr"/>
      <c r="U32" s="5" t="inlineStr"/>
      <c r="V32" s="5" t="inlineStr"/>
      <c r="W32" s="5" t="inlineStr"/>
      <c r="X32" s="5" t="inlineStr"/>
      <c r="Y32" s="5" t="inlineStr"/>
      <c r="Z32" s="6" t="inlineStr"/>
      <c r="AA32" s="5" t="inlineStr"/>
      <c r="AB32" s="5" t="inlineStr"/>
      <c r="AC32" s="5" t="inlineStr"/>
      <c r="AD32" s="5" t="inlineStr"/>
      <c r="AE32" s="5" t="inlineStr"/>
      <c r="AF32" s="5" t="inlineStr"/>
      <c r="AG32" s="5" t="inlineStr"/>
      <c r="AH32" s="5" t="inlineStr"/>
      <c r="AI32" s="5" t="inlineStr"/>
      <c r="AJ32" s="5" t="inlineStr"/>
    </row>
    <row r="33">
      <c r="A33" s="5" t="inlineStr">
        <is>
          <t>vazo-kirildi</t>
        </is>
      </c>
      <c r="B33" s="5" t="n">
        <v>5</v>
      </c>
      <c r="C33" s="6" t="inlineStr">
        <is>
          <t>Parçaları sakla</t>
        </is>
      </c>
      <c r="D33" s="5" t="inlineStr">
        <is>
          <t>Kurnazlık</t>
        </is>
      </c>
      <c r="E33" s="5" t="inlineStr">
        <is>
          <t>Orta</t>
        </is>
      </c>
      <c r="F33" s="5" t="inlineStr"/>
      <c r="G33" s="6" t="inlineStr"/>
      <c r="H33" s="6" t="inlineStr">
        <is>
          <t>Parçaları koltuğun altına ittin. Annen vazoyu üç gün sonra aradı. Üç gün, şüpheli listesinden düşmeye yetti.</t>
        </is>
      </c>
      <c r="I33" s="6" t="inlineStr">
        <is>
          <t>Parçalar göz açıp kapayıncaya kadar kayboldu. Vazo hiç var olmamış gibi.</t>
        </is>
      </c>
      <c r="J33" s="6" t="inlineStr">
        <is>
          <t>Parçalar senden hızlı yayıldı.</t>
        </is>
      </c>
      <c r="K33" s="6" t="inlineStr">
        <is>
          <t>Parçaları toplarken daha fazla ses çıkardın. Ev halkı toplandı.</t>
        </is>
      </c>
      <c r="L33" s="6" t="inlineStr">
        <is>
          <t>Çoğunu sakladın ama bir parça hâlâ şüpheli biçimde ortada.</t>
        </is>
      </c>
      <c r="M33" s="5" t="inlineStr">
        <is>
          <t>collect</t>
        </is>
      </c>
      <c r="N33" s="5" t="inlineStr">
        <is>
          <t>Delilleri Topla</t>
        </is>
      </c>
      <c r="O33" s="6" t="inlineStr">
        <is>
          <t>Parçalar fark edilmeden önce hepsine dokun.</t>
        </is>
      </c>
      <c r="P33" s="6" t="inlineStr">
        <is>
          <t>{"piece": "🧩"}</t>
        </is>
      </c>
      <c r="Q33" s="5" t="inlineStr"/>
      <c r="R33" s="5" t="inlineStr"/>
      <c r="S33" s="5" t="inlineStr"/>
      <c r="T33" s="5" t="inlineStr"/>
      <c r="U33" s="5" t="inlineStr"/>
      <c r="V33" s="5" t="inlineStr"/>
      <c r="W33" s="5" t="inlineStr"/>
      <c r="X33" s="5" t="inlineStr"/>
      <c r="Y33" s="5" t="inlineStr"/>
      <c r="Z33" s="6" t="inlineStr"/>
      <c r="AA33" s="5" t="inlineStr"/>
      <c r="AB33" s="5" t="inlineStr"/>
      <c r="AC33" s="5" t="inlineStr"/>
      <c r="AD33" s="5" t="inlineStr"/>
      <c r="AE33" s="5" t="inlineStr"/>
      <c r="AF33" s="5" t="inlineStr"/>
      <c r="AG33" s="5" t="inlineStr"/>
      <c r="AH33" s="5" t="inlineStr"/>
      <c r="AI33" s="5" t="inlineStr"/>
      <c r="AJ33" s="5" t="inlineStr"/>
    </row>
    <row r="34">
      <c r="A34" s="5" t="inlineStr">
        <is>
          <t>ilk-harclik</t>
        </is>
      </c>
      <c r="B34" s="5" t="n">
        <v>1</v>
      </c>
      <c r="C34" s="6" t="inlineStr">
        <is>
          <t>Annene ver</t>
        </is>
      </c>
      <c r="D34" s="5" t="inlineStr"/>
      <c r="E34" s="5" t="inlineStr"/>
      <c r="F34" s="5" t="inlineStr">
        <is>
          <t>İtibar +1</t>
        </is>
      </c>
      <c r="G34" s="6" t="inlineStr">
        <is>
          <t>Paraları annene uzattın. “Benim akıllı evladım” dedi, cebine koydu. Para bir daha görünmedi; “akıllı evlat” kaldı.</t>
        </is>
      </c>
      <c r="H34" s="6" t="inlineStr"/>
      <c r="I34" s="6" t="inlineStr"/>
      <c r="J34" s="6" t="inlineStr"/>
      <c r="K34" s="6" t="inlineStr"/>
      <c r="L34" s="6" t="inlineStr"/>
      <c r="M34" s="5" t="inlineStr"/>
      <c r="N34" s="5" t="inlineStr"/>
      <c r="O34" s="6" t="inlineStr"/>
      <c r="P34" s="6" t="inlineStr"/>
      <c r="Q34" s="5" t="inlineStr"/>
      <c r="R34" s="5" t="inlineStr"/>
      <c r="S34" s="5" t="inlineStr"/>
      <c r="T34" s="5" t="inlineStr"/>
      <c r="U34" s="5" t="inlineStr"/>
      <c r="V34" s="5" t="inlineStr"/>
      <c r="W34" s="5" t="inlineStr"/>
      <c r="X34" s="5" t="inlineStr"/>
      <c r="Y34" s="5" t="inlineStr"/>
      <c r="Z34" s="6" t="inlineStr"/>
      <c r="AA34" s="5" t="inlineStr"/>
      <c r="AB34" s="5" t="inlineStr"/>
      <c r="AC34" s="5" t="inlineStr"/>
      <c r="AD34" s="5" t="inlineStr"/>
      <c r="AE34" s="5" t="inlineStr"/>
      <c r="AF34" s="5" t="inlineStr"/>
      <c r="AG34" s="5" t="inlineStr"/>
      <c r="AH34" s="5" t="inlineStr"/>
      <c r="AI34" s="5" t="inlineStr"/>
      <c r="AJ34" s="5" t="inlineStr"/>
    </row>
    <row r="35">
      <c r="A35" s="5" t="inlineStr">
        <is>
          <t>ilk-harclik</t>
        </is>
      </c>
      <c r="B35" s="5" t="n">
        <v>2</v>
      </c>
      <c r="C35" s="6" t="inlineStr">
        <is>
          <t>Oyuncak iste</t>
        </is>
      </c>
      <c r="D35" s="5" t="inlineStr"/>
      <c r="E35" s="5" t="inlineStr"/>
      <c r="F35" s="5" t="inlineStr">
        <is>
          <t>Çene +1</t>
        </is>
      </c>
      <c r="G35" s="6" t="inlineStr">
        <is>
          <t>Parayı uzatıp “Oyuncak” dedin. Para yetmedi, farkı deden ödedi. Oyuncak iki gün dayandı; deden hâlâ hatırlatıyor.</t>
        </is>
      </c>
      <c r="H35" s="6" t="inlineStr"/>
      <c r="I35" s="6" t="inlineStr"/>
      <c r="J35" s="6" t="inlineStr"/>
      <c r="K35" s="6" t="inlineStr"/>
      <c r="L35" s="6" t="inlineStr"/>
      <c r="M35" s="5" t="inlineStr"/>
      <c r="N35" s="5" t="inlineStr"/>
      <c r="O35" s="6" t="inlineStr"/>
      <c r="P35" s="6" t="inlineStr"/>
      <c r="Q35" s="5" t="inlineStr"/>
      <c r="R35" s="5" t="inlineStr"/>
      <c r="S35" s="5" t="inlineStr"/>
      <c r="T35" s="5" t="inlineStr"/>
      <c r="U35" s="5" t="inlineStr"/>
      <c r="V35" s="5" t="inlineStr"/>
      <c r="W35" s="5" t="inlineStr"/>
      <c r="X35" s="5" t="inlineStr"/>
      <c r="Y35" s="5" t="inlineStr"/>
      <c r="Z35" s="6" t="inlineStr"/>
      <c r="AA35" s="5" t="inlineStr"/>
      <c r="AB35" s="5" t="inlineStr"/>
      <c r="AC35" s="5" t="inlineStr"/>
      <c r="AD35" s="5" t="inlineStr"/>
      <c r="AE35" s="5" t="inlineStr"/>
      <c r="AF35" s="5" t="inlineStr"/>
      <c r="AG35" s="5" t="inlineStr"/>
      <c r="AH35" s="5" t="inlineStr"/>
      <c r="AI35" s="5" t="inlineStr"/>
      <c r="AJ35" s="5" t="inlineStr"/>
    </row>
    <row r="36">
      <c r="A36" s="5" t="inlineStr">
        <is>
          <t>ilk-harclik</t>
        </is>
      </c>
      <c r="B36" s="5" t="n">
        <v>3</v>
      </c>
      <c r="C36" s="6" t="inlineStr">
        <is>
          <t>Parayı sakla</t>
        </is>
      </c>
      <c r="D36" s="5" t="inlineStr">
        <is>
          <t>Kurnazlık</t>
        </is>
      </c>
      <c r="E36" s="5" t="inlineStr">
        <is>
          <t>Zor</t>
        </is>
      </c>
      <c r="F36" s="5" t="inlineStr"/>
      <c r="G36" s="6" t="inlineStr"/>
      <c r="H36" s="6" t="inlineStr">
        <is>
          <t>Paraları yastığının altına sakladın. Annen çarşaf değiştirirken buldu, geri koydu, hiçbir şey demedi. İkiniz de biliyorsunuz.</t>
        </is>
      </c>
      <c r="I36" s="6" t="inlineStr">
        <is>
          <t>Parayı sakladın, bir hafta sonra unuttuğun bir sürpriz olarak buldun. Faiz kavramına ilk adım.</t>
        </is>
      </c>
      <c r="J36" s="6" t="inlineStr">
        <is>
          <t>Sakladığın yeri unuttun. Para artık evin ortak mirası.</t>
        </is>
      </c>
      <c r="K36" s="6" t="inlineStr">
        <is>
          <t>Parayı çorabının içine sakladın. Akşam çorap çamaşıra gitti. Para makinede; sesi hâlâ geliyor.</t>
        </is>
      </c>
      <c r="L36" s="6" t="inlineStr"/>
      <c r="M36" s="5" t="inlineStr"/>
      <c r="N36" s="5" t="inlineStr"/>
      <c r="O36" s="6" t="inlineStr"/>
      <c r="P36" s="6" t="inlineStr"/>
      <c r="Q36" s="5" t="inlineStr"/>
      <c r="R36" s="5" t="inlineStr"/>
      <c r="S36" s="5" t="inlineStr"/>
      <c r="T36" s="5" t="inlineStr">
        <is>
          <t>Yastık Altı Ekonomisti</t>
        </is>
      </c>
      <c r="U36" s="5" t="inlineStr"/>
      <c r="V36" s="5" t="inlineStr"/>
      <c r="W36" s="5" t="inlineStr"/>
      <c r="X36" s="5" t="inlineStr"/>
      <c r="Y36" s="5" t="inlineStr"/>
      <c r="Z36" s="6" t="inlineStr"/>
      <c r="AA36" s="5" t="inlineStr"/>
      <c r="AB36" s="5" t="inlineStr"/>
      <c r="AC36" s="5" t="inlineStr"/>
      <c r="AD36" s="5" t="inlineStr"/>
      <c r="AE36" s="5" t="inlineStr"/>
      <c r="AF36" s="5" t="inlineStr"/>
      <c r="AG36" s="5" t="inlineStr"/>
      <c r="AH36" s="5" t="inlineStr"/>
      <c r="AI36" s="5" t="inlineStr"/>
      <c r="AJ36" s="5" t="inlineStr"/>
    </row>
    <row r="37">
      <c r="A37" s="5" t="inlineStr">
        <is>
          <t>ilk-harclik</t>
        </is>
      </c>
      <c r="B37" s="5" t="n">
        <v>4</v>
      </c>
      <c r="C37" s="6" t="inlineStr">
        <is>
          <t>Bir çocukla takas yap</t>
        </is>
      </c>
      <c r="D37" s="5" t="inlineStr">
        <is>
          <t>Çene</t>
        </is>
      </c>
      <c r="E37" s="5" t="inlineStr">
        <is>
          <t>Zor</t>
        </is>
      </c>
      <c r="F37" s="5" t="inlineStr"/>
      <c r="G37" s="6" t="inlineStr"/>
      <c r="H37" s="6" t="inlineStr">
        <is>
          <t>İki bozukluk verdin, bir oyuncak araba aldın. Kuzeninin annesi “O arabayı biz almıştık” dedi. Anlaşma geçerli, teyze küs.</t>
        </is>
      </c>
      <c r="I37" s="6" t="inlineStr">
        <is>
          <t>İki bozuk parayı bir oyuncak arabaya çevirdin, sonra arabayı üç bozuk paraya. Kârdasın.</t>
        </is>
      </c>
      <c r="J37" s="6" t="inlineStr">
        <is>
          <t>Parayı uzattın. Çocuk baktı, krakerini yedi, gitti.</t>
        </is>
      </c>
      <c r="K37" s="6" t="inlineStr">
        <is>
          <t>Takas ettin: bütün bozukluklar gitti, eline ısırılmış yarım bir kraker geçti. Öbür çocuk annesine “Kazandım” dedi. Haklıydı.</t>
        </is>
      </c>
      <c r="L37" s="6" t="inlineStr"/>
      <c r="M37" s="5" t="inlineStr"/>
      <c r="N37" s="5" t="inlineStr"/>
      <c r="O37" s="6" t="inlineStr"/>
      <c r="P37" s="6" t="inlineStr"/>
      <c r="Q37" s="5" t="inlineStr"/>
      <c r="R37" s="5" t="inlineStr"/>
      <c r="S37" s="5" t="inlineStr"/>
      <c r="T37" s="5" t="inlineStr">
        <is>
          <t>Küçük Tüccar</t>
        </is>
      </c>
      <c r="U37" s="5" t="inlineStr"/>
      <c r="V37" s="5" t="inlineStr"/>
      <c r="W37" s="5" t="inlineStr"/>
      <c r="X37" s="5" t="inlineStr"/>
      <c r="Y37" s="5" t="inlineStr"/>
      <c r="Z37" s="6" t="inlineStr"/>
      <c r="AA37" s="5" t="inlineStr"/>
      <c r="AB37" s="5" t="inlineStr"/>
      <c r="AC37" s="5" t="inlineStr"/>
      <c r="AD37" s="5" t="inlineStr"/>
      <c r="AE37" s="5" t="inlineStr"/>
      <c r="AF37" s="5" t="inlineStr"/>
      <c r="AG37" s="5" t="inlineStr"/>
      <c r="AH37" s="5" t="inlineStr"/>
      <c r="AI37" s="5" t="inlineStr"/>
      <c r="AJ37" s="5" t="inlineStr"/>
    </row>
    <row r="38">
      <c r="A38" s="5" t="inlineStr">
        <is>
          <t>ilk-harclik</t>
        </is>
      </c>
      <c r="B38" s="5" t="n">
        <v>5</v>
      </c>
      <c r="C38" s="6" t="inlineStr">
        <is>
          <t>Faiz sor</t>
        </is>
      </c>
      <c r="D38" s="5" t="inlineStr">
        <is>
          <t>Kurnazlık</t>
        </is>
      </c>
      <c r="E38" s="5" t="inlineStr">
        <is>
          <t>Kolay</t>
        </is>
      </c>
      <c r="F38" s="5" t="inlineStr"/>
      <c r="G38" s="6" t="inlineStr"/>
      <c r="H38" s="6" t="inlineStr">
        <is>
          <t>Parayı dedene geri uzattın: “Daha.” Deden güldü, bir bozukluk daha koydu. Ailede faiz ilk kez böyle konuşuldu.</t>
        </is>
      </c>
      <c r="I38" s="6" t="inlineStr">
        <is>
          <t>“Daha” dedin, deden verdi. “Daha” dedin, babaannen verdi. Avucun dolduğunda halan “Bu çocuk bizi bitirecek” dedi.</t>
        </is>
      </c>
      <c r="J38" s="6" t="inlineStr">
        <is>
          <t>“Daha” dedin. Kimse paradan bahsettiğini anlamadı; eline bir bisküvi tutuşturdular.</t>
        </is>
      </c>
      <c r="K38" s="6" t="inlineStr">
        <is>
          <t>“Daha” dedin, elini uzattın. Babaannen paranın hepsini aldı: “Çocuk açgözlü olmasın.” Para gitti, bisküvi de gelmedi.</t>
        </is>
      </c>
      <c r="L38" s="6" t="inlineStr"/>
      <c r="M38" s="5" t="inlineStr"/>
      <c r="N38" s="5" t="inlineStr"/>
      <c r="O38" s="6" t="inlineStr"/>
      <c r="P38" s="6" t="inlineStr"/>
      <c r="Q38" s="5" t="inlineStr"/>
      <c r="R38" s="5" t="inlineStr">
        <is>
          <t>ilkKelimePara</t>
        </is>
      </c>
      <c r="S38" s="5" t="inlineStr"/>
      <c r="T38" s="5" t="inlineStr"/>
      <c r="U38" s="5" t="inlineStr"/>
      <c r="V38" s="5" t="inlineStr"/>
      <c r="W38" s="5" t="inlineStr"/>
      <c r="X38" s="5" t="inlineStr"/>
      <c r="Y38" s="5" t="inlineStr"/>
      <c r="Z38" s="6" t="inlineStr"/>
      <c r="AA38" s="5" t="inlineStr"/>
      <c r="AB38" s="5" t="inlineStr"/>
      <c r="AC38" s="5" t="inlineStr"/>
      <c r="AD38" s="5" t="inlineStr"/>
      <c r="AE38" s="5" t="inlineStr"/>
      <c r="AF38" s="5" t="inlineStr"/>
      <c r="AG38" s="5" t="inlineStr"/>
      <c r="AH38" s="5" t="inlineStr"/>
      <c r="AI38" s="5" t="inlineStr"/>
      <c r="AJ38" s="5" t="inlineStr"/>
    </row>
    <row r="39">
      <c r="A39" s="5" t="inlineStr">
        <is>
          <t>oyuncak-krizi</t>
        </is>
      </c>
      <c r="B39" s="5" t="n">
        <v>1</v>
      </c>
      <c r="C39" s="6" t="inlineStr">
        <is>
          <t>Paylaş</t>
        </is>
      </c>
      <c r="D39" s="5" t="inlineStr">
        <is>
          <t>Gönül</t>
        </is>
      </c>
      <c r="E39" s="5" t="inlineStr">
        <is>
          <t>Zor</t>
        </is>
      </c>
      <c r="F39" s="5" t="inlineStr"/>
      <c r="G39" s="6" t="inlineStr"/>
      <c r="H39" s="6" t="inlineStr">
        <is>
          <t>Kovayı ona bıraktın. Ağlamadın. Annen bunu akşam babana üç kez anlattı.</t>
        </is>
      </c>
      <c r="I39" s="6" t="inlineStr">
        <is>
          <t>Kovayı bıraktın, küreği de uzattın. Birlikte kule yaptınız. İki anne yan yana oturdu; yıllar sürecek bir komşuluk kum havuzunda başladı.</t>
        </is>
      </c>
      <c r="J39" s="6" t="inlineStr">
        <is>
          <t>Paylaşmayı denedin. Elin bırakmadı. İki yaşında el, kafadan hızlıdır.</t>
        </is>
      </c>
      <c r="K39" s="6" t="inlineStr">
        <is>
          <t>Paylaştın. Çocuk kovayı kumla doldurdu ve kafana boşalttı. Saçından bir hafta kum döküldü.</t>
        </is>
      </c>
      <c r="L39" s="6" t="inlineStr"/>
      <c r="M39" s="5" t="inlineStr"/>
      <c r="N39" s="5" t="inlineStr"/>
      <c r="O39" s="6" t="inlineStr"/>
      <c r="P39" s="6" t="inlineStr"/>
      <c r="Q39" s="5" t="inlineStr"/>
      <c r="R39" s="5" t="inlineStr"/>
      <c r="S39" s="5" t="inlineStr"/>
      <c r="T39" s="5" t="inlineStr"/>
      <c r="U39" s="5" t="inlineStr"/>
      <c r="V39" s="5" t="inlineStr"/>
      <c r="W39" s="5" t="inlineStr"/>
      <c r="X39" s="5" t="inlineStr"/>
      <c r="Y39" s="5" t="inlineStr"/>
      <c r="Z39" s="6" t="inlineStr"/>
      <c r="AA39" s="5" t="inlineStr"/>
      <c r="AB39" s="5" t="inlineStr"/>
      <c r="AC39" s="5" t="inlineStr"/>
      <c r="AD39" s="5" t="inlineStr"/>
      <c r="AE39" s="5" t="inlineStr"/>
      <c r="AF39" s="5" t="inlineStr"/>
      <c r="AG39" s="5" t="inlineStr"/>
      <c r="AH39" s="5" t="inlineStr"/>
      <c r="AI39" s="5" t="inlineStr"/>
      <c r="AJ39" s="5" t="inlineStr"/>
    </row>
    <row r="40">
      <c r="A40" s="5" t="inlineStr">
        <is>
          <t>oyuncak-krizi</t>
        </is>
      </c>
      <c r="B40" s="5" t="n">
        <v>2</v>
      </c>
      <c r="C40" s="6" t="inlineStr">
        <is>
          <t>Başka oyuncak teklif et</t>
        </is>
      </c>
      <c r="D40" s="5" t="inlineStr">
        <is>
          <t>Çene</t>
        </is>
      </c>
      <c r="E40" s="5" t="inlineStr">
        <is>
          <t>Kolay</t>
        </is>
      </c>
      <c r="F40" s="5" t="inlineStr"/>
      <c r="G40" s="6" t="inlineStr"/>
      <c r="H40" s="6" t="inlineStr">
        <is>
          <t>“Bunu al, kovamı ver” dedin. Düşündü, kabul etti. İkiniz de kazandığınızı sanıyorsunuz.</t>
        </is>
      </c>
      <c r="I40" s="6" t="inlineStr">
        <is>
          <t>Eski oyuncağını teklif ettin, yenisini geri aldın, karşı taraf sana teşekkür bile etti. Tarihe 'başarılı takas' olarak geçti.</t>
        </is>
      </c>
      <c r="J40" s="6" t="inlineStr">
        <is>
          <t>Teklif ettin. Baktı, burnunu kırıştırdı, kovayla oynamaya devam etti.</t>
        </is>
      </c>
      <c r="K40" s="6" t="inlineStr">
        <is>
          <t>Teklif ettiğin oyuncağı da aldı. Şimdi resmen iki oyuncak açığın var.</t>
        </is>
      </c>
      <c r="L40" s="6" t="inlineStr"/>
      <c r="M40" s="5" t="inlineStr"/>
      <c r="N40" s="5" t="inlineStr"/>
      <c r="O40" s="6" t="inlineStr"/>
      <c r="P40" s="6" t="inlineStr"/>
      <c r="Q40" s="5" t="inlineStr"/>
      <c r="R40" s="5" t="inlineStr"/>
      <c r="S40" s="5" t="inlineStr"/>
      <c r="T40" s="5" t="inlineStr"/>
      <c r="U40" s="5" t="inlineStr"/>
      <c r="V40" s="5" t="inlineStr"/>
      <c r="W40" s="5" t="inlineStr"/>
      <c r="X40" s="5" t="inlineStr"/>
      <c r="Y40" s="5" t="inlineStr"/>
      <c r="Z40" s="6" t="inlineStr"/>
      <c r="AA40" s="5" t="inlineStr"/>
      <c r="AB40" s="5" t="inlineStr"/>
      <c r="AC40" s="5" t="inlineStr"/>
      <c r="AD40" s="5" t="inlineStr"/>
      <c r="AE40" s="5" t="inlineStr"/>
      <c r="AF40" s="5" t="inlineStr"/>
      <c r="AG40" s="5" t="inlineStr"/>
      <c r="AH40" s="5" t="inlineStr"/>
      <c r="AI40" s="5" t="inlineStr"/>
      <c r="AJ40" s="5" t="inlineStr"/>
    </row>
    <row r="41">
      <c r="A41" s="5" t="inlineStr">
        <is>
          <t>oyuncak-krizi</t>
        </is>
      </c>
      <c r="B41" s="5" t="n">
        <v>3</v>
      </c>
      <c r="C41" s="6" t="inlineStr">
        <is>
          <t>Elinden al</t>
        </is>
      </c>
      <c r="D41" s="5" t="inlineStr">
        <is>
          <t>Cesaret</t>
        </is>
      </c>
      <c r="E41" s="5" t="inlineStr">
        <is>
          <t>Orta</t>
        </is>
      </c>
      <c r="F41" s="5" t="inlineStr"/>
      <c r="G41" s="6" t="inlineStr"/>
      <c r="H41" s="6" t="inlineStr">
        <is>
          <t>Çektin, aldın, arkanı döndün. O ağladı, sen oynadın. Annen “Ver” dedi; vermedin. Bu kez annen sustu.</t>
        </is>
      </c>
      <c r="I41" s="6" t="inlineStr">
        <is>
          <t>Tek hamlede aldın. Karşı taraf itiraz edecek kelimeyi daha bulamadan sen çoktan oynamaya başlamıştın.</t>
        </is>
      </c>
      <c r="J41" s="6" t="inlineStr">
        <is>
          <t>Çektin, o da çekti. Oyuncak artık ikiye bölünme tehdidiyle yaşıyor.</t>
        </is>
      </c>
      <c r="K41" s="6" t="inlineStr">
        <is>
          <t>Çektin, o bıraktı, sen düz popo üstü oturdun. Kum havuzu tarihine geçtin, ama yanlış sebepten.</t>
        </is>
      </c>
      <c r="L41" s="6" t="inlineStr"/>
      <c r="M41" s="5" t="inlineStr"/>
      <c r="N41" s="5" t="inlineStr"/>
      <c r="O41" s="6" t="inlineStr"/>
      <c r="P41" s="6" t="inlineStr"/>
      <c r="Q41" s="5" t="inlineStr"/>
      <c r="R41" s="5" t="inlineStr"/>
      <c r="S41" s="5" t="inlineStr"/>
      <c r="T41" s="5" t="inlineStr"/>
      <c r="U41" s="5" t="inlineStr"/>
      <c r="V41" s="5" t="inlineStr"/>
      <c r="W41" s="5" t="inlineStr"/>
      <c r="X41" s="5" t="inlineStr"/>
      <c r="Y41" s="5" t="inlineStr"/>
      <c r="Z41" s="6" t="inlineStr"/>
      <c r="AA41" s="5" t="inlineStr"/>
      <c r="AB41" s="5" t="inlineStr"/>
      <c r="AC41" s="5" t="inlineStr"/>
      <c r="AD41" s="5" t="inlineStr"/>
      <c r="AE41" s="5" t="inlineStr"/>
      <c r="AF41" s="5" t="inlineStr"/>
      <c r="AG41" s="5" t="inlineStr"/>
      <c r="AH41" s="5" t="inlineStr"/>
      <c r="AI41" s="5" t="inlineStr"/>
      <c r="AJ41" s="5" t="inlineStr"/>
    </row>
    <row r="42">
      <c r="A42" s="5" t="inlineStr">
        <is>
          <t>oyuncak-krizi</t>
        </is>
      </c>
      <c r="B42" s="5" t="n">
        <v>4</v>
      </c>
      <c r="C42" s="6" t="inlineStr">
        <is>
          <t>Sıkılmasını bekle</t>
        </is>
      </c>
      <c r="D42" s="5" t="inlineStr">
        <is>
          <t>Dayanıklılık</t>
        </is>
      </c>
      <c r="E42" s="5" t="inlineStr">
        <is>
          <t>Kolay</t>
        </is>
      </c>
      <c r="F42" s="5" t="inlineStr"/>
      <c r="G42" s="6" t="inlineStr"/>
      <c r="H42" s="6" t="inlineStr">
        <is>
          <t>Bekledin. Beş dakika sonra kova onu sıktı; bıraktı, salıncağa koştu. Kova yine senin.</t>
        </is>
      </c>
      <c r="I42" s="6" t="inlineStr">
        <is>
          <t>O sıkıldı, oyuncağı bıraktı, üstüne bir tane daha verdi — belli ki suçluluk duydu.</t>
        </is>
      </c>
      <c r="J42" s="6" t="inlineStr">
        <is>
          <t>O sıkılmadı. Sıkılan sendin, üstelik daha erken.</t>
        </is>
      </c>
      <c r="K42" s="6" t="inlineStr">
        <is>
          <t>Bekledin; bu arada annesi “Hadi gidiyoruz” dedi, kova da gitti. Annen “Bir tane daha alırız” dedi. Almadı.</t>
        </is>
      </c>
      <c r="L42" s="6" t="inlineStr"/>
      <c r="M42" s="5" t="inlineStr"/>
      <c r="N42" s="5" t="inlineStr"/>
      <c r="O42" s="6" t="inlineStr"/>
      <c r="P42" s="6" t="inlineStr"/>
      <c r="Q42" s="5" t="inlineStr"/>
      <c r="R42" s="5" t="inlineStr"/>
      <c r="S42" s="5" t="inlineStr"/>
      <c r="T42" s="5" t="inlineStr"/>
      <c r="U42" s="5" t="inlineStr"/>
      <c r="V42" s="5" t="inlineStr"/>
      <c r="W42" s="5" t="inlineStr"/>
      <c r="X42" s="5" t="inlineStr"/>
      <c r="Y42" s="5" t="inlineStr"/>
      <c r="Z42" s="6" t="inlineStr"/>
      <c r="AA42" s="5" t="inlineStr"/>
      <c r="AB42" s="5" t="inlineStr"/>
      <c r="AC42" s="5" t="inlineStr"/>
      <c r="AD42" s="5" t="inlineStr"/>
      <c r="AE42" s="5" t="inlineStr"/>
      <c r="AF42" s="5" t="inlineStr"/>
      <c r="AG42" s="5" t="inlineStr"/>
      <c r="AH42" s="5" t="inlineStr"/>
      <c r="AI42" s="5" t="inlineStr"/>
      <c r="AJ42" s="5" t="inlineStr"/>
    </row>
    <row r="43">
      <c r="A43" s="5" t="inlineStr">
        <is>
          <t>aile-toplantisi</t>
        </is>
      </c>
      <c r="B43" s="5" t="n">
        <v>1</v>
      </c>
      <c r="C43" s="6" t="inlineStr">
        <is>
          <t>Dinle</t>
        </is>
      </c>
      <c r="D43" s="5" t="inlineStr">
        <is>
          <t>Sosyal Radar</t>
        </is>
      </c>
      <c r="E43" s="5" t="inlineStr">
        <is>
          <t>Kolay</t>
        </is>
      </c>
      <c r="F43" s="5" t="inlineStr"/>
      <c r="G43" s="6" t="inlineStr"/>
      <c r="H43" s="6" t="inlineStr">
        <is>
          <t>Yetişkinlerin söylediklerinden çok söylemediklerini duydun.</t>
        </is>
      </c>
      <c r="I43" s="6" t="inlineStr">
        <is>
          <t>Büyüklerin fısıldadığını yakaladın: yaz tatili iptal değil, ertelenmiş. Bütün akşam herkesten önce sen sevindin.</t>
        </is>
      </c>
      <c r="J43" s="6" t="inlineStr">
        <is>
          <t>Dinledin ama kelimeler çok uzundu.</t>
        </is>
      </c>
      <c r="K43" s="6" t="inlineStr">
        <is>
          <t>Dinlerken bir kelime kaptın; akşam misafirlerin önünde tekrar ettin: “Cimri.” Misafir, hakkında konuşulan amcandı.</t>
        </is>
      </c>
      <c r="L43" s="6" t="inlineStr"/>
      <c r="M43" s="5" t="inlineStr"/>
      <c r="N43" s="5" t="inlineStr"/>
      <c r="O43" s="6" t="inlineStr"/>
      <c r="P43" s="6" t="inlineStr"/>
      <c r="Q43" s="5" t="inlineStr"/>
      <c r="R43" s="5" t="inlineStr"/>
      <c r="S43" s="5" t="inlineStr"/>
      <c r="T43" s="5" t="inlineStr"/>
      <c r="U43" s="5" t="inlineStr"/>
      <c r="V43" s="5" t="inlineStr"/>
      <c r="W43" s="5" t="inlineStr"/>
      <c r="X43" s="5" t="inlineStr"/>
      <c r="Y43" s="5" t="inlineStr"/>
      <c r="Z43" s="6" t="inlineStr"/>
      <c r="AA43" s="5" t="inlineStr"/>
      <c r="AB43" s="5" t="inlineStr"/>
      <c r="AC43" s="5" t="inlineStr"/>
      <c r="AD43" s="5" t="inlineStr"/>
      <c r="AE43" s="5" t="inlineStr"/>
      <c r="AF43" s="5" t="inlineStr"/>
      <c r="AG43" s="5" t="inlineStr"/>
      <c r="AH43" s="5" t="inlineStr"/>
      <c r="AI43" s="5" t="inlineStr"/>
      <c r="AJ43" s="5" t="inlineStr"/>
    </row>
    <row r="44">
      <c r="A44" s="5" t="inlineStr">
        <is>
          <t>aile-toplantisi</t>
        </is>
      </c>
      <c r="B44" s="5" t="n">
        <v>2</v>
      </c>
      <c r="C44" s="6" t="inlineStr">
        <is>
          <t>İlgi çek</t>
        </is>
      </c>
      <c r="D44" s="5" t="inlineStr">
        <is>
          <t>Pişkinlik</t>
        </is>
      </c>
      <c r="E44" s="5" t="inlineStr">
        <is>
          <t>Orta</t>
        </is>
      </c>
      <c r="F44" s="5" t="inlineStr"/>
      <c r="G44" s="6" t="inlineStr"/>
      <c r="H44" s="6" t="inlineStr">
        <is>
          <t>Salonun ortasında dans ettin. Konuşma durdu, telefonlar çıktı. Videon o akşam aile grubundaydı.</t>
        </is>
      </c>
      <c r="I44" s="6" t="inlineStr">
        <is>
          <t>Dans ettin; önce deden kalktı, sonra halan. Salon düğüne döndü, konuşulacak her şey seneye kaldı.</t>
        </is>
      </c>
      <c r="J44" s="6" t="inlineStr">
        <is>
          <t>Dans ettin, kimse bakmadı. Bütçe konuşuluyordu.</t>
        </is>
      </c>
      <c r="K44" s="6" t="inlineStr">
        <is>
          <t>İlgi çekmek için boş bardaklı tepsiye uzandın. Tepsi halıya, bardaklar dört yöne, misafir koltuğun üstüne. Erkenden yatağa gönderildin; kahkahalar yatağına kadar geldi.</t>
        </is>
      </c>
      <c r="L44" s="6" t="inlineStr"/>
      <c r="M44" s="5" t="inlineStr"/>
      <c r="N44" s="5" t="inlineStr"/>
      <c r="O44" s="6" t="inlineStr"/>
      <c r="P44" s="6" t="inlineStr"/>
      <c r="Q44" s="5" t="inlineStr"/>
      <c r="R44" s="5" t="inlineStr"/>
      <c r="S44" s="5" t="inlineStr"/>
      <c r="T44" s="5" t="inlineStr"/>
      <c r="U44" s="5" t="inlineStr"/>
      <c r="V44" s="5" t="inlineStr"/>
      <c r="W44" s="5" t="inlineStr"/>
      <c r="X44" s="5" t="inlineStr"/>
      <c r="Y44" s="5" t="inlineStr"/>
      <c r="Z44" s="6" t="inlineStr"/>
      <c r="AA44" s="5" t="inlineStr"/>
      <c r="AB44" s="5" t="inlineStr"/>
      <c r="AC44" s="5" t="inlineStr"/>
      <c r="AD44" s="5" t="inlineStr"/>
      <c r="AE44" s="5" t="inlineStr"/>
      <c r="AF44" s="5" t="inlineStr"/>
      <c r="AG44" s="5" t="inlineStr"/>
      <c r="AH44" s="5" t="inlineStr"/>
      <c r="AI44" s="5" t="inlineStr"/>
      <c r="AJ44" s="5" t="inlineStr"/>
    </row>
    <row r="45">
      <c r="A45" s="5" t="inlineStr">
        <is>
          <t>aile-toplantisi</t>
        </is>
      </c>
      <c r="B45" s="5" t="n">
        <v>3</v>
      </c>
      <c r="C45" s="6" t="inlineStr">
        <is>
          <t>Oyuncağınla ilgilen</t>
        </is>
      </c>
      <c r="D45" s="5" t="inlineStr"/>
      <c r="E45" s="5" t="inlineStr"/>
      <c r="F45" s="5" t="inlineStr">
        <is>
          <t>Dayanıklılık +1</t>
        </is>
      </c>
      <c r="G45" s="6" t="inlineStr">
        <is>
          <t>Oyuncağınla oynadın. Büyükler konuştu, karar verdi, sana sormadı. Karar: “Yazın babaanneye gider.”</t>
        </is>
      </c>
      <c r="H45" s="6" t="inlineStr"/>
      <c r="I45" s="6" t="inlineStr"/>
      <c r="J45" s="6" t="inlineStr"/>
      <c r="K45" s="6" t="inlineStr"/>
      <c r="L45" s="6" t="inlineStr"/>
      <c r="M45" s="5" t="inlineStr"/>
      <c r="N45" s="5" t="inlineStr"/>
      <c r="O45" s="6" t="inlineStr"/>
      <c r="P45" s="6" t="inlineStr"/>
      <c r="Q45" s="5" t="inlineStr"/>
      <c r="R45" s="5" t="inlineStr"/>
      <c r="S45" s="5" t="inlineStr"/>
      <c r="T45" s="5" t="inlineStr"/>
      <c r="U45" s="5" t="inlineStr"/>
      <c r="V45" s="5" t="inlineStr"/>
      <c r="W45" s="5" t="inlineStr"/>
      <c r="X45" s="5" t="inlineStr"/>
      <c r="Y45" s="5" t="inlineStr"/>
      <c r="Z45" s="6" t="inlineStr"/>
      <c r="AA45" s="5" t="inlineStr"/>
      <c r="AB45" s="5" t="inlineStr"/>
      <c r="AC45" s="5" t="inlineStr"/>
      <c r="AD45" s="5" t="inlineStr"/>
      <c r="AE45" s="5" t="inlineStr"/>
      <c r="AF45" s="5" t="inlineStr"/>
      <c r="AG45" s="5" t="inlineStr"/>
      <c r="AH45" s="5" t="inlineStr"/>
      <c r="AI45" s="5" t="inlineStr"/>
      <c r="AJ45" s="5" t="inlineStr"/>
    </row>
    <row r="46">
      <c r="A46" s="5" t="inlineStr">
        <is>
          <t>parkta-sira</t>
        </is>
      </c>
      <c r="B46" s="5" t="n">
        <v>1</v>
      </c>
      <c r="C46" s="6" t="inlineStr">
        <is>
          <t>Sıraya gir</t>
        </is>
      </c>
      <c r="D46" s="5" t="inlineStr"/>
      <c r="E46" s="5" t="inlineStr"/>
      <c r="F46" s="5" t="inlineStr">
        <is>
          <t>İtibar +1</t>
        </is>
      </c>
      <c r="G46" s="6" t="inlineStr">
        <is>
          <t>Sıraya girdin, bekledin, kaydın. Annen banktaki herkese “Bizimki sıraya giriyor” dedi.</t>
        </is>
      </c>
      <c r="H46" s="6" t="inlineStr"/>
      <c r="I46" s="6" t="inlineStr"/>
      <c r="J46" s="6" t="inlineStr"/>
      <c r="K46" s="6" t="inlineStr"/>
      <c r="L46" s="6" t="inlineStr"/>
      <c r="M46" s="5" t="inlineStr"/>
      <c r="N46" s="5" t="inlineStr"/>
      <c r="O46" s="6" t="inlineStr"/>
      <c r="P46" s="6" t="inlineStr"/>
      <c r="Q46" s="5" t="inlineStr"/>
      <c r="R46" s="5" t="inlineStr"/>
      <c r="S46" s="5" t="inlineStr"/>
      <c r="T46" s="5" t="inlineStr"/>
      <c r="U46" s="5" t="inlineStr"/>
      <c r="V46" s="5" t="inlineStr"/>
      <c r="W46" s="5" t="inlineStr"/>
      <c r="X46" s="5" t="inlineStr"/>
      <c r="Y46" s="5" t="inlineStr"/>
      <c r="Z46" s="6" t="inlineStr"/>
      <c r="AA46" s="5" t="inlineStr"/>
      <c r="AB46" s="5" t="inlineStr"/>
      <c r="AC46" s="5" t="inlineStr"/>
      <c r="AD46" s="5" t="inlineStr"/>
      <c r="AE46" s="5" t="inlineStr"/>
      <c r="AF46" s="5" t="inlineStr"/>
      <c r="AG46" s="5" t="inlineStr"/>
      <c r="AH46" s="5" t="inlineStr"/>
      <c r="AI46" s="5" t="inlineStr"/>
      <c r="AJ46" s="5" t="inlineStr"/>
    </row>
    <row r="47">
      <c r="A47" s="5" t="inlineStr">
        <is>
          <t>parkta-sira</t>
        </is>
      </c>
      <c r="B47" s="5" t="n">
        <v>2</v>
      </c>
      <c r="C47" s="6" t="inlineStr">
        <is>
          <t>Öne geç</t>
        </is>
      </c>
      <c r="D47" s="5" t="inlineStr">
        <is>
          <t>Pişkinlik</t>
        </is>
      </c>
      <c r="E47" s="5" t="inlineStr">
        <is>
          <t>Orta</t>
        </is>
      </c>
      <c r="F47" s="5" t="inlineStr"/>
      <c r="G47" s="6" t="inlineStr"/>
      <c r="H47" s="6" t="inlineStr">
        <is>
          <t>Öne geçtin. Toplumsal tepki geldiğinde sen zaten aşağı kayıyordun.</t>
        </is>
      </c>
      <c r="I47" s="6" t="inlineStr">
        <is>
          <t>Öne geçtin ve kimse fark etmedi. Hatta biri sana yer verdi.</t>
        </is>
      </c>
      <c r="J47" s="6" t="inlineStr">
        <is>
          <t>Öne geçmeye çalıştın; sıradaki anneler komitesi seni geri gönderdi.</t>
        </is>
      </c>
      <c r="K47" s="6" t="inlineStr">
        <is>
          <t>Öne geçtin, kaydın; kaydırağın dibindeki su birikintisine oturdun. Sıradakiler alkışladı. Annen havluyu evde unutmuştu.</t>
        </is>
      </c>
      <c r="L47" s="6" t="inlineStr">
        <is>
          <t>Yarıya kadar geldin. Sonra biri seni fark etti. Yarım zafer.</t>
        </is>
      </c>
      <c r="M47" s="5" t="inlineStr">
        <is>
          <t>fight</t>
        </is>
      </c>
      <c r="N47" s="5" t="inlineStr">
        <is>
          <t>Sıranın Arasından Geç</t>
        </is>
      </c>
      <c r="O47" s="6" t="inlineStr">
        <is>
          <t>Engelin olmadığı şeride geç.</t>
        </is>
      </c>
      <c r="P47" s="6" t="inlineStr">
        <is>
          <t>{"mode": "dodge", "obstacles": ["🧒", "👧", "🧒🏽", "👦"]}</t>
        </is>
      </c>
      <c r="Q47" s="5" t="inlineStr"/>
      <c r="R47" s="5" t="inlineStr"/>
      <c r="S47" s="5" t="inlineStr"/>
      <c r="T47" s="5" t="inlineStr"/>
      <c r="U47" s="5" t="inlineStr"/>
      <c r="V47" s="5" t="inlineStr"/>
      <c r="W47" s="5" t="inlineStr"/>
      <c r="X47" s="5" t="inlineStr"/>
      <c r="Y47" s="5" t="inlineStr"/>
      <c r="Z47" s="6" t="inlineStr"/>
      <c r="AA47" s="5" t="inlineStr"/>
      <c r="AB47" s="5" t="inlineStr"/>
      <c r="AC47" s="5" t="inlineStr"/>
      <c r="AD47" s="5" t="inlineStr"/>
      <c r="AE47" s="5" t="inlineStr"/>
      <c r="AF47" s="5" t="inlineStr"/>
      <c r="AG47" s="5" t="inlineStr"/>
      <c r="AH47" s="5" t="inlineStr"/>
      <c r="AI47" s="5" t="inlineStr"/>
      <c r="AJ47" s="5" t="inlineStr"/>
    </row>
    <row r="48">
      <c r="A48" s="5" t="inlineStr">
        <is>
          <t>parkta-sira</t>
        </is>
      </c>
      <c r="B48" s="5" t="n">
        <v>3</v>
      </c>
      <c r="C48" s="6" t="inlineStr">
        <is>
          <t>Konuşarak çöz</t>
        </is>
      </c>
      <c r="D48" s="5" t="inlineStr">
        <is>
          <t>Çene</t>
        </is>
      </c>
      <c r="E48" s="5" t="inlineStr">
        <is>
          <t>Kolay</t>
        </is>
      </c>
      <c r="F48" s="5" t="inlineStr"/>
      <c r="G48" s="6" t="inlineStr"/>
      <c r="H48" s="6" t="inlineStr">
        <is>
          <t>“Ben küçüğüm” dedin. Önündeki iki çocuk sana yol verdi. Küçük olmanın son günleri; iyi kullandın.</t>
        </is>
      </c>
      <c r="I48" s="6" t="inlineStr">
        <is>
          <t>Konuştun ve sıradaki herkes sana geçiş hakkı verdi. Nedeni belirsiz.</t>
        </is>
      </c>
      <c r="J48" s="6" t="inlineStr">
        <is>
          <t>Konuştun; herkes dinledi, kimse kıpırdamadı.</t>
        </is>
      </c>
      <c r="K48" s="6" t="inlineStr">
        <is>
          <t>Konuştun, konuştun. Sen konuşurken arkadaki üç çocuk önüne geçti. Kaydırak kapandığında hâlâ konuşuyordun.</t>
        </is>
      </c>
      <c r="L48" s="6" t="inlineStr"/>
      <c r="M48" s="5" t="inlineStr"/>
      <c r="N48" s="5" t="inlineStr"/>
      <c r="O48" s="6" t="inlineStr"/>
      <c r="P48" s="6" t="inlineStr"/>
      <c r="Q48" s="5" t="inlineStr"/>
      <c r="R48" s="5" t="inlineStr"/>
      <c r="S48" s="5" t="inlineStr"/>
      <c r="T48" s="5" t="inlineStr"/>
      <c r="U48" s="5" t="inlineStr"/>
      <c r="V48" s="5" t="inlineStr"/>
      <c r="W48" s="5" t="inlineStr"/>
      <c r="X48" s="5" t="inlineStr"/>
      <c r="Y48" s="5" t="inlineStr"/>
      <c r="Z48" s="6" t="inlineStr"/>
      <c r="AA48" s="5" t="inlineStr"/>
      <c r="AB48" s="5" t="inlineStr"/>
      <c r="AC48" s="5" t="inlineStr"/>
      <c r="AD48" s="5" t="inlineStr"/>
      <c r="AE48" s="5" t="inlineStr"/>
      <c r="AF48" s="5" t="inlineStr"/>
      <c r="AG48" s="5" t="inlineStr"/>
      <c r="AH48" s="5" t="inlineStr"/>
      <c r="AI48" s="5" t="inlineStr"/>
      <c r="AJ48" s="5" t="inlineStr"/>
    </row>
    <row r="49">
      <c r="A49" s="5" t="inlineStr">
        <is>
          <t>parkta-sira</t>
        </is>
      </c>
      <c r="B49" s="5" t="n">
        <v>4</v>
      </c>
      <c r="C49" s="6" t="inlineStr">
        <is>
          <t>Sırayı izle</t>
        </is>
      </c>
      <c r="D49" s="5" t="inlineStr">
        <is>
          <t>Sosyal Radar</t>
        </is>
      </c>
      <c r="E49" s="5" t="inlineStr">
        <is>
          <t>Kolay</t>
        </is>
      </c>
      <c r="F49" s="5" t="inlineStr"/>
      <c r="G49" s="6" t="inlineStr"/>
      <c r="H49" s="6" t="inlineStr">
        <is>
          <t>Sıradakilerin yarısının sırada değil, annesini beklediğini fark ettin. Gerçek sıranın başına geçtin.</t>
        </is>
      </c>
      <c r="I49" s="6" t="inlineStr">
        <is>
          <t>Sıranın aslında iki ayrı sıra olduğunu fark ettin ve boş olanına geçtin.</t>
        </is>
      </c>
      <c r="J49" s="6" t="inlineStr">
        <is>
          <t>İzledin; sıra hiç ilerlemedi. Kaydırak kapandı.</t>
        </is>
      </c>
      <c r="K49" s="6" t="inlineStr">
        <is>
          <t>Sırayı izlemeye öyle daldın ki en sonda kaldın. Tam sıra sana gelince annen “Hadi eve” dedi.</t>
        </is>
      </c>
      <c r="L49" s="6" t="inlineStr"/>
      <c r="M49" s="5" t="inlineStr"/>
      <c r="N49" s="5" t="inlineStr"/>
      <c r="O49" s="6" t="inlineStr"/>
      <c r="P49" s="6" t="inlineStr"/>
      <c r="Q49" s="5" t="inlineStr"/>
      <c r="R49" s="5" t="inlineStr"/>
      <c r="S49" s="5" t="inlineStr"/>
      <c r="T49" s="5" t="inlineStr"/>
      <c r="U49" s="5" t="inlineStr"/>
      <c r="V49" s="5" t="inlineStr"/>
      <c r="W49" s="5" t="inlineStr"/>
      <c r="X49" s="5" t="inlineStr"/>
      <c r="Y49" s="5" t="inlineStr"/>
      <c r="Z49" s="6" t="inlineStr"/>
      <c r="AA49" s="5" t="inlineStr"/>
      <c r="AB49" s="5" t="inlineStr"/>
      <c r="AC49" s="5" t="inlineStr"/>
      <c r="AD49" s="5" t="inlineStr"/>
      <c r="AE49" s="5" t="inlineStr"/>
      <c r="AF49" s="5" t="inlineStr"/>
      <c r="AG49" s="5" t="inlineStr"/>
      <c r="AH49" s="5" t="inlineStr"/>
      <c r="AI49" s="5" t="inlineStr"/>
      <c r="AJ49" s="5" t="inlineStr"/>
    </row>
    <row r="50">
      <c r="A50" s="5" t="inlineStr">
        <is>
          <t>kim-yapti</t>
        </is>
      </c>
      <c r="B50" s="5" t="n">
        <v>1</v>
      </c>
      <c r="C50" s="6" t="inlineStr">
        <is>
          <t>Doğruyu söyle</t>
        </is>
      </c>
      <c r="D50" s="5" t="inlineStr"/>
      <c r="E50" s="5" t="inlineStr"/>
      <c r="F50" s="5" t="inlineStr">
        <is>
          <t>İtibar +2</t>
        </is>
      </c>
      <c r="G50" s="6" t="inlineStr">
        <is>
          <t>“Ben yaptım” dedin. Baban güneşe bir süre baktı, sonra fotoğrafını çekti. Duvar silindi; fotoğraf aile grubunda hâlâ duruyor.</t>
        </is>
      </c>
      <c r="H50" s="6" t="inlineStr"/>
      <c r="I50" s="6" t="inlineStr"/>
      <c r="J50" s="6" t="inlineStr"/>
      <c r="K50" s="6" t="inlineStr"/>
      <c r="L50" s="6" t="inlineStr"/>
      <c r="M50" s="5" t="inlineStr"/>
      <c r="N50" s="5" t="inlineStr"/>
      <c r="O50" s="6" t="inlineStr"/>
      <c r="P50" s="6" t="inlineStr"/>
      <c r="Q50" s="5" t="inlineStr"/>
      <c r="R50" s="5" t="inlineStr"/>
      <c r="S50" s="5" t="inlineStr"/>
      <c r="T50" s="5" t="inlineStr"/>
      <c r="U50" s="5" t="inlineStr"/>
      <c r="V50" s="5" t="inlineStr"/>
      <c r="W50" s="5" t="inlineStr"/>
      <c r="X50" s="5" t="inlineStr"/>
      <c r="Y50" s="5" t="inlineStr"/>
      <c r="Z50" s="6" t="inlineStr"/>
      <c r="AA50" s="5" t="inlineStr"/>
      <c r="AB50" s="5" t="inlineStr"/>
      <c r="AC50" s="5" t="inlineStr"/>
      <c r="AD50" s="5" t="inlineStr"/>
      <c r="AE50" s="5" t="inlineStr"/>
      <c r="AF50" s="5" t="inlineStr"/>
      <c r="AG50" s="5" t="inlineStr"/>
      <c r="AH50" s="5" t="inlineStr"/>
      <c r="AI50" s="5" t="inlineStr"/>
      <c r="AJ50" s="5" t="inlineStr"/>
    </row>
    <row r="51">
      <c r="A51" s="5" t="inlineStr">
        <is>
          <t>kim-yapti</t>
        </is>
      </c>
      <c r="B51" s="5" t="n">
        <v>2</v>
      </c>
      <c r="C51" s="6" t="inlineStr">
        <is>
          <t>Bilmiyorum de</t>
        </is>
      </c>
      <c r="D51" s="5" t="inlineStr">
        <is>
          <t>Çene</t>
        </is>
      </c>
      <c r="E51" s="5" t="inlineStr">
        <is>
          <t>Orta</t>
        </is>
      </c>
      <c r="F51" s="5" t="inlineStr"/>
      <c r="G51" s="6" t="inlineStr"/>
      <c r="H51" s="6" t="inlineStr">
        <is>
          <t>“Bilmiyorum” dedin. Baban duvara, sonra sana baktı; soruşturma yemekten sonraya ertelendi. Yemekten sonra herkes unuttu.</t>
        </is>
      </c>
      <c r="I51" s="6" t="inlineStr">
        <is>
          <t>“Bilmiyorum” dedin; o kadar inandırıcıydın ki baban annene sordu. Annen de bilmiyordu. Dosya kapandı, sana dondurma verildi.</t>
        </is>
      </c>
      <c r="J51" s="6" t="inlineStr">
        <is>
          <t>“Bilmiyorum” dedin. Parmaklarındaki mavi mürekkep “Biliyorum” dedi.</t>
        </is>
      </c>
      <c r="K51" s="6" t="inlineStr">
        <is>
          <t>“Bilmiyorum” dedin ve hemen ardından “Ama güneşi ben çizmedim” ekledin. Kimse güneş dememişti.</t>
        </is>
      </c>
      <c r="L51" s="6" t="inlineStr"/>
      <c r="M51" s="5" t="inlineStr"/>
      <c r="N51" s="5" t="inlineStr"/>
      <c r="O51" s="6" t="inlineStr"/>
      <c r="P51" s="6" t="inlineStr"/>
      <c r="Q51" s="5" t="inlineStr"/>
      <c r="R51" s="5" t="inlineStr"/>
      <c r="S51" s="5" t="inlineStr"/>
      <c r="T51" s="5" t="inlineStr"/>
      <c r="U51" s="5" t="inlineStr"/>
      <c r="V51" s="5" t="inlineStr"/>
      <c r="W51" s="5" t="inlineStr"/>
      <c r="X51" s="5" t="inlineStr"/>
      <c r="Y51" s="5" t="inlineStr"/>
      <c r="Z51" s="6" t="inlineStr"/>
      <c r="AA51" s="5" t="inlineStr"/>
      <c r="AB51" s="5" t="inlineStr"/>
      <c r="AC51" s="5" t="inlineStr"/>
      <c r="AD51" s="5" t="inlineStr"/>
      <c r="AE51" s="5" t="inlineStr"/>
      <c r="AF51" s="5" t="inlineStr"/>
      <c r="AG51" s="5" t="inlineStr"/>
      <c r="AH51" s="5" t="inlineStr"/>
      <c r="AI51" s="5" t="inlineStr"/>
      <c r="AJ51" s="5" t="inlineStr"/>
    </row>
    <row r="52">
      <c r="A52" s="5" t="inlineStr">
        <is>
          <t>kim-yapti</t>
        </is>
      </c>
      <c r="B52" s="5" t="n">
        <v>3</v>
      </c>
      <c r="C52" s="6" t="inlineStr">
        <is>
          <t>'Siz ne düşünüyorsunuz?' diye sor</t>
        </is>
      </c>
      <c r="D52" s="5" t="inlineStr">
        <is>
          <t>Akıl</t>
        </is>
      </c>
      <c r="E52" s="5" t="inlineStr">
        <is>
          <t>Orta</t>
        </is>
      </c>
      <c r="F52" s="5" t="inlineStr"/>
      <c r="G52" s="6" t="inlineStr"/>
      <c r="H52" s="6" t="inlineStr">
        <is>
          <t>“Sence kim yaptı?” diye sordun. Baban teorisini anlatırken imzanın kuzeninkine benzediğine kendisi karar verdi.</t>
        </is>
      </c>
      <c r="I52" s="6" t="inlineStr">
        <is>
          <t>Baban cevap verirken güneşin aslında çok güzel olduğunu fark etti. Duvar silinmedi; etrafına çerçeve çizildi.</t>
        </is>
      </c>
      <c r="J52" s="6" t="inlineStr">
        <is>
          <t>“Soruyu ben sordum” dedi baban. Kalemin kapağı hâlâ elinde.</t>
        </is>
      </c>
      <c r="K52" s="6" t="inlineStr">
        <is>
          <t>Soruyu sordun; baban “Sen yaptın” dedi ve kalemi cebinden çıkardı. Kendi sorunla yakalandın.</t>
        </is>
      </c>
      <c r="L52" s="6" t="inlineStr"/>
      <c r="M52" s="5" t="inlineStr"/>
      <c r="N52" s="5" t="inlineStr"/>
      <c r="O52" s="6" t="inlineStr"/>
      <c r="P52" s="6" t="inlineStr"/>
      <c r="Q52" s="5" t="inlineStr"/>
      <c r="R52" s="5" t="inlineStr"/>
      <c r="S52" s="5" t="inlineStr">
        <is>
          <t>Akıl</t>
        </is>
      </c>
      <c r="T52" s="5" t="inlineStr"/>
      <c r="U52" s="5" t="inlineStr"/>
      <c r="V52" s="5" t="inlineStr"/>
      <c r="W52" s="5" t="inlineStr"/>
      <c r="X52" s="5" t="inlineStr"/>
      <c r="Y52" s="5" t="inlineStr"/>
      <c r="Z52" s="6" t="inlineStr"/>
      <c r="AA52" s="5" t="inlineStr"/>
      <c r="AB52" s="5" t="inlineStr"/>
      <c r="AC52" s="5" t="inlineStr"/>
      <c r="AD52" s="5" t="inlineStr"/>
      <c r="AE52" s="5" t="inlineStr"/>
      <c r="AF52" s="5" t="inlineStr"/>
      <c r="AG52" s="5" t="inlineStr"/>
      <c r="AH52" s="5" t="inlineStr"/>
      <c r="AI52" s="5" t="inlineStr"/>
      <c r="AJ52" s="5" t="inlineStr"/>
    </row>
    <row r="53">
      <c r="A53" s="5" t="inlineStr">
        <is>
          <t>kim-yapti</t>
        </is>
      </c>
      <c r="B53" s="5" t="n">
        <v>4</v>
      </c>
      <c r="C53" s="6" t="inlineStr">
        <is>
          <t>Başkasını suçla</t>
        </is>
      </c>
      <c r="D53" s="5" t="inlineStr">
        <is>
          <t>Pişkinlik</t>
        </is>
      </c>
      <c r="E53" s="5" t="inlineStr">
        <is>
          <t>Çok Zor</t>
        </is>
      </c>
      <c r="F53" s="5" t="inlineStr"/>
      <c r="G53" s="6" t="inlineStr"/>
      <c r="H53" s="6" t="inlineStr">
        <is>
          <t>Kuzeni suçladın. Kuzen geçen hafta da gelmişti; tarih tutuyordu. Dosya kuzenin annesine gönderildi.</t>
        </is>
      </c>
      <c r="I53" s="6" t="inlineStr">
        <is>
          <t>Kuzen o kadar suçlu göründü ki kendi annesi bile inandı. Kuzen hâlâ hangi güneşi çizdiğini hatırlamaya çalışıyor.</t>
        </is>
      </c>
      <c r="J53" s="6" t="inlineStr">
        <is>
          <t>Suçladığın kuzen o hafta tatildeydi. Güneşi oradan çizemezdi.</t>
        </is>
      </c>
      <c r="K53" s="6" t="inlineStr">
        <is>
          <t>Suçladığın kuzen, çizerken seni videoya çekmişti. Video aile grubunda; güneş de, sen de net.</t>
        </is>
      </c>
      <c r="L53" s="6" t="inlineStr"/>
      <c r="M53" s="5" t="inlineStr"/>
      <c r="N53" s="5" t="inlineStr"/>
      <c r="O53" s="6" t="inlineStr"/>
      <c r="P53" s="6" t="inlineStr"/>
      <c r="Q53" s="5" t="inlineStr"/>
      <c r="R53" s="5" t="inlineStr"/>
      <c r="S53" s="5" t="inlineStr"/>
      <c r="T53" s="5" t="inlineStr"/>
      <c r="U53" s="5" t="inlineStr">
        <is>
          <t>yalanci</t>
        </is>
      </c>
      <c r="V53" s="5" t="inlineStr"/>
      <c r="W53" s="5" t="inlineStr"/>
      <c r="X53" s="5" t="inlineStr"/>
      <c r="Y53" s="5" t="inlineStr"/>
      <c r="Z53" s="6" t="inlineStr"/>
      <c r="AA53" s="5" t="inlineStr"/>
      <c r="AB53" s="5" t="inlineStr"/>
      <c r="AC53" s="5" t="inlineStr"/>
      <c r="AD53" s="5" t="inlineStr"/>
      <c r="AE53" s="5" t="inlineStr"/>
      <c r="AF53" s="5" t="inlineStr"/>
      <c r="AG53" s="5" t="inlineStr"/>
      <c r="AH53" s="5" t="inlineStr"/>
      <c r="AI53" s="5" t="inlineStr">
        <is>
          <t>Güneş Ressamı</t>
        </is>
      </c>
      <c r="AJ53" s="5" t="inlineStr"/>
    </row>
    <row r="54">
      <c r="A54" s="5" t="inlineStr">
        <is>
          <t>kim-yapti</t>
        </is>
      </c>
      <c r="B54" s="5" t="n">
        <v>5</v>
      </c>
      <c r="C54" s="6" t="inlineStr">
        <is>
          <t>Kediyi yine suçla</t>
        </is>
      </c>
      <c r="D54" s="5" t="inlineStr">
        <is>
          <t>Pişkinlik</t>
        </is>
      </c>
      <c r="E54" s="5" t="inlineStr">
        <is>
          <t>Zor</t>
        </is>
      </c>
      <c r="F54" s="5" t="inlineStr"/>
      <c r="G54" s="6" t="inlineStr"/>
      <c r="H54" s="6" t="inlineStr">
        <is>
          <t>Kedi ikinci kez mahkûm edildi. Patilerinde mürekkep yoktu ama kedi itiraz da etmedi. Artık sabıkalı.</t>
        </is>
      </c>
      <c r="I54" s="6" t="inlineStr">
        <is>
          <t>Kedi öyle ikna edici biçimde suçlandı ki bir haftalığına teyzene gönderildi. Ev sessiz, duvar temiz, sen memnun.</t>
        </is>
      </c>
      <c r="J54" s="6" t="inlineStr">
        <is>
          <t>“Kedi mi?” dedi baban. “Kedi keçeli kalemin kapağını nasıl açsın?”</t>
        </is>
      </c>
      <c r="K54" s="6" t="inlineStr">
        <is>
          <t>Kediyi suçladın. Kedinin patileri beyazdı, seninkiler mavi. Artık ikinizi ayrı ayrı sorguluyorlar.</t>
        </is>
      </c>
      <c r="L54" s="6" t="inlineStr"/>
      <c r="M54" s="5" t="inlineStr"/>
      <c r="N54" s="5" t="inlineStr"/>
      <c r="O54" s="6" t="inlineStr"/>
      <c r="P54" s="6" t="inlineStr"/>
      <c r="Q54" s="5" t="inlineStr"/>
      <c r="R54" s="5" t="inlineStr">
        <is>
          <t>kediSuclu</t>
        </is>
      </c>
      <c r="S54" s="5" t="inlineStr"/>
      <c r="T54" s="5" t="inlineStr"/>
      <c r="U54" s="5" t="inlineStr">
        <is>
          <t>yalanci</t>
        </is>
      </c>
      <c r="V54" s="5" t="inlineStr"/>
      <c r="W54" s="5" t="inlineStr"/>
      <c r="X54" s="5" t="inlineStr"/>
      <c r="Y54" s="5" t="inlineStr"/>
      <c r="Z54" s="6" t="inlineStr"/>
      <c r="AA54" s="5" t="inlineStr"/>
      <c r="AB54" s="5" t="inlineStr"/>
      <c r="AC54" s="5" t="inlineStr"/>
      <c r="AD54" s="5" t="inlineStr"/>
      <c r="AE54" s="5" t="inlineStr"/>
      <c r="AF54" s="5" t="inlineStr"/>
      <c r="AG54" s="5" t="inlineStr"/>
      <c r="AH54" s="5" t="inlineStr"/>
      <c r="AI54" s="5" t="inlineStr"/>
      <c r="AJ54" s="5" t="inlineStr"/>
    </row>
    <row r="55">
      <c r="A55" s="5" t="inlineStr">
        <is>
          <t>kres-kapisi</t>
        </is>
      </c>
      <c r="B55" s="5" t="n">
        <v>1</v>
      </c>
      <c r="C55" s="6" t="inlineStr">
        <is>
          <t>Bacağına sarıl</t>
        </is>
      </c>
      <c r="D55" s="5" t="inlineStr"/>
      <c r="E55" s="5" t="inlineStr"/>
      <c r="F55" s="5" t="inlineStr">
        <is>
          <t>Gönül +1</t>
        </is>
      </c>
      <c r="G55" s="6" t="inlineStr">
        <is>
          <t>Annenin bacağına sarıldın. Annen “Beş dakika” dedi; beş dakika kırk dakika sürdü. Sonunda öğretmen ikinizi birden içeri aldı.</t>
        </is>
      </c>
      <c r="H55" s="6" t="inlineStr"/>
      <c r="I55" s="6" t="inlineStr"/>
      <c r="J55" s="6" t="inlineStr"/>
      <c r="K55" s="6" t="inlineStr"/>
      <c r="L55" s="6" t="inlineStr"/>
      <c r="M55" s="5" t="inlineStr"/>
      <c r="N55" s="5" t="inlineStr"/>
      <c r="O55" s="6" t="inlineStr"/>
      <c r="P55" s="6" t="inlineStr"/>
      <c r="Q55" s="5" t="inlineStr"/>
      <c r="R55" s="5" t="inlineStr"/>
      <c r="S55" s="5" t="inlineStr"/>
      <c r="T55" s="5" t="inlineStr"/>
      <c r="U55" s="5" t="inlineStr">
        <is>
          <t>yapiskan</t>
        </is>
      </c>
      <c r="V55" s="5" t="inlineStr"/>
      <c r="W55" s="5" t="inlineStr"/>
      <c r="X55" s="5" t="inlineStr"/>
      <c r="Y55" s="5" t="inlineStr"/>
      <c r="Z55" s="6" t="inlineStr"/>
      <c r="AA55" s="5" t="inlineStr"/>
      <c r="AB55" s="5" t="inlineStr"/>
      <c r="AC55" s="5" t="inlineStr"/>
      <c r="AD55" s="5" t="inlineStr"/>
      <c r="AE55" s="5" t="inlineStr"/>
      <c r="AF55" s="5" t="inlineStr"/>
      <c r="AG55" s="5" t="inlineStr"/>
      <c r="AH55" s="5" t="inlineStr"/>
      <c r="AI55" s="5" t="inlineStr"/>
      <c r="AJ55" s="5" t="inlineStr"/>
    </row>
    <row r="56">
      <c r="A56" s="5" t="inlineStr">
        <is>
          <t>kres-kapisi</t>
        </is>
      </c>
      <c r="B56" s="5" t="n">
        <v>2</v>
      </c>
      <c r="C56" s="6" t="inlineStr">
        <is>
          <t>İçeri gir</t>
        </is>
      </c>
      <c r="D56" s="5" t="inlineStr">
        <is>
          <t>Cesaret</t>
        </is>
      </c>
      <c r="E56" s="5" t="inlineStr">
        <is>
          <t>Orta</t>
        </is>
      </c>
      <c r="F56" s="5" t="inlineStr"/>
      <c r="G56" s="6" t="inlineStr"/>
      <c r="H56" s="6" t="inlineStr">
        <is>
          <t>İçeri girdin, bir kez arkana baktın. Annen el salladı; sen sallamadın, oyuncak köşesi daha ilginçti. Annen kapıda biraz daha durdu.</t>
        </is>
      </c>
      <c r="I56" s="6" t="inlineStr">
        <is>
          <t>İçeri girdin, arkana bakmadın, öğle yemeğinde masa başkanıydın.</t>
        </is>
      </c>
      <c r="J56" s="6" t="inlineStr">
        <is>
          <t>Kapıya kadar gittin, geri döndün. Plan B: yarın.</t>
        </is>
      </c>
      <c r="K56" s="6" t="inlineStr">
        <is>
          <t>İçeri girdin; yanlış sınıfa. Bir saat bebek grubunda kaldın.</t>
        </is>
      </c>
      <c r="L56" s="6" t="inlineStr"/>
      <c r="M56" s="5" t="inlineStr"/>
      <c r="N56" s="5" t="inlineStr"/>
      <c r="O56" s="6" t="inlineStr"/>
      <c r="P56" s="6" t="inlineStr"/>
      <c r="Q56" s="5" t="inlineStr"/>
      <c r="R56" s="5" t="inlineStr"/>
      <c r="S56" s="5" t="inlineStr"/>
      <c r="T56" s="5" t="inlineStr"/>
      <c r="U56" s="5" t="inlineStr"/>
      <c r="V56" s="5" t="inlineStr"/>
      <c r="W56" s="5" t="inlineStr"/>
      <c r="X56" s="5" t="inlineStr"/>
      <c r="Y56" s="5" t="inlineStr"/>
      <c r="Z56" s="6" t="inlineStr"/>
      <c r="AA56" s="5" t="inlineStr"/>
      <c r="AB56" s="5" t="inlineStr"/>
      <c r="AC56" s="5" t="inlineStr"/>
      <c r="AD56" s="5" t="inlineStr"/>
      <c r="AE56" s="5" t="inlineStr"/>
      <c r="AF56" s="5" t="inlineStr"/>
      <c r="AG56" s="5" t="inlineStr"/>
      <c r="AH56" s="5" t="inlineStr"/>
      <c r="AI56" s="5" t="inlineStr"/>
      <c r="AJ56" s="5" t="inlineStr"/>
    </row>
    <row r="57">
      <c r="A57" s="5" t="inlineStr">
        <is>
          <t>kres-kapisi</t>
        </is>
      </c>
      <c r="B57" s="5" t="n">
        <v>3</v>
      </c>
      <c r="C57" s="6" t="inlineStr">
        <is>
          <t>Önce ortamı izle</t>
        </is>
      </c>
      <c r="D57" s="5" t="inlineStr">
        <is>
          <t>Sosyal Radar</t>
        </is>
      </c>
      <c r="E57" s="5" t="inlineStr">
        <is>
          <t>Kolay</t>
        </is>
      </c>
      <c r="F57" s="5" t="inlineStr"/>
      <c r="G57" s="6" t="inlineStr"/>
      <c r="H57" s="6" t="inlineStr">
        <is>
          <t>Kim kimdir, kim neye sahip, hızlıca kaydettin.</t>
        </is>
      </c>
      <c r="I57" s="6" t="inlineStr">
        <is>
          <t>Beş dakikada sınıfın haritasını çıkardın: en iyi oyuncak, en iyi köşe, en tatlı öğretmen.</t>
        </is>
      </c>
      <c r="J57" s="6" t="inlineStr">
        <is>
          <t>İzlerken kapı kapandı. Ortam içeride kaldı, sen dışarıda.</t>
        </is>
      </c>
      <c r="K57" s="6" t="inlineStr">
        <is>
          <t>İzlerken biri seni yeni oyuncak sandı.</t>
        </is>
      </c>
      <c r="L57" s="6" t="inlineStr"/>
      <c r="M57" s="5" t="inlineStr"/>
      <c r="N57" s="5" t="inlineStr"/>
      <c r="O57" s="6" t="inlineStr"/>
      <c r="P57" s="6" t="inlineStr"/>
      <c r="Q57" s="5" t="inlineStr"/>
      <c r="R57" s="5" t="inlineStr"/>
      <c r="S57" s="5" t="inlineStr"/>
      <c r="T57" s="5" t="inlineStr"/>
      <c r="U57" s="5" t="inlineStr"/>
      <c r="V57" s="5" t="inlineStr"/>
      <c r="W57" s="5" t="inlineStr"/>
      <c r="X57" s="5" t="inlineStr"/>
      <c r="Y57" s="5" t="inlineStr"/>
      <c r="Z57" s="6" t="inlineStr"/>
      <c r="AA57" s="5" t="inlineStr"/>
      <c r="AB57" s="5" t="inlineStr"/>
      <c r="AC57" s="5" t="inlineStr"/>
      <c r="AD57" s="5" t="inlineStr"/>
      <c r="AE57" s="5" t="inlineStr"/>
      <c r="AF57" s="5" t="inlineStr"/>
      <c r="AG57" s="5" t="inlineStr"/>
      <c r="AH57" s="5" t="inlineStr"/>
      <c r="AI57" s="5" t="inlineStr"/>
      <c r="AJ57" s="5" t="inlineStr"/>
    </row>
    <row r="58">
      <c r="A58" s="5" t="inlineStr">
        <is>
          <t>kres-kapisi</t>
        </is>
      </c>
      <c r="B58" s="5" t="n">
        <v>4</v>
      </c>
      <c r="C58" s="6" t="inlineStr">
        <is>
          <t>Kapıda veda turu at</t>
        </is>
      </c>
      <c r="D58" s="5" t="inlineStr">
        <is>
          <t>Pişkinlik</t>
        </is>
      </c>
      <c r="E58" s="5" t="inlineStr">
        <is>
          <t>Orta</t>
        </is>
      </c>
      <c r="F58" s="5" t="inlineStr"/>
      <c r="G58" s="6" t="inlineStr"/>
      <c r="H58" s="6" t="inlineStr">
        <is>
          <t>Kapıda herkese tek tek el salladın. İki veli alkışladı, öğretmen bir şey not etti.</t>
        </is>
      </c>
      <c r="I58" s="6" t="inlineStr">
        <is>
          <t>Veda turun o kadar etkileyiciydi ki diğer çocuklar da el sallamaya başladı. Kreşin ilk sabahını sen yönettin.</t>
        </is>
      </c>
      <c r="J58" s="6" t="inlineStr">
        <is>
          <t>El salladın; kimse bakmadı. Herkes kendi ağlamasıyla meşguldü.</t>
        </is>
      </c>
      <c r="K58" s="6" t="inlineStr">
        <is>
          <t>Turu fazla uzattın. Kapı kapandı, sen dışarıda kaldın. Seyircisiz bir gösteri.</t>
        </is>
      </c>
      <c r="L58" s="6" t="inlineStr"/>
      <c r="M58" s="5" t="inlineStr"/>
      <c r="N58" s="5" t="inlineStr"/>
      <c r="O58" s="6" t="inlineStr"/>
      <c r="P58" s="6" t="inlineStr"/>
      <c r="Q58" s="5" t="inlineStr"/>
      <c r="R58" s="5" t="inlineStr"/>
      <c r="S58" s="5" t="inlineStr"/>
      <c r="T58" s="5" t="inlineStr">
        <is>
          <t>Sahne Sever</t>
        </is>
      </c>
      <c r="U58" s="5" t="inlineStr"/>
      <c r="V58" s="5" t="inlineStr"/>
      <c r="W58" s="5" t="inlineStr"/>
      <c r="X58" s="5" t="inlineStr"/>
      <c r="Y58" s="5" t="inlineStr"/>
      <c r="Z58" s="6" t="inlineStr"/>
      <c r="AA58" s="5" t="inlineStr"/>
      <c r="AB58" s="5" t="inlineStr"/>
      <c r="AC58" s="5" t="inlineStr"/>
      <c r="AD58" s="5" t="inlineStr"/>
      <c r="AE58" s="5" t="inlineStr"/>
      <c r="AF58" s="5" t="inlineStr"/>
      <c r="AG58" s="5" t="inlineStr"/>
      <c r="AH58" s="5" t="inlineStr"/>
      <c r="AI58" s="5" t="inlineStr"/>
      <c r="AJ58" s="5" t="inlineStr"/>
    </row>
    <row r="59">
      <c r="A59" s="5" t="inlineStr">
        <is>
          <t>ilk-arkadas</t>
        </is>
      </c>
      <c r="B59" s="5" t="n">
        <v>1</v>
      </c>
      <c r="C59" s="6" t="inlineStr">
        <is>
          <t>İsmini söyle</t>
        </is>
      </c>
      <c r="D59" s="5" t="inlineStr"/>
      <c r="E59" s="5" t="inlineStr"/>
      <c r="F59" s="5" t="inlineStr">
        <is>
          <t>Çene +1</t>
        </is>
      </c>
      <c r="G59" s="6" t="inlineStr">
        <is>
          <t>Adını söyledin, o da söyledi. İkiniz de hemen unuttunuz; kuma bakıp beraber oynadınız. Ertesi gün yine sordunuz.</t>
        </is>
      </c>
      <c r="H59" s="6" t="inlineStr"/>
      <c r="I59" s="6" t="inlineStr"/>
      <c r="J59" s="6" t="inlineStr"/>
      <c r="K59" s="6" t="inlineStr"/>
      <c r="L59" s="6" t="inlineStr"/>
      <c r="M59" s="5" t="inlineStr"/>
      <c r="N59" s="5" t="inlineStr"/>
      <c r="O59" s="6" t="inlineStr"/>
      <c r="P59" s="6" t="inlineStr"/>
      <c r="Q59" s="5" t="inlineStr"/>
      <c r="R59" s="5" t="inlineStr"/>
      <c r="S59" s="5" t="inlineStr"/>
      <c r="T59" s="5" t="inlineStr"/>
      <c r="U59" s="5" t="inlineStr"/>
      <c r="V59" s="5" t="inlineStr"/>
      <c r="W59" s="5" t="inlineStr"/>
      <c r="X59" s="5" t="inlineStr"/>
      <c r="Y59" s="5" t="inlineStr"/>
      <c r="Z59" s="6" t="inlineStr"/>
      <c r="AA59" s="5" t="inlineStr"/>
      <c r="AB59" s="5" t="inlineStr"/>
      <c r="AC59" s="5" t="inlineStr"/>
      <c r="AD59" s="5" t="inlineStr"/>
      <c r="AE59" s="5" t="inlineStr"/>
      <c r="AF59" s="5" t="inlineStr"/>
      <c r="AG59" s="5" t="inlineStr"/>
      <c r="AH59" s="5" t="inlineStr"/>
      <c r="AI59" s="5" t="inlineStr"/>
      <c r="AJ59" s="5" t="inlineStr"/>
    </row>
    <row r="60">
      <c r="A60" s="5" t="inlineStr">
        <is>
          <t>ilk-arkadas</t>
        </is>
      </c>
      <c r="B60" s="5" t="n">
        <v>2</v>
      </c>
      <c r="C60" s="6" t="inlineStr">
        <is>
          <t>Oyuncağını sor</t>
        </is>
      </c>
      <c r="D60" s="5" t="inlineStr">
        <is>
          <t>Çene</t>
        </is>
      </c>
      <c r="E60" s="5" t="inlineStr">
        <is>
          <t>Kolay</t>
        </is>
      </c>
      <c r="F60" s="5" t="inlineStr"/>
      <c r="G60" s="6" t="inlineStr"/>
      <c r="H60" s="6" t="inlineStr">
        <is>
          <t>“Bu ne?” dedin. “Dinozor” dedi. “Benim de var” dedin; yoktu. Arkadaş oldunuz.</t>
        </is>
      </c>
      <c r="I60" s="6" t="inlineStr">
        <is>
          <t>Oyuncağını sordun; bütün oyuncaklarını tek tek, adlarıyla gösterdi. Öğlene kadar bitmedi. Dost oldunuz.</t>
        </is>
      </c>
      <c r="J60" s="6" t="inlineStr">
        <is>
          <t>Sordun, cevap vermedi. Oyuncak daha ilginçti.</t>
        </is>
      </c>
      <c r="K60" s="6" t="inlineStr">
        <is>
          <t>“Bu ne?” dedin. Oyuncağı göğsüne bastırıp bütün bahçeye bağırdı: “BENİİİM, VERMEM!” Öğretmen koşup ikinizi ayırdı. Akşam kapıda annene “Bugün oyuncak kavgası çıkardı” dedi; sen yalnızca sormuştun.</t>
        </is>
      </c>
      <c r="L60" s="6" t="inlineStr"/>
      <c r="M60" s="5" t="inlineStr"/>
      <c r="N60" s="5" t="inlineStr"/>
      <c r="O60" s="6" t="inlineStr"/>
      <c r="P60" s="6" t="inlineStr"/>
      <c r="Q60" s="5" t="inlineStr"/>
      <c r="R60" s="5" t="inlineStr"/>
      <c r="S60" s="5" t="inlineStr"/>
      <c r="T60" s="5" t="inlineStr"/>
      <c r="U60" s="5" t="inlineStr"/>
      <c r="V60" s="5" t="inlineStr"/>
      <c r="W60" s="5" t="inlineStr"/>
      <c r="X60" s="5" t="inlineStr"/>
      <c r="Y60" s="5" t="inlineStr"/>
      <c r="Z60" s="6" t="inlineStr"/>
      <c r="AA60" s="5" t="inlineStr"/>
      <c r="AB60" s="5" t="inlineStr"/>
      <c r="AC60" s="5" t="inlineStr"/>
      <c r="AD60" s="5" t="inlineStr"/>
      <c r="AE60" s="5" t="inlineStr"/>
      <c r="AF60" s="5" t="inlineStr"/>
      <c r="AG60" s="5" t="inlineStr"/>
      <c r="AH60" s="5" t="inlineStr"/>
      <c r="AI60" s="5" t="inlineStr"/>
      <c r="AJ60" s="5" t="inlineStr"/>
    </row>
    <row r="61">
      <c r="A61" s="5" t="inlineStr">
        <is>
          <t>ilk-arkadas</t>
        </is>
      </c>
      <c r="B61" s="5" t="n">
        <v>3</v>
      </c>
      <c r="C61" s="6" t="inlineStr">
        <is>
          <t>Konuşmadan yanında dur</t>
        </is>
      </c>
      <c r="D61" s="5" t="inlineStr">
        <is>
          <t>Sosyal Radar</t>
        </is>
      </c>
      <c r="E61" s="5" t="inlineStr">
        <is>
          <t>Kolay</t>
        </is>
      </c>
      <c r="F61" s="5" t="inlineStr"/>
      <c r="G61" s="6" t="inlineStr"/>
      <c r="H61" s="6" t="inlineStr">
        <is>
          <t>Yan yana oturdunuz, ikiniz de kumu eşelediniz; tek kelime konuşmadınız. Akşam annen “Arkadaşının adı ne?” diye sordu. “Kürek” dedin.</t>
        </is>
      </c>
      <c r="I61" s="6" t="inlineStr">
        <is>
          <t>Hiç konuşmadınız. Ertesi gün aynı saatte aynı kum havuzunda buluştunuz; yine konuşmadınız. Öğretmen iki anneye de aynı şeyi söyledi: “Bunlar nasıl anlaşıyor, ben de anlamadım.”</t>
        </is>
      </c>
      <c r="J61" s="6" t="inlineStr">
        <is>
          <t>Sessizlik biraz garipti.</t>
        </is>
      </c>
      <c r="K61" s="6" t="inlineStr">
        <is>
          <t>Sessizce durdun. O da durdu. Öğretmen “Siz niye küstünüz?” diye ikinizi barıştırdı. Daha tanışmamıştınız.</t>
        </is>
      </c>
      <c r="L61" s="6" t="inlineStr"/>
      <c r="M61" s="5" t="inlineStr"/>
      <c r="N61" s="5" t="inlineStr"/>
      <c r="O61" s="6" t="inlineStr"/>
      <c r="P61" s="6" t="inlineStr"/>
      <c r="Q61" s="5" t="inlineStr"/>
      <c r="R61" s="5" t="inlineStr"/>
      <c r="S61" s="5" t="inlineStr"/>
      <c r="T61" s="5" t="inlineStr"/>
      <c r="U61" s="5" t="inlineStr"/>
      <c r="V61" s="5" t="inlineStr"/>
      <c r="W61" s="5" t="inlineStr"/>
      <c r="X61" s="5" t="inlineStr"/>
      <c r="Y61" s="5" t="inlineStr"/>
      <c r="Z61" s="6" t="inlineStr"/>
      <c r="AA61" s="5" t="inlineStr"/>
      <c r="AB61" s="5" t="inlineStr"/>
      <c r="AC61" s="5" t="inlineStr"/>
      <c r="AD61" s="5" t="inlineStr"/>
      <c r="AE61" s="5" t="inlineStr"/>
      <c r="AF61" s="5" t="inlineStr"/>
      <c r="AG61" s="5" t="inlineStr"/>
      <c r="AH61" s="5" t="inlineStr"/>
      <c r="AI61" s="5" t="inlineStr"/>
      <c r="AJ61" s="5" t="inlineStr"/>
    </row>
    <row r="62">
      <c r="A62" s="5" t="inlineStr">
        <is>
          <t>ilk-arkadas</t>
        </is>
      </c>
      <c r="B62" s="5" t="n">
        <v>4</v>
      </c>
      <c r="C62" s="6" t="inlineStr">
        <is>
          <t>Elinden tut, kaydırağa götür</t>
        </is>
      </c>
      <c r="D62" s="5" t="inlineStr">
        <is>
          <t>Cesaret</t>
        </is>
      </c>
      <c r="E62" s="5" t="inlineStr">
        <is>
          <t>Orta</t>
        </is>
      </c>
      <c r="F62" s="5" t="inlineStr"/>
      <c r="G62" s="6" t="inlineStr"/>
      <c r="H62" s="6" t="inlineStr">
        <is>
          <t>Elinden tuttun; şaşırdı ama geldi. İki tur kaydınız. Üçüncüde o seni çekti.</t>
        </is>
      </c>
      <c r="I62" s="6" t="inlineStr">
        <is>
          <t>Elinden tuttun, kaydırağa koştunuz. Öğlene kadar on kez kaydınız; isimlerinizi akşam öğrendiniz.</t>
        </is>
      </c>
      <c r="J62" s="6" t="inlineStr">
        <is>
          <t>Elinden tuttun; elini çekti. Kaydırağa tek gittin, tek kaydın. Aşağıda seni bekliyordu ama.</t>
        </is>
      </c>
      <c r="K62" s="6" t="inlineStr">
        <is>
          <t>Elinden fazla hızlı çektin; kum havuzuna oturdu ve ağladı. Öğretmen seni adını öğrenmeden “iten çocuk” diye tanıdı.</t>
        </is>
      </c>
      <c r="L62" s="6" t="inlineStr"/>
      <c r="M62" s="5" t="inlineStr"/>
      <c r="N62" s="5" t="inlineStr"/>
      <c r="O62" s="6" t="inlineStr"/>
      <c r="P62" s="6" t="inlineStr"/>
      <c r="Q62" s="5" t="inlineStr"/>
      <c r="R62" s="5" t="inlineStr"/>
      <c r="S62" s="5" t="inlineStr"/>
      <c r="T62" s="5" t="inlineStr"/>
      <c r="U62" s="5" t="inlineStr"/>
      <c r="V62" s="5" t="inlineStr"/>
      <c r="W62" s="5" t="inlineStr"/>
      <c r="X62" s="5" t="inlineStr"/>
      <c r="Y62" s="5" t="inlineStr"/>
      <c r="Z62" s="6" t="inlineStr"/>
      <c r="AA62" s="5" t="inlineStr"/>
      <c r="AB62" s="5" t="inlineStr"/>
      <c r="AC62" s="5" t="inlineStr"/>
      <c r="AD62" s="5" t="inlineStr"/>
      <c r="AE62" s="5" t="inlineStr"/>
      <c r="AF62" s="5" t="inlineStr"/>
      <c r="AG62" s="5" t="inlineStr"/>
      <c r="AH62" s="5" t="inlineStr"/>
      <c r="AI62" s="5" t="inlineStr"/>
      <c r="AJ62" s="5" t="inlineStr"/>
    </row>
    <row r="63">
      <c r="A63" s="5" t="inlineStr">
        <is>
          <t>oyuncagimi-aldi</t>
        </is>
      </c>
      <c r="B63" s="5" t="n">
        <v>1</v>
      </c>
      <c r="C63" s="6" t="inlineStr">
        <is>
          <t>Geri iste</t>
        </is>
      </c>
      <c r="D63" s="5" t="inlineStr">
        <is>
          <t>Cesaret</t>
        </is>
      </c>
      <c r="E63" s="5" t="inlineStr">
        <is>
          <t>Kolay</t>
        </is>
      </c>
      <c r="F63" s="5" t="inlineStr"/>
      <c r="G63" s="6" t="inlineStr"/>
      <c r="H63" s="6" t="inlineStr">
        <is>
          <t>“O benim elimdeydi!” dedin. Öğretmen duydu, araba sana döndü.</t>
        </is>
      </c>
      <c r="I63" s="6" t="inlineStr">
        <is>
          <t>“O benim elimdeydi! Araba da beni seviyor!” dedin. Çocuk arabaya baktı, sana baktı, geri verdi; giderken bir de “Pardon” dedi. Öğretmen bunu öğle çayında bütün öğretmenlere anlattı.</t>
        </is>
      </c>
      <c r="J63" s="6" t="inlineStr">
        <is>
          <t>İstedin. Duymamış gibi yaptı.</t>
        </is>
      </c>
      <c r="K63" s="6" t="inlineStr">
        <is>
          <t>İstedin; o da elindeki küreği istedi. Öğretmen geldi, ikisini de aldı, rafa koydu. İkiniz de eli boş kaldınız.</t>
        </is>
      </c>
      <c r="L63" s="6" t="inlineStr"/>
      <c r="M63" s="5" t="inlineStr"/>
      <c r="N63" s="5" t="inlineStr"/>
      <c r="O63" s="6" t="inlineStr"/>
      <c r="P63" s="6" t="inlineStr"/>
      <c r="Q63" s="5" t="inlineStr"/>
      <c r="R63" s="5" t="inlineStr"/>
      <c r="S63" s="5" t="inlineStr"/>
      <c r="T63" s="5" t="inlineStr"/>
      <c r="U63" s="5" t="inlineStr"/>
      <c r="V63" s="5" t="inlineStr"/>
      <c r="W63" s="5" t="inlineStr"/>
      <c r="X63" s="5" t="inlineStr"/>
      <c r="Y63" s="5" t="inlineStr"/>
      <c r="Z63" s="6" t="inlineStr"/>
      <c r="AA63" s="5" t="inlineStr"/>
      <c r="AB63" s="5" t="inlineStr"/>
      <c r="AC63" s="5" t="inlineStr"/>
      <c r="AD63" s="5" t="inlineStr"/>
      <c r="AE63" s="5" t="inlineStr"/>
      <c r="AF63" s="5" t="inlineStr"/>
      <c r="AG63" s="5" t="inlineStr"/>
      <c r="AH63" s="5" t="inlineStr"/>
      <c r="AI63" s="5" t="inlineStr"/>
      <c r="AJ63" s="5" t="inlineStr"/>
    </row>
    <row r="64">
      <c r="A64" s="5" t="inlineStr">
        <is>
          <t>oyuncagimi-aldi</t>
        </is>
      </c>
      <c r="B64" s="5" t="n">
        <v>2</v>
      </c>
      <c r="C64" s="6" t="inlineStr">
        <is>
          <t>Elinden al</t>
        </is>
      </c>
      <c r="D64" s="5" t="inlineStr">
        <is>
          <t>Cesaret</t>
        </is>
      </c>
      <c r="E64" s="5" t="inlineStr">
        <is>
          <t>Orta</t>
        </is>
      </c>
      <c r="F64" s="5" t="inlineStr"/>
      <c r="G64" s="6" t="inlineStr"/>
      <c r="H64" s="6" t="inlineStr">
        <is>
          <t>Arabayı çektin, geri aldın. Öğle yemeğine kadar bakıştınız; araba sende, kaş çatıklığı onda.</t>
        </is>
      </c>
      <c r="I64" s="6" t="inlineStr">
        <is>
          <t>Arabayı tek hamlede geri aldın. Çocuk ağzını açtı, kapadı, gidip boyama masasına oturdu. Akşam annene “Bugün ben kazandım” dedin; neyi kazandığını anlatmadın.</t>
        </is>
      </c>
      <c r="J64" s="6" t="inlineStr">
        <is>
          <t>Aldın, geri aldı. Oyun berabere.</t>
        </is>
      </c>
      <c r="K64" s="6" t="inlineStr">
        <is>
          <t>Arabayı çektiğin an öğretmen döndü. Onun aldığını görmemişti; senin çektiğini gördü. Akşam kapıda annene “Bugün biraz sert oynadı” dedi; annen eve kadar elini bırakmadı ama tek kelime de etmedi.</t>
        </is>
      </c>
      <c r="L64" s="6" t="inlineStr"/>
      <c r="M64" s="5" t="inlineStr"/>
      <c r="N64" s="5" t="inlineStr"/>
      <c r="O64" s="6" t="inlineStr"/>
      <c r="P64" s="6" t="inlineStr"/>
      <c r="Q64" s="5" t="inlineStr"/>
      <c r="R64" s="5" t="inlineStr"/>
      <c r="S64" s="5" t="inlineStr"/>
      <c r="T64" s="5" t="inlineStr"/>
      <c r="U64" s="5" t="inlineStr"/>
      <c r="V64" s="5" t="inlineStr"/>
      <c r="W64" s="5" t="inlineStr"/>
      <c r="X64" s="5" t="inlineStr"/>
      <c r="Y64" s="5" t="inlineStr"/>
      <c r="Z64" s="6" t="inlineStr"/>
      <c r="AA64" s="5" t="inlineStr"/>
      <c r="AB64" s="5" t="inlineStr"/>
      <c r="AC64" s="5" t="inlineStr"/>
      <c r="AD64" s="5" t="inlineStr"/>
      <c r="AE64" s="5" t="inlineStr"/>
      <c r="AF64" s="5" t="inlineStr"/>
      <c r="AG64" s="5" t="inlineStr"/>
      <c r="AH64" s="5" t="inlineStr"/>
      <c r="AI64" s="5" t="inlineStr"/>
      <c r="AJ64" s="5" t="inlineStr"/>
    </row>
    <row r="65">
      <c r="A65" s="5" t="inlineStr">
        <is>
          <t>oyuncagimi-aldi</t>
        </is>
      </c>
      <c r="B65" s="5" t="n">
        <v>3</v>
      </c>
      <c r="C65" s="6" t="inlineStr">
        <is>
          <t>Takas öner</t>
        </is>
      </c>
      <c r="D65" s="5" t="inlineStr">
        <is>
          <t>Kurnazlık</t>
        </is>
      </c>
      <c r="E65" s="5" t="inlineStr">
        <is>
          <t>Kolay</t>
        </is>
      </c>
      <c r="F65" s="5" t="inlineStr"/>
      <c r="G65" s="6" t="inlineStr"/>
      <c r="H65" s="6" t="inlineStr">
        <is>
          <t>“Sen bunu al, ben onu alayım” dedin. Kabul etti. İkiniz de kandırıldığınızı düşünüyorsunuz; iyi takas böyle olur.</t>
        </is>
      </c>
      <c r="I65" s="6" t="inlineStr">
        <is>
          <t>Takas ettin, üstüne bir kurabiye aldın. Kurabiyeyi ikiye böldün; yarısını ona geri sattın.</t>
        </is>
      </c>
      <c r="J65" s="6" t="inlineStr">
        <is>
          <t>Teklif ettin. “Seninki eski” dedi. Eskiydi.</t>
        </is>
      </c>
      <c r="K65" s="6" t="inlineStr">
        <is>
          <t>Takas ettin; eline geçen bebek, sınıftaki ikizlerden birinin bebeğiymiş. Şimdi karşında aynı yüzden iki tane var ve ikisi aynı anda ağlıyor. Öğretmen bebeğin hangisinin olduğunu çözene kadar sen köşede bekledin.</t>
        </is>
      </c>
      <c r="L65" s="6" t="inlineStr"/>
      <c r="M65" s="5" t="inlineStr"/>
      <c r="N65" s="5" t="inlineStr"/>
      <c r="O65" s="6" t="inlineStr"/>
      <c r="P65" s="6" t="inlineStr"/>
      <c r="Q65" s="5" t="inlineStr"/>
      <c r="R65" s="5" t="inlineStr"/>
      <c r="S65" s="5" t="inlineStr"/>
      <c r="T65" s="5" t="inlineStr"/>
      <c r="U65" s="5" t="inlineStr"/>
      <c r="V65" s="5" t="inlineStr"/>
      <c r="W65" s="5" t="inlineStr"/>
      <c r="X65" s="5" t="inlineStr"/>
      <c r="Y65" s="5" t="inlineStr"/>
      <c r="Z65" s="6" t="inlineStr"/>
      <c r="AA65" s="5" t="inlineStr"/>
      <c r="AB65" s="5" t="inlineStr"/>
      <c r="AC65" s="5" t="inlineStr"/>
      <c r="AD65" s="5" t="inlineStr"/>
      <c r="AE65" s="5" t="inlineStr"/>
      <c r="AF65" s="5" t="inlineStr"/>
      <c r="AG65" s="5" t="inlineStr"/>
      <c r="AH65" s="5" t="inlineStr"/>
      <c r="AI65" s="5" t="inlineStr"/>
      <c r="AJ65" s="5" t="inlineStr"/>
    </row>
    <row r="66">
      <c r="A66" s="5" t="inlineStr">
        <is>
          <t>oyuncagimi-aldi</t>
        </is>
      </c>
      <c r="B66" s="5" t="n">
        <v>4</v>
      </c>
      <c r="C66" s="6" t="inlineStr">
        <is>
          <t>Öğretmene söyle</t>
        </is>
      </c>
      <c r="D66" s="5" t="inlineStr"/>
      <c r="E66" s="5" t="inlineStr"/>
      <c r="F66" s="5" t="inlineStr">
        <is>
          <t>İtibar +1</t>
        </is>
      </c>
      <c r="G66" s="6" t="inlineStr">
        <is>
          <t>Öğretmene söyledin. Öğretmen “Paylaşın” dedi ve arabayı aldı. İkiniz de kaybettiniz; ilk kez aynı taraftasınız.</t>
        </is>
      </c>
      <c r="H66" s="6" t="inlineStr"/>
      <c r="I66" s="6" t="inlineStr"/>
      <c r="J66" s="6" t="inlineStr"/>
      <c r="K66" s="6" t="inlineStr"/>
      <c r="L66" s="6" t="inlineStr"/>
      <c r="M66" s="5" t="inlineStr"/>
      <c r="N66" s="5" t="inlineStr"/>
      <c r="O66" s="6" t="inlineStr"/>
      <c r="P66" s="6" t="inlineStr"/>
      <c r="Q66" s="5" t="inlineStr"/>
      <c r="R66" s="5" t="inlineStr"/>
      <c r="S66" s="5" t="inlineStr"/>
      <c r="T66" s="5" t="inlineStr"/>
      <c r="U66" s="5" t="inlineStr"/>
      <c r="V66" s="5" t="inlineStr"/>
      <c r="W66" s="5" t="inlineStr"/>
      <c r="X66" s="5" t="inlineStr"/>
      <c r="Y66" s="5" t="inlineStr"/>
      <c r="Z66" s="6" t="inlineStr"/>
      <c r="AA66" s="5" t="inlineStr"/>
      <c r="AB66" s="5" t="inlineStr"/>
      <c r="AC66" s="5" t="inlineStr"/>
      <c r="AD66" s="5" t="inlineStr"/>
      <c r="AE66" s="5" t="inlineStr"/>
      <c r="AF66" s="5" t="inlineStr"/>
      <c r="AG66" s="5" t="inlineStr"/>
      <c r="AH66" s="5" t="inlineStr"/>
      <c r="AI66" s="5" t="inlineStr"/>
      <c r="AJ66" s="5" t="inlineStr"/>
    </row>
    <row r="67">
      <c r="A67" s="5" t="inlineStr">
        <is>
          <t>ogretmen-yanlis-anladi</t>
        </is>
      </c>
      <c r="B67" s="5" t="n">
        <v>1</v>
      </c>
      <c r="C67" s="6" t="inlineStr">
        <is>
          <t>Kendini anlat</t>
        </is>
      </c>
      <c r="D67" s="5" t="inlineStr">
        <is>
          <t>Çene</t>
        </is>
      </c>
      <c r="E67" s="5" t="inlineStr">
        <is>
          <t>Kolay</t>
        </is>
      </c>
      <c r="F67" s="5" t="inlineStr"/>
      <c r="G67" s="6" t="inlineStr"/>
      <c r="H67" s="6" t="inlineStr">
        <is>
          <t>Anlattın. Öğretmen dinledi, “Haklısın” dedi. İlk kez bir büyük sana “haklısın” dedi.</t>
        </is>
      </c>
      <c r="I67" s="6" t="inlineStr">
        <is>
          <t>Öyle net anlattın ki öğretmen özür diledi ve seni günün yardımcısı yaptı. Suyu dökene kâğıt havluyu sen verdin.</t>
        </is>
      </c>
      <c r="J67" s="6" t="inlineStr">
        <is>
          <t>Anlatmaya başladın; kelimeler bitti, hıçkırık başladı. Öğretmen “Tamam, tamam, ağlama” dedi; bezi yine de sana verdi.</t>
        </is>
      </c>
      <c r="K67" s="6" t="inlineStr">
        <is>
          <t>Anlatırken ellerini kollarını salladın; ikinci bardağı da devirdin. Öğretmen iki bardağa baktı, sonra sana: “Bunu da mı başkası döktü?” Bütün sınıf da sana baktı.</t>
        </is>
      </c>
      <c r="L67" s="6" t="inlineStr"/>
      <c r="M67" s="5" t="inlineStr"/>
      <c r="N67" s="5" t="inlineStr"/>
      <c r="O67" s="6" t="inlineStr"/>
      <c r="P67" s="6" t="inlineStr"/>
      <c r="Q67" s="5" t="inlineStr"/>
      <c r="R67" s="5" t="inlineStr"/>
      <c r="S67" s="5" t="inlineStr"/>
      <c r="T67" s="5" t="inlineStr"/>
      <c r="U67" s="5" t="inlineStr"/>
      <c r="V67" s="5" t="inlineStr"/>
      <c r="W67" s="5" t="inlineStr"/>
      <c r="X67" s="5" t="inlineStr"/>
      <c r="Y67" s="5" t="inlineStr"/>
      <c r="Z67" s="6" t="inlineStr"/>
      <c r="AA67" s="5" t="inlineStr"/>
      <c r="AB67" s="5" t="inlineStr"/>
      <c r="AC67" s="5" t="inlineStr"/>
      <c r="AD67" s="5" t="inlineStr"/>
      <c r="AE67" s="5" t="inlineStr"/>
      <c r="AF67" s="5" t="inlineStr"/>
      <c r="AG67" s="5" t="inlineStr"/>
      <c r="AH67" s="5" t="inlineStr"/>
      <c r="AI67" s="5" t="inlineStr"/>
      <c r="AJ67" s="5" t="inlineStr"/>
    </row>
    <row r="68">
      <c r="A68" s="5" t="inlineStr">
        <is>
          <t>ogretmen-yanlis-anladi</t>
        </is>
      </c>
      <c r="B68" s="5" t="n">
        <v>2</v>
      </c>
      <c r="C68" s="6" t="inlineStr">
        <is>
          <t>Sakin kal</t>
        </is>
      </c>
      <c r="D68" s="5" t="inlineStr">
        <is>
          <t>İtibar</t>
        </is>
      </c>
      <c r="E68" s="5" t="inlineStr">
        <is>
          <t>Kolay</t>
        </is>
      </c>
      <c r="F68" s="5" t="inlineStr"/>
      <c r="G68" s="6" t="inlineStr"/>
      <c r="H68" s="6" t="inlineStr">
        <is>
          <t>Sakin kaldın, bezi aldın, sildin. Öğretmen “Dökmedin ama sildin” dedi; bunu aklında tuttu.</t>
        </is>
      </c>
      <c r="I68" s="6" t="inlineStr">
        <is>
          <t>Sakin kaldın. Öğretmen yerdeki izi takip etti; iz, asıl dökenin ıslak çoraplarına çıktı. Öğretmen “Kusura bakma kuzum” dedi; akşam annen “Bizimki yalan söylemez” deyip sana dondurma aldı.</t>
        </is>
      </c>
      <c r="J68" s="6" t="inlineStr">
        <is>
          <t>Sakin durdun ama alt dudağın öne çıktı; dudağın senden önce konuştu. Öğretmen “O dudağı topla bakalım” dedi.</t>
        </is>
      </c>
      <c r="K68" s="6" t="inlineStr">
        <is>
          <t>Sakin kaldın. Öğretmen “İnkâr bile etmiyor” dedi. On dakika köşede durdun; asıl dökenin yanında.</t>
        </is>
      </c>
      <c r="L68" s="6" t="inlineStr"/>
      <c r="M68" s="5" t="inlineStr"/>
      <c r="N68" s="5" t="inlineStr"/>
      <c r="O68" s="6" t="inlineStr"/>
      <c r="P68" s="6" t="inlineStr"/>
      <c r="Q68" s="5" t="inlineStr"/>
      <c r="R68" s="5" t="inlineStr"/>
      <c r="S68" s="5" t="inlineStr"/>
      <c r="T68" s="5" t="inlineStr"/>
      <c r="U68" s="5" t="inlineStr"/>
      <c r="V68" s="5" t="inlineStr"/>
      <c r="W68" s="5" t="inlineStr"/>
      <c r="X68" s="5" t="inlineStr"/>
      <c r="Y68" s="5" t="inlineStr"/>
      <c r="Z68" s="6" t="inlineStr"/>
      <c r="AA68" s="5" t="inlineStr"/>
      <c r="AB68" s="5" t="inlineStr"/>
      <c r="AC68" s="5" t="inlineStr"/>
      <c r="AD68" s="5" t="inlineStr"/>
      <c r="AE68" s="5" t="inlineStr"/>
      <c r="AF68" s="5" t="inlineStr"/>
      <c r="AG68" s="5" t="inlineStr"/>
      <c r="AH68" s="5" t="inlineStr"/>
      <c r="AI68" s="5" t="inlineStr"/>
      <c r="AJ68" s="5" t="inlineStr"/>
    </row>
    <row r="69">
      <c r="A69" s="5" t="inlineStr">
        <is>
          <t>ogretmen-yanlis-anladi</t>
        </is>
      </c>
      <c r="B69" s="5" t="n">
        <v>3</v>
      </c>
      <c r="C69" s="6" t="inlineStr">
        <is>
          <t>Boş ver</t>
        </is>
      </c>
      <c r="D69" s="5" t="inlineStr"/>
      <c r="E69" s="5" t="inlineStr"/>
      <c r="F69" s="5" t="inlineStr">
        <is>
          <t>Dayanıklılık +1</t>
        </is>
      </c>
      <c r="G69" s="6" t="inlineStr">
        <is>
          <t>Boş verdin. Öğretmen ertesi gün hatırlamadı bile. Sen hatırlıyorsun; öğretmenin adını unutacaksın, o bardağı unutmayacaksın.</t>
        </is>
      </c>
      <c r="H69" s="6" t="inlineStr"/>
      <c r="I69" s="6" t="inlineStr"/>
      <c r="J69" s="6" t="inlineStr"/>
      <c r="K69" s="6" t="inlineStr"/>
      <c r="L69" s="6" t="inlineStr"/>
      <c r="M69" s="5" t="inlineStr"/>
      <c r="N69" s="5" t="inlineStr"/>
      <c r="O69" s="6" t="inlineStr"/>
      <c r="P69" s="6" t="inlineStr"/>
      <c r="Q69" s="5" t="inlineStr"/>
      <c r="R69" s="5" t="inlineStr"/>
      <c r="S69" s="5" t="inlineStr"/>
      <c r="T69" s="5" t="inlineStr"/>
      <c r="U69" s="5" t="inlineStr"/>
      <c r="V69" s="5" t="inlineStr"/>
      <c r="W69" s="5" t="inlineStr"/>
      <c r="X69" s="5" t="inlineStr"/>
      <c r="Y69" s="5" t="inlineStr"/>
      <c r="Z69" s="6" t="inlineStr"/>
      <c r="AA69" s="5" t="inlineStr"/>
      <c r="AB69" s="5" t="inlineStr"/>
      <c r="AC69" s="5" t="inlineStr"/>
      <c r="AD69" s="5" t="inlineStr"/>
      <c r="AE69" s="5" t="inlineStr"/>
      <c r="AF69" s="5" t="inlineStr"/>
      <c r="AG69" s="5" t="inlineStr"/>
      <c r="AH69" s="5" t="inlineStr"/>
      <c r="AI69" s="5" t="inlineStr"/>
      <c r="AJ69" s="5" t="inlineStr"/>
    </row>
    <row r="70">
      <c r="A70" s="5" t="inlineStr">
        <is>
          <t>ogretmen-yanlis-anladi</t>
        </is>
      </c>
      <c r="B70" s="5" t="n">
        <v>4</v>
      </c>
      <c r="C70" s="6" t="inlineStr">
        <is>
          <t>Gerçek suçluyu gösteren ayrıntıyı hatırla</t>
        </is>
      </c>
      <c r="D70" s="5" t="inlineStr">
        <is>
          <t>Sosyal Radar</t>
        </is>
      </c>
      <c r="E70" s="5" t="inlineStr">
        <is>
          <t>Kolay</t>
        </is>
      </c>
      <c r="F70" s="5" t="inlineStr"/>
      <c r="G70" s="6" t="inlineStr"/>
      <c r="H70" s="6" t="inlineStr">
        <is>
          <t>Suyu dökenin kolunun ıslak olduğunu hatırladın. Öğretmen kola baktı, sonra sana: “Özür dilerim.”</t>
        </is>
      </c>
      <c r="I70" s="6" t="inlineStr">
        <is>
          <t>“Onun kolu ıslak, benimki kuru, bardak da onun tarafına yatmış” dedin. Öğretmen gözlüğünü indirdi: “Sen kaç yaşındasın?” Akşam annene “Bu çocuk her şeyi görüyor” dedi; annen bunu müjde gibi değil, uyarı gibi dinledi.</t>
        </is>
      </c>
      <c r="J70" s="6" t="inlineStr">
        <is>
          <t>Ayrıntıyı hatırladın ama kimse inanmadı.</t>
        </is>
      </c>
      <c r="K70" s="6" t="inlineStr">
        <is>
          <t>“Islak kol!” dedin ve kanıt diye bir kolu havaya kaldırdın. Kendi kolunu; sırılsıklamdı. Öğretmen “Peki, teşekkür ederiz” dedi; bütün sınıf güldü, asıl döken en çok.</t>
        </is>
      </c>
      <c r="L70" s="6" t="inlineStr"/>
      <c r="M70" s="5" t="inlineStr"/>
      <c r="N70" s="5" t="inlineStr"/>
      <c r="O70" s="6" t="inlineStr"/>
      <c r="P70" s="6" t="inlineStr"/>
      <c r="Q70" s="5" t="inlineStr">
        <is>
          <t>Sessiz Gözlemci</t>
        </is>
      </c>
      <c r="R70" s="5" t="inlineStr"/>
      <c r="S70" s="5" t="inlineStr"/>
      <c r="T70" s="5" t="inlineStr"/>
      <c r="U70" s="5" t="inlineStr"/>
      <c r="V70" s="5" t="inlineStr"/>
      <c r="W70" s="5" t="inlineStr"/>
      <c r="X70" s="5" t="inlineStr"/>
      <c r="Y70" s="5" t="inlineStr"/>
      <c r="Z70" s="6" t="inlineStr"/>
      <c r="AA70" s="5" t="inlineStr"/>
      <c r="AB70" s="5" t="inlineStr"/>
      <c r="AC70" s="5" t="inlineStr"/>
      <c r="AD70" s="5" t="inlineStr"/>
      <c r="AE70" s="5" t="inlineStr"/>
      <c r="AF70" s="5" t="inlineStr"/>
      <c r="AG70" s="5" t="inlineStr"/>
      <c r="AH70" s="5" t="inlineStr"/>
      <c r="AI70" s="5" t="inlineStr"/>
      <c r="AJ70" s="5" t="inlineStr"/>
    </row>
    <row r="71">
      <c r="A71" s="5" t="inlineStr">
        <is>
          <t>parkin-buyuk-cocugu</t>
        </is>
      </c>
      <c r="B71" s="5" t="n">
        <v>1</v>
      </c>
      <c r="C71" s="6" t="inlineStr">
        <is>
          <t>Başka yere git</t>
        </is>
      </c>
      <c r="D71" s="5" t="inlineStr"/>
      <c r="E71" s="5" t="inlineStr"/>
      <c r="F71" s="5" t="inlineStr">
        <is>
          <t>Dayanıklılık +1</t>
        </is>
      </c>
      <c r="G71" s="6" t="inlineStr">
        <is>
          <t>Salıncağa gittin. Salıncak boştu, güneş de oradaydı. Kaydırağı akşama kadar unuttun.</t>
        </is>
      </c>
      <c r="H71" s="6" t="inlineStr"/>
      <c r="I71" s="6" t="inlineStr"/>
      <c r="J71" s="6" t="inlineStr"/>
      <c r="K71" s="6" t="inlineStr"/>
      <c r="L71" s="6" t="inlineStr"/>
      <c r="M71" s="5" t="inlineStr"/>
      <c r="N71" s="5" t="inlineStr"/>
      <c r="O71" s="6" t="inlineStr"/>
      <c r="P71" s="6" t="inlineStr"/>
      <c r="Q71" s="5" t="inlineStr"/>
      <c r="R71" s="5" t="inlineStr"/>
      <c r="S71" s="5" t="inlineStr"/>
      <c r="T71" s="5" t="inlineStr"/>
      <c r="U71" s="5" t="inlineStr"/>
      <c r="V71" s="5" t="inlineStr"/>
      <c r="W71" s="5" t="inlineStr"/>
      <c r="X71" s="5" t="inlineStr"/>
      <c r="Y71" s="5" t="inlineStr"/>
      <c r="Z71" s="6" t="inlineStr"/>
      <c r="AA71" s="5" t="inlineStr"/>
      <c r="AB71" s="5" t="inlineStr"/>
      <c r="AC71" s="5" t="inlineStr"/>
      <c r="AD71" s="5" t="inlineStr"/>
      <c r="AE71" s="5" t="inlineStr"/>
      <c r="AF71" s="5" t="inlineStr"/>
      <c r="AG71" s="5" t="inlineStr"/>
      <c r="AH71" s="5" t="inlineStr"/>
      <c r="AI71" s="5" t="inlineStr"/>
      <c r="AJ71" s="5" t="inlineStr"/>
    </row>
    <row r="72">
      <c r="A72" s="5" t="inlineStr">
        <is>
          <t>parkin-buyuk-cocugu</t>
        </is>
      </c>
      <c r="B72" s="5" t="n">
        <v>2</v>
      </c>
      <c r="C72" s="6" t="inlineStr">
        <is>
          <t>'Herkesin burası' de</t>
        </is>
      </c>
      <c r="D72" s="5" t="inlineStr">
        <is>
          <t>Cesaret</t>
        </is>
      </c>
      <c r="E72" s="5" t="inlineStr">
        <is>
          <t>Zor</t>
        </is>
      </c>
      <c r="F72" s="5" t="inlineStr"/>
      <c r="G72" s="6" t="inlineStr"/>
      <c r="H72" s="6" t="inlineStr">
        <is>
          <t>“Burası herkesin!” dedin. Sesin titredi ama cümle bitti. Bankta oturan bir teyze “Doğru söylüyor çocuk” dedi; büyük çocuk kenara çekildi.</t>
        </is>
      </c>
      <c r="I72" s="6" t="inlineStr">
        <is>
          <t>“Burası herkesin!” diye bağırdın. Banktaki teyzeler alkışladı, küçükler arkana dizildi, büyük çocuk sessizce kayıp gitti. Annen akşam babana “Bizimki parkı kurtardı” dedi.</t>
        </is>
      </c>
      <c r="J72" s="6" t="inlineStr">
        <is>
          <t>“Burası herkesin!” dedin. Büyük çocuk eğildi: “Sen kimin nesisin?” Bilmiyordun; sormak için annene koştun.</t>
        </is>
      </c>
      <c r="K72" s="6" t="inlineStr">
        <is>
          <t>“Burası herkesin!” dedin. Büyük çocuk kaydı, tam önüne indi, eğildi: “Kim dedi?” “Annem” dedin. Bütün park güldü; bankta annen yüzünü telefonunun arkasına sakladı.</t>
        </is>
      </c>
      <c r="L72" s="6" t="inlineStr"/>
      <c r="M72" s="5" t="inlineStr"/>
      <c r="N72" s="5" t="inlineStr"/>
      <c r="O72" s="6" t="inlineStr"/>
      <c r="P72" s="6" t="inlineStr"/>
      <c r="Q72" s="5" t="inlineStr"/>
      <c r="R72" s="5" t="inlineStr"/>
      <c r="S72" s="5" t="inlineStr"/>
      <c r="T72" s="5" t="inlineStr"/>
      <c r="U72" s="5" t="inlineStr"/>
      <c r="V72" s="5" t="inlineStr">
        <is>
          <t>cesurPark</t>
        </is>
      </c>
      <c r="W72" s="5" t="inlineStr"/>
      <c r="X72" s="5" t="inlineStr"/>
      <c r="Y72" s="5" t="inlineStr"/>
      <c r="Z72" s="6" t="inlineStr"/>
      <c r="AA72" s="5" t="inlineStr"/>
      <c r="AB72" s="5" t="inlineStr"/>
      <c r="AC72" s="5" t="inlineStr"/>
      <c r="AD72" s="5" t="inlineStr"/>
      <c r="AE72" s="5" t="inlineStr"/>
      <c r="AF72" s="5" t="inlineStr"/>
      <c r="AG72" s="5" t="inlineStr"/>
      <c r="AH72" s="5" t="inlineStr"/>
      <c r="AI72" s="5" t="inlineStr"/>
      <c r="AJ72" s="5" t="inlineStr"/>
    </row>
    <row r="73">
      <c r="A73" s="5" t="inlineStr">
        <is>
          <t>parkin-buyuk-cocugu</t>
        </is>
      </c>
      <c r="B73" s="5" t="n">
        <v>3</v>
      </c>
      <c r="C73" s="6" t="inlineStr">
        <is>
          <t>Küçükleri arkana topla</t>
        </is>
      </c>
      <c r="D73" s="5" t="inlineStr">
        <is>
          <t>Sosyal Radar</t>
        </is>
      </c>
      <c r="E73" s="5" t="inlineStr">
        <is>
          <t>Orta</t>
        </is>
      </c>
      <c r="F73" s="5" t="inlineStr"/>
      <c r="G73" s="6" t="inlineStr"/>
      <c r="H73" s="6" t="inlineStr">
        <is>
          <t>Etrafa baktın: iki çocuk daha bekliyor. Yan yana durdunuz. Büyük çocuk üçünüzü sayınca kaydı ve gitti.</t>
        </is>
      </c>
      <c r="I73" s="6" t="inlineStr">
        <is>
          <t>Üç küçüğü yanına aldın; dördünüz birden merdivene dizildiniz. Büyük çocuk “Tamam, tamam” dedi, indi.</t>
        </is>
      </c>
      <c r="J73" s="6" t="inlineStr">
        <is>
          <t>Arkana dönüp “Gelin!” dedin. Küçüklerden biri emzikliydi, biri annesine koştu, biri kumda kaldı. Ordu kuramadın; salıncağa geçtin.</t>
        </is>
      </c>
      <c r="K73" s="6" t="inlineStr">
        <is>
          <t>İki çocuğu yanına çağırdın; ikisi de gidip büyük çocuğun arkasına dizildi. Şimdi üç kişiye karşı tek başınasın.</t>
        </is>
      </c>
      <c r="L73" s="6" t="inlineStr"/>
      <c r="M73" s="5" t="inlineStr"/>
      <c r="N73" s="5" t="inlineStr"/>
      <c r="O73" s="6" t="inlineStr"/>
      <c r="P73" s="6" t="inlineStr"/>
      <c r="Q73" s="5" t="inlineStr"/>
      <c r="R73" s="5" t="inlineStr"/>
      <c r="S73" s="5" t="inlineStr"/>
      <c r="T73" s="5" t="inlineStr"/>
      <c r="U73" s="5" t="inlineStr"/>
      <c r="V73" s="5" t="inlineStr"/>
      <c r="W73" s="5" t="inlineStr"/>
      <c r="X73" s="5" t="inlineStr"/>
      <c r="Y73" s="5" t="inlineStr"/>
      <c r="Z73" s="6" t="inlineStr"/>
      <c r="AA73" s="5" t="inlineStr"/>
      <c r="AB73" s="5" t="inlineStr"/>
      <c r="AC73" s="5" t="inlineStr"/>
      <c r="AD73" s="5" t="inlineStr"/>
      <c r="AE73" s="5" t="inlineStr"/>
      <c r="AF73" s="5" t="inlineStr"/>
      <c r="AG73" s="5" t="inlineStr"/>
      <c r="AH73" s="5" t="inlineStr"/>
      <c r="AI73" s="5" t="inlineStr"/>
      <c r="AJ73" s="5" t="inlineStr"/>
    </row>
    <row r="74">
      <c r="A74" s="5" t="inlineStr">
        <is>
          <t>market-kasasi</t>
        </is>
      </c>
      <c r="B74" s="5" t="n">
        <v>1</v>
      </c>
      <c r="C74" s="6" t="inlineStr">
        <is>
          <t>Şekeri iste</t>
        </is>
      </c>
      <c r="D74" s="5" t="inlineStr"/>
      <c r="E74" s="5" t="inlineStr"/>
      <c r="F74" s="5" t="inlineStr">
        <is>
          <t>Çene +1</t>
        </is>
      </c>
      <c r="G74" s="6" t="inlineStr">
        <is>
          <t>“Bunu alalım” dedin. Annen “Eve gidince” dedi. Eve gidince yok.</t>
        </is>
      </c>
      <c r="H74" s="6" t="inlineStr"/>
      <c r="I74" s="6" t="inlineStr"/>
      <c r="J74" s="6" t="inlineStr"/>
      <c r="K74" s="6" t="inlineStr"/>
      <c r="L74" s="6" t="inlineStr"/>
      <c r="M74" s="5" t="inlineStr"/>
      <c r="N74" s="5" t="inlineStr"/>
      <c r="O74" s="6" t="inlineStr"/>
      <c r="P74" s="6" t="inlineStr"/>
      <c r="Q74" s="5" t="inlineStr"/>
      <c r="R74" s="5" t="inlineStr"/>
      <c r="S74" s="5" t="inlineStr"/>
      <c r="T74" s="5" t="inlineStr"/>
      <c r="U74" s="5" t="inlineStr"/>
      <c r="V74" s="5" t="inlineStr"/>
      <c r="W74" s="5" t="inlineStr"/>
      <c r="X74" s="5" t="inlineStr"/>
      <c r="Y74" s="5" t="inlineStr"/>
      <c r="Z74" s="6" t="inlineStr"/>
      <c r="AA74" s="5" t="inlineStr"/>
      <c r="AB74" s="5" t="inlineStr"/>
      <c r="AC74" s="5" t="inlineStr"/>
      <c r="AD74" s="5" t="inlineStr"/>
      <c r="AE74" s="5" t="inlineStr"/>
      <c r="AF74" s="5" t="inlineStr"/>
      <c r="AG74" s="5" t="inlineStr"/>
      <c r="AH74" s="5" t="inlineStr"/>
      <c r="AI74" s="5" t="inlineStr"/>
      <c r="AJ74" s="5" t="inlineStr"/>
    </row>
    <row r="75">
      <c r="A75" s="5" t="inlineStr">
        <is>
          <t>market-kasasi</t>
        </is>
      </c>
      <c r="B75" s="5" t="n">
        <v>2</v>
      </c>
      <c r="C75" s="6" t="inlineStr">
        <is>
          <t>Sepete gizlice koy</t>
        </is>
      </c>
      <c r="D75" s="5" t="inlineStr">
        <is>
          <t>Kurnazlık</t>
        </is>
      </c>
      <c r="E75" s="5" t="inlineStr">
        <is>
          <t>Orta</t>
        </is>
      </c>
      <c r="F75" s="5" t="inlineStr"/>
      <c r="G75" s="6" t="inlineStr"/>
      <c r="H75" s="6" t="inlineStr">
        <is>
          <t>Şekeri sepetin dibine ittin. Kasada çıktı. Annen baktı, sana baktı, kasiyerin önünde bir şey demedi. Ödedi.</t>
        </is>
      </c>
      <c r="I75" s="6" t="inlineStr">
        <is>
          <t>Şeker kasadan geçti, poşete girdi, eve geldi. Kimse fark etmedi; dolabın arkasında ilk zulan kuruldu.</t>
        </is>
      </c>
      <c r="J75" s="6" t="inlineStr">
        <is>
          <t>Kasiyer şekeri gördü ve sana göz kırptı. Şeker rafa döndü.</t>
        </is>
      </c>
      <c r="K75" s="6" t="inlineStr">
        <is>
          <t>Şekeri sepete sakladın. Kasiyer okuttu; annen herkesin önünde “Bunu kim koydu?” dedi. Sıradaki beş kişi sana baktı. Şeker rafa, sen eve.</t>
        </is>
      </c>
      <c r="L75" s="6" t="inlineStr"/>
      <c r="M75" s="5" t="inlineStr"/>
      <c r="N75" s="5" t="inlineStr"/>
      <c r="O75" s="6" t="inlineStr"/>
      <c r="P75" s="6" t="inlineStr"/>
      <c r="Q75" s="5" t="inlineStr"/>
      <c r="R75" s="5" t="inlineStr"/>
      <c r="S75" s="5" t="inlineStr"/>
      <c r="T75" s="5" t="inlineStr"/>
      <c r="U75" s="5" t="inlineStr"/>
      <c r="V75" s="5" t="inlineStr"/>
      <c r="W75" s="5" t="inlineStr"/>
      <c r="X75" s="5" t="inlineStr"/>
      <c r="Y75" s="5" t="inlineStr"/>
      <c r="Z75" s="6" t="inlineStr"/>
      <c r="AA75" s="5" t="inlineStr"/>
      <c r="AB75" s="5" t="inlineStr"/>
      <c r="AC75" s="5" t="inlineStr"/>
      <c r="AD75" s="5" t="inlineStr"/>
      <c r="AE75" s="5" t="inlineStr"/>
      <c r="AF75" s="5" t="inlineStr"/>
      <c r="AG75" s="5" t="inlineStr"/>
      <c r="AH75" s="5" t="inlineStr"/>
      <c r="AI75" s="5" t="inlineStr"/>
      <c r="AJ75" s="5" t="inlineStr"/>
    </row>
    <row r="76">
      <c r="A76" s="5" t="inlineStr">
        <is>
          <t>market-kasasi</t>
        </is>
      </c>
      <c r="B76" s="5" t="n">
        <v>3</v>
      </c>
      <c r="C76" s="6" t="inlineStr">
        <is>
          <t>Dokunma</t>
        </is>
      </c>
      <c r="D76" s="5" t="inlineStr">
        <is>
          <t>İtibar</t>
        </is>
      </c>
      <c r="E76" s="5" t="inlineStr">
        <is>
          <t>Kolay</t>
        </is>
      </c>
      <c r="F76" s="5" t="inlineStr"/>
      <c r="G76" s="6" t="inlineStr"/>
      <c r="H76" s="6" t="inlineStr">
        <is>
          <t>Dokunmadın. Annen “Aferin” dedi. Kasiyer de “Aferin” dedi. Şeker veren olmadı.</t>
        </is>
      </c>
      <c r="I76" s="6" t="inlineStr">
        <is>
          <t>Dokunmadın; kasiyer “Ne uslu çocuk” deyip sana bir şeker hediye etti. Dokunmamak da işe yarıyormuş.</t>
        </is>
      </c>
      <c r="J76" s="6" t="inlineStr">
        <is>
          <t>Dokunmadın ama gözün şekerde kaldı, ağzın açık. Kasiyer gördü, annen gördü; ikisi de güldü, kimse almadı.</t>
        </is>
      </c>
      <c r="K76" s="6" t="inlineStr">
        <is>
          <t>Ellerini arkana saklayıp dokunmamaya çalıştın; popon standa çarptı. Bütün şekerler yere yayıldı. Kasiyer “Aman, çocuk işte” dedi; annen kasanın önünde dizlerinin üstünde on dakika şeker topladı. Sıradakiler yardım etmedi, izledi.</t>
        </is>
      </c>
      <c r="L76" s="6" t="inlineStr"/>
      <c r="M76" s="5" t="inlineStr"/>
      <c r="N76" s="5" t="inlineStr"/>
      <c r="O76" s="6" t="inlineStr"/>
      <c r="P76" s="6" t="inlineStr"/>
      <c r="Q76" s="5" t="inlineStr"/>
      <c r="R76" s="5" t="inlineStr"/>
      <c r="S76" s="5" t="inlineStr"/>
      <c r="T76" s="5" t="inlineStr"/>
      <c r="U76" s="5" t="inlineStr"/>
      <c r="V76" s="5" t="inlineStr"/>
      <c r="W76" s="5" t="inlineStr"/>
      <c r="X76" s="5" t="inlineStr"/>
      <c r="Y76" s="5" t="inlineStr"/>
      <c r="Z76" s="6" t="inlineStr"/>
      <c r="AA76" s="5" t="inlineStr"/>
      <c r="AB76" s="5" t="inlineStr"/>
      <c r="AC76" s="5" t="inlineStr"/>
      <c r="AD76" s="5" t="inlineStr"/>
      <c r="AE76" s="5" t="inlineStr"/>
      <c r="AF76" s="5" t="inlineStr"/>
      <c r="AG76" s="5" t="inlineStr"/>
      <c r="AH76" s="5" t="inlineStr"/>
      <c r="AI76" s="5" t="inlineStr"/>
      <c r="AJ76" s="5" t="inlineStr"/>
    </row>
    <row r="77">
      <c r="A77" s="5" t="inlineStr">
        <is>
          <t>market-kasasi</t>
        </is>
      </c>
      <c r="B77" s="5" t="n">
        <v>4</v>
      </c>
      <c r="C77" s="6" t="inlineStr">
        <is>
          <t>Yere yat, ağla</t>
        </is>
      </c>
      <c r="D77" s="5" t="inlineStr">
        <is>
          <t>Pişkinlik</t>
        </is>
      </c>
      <c r="E77" s="5" t="inlineStr">
        <is>
          <t>Orta</t>
        </is>
      </c>
      <c r="F77" s="5" t="inlineStr"/>
      <c r="G77" s="6" t="inlineStr"/>
      <c r="H77" s="6" t="inlineStr">
        <is>
          <t>Yere yattın, bağırdın. Annen kasiyere baktı, kasiyer annene; annen iç çekip şekeri poşete attı: “Son.” Bu “son”ların sayısını kimse tutmuyor.</t>
        </is>
      </c>
      <c r="I77" s="6" t="inlineStr">
        <is>
          <t>Kasanın önünde yere yattın, tavana bakıp avazın çıktığı kadar ağladın. Sıradaki dede dayanamadı, şekeri kendi parasıyla aldı: “Benim torun da böyle.” Annen teşekkür etti; eve kadar seninle konuşmadı ama şeker cebindeydi.</t>
        </is>
      </c>
      <c r="J77" s="6" t="inlineStr">
        <is>
          <t>Yere yattın. Annen arabayı itmeye devam etti: “Ben gidiyorum, sen kal.” İki rafı geçmeden kalktın, koştun; şeker rafta kaldı.</t>
        </is>
      </c>
      <c r="K77" s="6" t="inlineStr">
        <is>
          <t>Yere yatıp tekmeleyerek ağladın. Tam o sırada komşu teyze sıraya girdi: “Aa, bu sizinki mi?” Akşam bütün apartman biliyordu; ertesi gün kapıcı bile “Şekeri aldın mı bari?” diye sordu.</t>
        </is>
      </c>
      <c r="L77" s="6" t="inlineStr"/>
      <c r="M77" s="5" t="inlineStr"/>
      <c r="N77" s="5" t="inlineStr"/>
      <c r="O77" s="6" t="inlineStr"/>
      <c r="P77" s="6" t="inlineStr"/>
      <c r="Q77" s="5" t="inlineStr"/>
      <c r="R77" s="5" t="inlineStr"/>
      <c r="S77" s="5" t="inlineStr"/>
      <c r="T77" s="5" t="inlineStr"/>
      <c r="U77" s="5" t="inlineStr"/>
      <c r="V77" s="5" t="inlineStr"/>
      <c r="W77" s="5" t="inlineStr"/>
      <c r="X77" s="5" t="inlineStr"/>
      <c r="Y77" s="5" t="inlineStr"/>
      <c r="Z77" s="6" t="inlineStr"/>
      <c r="AA77" s="5" t="inlineStr"/>
      <c r="AB77" s="5" t="inlineStr"/>
      <c r="AC77" s="5" t="inlineStr"/>
      <c r="AD77" s="5" t="inlineStr"/>
      <c r="AE77" s="5" t="inlineStr"/>
      <c r="AF77" s="5" t="inlineStr"/>
      <c r="AG77" s="5" t="inlineStr"/>
      <c r="AH77" s="5" t="inlineStr"/>
      <c r="AI77" s="5" t="inlineStr"/>
      <c r="AJ77" s="5" t="inlineStr"/>
    </row>
    <row r="78">
      <c r="A78" s="5" t="inlineStr">
        <is>
          <t>baskasinin-dogum-gunu</t>
        </is>
      </c>
      <c r="B78" s="5" t="n">
        <v>1</v>
      </c>
      <c r="C78" s="6" t="inlineStr">
        <is>
          <t>Alkışla</t>
        </is>
      </c>
      <c r="D78" s="5" t="inlineStr"/>
      <c r="E78" s="5" t="inlineStr"/>
      <c r="F78" s="5" t="inlineStr">
        <is>
          <t>İtibar +1</t>
        </is>
      </c>
      <c r="G78" s="6" t="inlineStr">
        <is>
          <t>Alkışladın, şarkıyı herkesten yüksek söyledin; sözleri yanlış. Doğum günü çocuğunun annesi “Ne tatlı” deyip seni videoya aldı.</t>
        </is>
      </c>
      <c r="H78" s="6" t="inlineStr"/>
      <c r="I78" s="6" t="inlineStr"/>
      <c r="J78" s="6" t="inlineStr"/>
      <c r="K78" s="6" t="inlineStr"/>
      <c r="L78" s="6" t="inlineStr"/>
      <c r="M78" s="5" t="inlineStr"/>
      <c r="N78" s="5" t="inlineStr"/>
      <c r="O78" s="6" t="inlineStr"/>
      <c r="P78" s="6" t="inlineStr"/>
      <c r="Q78" s="5" t="inlineStr"/>
      <c r="R78" s="5" t="inlineStr"/>
      <c r="S78" s="5" t="inlineStr"/>
      <c r="T78" s="5" t="inlineStr"/>
      <c r="U78" s="5" t="inlineStr"/>
      <c r="V78" s="5" t="inlineStr"/>
      <c r="W78" s="5" t="inlineStr"/>
      <c r="X78" s="5" t="inlineStr"/>
      <c r="Y78" s="5" t="inlineStr"/>
      <c r="Z78" s="6" t="inlineStr"/>
      <c r="AA78" s="5" t="inlineStr"/>
      <c r="AB78" s="5" t="inlineStr"/>
      <c r="AC78" s="5" t="inlineStr"/>
      <c r="AD78" s="5" t="inlineStr"/>
      <c r="AE78" s="5" t="inlineStr"/>
      <c r="AF78" s="5" t="inlineStr"/>
      <c r="AG78" s="5" t="inlineStr"/>
      <c r="AH78" s="5" t="inlineStr"/>
      <c r="AI78" s="5" t="inlineStr"/>
      <c r="AJ78" s="5" t="inlineStr"/>
    </row>
    <row r="79">
      <c r="A79" s="5" t="inlineStr">
        <is>
          <t>baskasinin-dogum-gunu</t>
        </is>
      </c>
      <c r="B79" s="5" t="n">
        <v>2</v>
      </c>
      <c r="C79" s="6" t="inlineStr">
        <is>
          <t>İlgi çek</t>
        </is>
      </c>
      <c r="D79" s="5" t="inlineStr">
        <is>
          <t>Pişkinlik</t>
        </is>
      </c>
      <c r="E79" s="5" t="inlineStr">
        <is>
          <t>Orta</t>
        </is>
      </c>
      <c r="F79" s="5" t="inlineStr"/>
      <c r="G79" s="6" t="inlineStr"/>
      <c r="H79" s="6" t="inlineStr">
        <is>
          <t>Hediyeler açılırken salonun ortasında takla attın. Teyzeler “Aaa!” dedi; iki dakika herkes sana baktı. Sonra paketten uzaktan kumandalı araba çıktı ve o iki dakika bitti.</t>
        </is>
      </c>
      <c r="I79" s="6" t="inlineStr">
        <is>
          <t>Sahneye çıktın, şarkıyı sen söyledin, fotoğraflarda ortadasın.</t>
        </is>
      </c>
      <c r="J79" s="6" t="inlineStr">
        <is>
          <t>İlgi çekmeye çalıştın; palyaço daha iyiydi.</t>
        </is>
      </c>
      <c r="K79" s="6" t="inlineStr">
        <is>
          <t>İlgi çekmek için en büyük paketi kaptın, kâğıdını yırttın. İçinden pembe bir bisiklet çıktı; doğum günü çocuğu çığlığı bastı. Annesi kâğıdı geri sarmaya çalıştı, annen de yardım etti; ikisi de birbirinin yüzüne bakamadı.</t>
        </is>
      </c>
      <c r="L79" s="6" t="inlineStr"/>
      <c r="M79" s="5" t="inlineStr"/>
      <c r="N79" s="5" t="inlineStr"/>
      <c r="O79" s="6" t="inlineStr"/>
      <c r="P79" s="6" t="inlineStr"/>
      <c r="Q79" s="5" t="inlineStr"/>
      <c r="R79" s="5" t="inlineStr"/>
      <c r="S79" s="5" t="inlineStr"/>
      <c r="T79" s="5" t="inlineStr"/>
      <c r="U79" s="5" t="inlineStr"/>
      <c r="V79" s="5" t="inlineStr"/>
      <c r="W79" s="5" t="inlineStr"/>
      <c r="X79" s="5" t="inlineStr"/>
      <c r="Y79" s="5" t="inlineStr"/>
      <c r="Z79" s="6" t="inlineStr"/>
      <c r="AA79" s="5" t="inlineStr"/>
      <c r="AB79" s="5" t="inlineStr"/>
      <c r="AC79" s="5" t="inlineStr"/>
      <c r="AD79" s="5" t="inlineStr"/>
      <c r="AE79" s="5" t="inlineStr"/>
      <c r="AF79" s="5" t="inlineStr"/>
      <c r="AG79" s="5" t="inlineStr"/>
      <c r="AH79" s="5" t="inlineStr"/>
      <c r="AI79" s="5" t="inlineStr"/>
      <c r="AJ79" s="5" t="inlineStr"/>
    </row>
    <row r="80">
      <c r="A80" s="5" t="inlineStr">
        <is>
          <t>baskasinin-dogum-gunu</t>
        </is>
      </c>
      <c r="B80" s="5" t="n">
        <v>3</v>
      </c>
      <c r="C80" s="6" t="inlineStr">
        <is>
          <t>Pastaya odaklan</t>
        </is>
      </c>
      <c r="D80" s="5" t="inlineStr"/>
      <c r="E80" s="5" t="inlineStr"/>
      <c r="F80" s="5" t="inlineStr">
        <is>
          <t>Dayanıklılık +1</t>
        </is>
      </c>
      <c r="G80" s="6" t="inlineStr">
        <is>
          <t>Pastaya baktın. Dilim geldi, yedin, ikinciyi istedin. Doğum günü kimin, hâlâ bilmiyorsun.</t>
        </is>
      </c>
      <c r="H80" s="6" t="inlineStr"/>
      <c r="I80" s="6" t="inlineStr"/>
      <c r="J80" s="6" t="inlineStr"/>
      <c r="K80" s="6" t="inlineStr"/>
      <c r="L80" s="6" t="inlineStr"/>
      <c r="M80" s="5" t="inlineStr"/>
      <c r="N80" s="5" t="inlineStr"/>
      <c r="O80" s="6" t="inlineStr"/>
      <c r="P80" s="6" t="inlineStr"/>
      <c r="Q80" s="5" t="inlineStr"/>
      <c r="R80" s="5" t="inlineStr"/>
      <c r="S80" s="5" t="inlineStr"/>
      <c r="T80" s="5" t="inlineStr"/>
      <c r="U80" s="5" t="inlineStr"/>
      <c r="V80" s="5" t="inlineStr"/>
      <c r="W80" s="5" t="inlineStr"/>
      <c r="X80" s="5" t="inlineStr"/>
      <c r="Y80" s="5" t="inlineStr"/>
      <c r="Z80" s="6" t="inlineStr"/>
      <c r="AA80" s="5" t="inlineStr"/>
      <c r="AB80" s="5" t="inlineStr"/>
      <c r="AC80" s="5" t="inlineStr"/>
      <c r="AD80" s="5" t="inlineStr"/>
      <c r="AE80" s="5" t="inlineStr"/>
      <c r="AF80" s="5" t="inlineStr"/>
      <c r="AG80" s="5" t="inlineStr"/>
      <c r="AH80" s="5" t="inlineStr"/>
      <c r="AI80" s="5" t="inlineStr"/>
      <c r="AJ80" s="5" t="inlineStr"/>
    </row>
    <row r="81">
      <c r="A81" s="5" t="inlineStr">
        <is>
          <t>baskasinin-dogum-gunu</t>
        </is>
      </c>
      <c r="B81" s="5" t="n">
        <v>4</v>
      </c>
      <c r="C81" s="6" t="inlineStr">
        <is>
          <t>Doğum günü çocuğunun elini tut, şarkıyı beraber söyle</t>
        </is>
      </c>
      <c r="D81" s="5" t="inlineStr">
        <is>
          <t>Gönül</t>
        </is>
      </c>
      <c r="E81" s="5" t="inlineStr">
        <is>
          <t>Kolay</t>
        </is>
      </c>
      <c r="F81" s="5" t="inlineStr"/>
      <c r="G81" s="6" t="inlineStr"/>
      <c r="H81" s="6" t="inlineStr">
        <is>
          <t>Elini tuttun; utandı, sonra güldü. Pasta kesilirken ilk dilim ona, ikincisi sana geldi. Sıra böyle değildi.</t>
        </is>
      </c>
      <c r="I81" s="6" t="inlineStr">
        <is>
          <t>Elini tuttun, şarkıyı beraber söylediniz. Fotoğrafta ikiniz varsınız; annesi o fotoğrafı çerçeveletti. Sen artık “o çocuk”sun.</t>
        </is>
      </c>
      <c r="J81" s="6" t="inlineStr">
        <is>
          <t>Elini tutmak istedin; elinde pasta vardı. Sana krema bulaştı, şarkı bitti.</t>
        </is>
      </c>
      <c r="K81" s="6" t="inlineStr">
        <is>
          <t>Elini tuttun, bırakmadın. Mumları üfleyemedi, ağladı. Fotoğrafta ikiniz varsınız: biri ağlıyor, biri tutuyor.</t>
        </is>
      </c>
      <c r="L81" s="6" t="inlineStr"/>
      <c r="M81" s="5" t="inlineStr"/>
      <c r="N81" s="5" t="inlineStr"/>
      <c r="O81" s="6" t="inlineStr"/>
      <c r="P81" s="6" t="inlineStr"/>
      <c r="Q81" s="5" t="inlineStr"/>
      <c r="R81" s="5" t="inlineStr"/>
      <c r="S81" s="5" t="inlineStr"/>
      <c r="T81" s="5" t="inlineStr"/>
      <c r="U81" s="5" t="inlineStr"/>
      <c r="V81" s="5" t="inlineStr"/>
      <c r="W81" s="5" t="inlineStr"/>
      <c r="X81" s="5" t="inlineStr"/>
      <c r="Y81" s="5" t="inlineStr"/>
      <c r="Z81" s="6" t="inlineStr"/>
      <c r="AA81" s="5" t="inlineStr"/>
      <c r="AB81" s="5" t="inlineStr"/>
      <c r="AC81" s="5" t="inlineStr"/>
      <c r="AD81" s="5" t="inlineStr"/>
      <c r="AE81" s="5" t="inlineStr"/>
      <c r="AF81" s="5" t="inlineStr"/>
      <c r="AG81" s="5" t="inlineStr"/>
      <c r="AH81" s="5" t="inlineStr"/>
      <c r="AI81" s="5" t="inlineStr"/>
      <c r="AJ81" s="5" t="inlineStr"/>
    </row>
    <row r="82">
      <c r="A82" s="5" t="inlineStr">
        <is>
          <t>en-guzel-oyuncak</t>
        </is>
      </c>
      <c r="B82" s="5" t="n">
        <v>1</v>
      </c>
      <c r="C82" s="6" t="inlineStr">
        <is>
          <t>İste</t>
        </is>
      </c>
      <c r="D82" s="5" t="inlineStr">
        <is>
          <t>Cesaret</t>
        </is>
      </c>
      <c r="E82" s="5" t="inlineStr">
        <is>
          <t>Kolay</t>
        </is>
      </c>
      <c r="F82" s="5" t="inlineStr"/>
      <c r="G82" s="6" t="inlineStr"/>
      <c r="H82" s="6" t="inlineStr">
        <is>
          <t>“Bir bakabilir miyim?” dedin. Verdi. Beş dakika; ama senin beş dakikan.</t>
        </is>
      </c>
      <c r="I82" s="6" t="inlineStr">
        <is>
          <t>“Bir bakabilir miyim?” dedin. Kuzenin itfaiyeyi raftan indirdi: “Sen sür, ben siren yaparım.” Akşama kadar ikiniz, bir itfaiye, bir siren. Halan fotoğrafınızı aile grubuna attı.</t>
        </is>
      </c>
      <c r="J82" s="6" t="inlineStr">
        <is>
          <t>İstedin; sıraya alındın. Sıra hiç gelmedi.</t>
        </is>
      </c>
      <c r="K82" s="6" t="inlineStr">
        <is>
          <t>“Bir bakabilir miyim?” dedin; kuzenin cümlen bitmeden ağlamaya başladı. Halan arabayı dolaba kilitledi, anahtarı da cebine koydu. Öbür çocuklar bütün gün sana küs küs baktı.</t>
        </is>
      </c>
      <c r="L82" s="6" t="inlineStr"/>
      <c r="M82" s="5" t="inlineStr"/>
      <c r="N82" s="5" t="inlineStr"/>
      <c r="O82" s="6" t="inlineStr"/>
      <c r="P82" s="6" t="inlineStr"/>
      <c r="Q82" s="5" t="inlineStr"/>
      <c r="R82" s="5" t="inlineStr"/>
      <c r="S82" s="5" t="inlineStr"/>
      <c r="T82" s="5" t="inlineStr"/>
      <c r="U82" s="5" t="inlineStr"/>
      <c r="V82" s="5" t="inlineStr"/>
      <c r="W82" s="5" t="inlineStr"/>
      <c r="X82" s="5" t="inlineStr"/>
      <c r="Y82" s="5" t="inlineStr"/>
      <c r="Z82" s="6" t="inlineStr"/>
      <c r="AA82" s="5" t="inlineStr"/>
      <c r="AB82" s="5" t="inlineStr"/>
      <c r="AC82" s="5" t="inlineStr"/>
      <c r="AD82" s="5" t="inlineStr"/>
      <c r="AE82" s="5" t="inlineStr"/>
      <c r="AF82" s="5" t="inlineStr"/>
      <c r="AG82" s="5" t="inlineStr"/>
      <c r="AH82" s="5" t="inlineStr"/>
      <c r="AI82" s="5" t="inlineStr"/>
      <c r="AJ82" s="5" t="inlineStr"/>
    </row>
    <row r="83">
      <c r="A83" s="5" t="inlineStr">
        <is>
          <t>en-guzel-oyuncak</t>
        </is>
      </c>
      <c r="B83" s="5" t="n">
        <v>2</v>
      </c>
      <c r="C83" s="6" t="inlineStr">
        <is>
          <t>Takas öner</t>
        </is>
      </c>
      <c r="D83" s="5" t="inlineStr">
        <is>
          <t>Kurnazlık</t>
        </is>
      </c>
      <c r="E83" s="5" t="inlineStr">
        <is>
          <t>Kolay</t>
        </is>
      </c>
      <c r="F83" s="5" t="inlineStr"/>
      <c r="G83" s="6" t="inlineStr"/>
      <c r="H83" s="6" t="inlineStr">
        <is>
          <t>Eski kamyonunu verdin, itfaiyeyi aldın. Kuzenin kamyona bayıldı. Sen itfaiyenin hiçbir şey yapmadığını öğrendin.</t>
        </is>
      </c>
      <c r="I83" s="6" t="inlineStr">
        <is>
          <t>Eski bir kalemi uzattın: “Bu sihirli, karanlıkta parlıyor.” Kuzenin inandı, itfaiyeyi verdi; o gece yorganın altında kalemin parlamasını bekledi. Halan sabah “Bu çocuk kime çekmiş?” dedi.</t>
        </is>
      </c>
      <c r="J83" s="6" t="inlineStr">
        <is>
          <t>Oyuncak ayını teklif ettin. Kuzenin ayıya baktı: “Bunun gözü yok.” Yoktu; geçen bayram sen koparmıştın.</t>
        </is>
      </c>
      <c r="K83" s="6" t="inlineStr">
        <is>
          <t>Takas ettin, itfaiyeyi kucaklayıp eve getirdin. Akşam halan aradı: “O araba yeni, geri getirin.” Arabayı geri götürdünüz; senin kamyonun kuzende kaldı.</t>
        </is>
      </c>
      <c r="L83" s="6" t="inlineStr"/>
      <c r="M83" s="5" t="inlineStr"/>
      <c r="N83" s="5" t="inlineStr"/>
      <c r="O83" s="6" t="inlineStr"/>
      <c r="P83" s="6" t="inlineStr"/>
      <c r="Q83" s="5" t="inlineStr"/>
      <c r="R83" s="5" t="inlineStr"/>
      <c r="S83" s="5" t="inlineStr"/>
      <c r="T83" s="5" t="inlineStr"/>
      <c r="U83" s="5" t="inlineStr"/>
      <c r="V83" s="5" t="inlineStr"/>
      <c r="W83" s="5" t="inlineStr"/>
      <c r="X83" s="5" t="inlineStr"/>
      <c r="Y83" s="5" t="inlineStr"/>
      <c r="Z83" s="6" t="inlineStr"/>
      <c r="AA83" s="5" t="inlineStr"/>
      <c r="AB83" s="5" t="inlineStr"/>
      <c r="AC83" s="5" t="inlineStr"/>
      <c r="AD83" s="5" t="inlineStr"/>
      <c r="AE83" s="5" t="inlineStr"/>
      <c r="AF83" s="5" t="inlineStr"/>
      <c r="AG83" s="5" t="inlineStr"/>
      <c r="AH83" s="5" t="inlineStr"/>
      <c r="AI83" s="5" t="inlineStr"/>
      <c r="AJ83" s="5" t="inlineStr"/>
    </row>
    <row r="84">
      <c r="A84" s="5" t="inlineStr">
        <is>
          <t>en-guzel-oyuncak</t>
        </is>
      </c>
      <c r="B84" s="5" t="n">
        <v>3</v>
      </c>
      <c r="C84" s="6" t="inlineStr">
        <is>
          <t>Kendi oyuncağınla devam et</t>
        </is>
      </c>
      <c r="D84" s="5" t="inlineStr"/>
      <c r="E84" s="5" t="inlineStr"/>
      <c r="F84" s="5" t="inlineStr">
        <is>
          <t>Dayanıklılık +1</t>
        </is>
      </c>
      <c r="G84" s="6" t="inlineStr">
        <is>
          <t>Kendi oyuncağınla devam ettin. Bir süre sonra herkes seninkine bakıyordu. Eski oyuncak, yeni ilgi.</t>
        </is>
      </c>
      <c r="H84" s="6" t="inlineStr"/>
      <c r="I84" s="6" t="inlineStr"/>
      <c r="J84" s="6" t="inlineStr"/>
      <c r="K84" s="6" t="inlineStr"/>
      <c r="L84" s="6" t="inlineStr"/>
      <c r="M84" s="5" t="inlineStr"/>
      <c r="N84" s="5" t="inlineStr"/>
      <c r="O84" s="6" t="inlineStr"/>
      <c r="P84" s="6" t="inlineStr"/>
      <c r="Q84" s="5" t="inlineStr"/>
      <c r="R84" s="5" t="inlineStr"/>
      <c r="S84" s="5" t="inlineStr"/>
      <c r="T84" s="5" t="inlineStr"/>
      <c r="U84" s="5" t="inlineStr"/>
      <c r="V84" s="5" t="inlineStr"/>
      <c r="W84" s="5" t="inlineStr"/>
      <c r="X84" s="5" t="inlineStr"/>
      <c r="Y84" s="5" t="inlineStr"/>
      <c r="Z84" s="6" t="inlineStr"/>
      <c r="AA84" s="5" t="inlineStr"/>
      <c r="AB84" s="5" t="inlineStr"/>
      <c r="AC84" s="5" t="inlineStr"/>
      <c r="AD84" s="5" t="inlineStr"/>
      <c r="AE84" s="5" t="inlineStr"/>
      <c r="AF84" s="5" t="inlineStr"/>
      <c r="AG84" s="5" t="inlineStr"/>
      <c r="AH84" s="5" t="inlineStr"/>
      <c r="AI84" s="5" t="inlineStr"/>
      <c r="AJ84" s="5" t="inlineStr"/>
    </row>
    <row r="85">
      <c r="A85" s="5" t="inlineStr">
        <is>
          <t>ilk-gercek-yalan</t>
        </is>
      </c>
      <c r="B85" s="5" t="n">
        <v>1</v>
      </c>
      <c r="C85" s="6" t="inlineStr">
        <is>
          <t>İtiraf et</t>
        </is>
      </c>
      <c r="D85" s="5" t="inlineStr"/>
      <c r="E85" s="5" t="inlineStr"/>
      <c r="F85" s="5" t="inlineStr">
        <is>
          <t>İtibar +2</t>
        </is>
      </c>
      <c r="G85" s="6" t="inlineStr">
        <is>
          <t>“Ben yedim” dedin. Annen hiçbir şey demeden ağzının kenarındaki çikolatayı sildi, başını okşadı. Ceza yoktu; bu, cezadan daha uzun sürdü.</t>
        </is>
      </c>
      <c r="H85" s="6" t="inlineStr"/>
      <c r="I85" s="6" t="inlineStr"/>
      <c r="J85" s="6" t="inlineStr"/>
      <c r="K85" s="6" t="inlineStr"/>
      <c r="L85" s="6" t="inlineStr"/>
      <c r="M85" s="5" t="inlineStr"/>
      <c r="N85" s="5" t="inlineStr"/>
      <c r="O85" s="6" t="inlineStr"/>
      <c r="P85" s="6" t="inlineStr"/>
      <c r="Q85" s="5" t="inlineStr"/>
      <c r="R85" s="5" t="inlineStr"/>
      <c r="S85" s="5" t="inlineStr"/>
      <c r="T85" s="5" t="inlineStr"/>
      <c r="U85" s="5" t="inlineStr"/>
      <c r="V85" s="5" t="inlineStr"/>
      <c r="W85" s="5" t="inlineStr"/>
      <c r="X85" s="5" t="inlineStr"/>
      <c r="Y85" s="5" t="inlineStr"/>
      <c r="Z85" s="6" t="inlineStr"/>
      <c r="AA85" s="5" t="inlineStr"/>
      <c r="AB85" s="5" t="inlineStr"/>
      <c r="AC85" s="5" t="inlineStr"/>
      <c r="AD85" s="5" t="inlineStr"/>
      <c r="AE85" s="5" t="inlineStr"/>
      <c r="AF85" s="5" t="inlineStr"/>
      <c r="AG85" s="5" t="inlineStr"/>
      <c r="AH85" s="5" t="inlineStr"/>
      <c r="AI85" s="5" t="inlineStr"/>
      <c r="AJ85" s="5" t="inlineStr"/>
    </row>
    <row r="86">
      <c r="A86" s="5" t="inlineStr">
        <is>
          <t>ilk-gercek-yalan</t>
        </is>
      </c>
      <c r="B86" s="5" t="n">
        <v>2</v>
      </c>
      <c r="C86" s="6" t="inlineStr">
        <is>
          <t>'Hayır' de</t>
        </is>
      </c>
      <c r="D86" s="5" t="inlineStr">
        <is>
          <t>Çene</t>
        </is>
      </c>
      <c r="E86" s="5" t="inlineStr">
        <is>
          <t>Zor</t>
        </is>
      </c>
      <c r="F86" s="5" t="inlineStr"/>
      <c r="G86" s="6" t="inlineStr"/>
      <c r="H86" s="6" t="inlineStr">
        <is>
          <t>“Hayır” dedin; o kadar sakin dedin ki annen pastayı bir daha inceledi. Köşe yine eksikti ama senin suçun yoktu. Şimdilik.</t>
        </is>
      </c>
      <c r="I86" s="6" t="inlineStr">
        <is>
          <t>“Hayır” dedin, gözünü bile kırpmadın. Annen bir sana baktı, bir pastaya, sonra babana döndü: “Sen mi yedin?” Baban hâlâ yemediğini anlatıyor.</t>
        </is>
      </c>
      <c r="J86" s="6" t="inlineStr">
        <is>
          <t>'Hayır' dedin, kulakların kızardı. Kulaklar yalan söylemiyor.</t>
        </is>
      </c>
      <c r="K86" s="6" t="inlineStr">
        <is>
          <t>“Hayır” dedin. Sonra “Evet” dedin. Sonra “Biraz” deyip ağladın. Akşam misafirler pastanın eksik köşesini sordu; annen tek kelime etmeden sana baktı, misafirler de baktı.</t>
        </is>
      </c>
      <c r="L86" s="6" t="inlineStr">
        <is>
          <t>Yüzün yarı yarıya ikna ediciydi. Annen “Peki” dedi ama pastayı buzdolabının en üst rafına kaldırdı.</t>
        </is>
      </c>
      <c r="M86" s="5" t="inlineStr">
        <is>
          <t>lie</t>
        </is>
      </c>
      <c r="N86" s="5" t="inlineStr">
        <is>
          <t>Annenin Soruları</t>
        </is>
      </c>
      <c r="O86" s="6" t="inlineStr">
        <is>
          <t>Söylediklerini aklında tut; sorulara çelişmeden cevap ver.</t>
        </is>
      </c>
      <c r="P86" s="6" t="inlineStr">
        <is>
          <t>{"who": "Annen", "facts": ["Pastaya dokunmadım.", "Buzdolabını açmadım bile.", "Çikolatalı köşe zaten öyleydi."], "qs": [{"q": "Buzdolabına en son ne zaman baktın?", "o": ["Hiç açmadım.", "Sabah açtım.", "Az önce."]}, {"q": "Dudağındaki ne?", "o": ["Kuru üzüm, belki.", "Çikolata.", "Pasta."]}, {"q": "Köşe ne zaman eksildi?", "o": ["Zaten eksikti.", "Ben gelince.", "Az önce."]}]}</t>
        </is>
      </c>
      <c r="Q86" s="5" t="inlineStr"/>
      <c r="R86" s="5" t="inlineStr"/>
      <c r="S86" s="5" t="inlineStr"/>
      <c r="T86" s="5" t="inlineStr"/>
      <c r="U86" s="5" t="inlineStr">
        <is>
          <t>yalanci</t>
        </is>
      </c>
      <c r="V86" s="5" t="inlineStr"/>
      <c r="W86" s="5" t="inlineStr"/>
      <c r="X86" s="5" t="inlineStr"/>
      <c r="Y86" s="5" t="inlineStr"/>
      <c r="Z86" s="6" t="inlineStr"/>
      <c r="AA86" s="5" t="inlineStr"/>
      <c r="AB86" s="5" t="inlineStr"/>
      <c r="AC86" s="5" t="inlineStr"/>
      <c r="AD86" s="5" t="inlineStr"/>
      <c r="AE86" s="5" t="inlineStr"/>
      <c r="AF86" s="5" t="inlineStr"/>
      <c r="AG86" s="5" t="inlineStr"/>
      <c r="AH86" s="5" t="inlineStr"/>
      <c r="AI86" s="5" t="inlineStr"/>
      <c r="AJ86" s="5" t="inlineStr"/>
    </row>
    <row r="87">
      <c r="A87" s="5" t="inlineStr">
        <is>
          <t>ilk-gercek-yalan</t>
        </is>
      </c>
      <c r="B87" s="5" t="n">
        <v>3</v>
      </c>
      <c r="C87" s="6" t="inlineStr">
        <is>
          <t>'O kendi oldu' de</t>
        </is>
      </c>
      <c r="D87" s="5" t="inlineStr">
        <is>
          <t>Pişkinlik</t>
        </is>
      </c>
      <c r="E87" s="5" t="inlineStr">
        <is>
          <t>Çok Zor</t>
        </is>
      </c>
      <c r="F87" s="5" t="inlineStr"/>
      <c r="G87" s="6" t="inlineStr"/>
      <c r="H87" s="6" t="inlineStr">
        <is>
          <t>“Kendi oldu” dedin. Annen “Olur öyle” dedi. İkiniz de inanmadınız; ikiniz de kabul ettiniz.</t>
        </is>
      </c>
      <c r="I87" s="6" t="inlineStr">
        <is>
          <t>“Kendi oldu” dedin; o kadar ciddi dedin ki annen buzdolabının kapağını kontrol etti. Akşam babana “Bu dolap pastayı eritiyor galiba” dedi. Ertesi gün buzdolabına usta çağrıldı.</t>
        </is>
      </c>
      <c r="J87" s="6" t="inlineStr">
        <is>
          <t>“Kendi oldu” dedin. Annen inanmadı; gülmemek için dudağını ısırıp mutfağa kaçtı. Pasta da onunla gitti.</t>
        </is>
      </c>
      <c r="K87" s="6" t="inlineStr">
        <is>
          <t>“Kendi oldu” dedin. Annen “Pasta kendi kendine mi yendi?” diye sordu; ciddi ciddi başını salladın, dudağının kenarında çikolata vardı. Annen babana anlattı, baban halana; o günden beri bu evde ne dökülse, ne kırılsa biri “Kendi oldu” diyor ve herkes sana bakıyor.</t>
        </is>
      </c>
      <c r="L87" s="6" t="inlineStr"/>
      <c r="M87" s="5" t="inlineStr"/>
      <c r="N87" s="5" t="inlineStr"/>
      <c r="O87" s="6" t="inlineStr"/>
      <c r="P87" s="6" t="inlineStr"/>
      <c r="Q87" s="5" t="inlineStr"/>
      <c r="R87" s="5" t="inlineStr"/>
      <c r="S87" s="5" t="inlineStr"/>
      <c r="T87" s="5" t="inlineStr"/>
      <c r="U87" s="5" t="inlineStr">
        <is>
          <t>yalanci</t>
        </is>
      </c>
      <c r="V87" s="5" t="inlineStr"/>
      <c r="W87" s="5" t="inlineStr"/>
      <c r="X87" s="5" t="inlineStr"/>
      <c r="Y87" s="5" t="inlineStr"/>
      <c r="Z87" s="6" t="inlineStr"/>
      <c r="AA87" s="5" t="inlineStr"/>
      <c r="AB87" s="5" t="inlineStr"/>
      <c r="AC87" s="5" t="inlineStr"/>
      <c r="AD87" s="5" t="inlineStr"/>
      <c r="AE87" s="5" t="inlineStr"/>
      <c r="AF87" s="5" t="inlineStr"/>
      <c r="AG87" s="5" t="inlineStr"/>
      <c r="AH87" s="5" t="inlineStr"/>
      <c r="AI87" s="5" t="inlineStr">
        <is>
          <t>Kendi Oldu</t>
        </is>
      </c>
      <c r="AJ87" s="5" t="inlineStr"/>
    </row>
    <row r="88">
      <c r="A88" s="5" t="inlineStr">
        <is>
          <t>mahalle-bakkali</t>
        </is>
      </c>
      <c r="B88" s="5" t="n">
        <v>1</v>
      </c>
      <c r="C88" s="6" t="inlineStr">
        <is>
          <t>Listeyi ver</t>
        </is>
      </c>
      <c r="D88" s="5" t="inlineStr"/>
      <c r="E88" s="5" t="inlineStr"/>
      <c r="F88" s="5" t="inlineStr">
        <is>
          <t>Dayanıklılık +1</t>
        </is>
      </c>
      <c r="G88" s="6" t="inlineStr">
        <is>
          <t>Listeyi verdin. Bakkal okudu, “Annenin yazısı” dedi, poşeti doldurdu, üstüne bir sakız koydu. Sakız listede yoktu.</t>
        </is>
      </c>
      <c r="H88" s="6" t="inlineStr"/>
      <c r="I88" s="6" t="inlineStr"/>
      <c r="J88" s="6" t="inlineStr"/>
      <c r="K88" s="6" t="inlineStr"/>
      <c r="L88" s="6" t="inlineStr"/>
      <c r="M88" s="5" t="inlineStr"/>
      <c r="N88" s="5" t="inlineStr"/>
      <c r="O88" s="6" t="inlineStr"/>
      <c r="P88" s="6" t="inlineStr"/>
      <c r="Q88" s="5" t="inlineStr"/>
      <c r="R88" s="5" t="inlineStr"/>
      <c r="S88" s="5" t="inlineStr"/>
      <c r="T88" s="5" t="inlineStr"/>
      <c r="U88" s="5" t="inlineStr"/>
      <c r="V88" s="5" t="inlineStr"/>
      <c r="W88" s="5" t="inlineStr"/>
      <c r="X88" s="5" t="inlineStr"/>
      <c r="Y88" s="5" t="inlineStr"/>
      <c r="Z88" s="6" t="inlineStr"/>
      <c r="AA88" s="5" t="inlineStr"/>
      <c r="AB88" s="5" t="inlineStr"/>
      <c r="AC88" s="5" t="inlineStr"/>
      <c r="AD88" s="5" t="inlineStr"/>
      <c r="AE88" s="5" t="inlineStr"/>
      <c r="AF88" s="5" t="inlineStr"/>
      <c r="AG88" s="5" t="inlineStr"/>
      <c r="AH88" s="5" t="inlineStr"/>
      <c r="AI88" s="5" t="inlineStr"/>
      <c r="AJ88" s="5" t="inlineStr"/>
    </row>
    <row r="89">
      <c r="A89" s="5" t="inlineStr">
        <is>
          <t>mahalle-bakkali</t>
        </is>
      </c>
      <c r="B89" s="5" t="n">
        <v>2</v>
      </c>
      <c r="C89" s="6" t="inlineStr">
        <is>
          <t>Fiyat sor</t>
        </is>
      </c>
      <c r="D89" s="5" t="inlineStr">
        <is>
          <t>Çene</t>
        </is>
      </c>
      <c r="E89" s="5" t="inlineStr">
        <is>
          <t>Kolay</t>
        </is>
      </c>
      <c r="F89" s="5" t="inlineStr"/>
      <c r="G89" s="6" t="inlineStr"/>
      <c r="H89" s="6" t="inlineStr">
        <is>
          <t>Fiyat sordun. Bakkal söyledi. “Geçen hafta daha ucuzdu” dedin. Bakkal güldü: “Geçen hafta hepimiz daha ucuzduk.”</t>
        </is>
      </c>
      <c r="I89" s="6" t="inlineStr">
        <is>
          <t>“Amca, bu kaç?” dedin ve cevabı beklerken kirpiklerini üç kez kırptın. Bakkal yarı fiyatına verdi, üstüne bir çikolata koydu. Balkondan annen seslendi: “Ne dedin adama?”</t>
        </is>
      </c>
      <c r="J89" s="6" t="inlineStr">
        <is>
          <t>Sordun, bakkal duymadı. Radyo açıktı.</t>
        </is>
      </c>
      <c r="K89" s="6" t="inlineStr">
        <is>
          <t>Fiyat sordun; bakkal yüksek sesle “Paran yetmez” dedi. Dükkândaki üç komşu duydu. Akşam annen üçünden ayrı ayrı öğrendi.</t>
        </is>
      </c>
      <c r="L89" s="6" t="inlineStr"/>
      <c r="M89" s="5" t="inlineStr"/>
      <c r="N89" s="5" t="inlineStr"/>
      <c r="O89" s="6" t="inlineStr"/>
      <c r="P89" s="6" t="inlineStr"/>
      <c r="Q89" s="5" t="inlineStr"/>
      <c r="R89" s="5" t="inlineStr"/>
      <c r="S89" s="5" t="inlineStr"/>
      <c r="T89" s="5" t="inlineStr"/>
      <c r="U89" s="5" t="inlineStr"/>
      <c r="V89" s="5" t="inlineStr"/>
      <c r="W89" s="5" t="inlineStr"/>
      <c r="X89" s="5" t="inlineStr"/>
      <c r="Y89" s="5" t="inlineStr"/>
      <c r="Z89" s="6" t="inlineStr"/>
      <c r="AA89" s="5" t="inlineStr"/>
      <c r="AB89" s="5" t="inlineStr"/>
      <c r="AC89" s="5" t="inlineStr"/>
      <c r="AD89" s="5" t="inlineStr"/>
      <c r="AE89" s="5" t="inlineStr"/>
      <c r="AF89" s="5" t="inlineStr"/>
      <c r="AG89" s="5" t="inlineStr"/>
      <c r="AH89" s="5" t="inlineStr"/>
      <c r="AI89" s="5" t="inlineStr"/>
      <c r="AJ89" s="5" t="inlineStr"/>
    </row>
    <row r="90">
      <c r="A90" s="5" t="inlineStr">
        <is>
          <t>mahalle-bakkali</t>
        </is>
      </c>
      <c r="B90" s="5" t="n">
        <v>3</v>
      </c>
      <c r="C90" s="6" t="inlineStr">
        <is>
          <t>Para üstünü kontrol et</t>
        </is>
      </c>
      <c r="D90" s="5" t="inlineStr">
        <is>
          <t>Kurnazlık</t>
        </is>
      </c>
      <c r="E90" s="5" t="inlineStr">
        <is>
          <t>Zor</t>
        </is>
      </c>
      <c r="F90" s="5" t="inlineStr"/>
      <c r="G90" s="6" t="inlineStr"/>
      <c r="H90" s="6" t="inlineStr">
        <is>
          <t>Para üstünü saydın: bir eksik. Bakkal “Hay aksi” dedi, tamamladı. Annen balkondan alkışladı.</t>
        </is>
      </c>
      <c r="I90" s="6" t="inlineStr">
        <is>
          <t>“Bir eksik!” dedin. Bakkal saydı; gerçekten eksikti. Dükkândaki teyzelere döndü: “Bu çocuk benim çırağım olur.” Annen balkondan “Olmaz, okuyacak!” diye bağırdı.</t>
        </is>
      </c>
      <c r="J90" s="6" t="inlineStr">
        <is>
          <t>Saydın, bir daha saydın. Sonuç her seferinde farklı.</t>
        </is>
      </c>
      <c r="K90" s="6" t="inlineStr">
        <is>
          <t>Para üstünü saymak için avucunu açtın; bozukluklar yere saçıldı, biri rafın altına kaçtı. Bakkal amca dizlerinin üstüne çöktü, süpürge sapıyla on dakika aradı. Balkondan annen “Bırakın, bırakın!” diye bağırınca bütün apartman cama çıktı.</t>
        </is>
      </c>
      <c r="L90" s="6" t="inlineStr"/>
      <c r="M90" s="5" t="inlineStr"/>
      <c r="N90" s="5" t="inlineStr"/>
      <c r="O90" s="6" t="inlineStr"/>
      <c r="P90" s="6" t="inlineStr"/>
      <c r="Q90" s="5" t="inlineStr"/>
      <c r="R90" s="5" t="inlineStr"/>
      <c r="S90" s="5" t="inlineStr"/>
      <c r="T90" s="5" t="inlineStr">
        <is>
          <t>Para Üstü Radarı</t>
        </is>
      </c>
      <c r="U90" s="5" t="inlineStr"/>
      <c r="V90" s="5" t="inlineStr"/>
      <c r="W90" s="5" t="inlineStr"/>
      <c r="X90" s="5" t="inlineStr"/>
      <c r="Y90" s="5" t="inlineStr"/>
      <c r="Z90" s="6" t="inlineStr"/>
      <c r="AA90" s="5" t="inlineStr"/>
      <c r="AB90" s="5" t="inlineStr"/>
      <c r="AC90" s="5" t="inlineStr"/>
      <c r="AD90" s="5" t="inlineStr"/>
      <c r="AE90" s="5" t="inlineStr"/>
      <c r="AF90" s="5" t="inlineStr"/>
      <c r="AG90" s="5" t="inlineStr"/>
      <c r="AH90" s="5" t="inlineStr"/>
      <c r="AI90" s="5" t="inlineStr"/>
      <c r="AJ90" s="5" t="inlineStr"/>
    </row>
    <row r="91">
      <c r="A91" s="5" t="inlineStr">
        <is>
          <t>mahalle-bakkali</t>
        </is>
      </c>
      <c r="B91" s="5" t="n">
        <v>4</v>
      </c>
      <c r="C91" s="6" t="inlineStr">
        <is>
          <t>Veresiye defterine yazdır</t>
        </is>
      </c>
      <c r="D91" s="5" t="inlineStr">
        <is>
          <t>Çene</t>
        </is>
      </c>
      <c r="E91" s="5" t="inlineStr">
        <is>
          <t>Kolay</t>
        </is>
      </c>
      <c r="F91" s="5" t="inlineStr"/>
      <c r="G91" s="6" t="inlineStr"/>
      <c r="H91" s="6" t="inlineStr">
        <is>
          <t>Adın veresiye defterine girdi; babanın adının hemen altına.</t>
        </is>
      </c>
      <c r="I91" s="6" t="inlineStr">
        <is>
          <t>Bakkal defteri açıp adını kocaman yazdı, bir de sakız uzattı: “Bizim en küçük müşterimiz.” Akşam baban defteri görmeye indi; senin adın onunkinden kalın yazılmıştı.</t>
        </is>
      </c>
      <c r="J91" s="6" t="inlineStr">
        <is>
          <t>Bakkal defteri kapattı: 'Önce annen gelsin.'</t>
        </is>
      </c>
      <c r="K91" s="6" t="inlineStr">
        <is>
          <t>Bakkal defteri açtı ve senin satırını bulana kadar babanın sayfasını yüksek sesle okudu: “İki ekmek, bir yoğurt… geçen ayınki de duruyor.” Dükkândaki iki komşu birbirine baktı. Akşam baban borcu kapattı, sana da bir hafta bakkal yolunu yasakladı.</t>
        </is>
      </c>
      <c r="L91" s="6" t="inlineStr"/>
      <c r="M91" s="5" t="inlineStr"/>
      <c r="N91" s="5" t="inlineStr"/>
      <c r="O91" s="6" t="inlineStr"/>
      <c r="P91" s="6" t="inlineStr"/>
      <c r="Q91" s="5" t="inlineStr">
        <is>
          <t>Küçük Tüccar</t>
        </is>
      </c>
      <c r="R91" s="5" t="inlineStr"/>
      <c r="S91" s="5" t="inlineStr"/>
      <c r="T91" s="5" t="inlineStr"/>
      <c r="U91" s="5" t="inlineStr"/>
      <c r="V91" s="5" t="inlineStr"/>
      <c r="W91" s="5" t="inlineStr"/>
      <c r="X91" s="5" t="inlineStr"/>
      <c r="Y91" s="5" t="inlineStr"/>
      <c r="Z91" s="6" t="inlineStr"/>
      <c r="AA91" s="5" t="inlineStr"/>
      <c r="AB91" s="5" t="inlineStr"/>
      <c r="AC91" s="5" t="inlineStr"/>
      <c r="AD91" s="5" t="inlineStr"/>
      <c r="AE91" s="5" t="inlineStr"/>
      <c r="AF91" s="5" t="inlineStr"/>
      <c r="AG91" s="5" t="inlineStr"/>
      <c r="AH91" s="5" t="inlineStr"/>
      <c r="AI91" s="5" t="inlineStr"/>
      <c r="AJ91" s="5" t="inlineStr"/>
    </row>
    <row r="92">
      <c r="A92" s="5" t="inlineStr">
        <is>
          <t>kaybolan-bozuk-para</t>
        </is>
      </c>
      <c r="B92" s="5" t="n">
        <v>1</v>
      </c>
      <c r="C92" s="6" t="inlineStr">
        <is>
          <t>Yanındaki teyzeye ver</t>
        </is>
      </c>
      <c r="D92" s="5" t="inlineStr"/>
      <c r="E92" s="5" t="inlineStr"/>
      <c r="F92" s="5" t="inlineStr">
        <is>
          <t>İtibar +1</t>
        </is>
      </c>
      <c r="G92" s="6" t="inlineStr">
        <is>
          <t>Parayı yanındaki teyzeye verdin. Teyze “Senin olsun” dedi. Şimdi hem para sende hem “aferin”.</t>
        </is>
      </c>
      <c r="H92" s="6" t="inlineStr"/>
      <c r="I92" s="6" t="inlineStr"/>
      <c r="J92" s="6" t="inlineStr"/>
      <c r="K92" s="6" t="inlineStr"/>
      <c r="L92" s="6" t="inlineStr"/>
      <c r="M92" s="5" t="inlineStr"/>
      <c r="N92" s="5" t="inlineStr"/>
      <c r="O92" s="6" t="inlineStr"/>
      <c r="P92" s="6" t="inlineStr"/>
      <c r="Q92" s="5" t="inlineStr"/>
      <c r="R92" s="5" t="inlineStr"/>
      <c r="S92" s="5" t="inlineStr"/>
      <c r="T92" s="5" t="inlineStr"/>
      <c r="U92" s="5" t="inlineStr"/>
      <c r="V92" s="5" t="inlineStr"/>
      <c r="W92" s="5" t="inlineStr"/>
      <c r="X92" s="5" t="inlineStr"/>
      <c r="Y92" s="5" t="inlineStr"/>
      <c r="Z92" s="6" t="inlineStr"/>
      <c r="AA92" s="5" t="inlineStr"/>
      <c r="AB92" s="5" t="inlineStr"/>
      <c r="AC92" s="5" t="inlineStr"/>
      <c r="AD92" s="5" t="inlineStr"/>
      <c r="AE92" s="5" t="inlineStr"/>
      <c r="AF92" s="5" t="inlineStr"/>
      <c r="AG92" s="5" t="inlineStr"/>
      <c r="AH92" s="5" t="inlineStr"/>
      <c r="AI92" s="5" t="inlineStr"/>
      <c r="AJ92" s="5" t="inlineStr"/>
    </row>
    <row r="93">
      <c r="A93" s="5" t="inlineStr">
        <is>
          <t>kaybolan-bozuk-para</t>
        </is>
      </c>
      <c r="B93" s="5" t="n">
        <v>2</v>
      </c>
      <c r="C93" s="6" t="inlineStr">
        <is>
          <t>Cebe koy</t>
        </is>
      </c>
      <c r="D93" s="5" t="inlineStr">
        <is>
          <t>Kurnazlık</t>
        </is>
      </c>
      <c r="E93" s="5" t="inlineStr">
        <is>
          <t>Kolay</t>
        </is>
      </c>
      <c r="F93" s="5" t="inlineStr"/>
      <c r="G93" s="6" t="inlineStr"/>
      <c r="H93" s="6" t="inlineStr">
        <is>
          <t>Parayı aldın, cebine koydun. Cebin bir bozukluk ağırlaştı, vicdanın biraz daha.</t>
        </is>
      </c>
      <c r="I93" s="6" t="inlineStr">
        <is>
          <t>Kimse bakmazken eğildin, aldın, doğruldun. Bozukluk cebinde, yüzünde melek ifadesi.</t>
        </is>
      </c>
      <c r="J93" s="6" t="inlineStr">
        <is>
          <t>Uzandın; başka bir çocuk senden önce kaptı. Teşekkür bile etmedi.</t>
        </is>
      </c>
      <c r="K93" s="6" t="inlineStr">
        <is>
          <t>Tam eğildiğin an annen de teyze de aynı anda döndü: “Ne yapıyorsun orada?” “Bağcığımı bağlıyordum.” Ayakkabın cırt cırtlıydı. Teyze bunu akşama kadar bütün apartmana anlattı; ertesi gün kapıcı seni “Gel bakalım, Cırt Cırt” diye karşıladı.</t>
        </is>
      </c>
      <c r="L93" s="6" t="inlineStr">
        <is>
          <t>Parayı aldın; tam o anda bir teyze döndü: “Yerden mi aldın?” Cevap vermedin.</t>
        </is>
      </c>
      <c r="M93" s="5" t="inlineStr">
        <is>
          <t>timing</t>
        </is>
      </c>
      <c r="N93" s="5" t="inlineStr">
        <is>
          <t>Kimse Bakmazken</t>
        </is>
      </c>
      <c r="O93" s="6" t="inlineStr">
        <is>
          <t>Büyükler başka yere baktığında işaret yeşile girer. O an dokun.</t>
        </is>
      </c>
      <c r="P93" s="6" t="inlineStr"/>
      <c r="Q93" s="5" t="inlineStr"/>
      <c r="R93" s="5" t="inlineStr"/>
      <c r="S93" s="5" t="inlineStr"/>
      <c r="T93" s="5" t="inlineStr"/>
      <c r="U93" s="5" t="inlineStr"/>
      <c r="V93" s="5" t="inlineStr"/>
      <c r="W93" s="5" t="inlineStr"/>
      <c r="X93" s="5" t="inlineStr"/>
      <c r="Y93" s="5" t="inlineStr"/>
      <c r="Z93" s="6" t="inlineStr"/>
      <c r="AA93" s="5" t="inlineStr"/>
      <c r="AB93" s="5" t="inlineStr"/>
      <c r="AC93" s="5" t="inlineStr"/>
      <c r="AD93" s="5" t="inlineStr"/>
      <c r="AE93" s="5" t="inlineStr"/>
      <c r="AF93" s="5" t="inlineStr"/>
      <c r="AG93" s="5" t="inlineStr"/>
      <c r="AH93" s="5" t="inlineStr"/>
      <c r="AI93" s="5" t="inlineStr">
        <is>
          <t>Cırt Cırt</t>
        </is>
      </c>
      <c r="AJ93" s="5" t="inlineStr"/>
    </row>
    <row r="94">
      <c r="A94" s="5" t="inlineStr">
        <is>
          <t>kaybolan-bozuk-para</t>
        </is>
      </c>
      <c r="B94" s="5" t="n">
        <v>3</v>
      </c>
      <c r="C94" s="6" t="inlineStr">
        <is>
          <t>Olduğu yerde bırak</t>
        </is>
      </c>
      <c r="D94" s="5" t="inlineStr"/>
      <c r="E94" s="5" t="inlineStr"/>
      <c r="F94" s="5" t="inlineStr">
        <is>
          <t>İtibar +1</t>
        </is>
      </c>
      <c r="G94" s="6" t="inlineStr">
        <is>
          <t>Bıraktın, yürüdün. Üç adım sonra döndün; başkası almıştı.</t>
        </is>
      </c>
      <c r="H94" s="6" t="inlineStr"/>
      <c r="I94" s="6" t="inlineStr"/>
      <c r="J94" s="6" t="inlineStr"/>
      <c r="K94" s="6" t="inlineStr"/>
      <c r="L94" s="6" t="inlineStr"/>
      <c r="M94" s="5" t="inlineStr"/>
      <c r="N94" s="5" t="inlineStr"/>
      <c r="O94" s="6" t="inlineStr"/>
      <c r="P94" s="6" t="inlineStr"/>
      <c r="Q94" s="5" t="inlineStr"/>
      <c r="R94" s="5" t="inlineStr"/>
      <c r="S94" s="5" t="inlineStr"/>
      <c r="T94" s="5" t="inlineStr"/>
      <c r="U94" s="5" t="inlineStr"/>
      <c r="V94" s="5" t="inlineStr"/>
      <c r="W94" s="5" t="inlineStr"/>
      <c r="X94" s="5" t="inlineStr"/>
      <c r="Y94" s="5" t="inlineStr"/>
      <c r="Z94" s="6" t="inlineStr"/>
      <c r="AA94" s="5" t="inlineStr"/>
      <c r="AB94" s="5" t="inlineStr"/>
      <c r="AC94" s="5" t="inlineStr"/>
      <c r="AD94" s="5" t="inlineStr"/>
      <c r="AE94" s="5" t="inlineStr"/>
      <c r="AF94" s="5" t="inlineStr"/>
      <c r="AG94" s="5" t="inlineStr"/>
      <c r="AH94" s="5" t="inlineStr"/>
      <c r="AI94" s="5" t="inlineStr"/>
      <c r="AJ94" s="5" t="inlineStr"/>
    </row>
    <row r="95">
      <c r="A95" s="5" t="inlineStr">
        <is>
          <t>takim-seciliyor</t>
        </is>
      </c>
      <c r="B95" s="5" t="n">
        <v>1</v>
      </c>
      <c r="C95" s="6" t="inlineStr">
        <is>
          <t>Bekle</t>
        </is>
      </c>
      <c r="D95" s="5" t="inlineStr">
        <is>
          <t>Dayanıklılık</t>
        </is>
      </c>
      <c r="E95" s="5" t="inlineStr">
        <is>
          <t>Kolay</t>
        </is>
      </c>
      <c r="F95" s="5" t="inlineStr"/>
      <c r="G95" s="6" t="inlineStr"/>
      <c r="H95" s="6" t="inlineStr">
        <is>
          <t>Bekledin. Sekizinci seçildin; ne ilk, ne son. Kaptan “Sağ bek” dedi; sağ bekin ne olduğunu o maçta öğrendin.</t>
        </is>
      </c>
      <c r="I95" s="6" t="inlineStr">
        <is>
          <t>Kaptanlar ayak ayak yürürken sen topunu dizinde sessizce sektirdin. İlk seçen kaptan hiç düşünmedi: “Topun sahibi bizde!”</t>
        </is>
      </c>
      <c r="J95" s="6" t="inlineStr">
        <is>
          <t>Son seçilen oldun. Takıma kaleci olarak katıldın.</t>
        </is>
      </c>
      <c r="K95" s="6" t="inlineStr">
        <is>
          <t>Kaptanlar seni değil, topunu seçti: “Topu bırak, sen yedeksin.” “Top benim, oynamıyorum!” dedin, topu koltuğunun altına alıp sınıfa döndün. Ertesi teneffüs başka bir topla oynadılar; seni çağırmadılar.</t>
        </is>
      </c>
      <c r="L95" s="6" t="inlineStr"/>
      <c r="M95" s="5" t="inlineStr"/>
      <c r="N95" s="5" t="inlineStr"/>
      <c r="O95" s="6" t="inlineStr"/>
      <c r="P95" s="6" t="inlineStr"/>
      <c r="Q95" s="5" t="inlineStr"/>
      <c r="R95" s="5" t="inlineStr"/>
      <c r="S95" s="5" t="inlineStr"/>
      <c r="T95" s="5" t="inlineStr"/>
      <c r="U95" s="5" t="inlineStr"/>
      <c r="V95" s="5" t="inlineStr"/>
      <c r="W95" s="5" t="inlineStr"/>
      <c r="X95" s="5" t="inlineStr"/>
      <c r="Y95" s="5" t="inlineStr"/>
      <c r="Z95" s="6" t="inlineStr"/>
      <c r="AA95" s="5" t="inlineStr"/>
      <c r="AB95" s="5" t="inlineStr"/>
      <c r="AC95" s="5" t="inlineStr"/>
      <c r="AD95" s="5" t="inlineStr"/>
      <c r="AE95" s="5" t="inlineStr"/>
      <c r="AF95" s="5" t="inlineStr"/>
      <c r="AG95" s="5" t="inlineStr"/>
      <c r="AH95" s="5" t="inlineStr"/>
      <c r="AI95" s="5" t="inlineStr"/>
      <c r="AJ95" s="5" t="inlineStr"/>
    </row>
    <row r="96">
      <c r="A96" s="5" t="inlineStr">
        <is>
          <t>takim-seciliyor</t>
        </is>
      </c>
      <c r="B96" s="5" t="n">
        <v>2</v>
      </c>
      <c r="C96" s="6" t="inlineStr">
        <is>
          <t>'Beni al' de</t>
        </is>
      </c>
      <c r="D96" s="5" t="inlineStr">
        <is>
          <t>Cesaret</t>
        </is>
      </c>
      <c r="E96" s="5" t="inlineStr">
        <is>
          <t>Kolay</t>
        </is>
      </c>
      <c r="F96" s="5" t="inlineStr"/>
      <c r="G96" s="6" t="inlineStr"/>
      <c r="H96" s="6" t="inlineStr">
        <is>
          <t>“Beni al, hızlıyım!” dedin. Kaptan aldı. Hızlı değildin; ilk yarıda kimse anlamadı.</t>
        </is>
      </c>
      <c r="I96" s="6" t="inlineStr">
        <is>
          <t>“Beni alan kazanır, annem de tost getiriyor!” dedin. İki kaptan seni almak için ayak ayak yeniden yürüdü. Annen tostu gerçekten getirdi.</t>
        </is>
      </c>
      <c r="J96" s="6" t="inlineStr">
        <is>
          <t>'Beni al' dedin. Kaptan 'bakarız' dedi.</t>
        </is>
      </c>
      <c r="K96" s="6" t="inlineStr">
        <is>
          <t>“Beni al!” dedin. Kaptan sana baktı, düşündü, çantaları gösterdi: “Sen direk ol.” Bütün maçı kale direği olarak geçirdin. Top iki kez sana çarptı; ikisi de gol sayıldı.</t>
        </is>
      </c>
      <c r="L96" s="6" t="inlineStr"/>
      <c r="M96" s="5" t="inlineStr"/>
      <c r="N96" s="5" t="inlineStr"/>
      <c r="O96" s="6" t="inlineStr"/>
      <c r="P96" s="6" t="inlineStr"/>
      <c r="Q96" s="5" t="inlineStr"/>
      <c r="R96" s="5" t="inlineStr"/>
      <c r="S96" s="5" t="inlineStr"/>
      <c r="T96" s="5" t="inlineStr"/>
      <c r="U96" s="5" t="inlineStr"/>
      <c r="V96" s="5" t="inlineStr"/>
      <c r="W96" s="5" t="inlineStr"/>
      <c r="X96" s="5" t="inlineStr"/>
      <c r="Y96" s="5" t="inlineStr"/>
      <c r="Z96" s="6" t="inlineStr"/>
      <c r="AA96" s="5" t="inlineStr"/>
      <c r="AB96" s="5" t="inlineStr"/>
      <c r="AC96" s="5" t="inlineStr"/>
      <c r="AD96" s="5" t="inlineStr"/>
      <c r="AE96" s="5" t="inlineStr"/>
      <c r="AF96" s="5" t="inlineStr"/>
      <c r="AG96" s="5" t="inlineStr"/>
      <c r="AH96" s="5" t="inlineStr"/>
      <c r="AI96" s="5" t="inlineStr"/>
      <c r="AJ96" s="5" t="inlineStr"/>
    </row>
    <row r="97">
      <c r="A97" s="5" t="inlineStr">
        <is>
          <t>takim-seciliyor</t>
        </is>
      </c>
      <c r="B97" s="5" t="n">
        <v>3</v>
      </c>
      <c r="C97" s="6" t="inlineStr">
        <is>
          <t>İyi oynayan çocuğa git</t>
        </is>
      </c>
      <c r="D97" s="5" t="inlineStr">
        <is>
          <t>Sosyal Radar</t>
        </is>
      </c>
      <c r="E97" s="5" t="inlineStr">
        <is>
          <t>Orta</t>
        </is>
      </c>
      <c r="F97" s="5" t="inlineStr"/>
      <c r="G97" s="6" t="inlineStr"/>
      <c r="H97" s="6" t="inlineStr">
        <is>
          <t>En iyi oynayanın yanına gittin; o seçilince seni de gösterdi: “O benimle.” Yetti.</t>
        </is>
      </c>
      <c r="I97" s="6" t="inlineStr">
        <is>
          <t>Bir bakışta sahanın en iyisini buldun: dizleri yara bere içinde, ayakkabısının burnu açılmış bir çocuk. Kaptan onu seçince ikinizi birden aldı. Yedi gol attınız; zil çaldı, kimse duymadı.</t>
        </is>
      </c>
      <c r="J97" s="6" t="inlineStr">
        <is>
          <t>Yanına gittiğin çocuk çantasından top yerine bilye çıkardı. İkiniz en son seçildiniz.</t>
        </is>
      </c>
      <c r="K97" s="6" t="inlineStr">
        <is>
          <t>“En iyi o oynar” diye yanına gittiğin çocuk ilk vuruşta kendi kalesine attı. Bütün takım sana döndü.</t>
        </is>
      </c>
      <c r="L97" s="6" t="inlineStr">
        <is>
          <t>Fena değildi ama en iyisi değildi.</t>
        </is>
      </c>
      <c r="M97" s="5" t="inlineStr">
        <is>
          <t>hidden</t>
        </is>
      </c>
      <c r="N97" s="5" t="inlineStr">
        <is>
          <t>Takımı Oku</t>
        </is>
      </c>
      <c r="O97" s="6" t="inlineStr">
        <is>
          <t>Kalabalıkta topu en iyi sürenin işaretini (⚽) bul.</t>
        </is>
      </c>
      <c r="P97" s="6" t="inlineStr">
        <is>
          <t>{"target": "⚽", "decoys": ["🧒", "👦", "👧", "🧒🏽"]}</t>
        </is>
      </c>
      <c r="Q97" s="5" t="inlineStr"/>
      <c r="R97" s="5" t="inlineStr"/>
      <c r="S97" s="5" t="inlineStr"/>
      <c r="T97" s="5" t="inlineStr"/>
      <c r="U97" s="5" t="inlineStr"/>
      <c r="V97" s="5" t="inlineStr"/>
      <c r="W97" s="5" t="inlineStr"/>
      <c r="X97" s="5" t="inlineStr"/>
      <c r="Y97" s="5" t="inlineStr"/>
      <c r="Z97" s="6" t="inlineStr"/>
      <c r="AA97" s="5" t="inlineStr"/>
      <c r="AB97" s="5" t="inlineStr"/>
      <c r="AC97" s="5" t="inlineStr"/>
      <c r="AD97" s="5" t="inlineStr"/>
      <c r="AE97" s="5" t="inlineStr"/>
      <c r="AF97" s="5" t="inlineStr"/>
      <c r="AG97" s="5" t="inlineStr"/>
      <c r="AH97" s="5" t="inlineStr"/>
      <c r="AI97" s="5" t="inlineStr"/>
      <c r="AJ97" s="5" t="inlineStr"/>
    </row>
    <row r="98">
      <c r="A98" s="5" t="inlineStr">
        <is>
          <t>sana-guluyorlar</t>
        </is>
      </c>
      <c r="B98" s="5" t="n">
        <v>1</v>
      </c>
      <c r="C98" s="6" t="inlineStr">
        <is>
          <t>Sus</t>
        </is>
      </c>
      <c r="D98" s="5" t="inlineStr"/>
      <c r="E98" s="5" t="inlineStr"/>
      <c r="F98" s="5" t="inlineStr">
        <is>
          <t>Dayanıklılık +1</t>
        </is>
      </c>
      <c r="G98" s="6" t="inlineStr">
        <is>
          <t>Sustun. Gülme üç saniye sürdü, sonra top geldi, unutuldu. Sen unutmadın.</t>
        </is>
      </c>
      <c r="H98" s="6" t="inlineStr"/>
      <c r="I98" s="6" t="inlineStr"/>
      <c r="J98" s="6" t="inlineStr"/>
      <c r="K98" s="6" t="inlineStr"/>
      <c r="L98" s="6" t="inlineStr"/>
      <c r="M98" s="5" t="inlineStr"/>
      <c r="N98" s="5" t="inlineStr"/>
      <c r="O98" s="6" t="inlineStr"/>
      <c r="P98" s="6" t="inlineStr"/>
      <c r="Q98" s="5" t="inlineStr"/>
      <c r="R98" s="5" t="inlineStr"/>
      <c r="S98" s="5" t="inlineStr"/>
      <c r="T98" s="5" t="inlineStr"/>
      <c r="U98" s="5" t="inlineStr"/>
      <c r="V98" s="5" t="inlineStr"/>
      <c r="W98" s="5" t="inlineStr"/>
      <c r="X98" s="5" t="inlineStr"/>
      <c r="Y98" s="5" t="inlineStr"/>
      <c r="Z98" s="6" t="inlineStr"/>
      <c r="AA98" s="5" t="inlineStr"/>
      <c r="AB98" s="5" t="inlineStr"/>
      <c r="AC98" s="5" t="inlineStr"/>
      <c r="AD98" s="5" t="inlineStr"/>
      <c r="AE98" s="5" t="inlineStr"/>
      <c r="AF98" s="5" t="inlineStr"/>
      <c r="AG98" s="5" t="inlineStr"/>
      <c r="AH98" s="5" t="inlineStr"/>
      <c r="AI98" s="5" t="inlineStr"/>
      <c r="AJ98" s="5" t="inlineStr"/>
    </row>
    <row r="99">
      <c r="A99" s="5" t="inlineStr">
        <is>
          <t>sana-guluyorlar</t>
        </is>
      </c>
      <c r="B99" s="5" t="n">
        <v>2</v>
      </c>
      <c r="C99" s="6" t="inlineStr">
        <is>
          <t>Kendine de gül</t>
        </is>
      </c>
      <c r="D99" s="5" t="inlineStr">
        <is>
          <t>Pişkinlik</t>
        </is>
      </c>
      <c r="E99" s="5" t="inlineStr">
        <is>
          <t>Zor</t>
        </is>
      </c>
      <c r="F99" s="5" t="inlineStr"/>
      <c r="G99" s="6" t="inlineStr"/>
      <c r="H99" s="6" t="inlineStr">
        <is>
          <t>Sen de güldün, hem de en yüksek sesle. Gülme şakadan oyuna döndü; artık herkes seninle gülüyor.</t>
        </is>
      </c>
      <c r="I99" s="6" t="inlineStr">
        <is>
          <t>Kendine güldün, herkes seninle güldü; bir saat sonra aynı espriyi onlar tekrar ediyordu.</t>
        </is>
      </c>
      <c r="J99" s="6" t="inlineStr">
        <is>
          <t>Güldün ama biraz geç. Kahkahalar çoktan bitmişti.</t>
        </is>
      </c>
      <c r="K99" s="6" t="inlineStr">
        <is>
          <t>Sen de güldün; öyle güldün ki burnundan süt geldi. Gülme ikinci tura girdi, öğretmen peçete yetiştiremedi. Akşam kapıda annene “Bugün çok eğlendi” dedi; sütü anlatmadı, çocuklar anlattı.</t>
        </is>
      </c>
      <c r="L99" s="6" t="inlineStr"/>
      <c r="M99" s="5" t="inlineStr"/>
      <c r="N99" s="5" t="inlineStr"/>
      <c r="O99" s="6" t="inlineStr"/>
      <c r="P99" s="6" t="inlineStr"/>
      <c r="Q99" s="5" t="inlineStr"/>
      <c r="R99" s="5" t="inlineStr"/>
      <c r="S99" s="5" t="inlineStr"/>
      <c r="T99" s="5" t="inlineStr">
        <is>
          <t>Kendine Gülebilir</t>
        </is>
      </c>
      <c r="U99" s="5" t="inlineStr"/>
      <c r="V99" s="5" t="inlineStr"/>
      <c r="W99" s="5" t="inlineStr"/>
      <c r="X99" s="5" t="inlineStr"/>
      <c r="Y99" s="5" t="inlineStr"/>
      <c r="Z99" s="6" t="inlineStr"/>
      <c r="AA99" s="5" t="inlineStr"/>
      <c r="AB99" s="5" t="inlineStr"/>
      <c r="AC99" s="5" t="inlineStr"/>
      <c r="AD99" s="5" t="inlineStr"/>
      <c r="AE99" s="5" t="inlineStr"/>
      <c r="AF99" s="5" t="inlineStr"/>
      <c r="AG99" s="5" t="inlineStr"/>
      <c r="AH99" s="5" t="inlineStr"/>
      <c r="AI99" s="5" t="inlineStr"/>
      <c r="AJ99" s="5" t="inlineStr"/>
    </row>
    <row r="100">
      <c r="A100" s="5" t="inlineStr">
        <is>
          <t>sana-guluyorlar</t>
        </is>
      </c>
      <c r="B100" s="5" t="n">
        <v>3</v>
      </c>
      <c r="C100" s="6" t="inlineStr">
        <is>
          <t>Laf yetiştir</t>
        </is>
      </c>
      <c r="D100" s="5" t="inlineStr">
        <is>
          <t>Çene</t>
        </is>
      </c>
      <c r="E100" s="5" t="inlineStr">
        <is>
          <t>Zor</t>
        </is>
      </c>
      <c r="F100" s="5" t="inlineStr"/>
      <c r="G100" s="6" t="inlineStr"/>
      <c r="H100" s="6" t="inlineStr">
        <is>
          <t>“Sen de burnunu karıştırıyordun” dedin. Doğruydu. Gülme yön değiştirdi.</t>
        </is>
      </c>
      <c r="I100" s="6" t="inlineStr">
        <is>
          <t>Ciddi ciddi anlattın: “Kedi bütün gün uyuyor, herkes onu seviyor, mamasını da başkası alıyor.” Gülenler sustu, düşündü. Ertesi gün sınıfta üç kedi adayı daha vardı.</t>
        </is>
      </c>
      <c r="J100" s="6" t="inlineStr">
        <is>
          <t>Cevabı buldun; eve gidince.</t>
        </is>
      </c>
      <c r="K100" s="6" t="inlineStr">
        <is>
          <t>“Siz… siz… siz de kedisiniz!” dedin. Ne demek istediğini sen de bilmiyordun. Gülme ikiye katlandı; o hafta bahçede herkes seni “Miyav!” diye selamladı.</t>
        </is>
      </c>
      <c r="L100" s="6" t="inlineStr"/>
      <c r="M100" s="5" t="inlineStr"/>
      <c r="N100" s="5" t="inlineStr"/>
      <c r="O100" s="6" t="inlineStr"/>
      <c r="P100" s="6" t="inlineStr"/>
      <c r="Q100" s="5" t="inlineStr"/>
      <c r="R100" s="5" t="inlineStr"/>
      <c r="S100" s="5" t="inlineStr"/>
      <c r="T100" s="5" t="inlineStr"/>
      <c r="U100" s="5" t="inlineStr"/>
      <c r="V100" s="5" t="inlineStr"/>
      <c r="W100" s="5" t="inlineStr"/>
      <c r="X100" s="5" t="inlineStr"/>
      <c r="Y100" s="5" t="inlineStr"/>
      <c r="Z100" s="6" t="inlineStr"/>
      <c r="AA100" s="5" t="inlineStr"/>
      <c r="AB100" s="5" t="inlineStr"/>
      <c r="AC100" s="5" t="inlineStr"/>
      <c r="AD100" s="5" t="inlineStr"/>
      <c r="AE100" s="5" t="inlineStr"/>
      <c r="AF100" s="5" t="inlineStr"/>
      <c r="AG100" s="5" t="inlineStr"/>
      <c r="AH100" s="5" t="inlineStr"/>
      <c r="AI100" s="5" t="inlineStr">
        <is>
          <t>Miyav</t>
        </is>
      </c>
      <c r="AJ100" s="5" t="inlineStr"/>
    </row>
    <row r="101">
      <c r="A101" s="5" t="inlineStr">
        <is>
          <t>sana-guluyorlar</t>
        </is>
      </c>
      <c r="B101" s="5" t="n">
        <v>4</v>
      </c>
      <c r="C101" s="6" t="inlineStr">
        <is>
          <t>Sahneyi devral</t>
        </is>
      </c>
      <c r="D101" s="5" t="inlineStr">
        <is>
          <t>Pişkinlik</t>
        </is>
      </c>
      <c r="E101" s="5" t="inlineStr">
        <is>
          <t>Kolay</t>
        </is>
      </c>
      <c r="F101" s="5" t="inlineStr"/>
      <c r="G101" s="6" t="inlineStr"/>
      <c r="H101" s="6" t="inlineStr">
        <is>
          <t>Ayağa kalktın, “Miyav!” dedin, eğilip selam verdin. Gülenler alkışlamaya başladı. Öğretmen “Peki kedicik, yerine geç” dedi; yerine geçtin, kuyruğunu toplayarak.</t>
        </is>
      </c>
      <c r="I101" s="6" t="inlineStr">
        <is>
          <t>Halıya kıvrılıp esnedin, öğretmenin bacağına sürtündün, beslenme çantana mama kabı gibi baktın. Sınıf yerlere yattı; öğretmen de. Ertesi gün yan sınıf da gösteriyi izlemeye geldi.</t>
        </is>
      </c>
      <c r="J101" s="6" t="inlineStr">
        <is>
          <t>Sahneyi devraldın; seyirci dağıldı.</t>
        </is>
      </c>
      <c r="K101" s="6" t="inlineStr">
        <is>
          <t>Sahneyi devraldın ve takıldın. Artık gerçekten gülüyorlar.</t>
        </is>
      </c>
      <c r="L101" s="6" t="inlineStr"/>
      <c r="M101" s="5" t="inlineStr"/>
      <c r="N101" s="5" t="inlineStr"/>
      <c r="O101" s="6" t="inlineStr"/>
      <c r="P101" s="6" t="inlineStr"/>
      <c r="Q101" s="5" t="inlineStr">
        <is>
          <t>Sahne Sever</t>
        </is>
      </c>
      <c r="R101" s="5" t="inlineStr"/>
      <c r="S101" s="5" t="inlineStr"/>
      <c r="T101" s="5" t="inlineStr"/>
      <c r="U101" s="5" t="inlineStr"/>
      <c r="V101" s="5" t="inlineStr"/>
      <c r="W101" s="5" t="inlineStr"/>
      <c r="X101" s="5" t="inlineStr"/>
      <c r="Y101" s="5" t="inlineStr"/>
      <c r="Z101" s="6" t="inlineStr"/>
      <c r="AA101" s="5" t="inlineStr"/>
      <c r="AB101" s="5" t="inlineStr"/>
      <c r="AC101" s="5" t="inlineStr"/>
      <c r="AD101" s="5" t="inlineStr"/>
      <c r="AE101" s="5" t="inlineStr"/>
      <c r="AF101" s="5" t="inlineStr"/>
      <c r="AG101" s="5" t="inlineStr"/>
      <c r="AH101" s="5" t="inlineStr"/>
      <c r="AI101" s="5" t="inlineStr"/>
      <c r="AJ101" s="5" t="inlineStr"/>
    </row>
    <row r="102">
      <c r="A102" s="5" t="inlineStr">
        <is>
          <t>ilk-kucuk-sir</t>
        </is>
      </c>
      <c r="B102" s="5" t="n">
        <v>1</v>
      </c>
      <c r="C102" s="6" t="inlineStr">
        <is>
          <t>Sırrı tut</t>
        </is>
      </c>
      <c r="D102" s="5" t="inlineStr">
        <is>
          <t>İtibar</t>
        </is>
      </c>
      <c r="E102" s="5" t="inlineStr">
        <is>
          <t>Orta</t>
        </is>
      </c>
      <c r="F102" s="5" t="inlineStr"/>
      <c r="G102" s="6" t="inlineStr"/>
      <c r="H102" s="6" t="inlineStr">
        <is>
          <t>Sırrı tuttun; bütün gün ağzını sıkı sıkı kapalı gezdin. Annen “Bu çocuk niye hiç konuşmuyor?” diye ateşine baktı. Arkadaşın uzaktan göz kırptı.</t>
        </is>
      </c>
      <c r="I102" s="6" t="inlineStr">
        <is>
          <t>Sırrı tuttun. Arkadaşın ertesi gün daha büyük bir sır verdi: babaannesinin saçı da çıkıyormuş. Artık kreşin sır kutusu sensin.</t>
        </is>
      </c>
      <c r="J102" s="6" t="inlineStr">
        <is>
          <t>Annen “Ne konuştunuz?” dedi. “Hiç” dedin. Sonra ekledin: “Diş falan konuşmadık.”</t>
        </is>
      </c>
      <c r="K102" s="6" t="inlineStr">
        <is>
          <t>Sırrı gündüz tuttun; gece uykunda bağırdın: “Dişler bardakta!” Annen babana anlattı, baban dedene, deden kahvede arkadaşının dedesine. İki dede bütün gün güldü; arkadaşın bir hafta seninle konuşmadı.</t>
        </is>
      </c>
      <c r="L102" s="6" t="inlineStr"/>
      <c r="M102" s="5" t="inlineStr"/>
      <c r="N102" s="5" t="inlineStr"/>
      <c r="O102" s="6" t="inlineStr"/>
      <c r="P102" s="6" t="inlineStr"/>
      <c r="Q102" s="5" t="inlineStr"/>
      <c r="R102" s="5" t="inlineStr"/>
      <c r="S102" s="5" t="inlineStr"/>
      <c r="T102" s="5" t="inlineStr"/>
      <c r="U102" s="5" t="inlineStr"/>
      <c r="V102" s="5" t="inlineStr"/>
      <c r="W102" s="5" t="inlineStr"/>
      <c r="X102" s="5" t="inlineStr"/>
      <c r="Y102" s="5" t="inlineStr"/>
      <c r="Z102" s="6" t="inlineStr"/>
      <c r="AA102" s="5" t="inlineStr"/>
      <c r="AB102" s="5" t="inlineStr"/>
      <c r="AC102" s="5" t="inlineStr"/>
      <c r="AD102" s="5" t="inlineStr"/>
      <c r="AE102" s="5" t="inlineStr"/>
      <c r="AF102" s="5" t="inlineStr"/>
      <c r="AG102" s="5" t="inlineStr"/>
      <c r="AH102" s="5" t="inlineStr"/>
      <c r="AI102" s="5" t="inlineStr"/>
      <c r="AJ102" s="5" t="inlineStr"/>
    </row>
    <row r="103">
      <c r="A103" s="5" t="inlineStr">
        <is>
          <t>ilk-kucuk-sir</t>
        </is>
      </c>
      <c r="B103" s="5" t="n">
        <v>2</v>
      </c>
      <c r="C103" s="6" t="inlineStr">
        <is>
          <t>Başkasına anlat</t>
        </is>
      </c>
      <c r="D103" s="5" t="inlineStr">
        <is>
          <t>Çene</t>
        </is>
      </c>
      <c r="E103" s="5" t="inlineStr">
        <is>
          <t>Orta</t>
        </is>
      </c>
      <c r="F103" s="5" t="inlineStr"/>
      <c r="G103" s="6" t="inlineStr"/>
      <c r="H103" s="6" t="inlineStr">
        <is>
          <t>Bir kişiye anlattın. Öğlene kadar bütün kreş biliyordu. Öğle yemeğinde üç kişi yanına oturdu; arkadaşın oturmadı.</t>
        </is>
      </c>
      <c r="I103" s="6" t="inlineStr">
        <is>
          <t>Sırrı öyle yaydın ki öğlene kadar bütün kreş dişleri konuştu, kimse kimden duyduğunu bilmiyordu. Arkadaşın bile gelip sana fısıldadı: “Biri benim sırrımı yaymış.” Başını salladın, çok üzgün baktın.</t>
        </is>
      </c>
      <c r="J103" s="6" t="inlineStr">
        <is>
          <t>Anlattın; dinleyen zaten biliyormuş.</t>
        </is>
      </c>
      <c r="K103" s="6" t="inlineStr">
        <is>
          <t>Fısıldadığın çocuk, arkadaşının kuzeniymiş. Akşam aile sofrasında anlatmış; dede dişlerini taktı ve “Kim söyledi?” diye sordu. Ertesi gün kreş kapısında seni bekleyen bir dede vardı; gülümsedi, dişleri tamdı.</t>
        </is>
      </c>
      <c r="L103" s="6" t="inlineStr"/>
      <c r="M103" s="5" t="inlineStr"/>
      <c r="N103" s="5" t="inlineStr"/>
      <c r="O103" s="6" t="inlineStr"/>
      <c r="P103" s="6" t="inlineStr"/>
      <c r="Q103" s="5" t="inlineStr"/>
      <c r="R103" s="5" t="inlineStr"/>
      <c r="S103" s="5" t="inlineStr"/>
      <c r="T103" s="5" t="inlineStr"/>
      <c r="U103" s="5" t="inlineStr">
        <is>
          <t>sirVerdi</t>
        </is>
      </c>
      <c r="V103" s="5" t="inlineStr"/>
      <c r="W103" s="5" t="inlineStr"/>
      <c r="X103" s="5" t="inlineStr"/>
      <c r="Y103" s="5" t="inlineStr"/>
      <c r="Z103" s="6" t="inlineStr"/>
      <c r="AA103" s="5" t="inlineStr"/>
      <c r="AB103" s="5" t="inlineStr"/>
      <c r="AC103" s="5" t="inlineStr"/>
      <c r="AD103" s="5" t="inlineStr"/>
      <c r="AE103" s="5" t="inlineStr"/>
      <c r="AF103" s="5" t="inlineStr"/>
      <c r="AG103" s="5" t="inlineStr"/>
      <c r="AH103" s="5" t="inlineStr"/>
      <c r="AI103" s="5" t="inlineStr"/>
      <c r="AJ103" s="5" t="inlineStr"/>
    </row>
    <row r="104">
      <c r="A104" s="5" t="inlineStr">
        <is>
          <t>ilk-kucuk-sir</t>
        </is>
      </c>
      <c r="B104" s="5" t="n">
        <v>3</v>
      </c>
      <c r="C104" s="6" t="inlineStr">
        <is>
          <t>“Bu sır mı ki?” diye düşün</t>
        </is>
      </c>
      <c r="D104" s="5" t="inlineStr">
        <is>
          <t>Sosyal Radar</t>
        </is>
      </c>
      <c r="E104" s="5" t="inlineStr">
        <is>
          <t>Kolay</t>
        </is>
      </c>
      <c r="F104" s="5" t="inlineStr"/>
      <c r="G104" s="6" t="inlineStr"/>
      <c r="H104" s="6" t="inlineStr">
        <is>
          <t>Biraz düşündün ve karar verdin: dişler çıkıyorsa takılıyor da demek. Korkacak bir şey yok. Sır cebe, sen oyuna.</t>
        </is>
      </c>
      <c r="I104" s="6" t="inlineStr">
        <is>
          <t>Düşündün: senin dedenin de dişleri çıkıyor, babaannenin de. Arkadaşına söyledin: “Bu sır değil, bütün dedeler böyle.” Arkadaşın öyle rahatladı ki öğle yemeğindeki köftesini sana verdi.</t>
        </is>
      </c>
      <c r="J104" s="6" t="inlineStr">
        <is>
          <t>Düşündün, düşündün; dişlerin nasıl çıkıp girdiğini çözemedin. O gece dişlerini fırçalarken sıkı sıkı tuttun.</t>
        </is>
      </c>
      <c r="K104" s="6" t="inlineStr">
        <is>
          <t>“Bu sır mı şimdi? Dişler bardakta, ne olmuş?” diye yüksek sesle düşündün. Bütün sınıf duydu; sırrın sahibi de arkandaydı. Öğle yemeğinde herkes takma diş taklidi yaptı; arkadaşın yapmadı.</t>
        </is>
      </c>
      <c r="L104" s="6" t="inlineStr"/>
      <c r="M104" s="5" t="inlineStr"/>
      <c r="N104" s="5" t="inlineStr"/>
      <c r="O104" s="6" t="inlineStr"/>
      <c r="P104" s="6" t="inlineStr"/>
      <c r="Q104" s="5" t="inlineStr"/>
      <c r="R104" s="5" t="inlineStr"/>
      <c r="S104" s="5" t="inlineStr"/>
      <c r="T104" s="5" t="inlineStr"/>
      <c r="U104" s="5" t="inlineStr"/>
      <c r="V104" s="5" t="inlineStr"/>
      <c r="W104" s="5" t="inlineStr"/>
      <c r="X104" s="5" t="inlineStr"/>
      <c r="Y104" s="5" t="inlineStr"/>
      <c r="Z104" s="6" t="inlineStr"/>
      <c r="AA104" s="5" t="inlineStr"/>
      <c r="AB104" s="5" t="inlineStr"/>
      <c r="AC104" s="5" t="inlineStr"/>
      <c r="AD104" s="5" t="inlineStr"/>
      <c r="AE104" s="5" t="inlineStr"/>
      <c r="AF104" s="5" t="inlineStr"/>
      <c r="AG104" s="5" t="inlineStr"/>
      <c r="AH104" s="5" t="inlineStr"/>
      <c r="AI104" s="5" t="inlineStr"/>
      <c r="AJ104" s="5" t="inlineStr"/>
    </row>
    <row r="105">
      <c r="A105" s="5" t="inlineStr">
        <is>
          <t>aileler-kiyasliyor</t>
        </is>
      </c>
      <c r="B105" s="5" t="n">
        <v>1</v>
      </c>
      <c r="C105" s="6" t="inlineStr">
        <is>
          <t>Görmezden gel</t>
        </is>
      </c>
      <c r="D105" s="5" t="inlineStr">
        <is>
          <t>Dayanıklılık</t>
        </is>
      </c>
      <c r="E105" s="5" t="inlineStr">
        <is>
          <t>Kolay</t>
        </is>
      </c>
      <c r="F105" s="5" t="inlineStr"/>
      <c r="G105" s="6" t="inlineStr"/>
      <c r="H105" s="6" t="inlineStr">
        <is>
          <t>Halıya oturup boyamana devam ettin. Annen “Bizimki sakin, kendi halinde” dedi; teyze başını salladı. Sakin olmak da puanmış.</t>
        </is>
      </c>
      <c r="I105" s="6" t="inlineStr">
        <is>
          <t>Hiç oralı olmadın, halıda arabanı sürdün. Teyze oğluna döndü: “Bak ne güzel oturuyor, sen niye oturamıyorsun?” Annen ikinci çayı keyifle doldurdu.</t>
        </is>
      </c>
      <c r="J105" s="6" t="inlineStr">
        <is>
          <t>Görmezden gelmeye çalıştın; adın on kez geçti.</t>
        </is>
      </c>
      <c r="K105" s="6" t="inlineStr">
        <is>
          <t>Halıda sessizce oynarken annen seslendi: “Hadi kuzum, teyzeye alfabeyi tersten söyle.” Tersten bir yana, düzünü de bilmiyordun. “Z…” dedin, durdun; teyzenin oğlu kalanını tamamladı.</t>
        </is>
      </c>
      <c r="L105" s="6" t="inlineStr"/>
      <c r="M105" s="5" t="inlineStr"/>
      <c r="N105" s="5" t="inlineStr"/>
      <c r="O105" s="6" t="inlineStr"/>
      <c r="P105" s="6" t="inlineStr"/>
      <c r="Q105" s="5" t="inlineStr"/>
      <c r="R105" s="5" t="inlineStr"/>
      <c r="S105" s="5" t="inlineStr"/>
      <c r="T105" s="5" t="inlineStr"/>
      <c r="U105" s="5" t="inlineStr"/>
      <c r="V105" s="5" t="inlineStr"/>
      <c r="W105" s="5" t="inlineStr"/>
      <c r="X105" s="5" t="inlineStr"/>
      <c r="Y105" s="5" t="inlineStr"/>
      <c r="Z105" s="6" t="inlineStr"/>
      <c r="AA105" s="5" t="inlineStr"/>
      <c r="AB105" s="5" t="inlineStr"/>
      <c r="AC105" s="5" t="inlineStr"/>
      <c r="AD105" s="5" t="inlineStr"/>
      <c r="AE105" s="5" t="inlineStr"/>
      <c r="AF105" s="5" t="inlineStr"/>
      <c r="AG105" s="5" t="inlineStr"/>
      <c r="AH105" s="5" t="inlineStr"/>
      <c r="AI105" s="5" t="inlineStr"/>
      <c r="AJ105" s="5" t="inlineStr"/>
    </row>
    <row r="106">
      <c r="A106" s="5" t="inlineStr">
        <is>
          <t>aileler-kiyasliyor</t>
        </is>
      </c>
      <c r="B106" s="5" t="n">
        <v>2</v>
      </c>
      <c r="C106" s="6" t="inlineStr">
        <is>
          <t>Bildiğini göster</t>
        </is>
      </c>
      <c r="D106" s="5" t="inlineStr">
        <is>
          <t>Pişkinlik</t>
        </is>
      </c>
      <c r="E106" s="5" t="inlineStr">
        <is>
          <t>Orta</t>
        </is>
      </c>
      <c r="F106" s="5" t="inlineStr"/>
      <c r="G106" s="6" t="inlineStr"/>
      <c r="H106" s="6" t="inlineStr">
        <is>
          <t>Ortaya çıkıp alfabeyi baştan sona söyledin; tersten değil ama hatasız. Annen teyzeye çaktırmadan baktı; teyze şekerliğe uzandı. Bu turu siz aldınız.</t>
        </is>
      </c>
      <c r="I106" s="6" t="inlineStr">
        <is>
          <t>Alfabeyi tersten söyledin; hiç takılmadan. Annen bile şaşırdı ama belli etmedi; teyzeye bir çay daha koydu. Teyze oğlunu ertesi gün kursa yazdırdı.</t>
        </is>
      </c>
      <c r="J106" s="6" t="inlineStr">
        <is>
          <t>Göstermeye çalıştın; heyecandan unuttun.</t>
        </is>
      </c>
      <c r="K106" s="6" t="inlineStr">
        <is>
          <t>Alfabeyi söyledin; “Ş”den “Z”ye atladın. Teyze düzeltti, teyzenin oğlu da. Annen çayını bir dikişte bitirdi.</t>
        </is>
      </c>
      <c r="L106" s="6" t="inlineStr"/>
      <c r="M106" s="5" t="inlineStr"/>
      <c r="N106" s="5" t="inlineStr"/>
      <c r="O106" s="6" t="inlineStr"/>
      <c r="P106" s="6" t="inlineStr"/>
      <c r="Q106" s="5" t="inlineStr"/>
      <c r="R106" s="5" t="inlineStr"/>
      <c r="S106" s="5" t="inlineStr"/>
      <c r="T106" s="5" t="inlineStr"/>
      <c r="U106" s="5" t="inlineStr"/>
      <c r="V106" s="5" t="inlineStr"/>
      <c r="W106" s="5" t="inlineStr"/>
      <c r="X106" s="5" t="inlineStr"/>
      <c r="Y106" s="5" t="inlineStr"/>
      <c r="Z106" s="6" t="inlineStr"/>
      <c r="AA106" s="5" t="inlineStr"/>
      <c r="AB106" s="5" t="inlineStr"/>
      <c r="AC106" s="5" t="inlineStr"/>
      <c r="AD106" s="5" t="inlineStr"/>
      <c r="AE106" s="5" t="inlineStr"/>
      <c r="AF106" s="5" t="inlineStr"/>
      <c r="AG106" s="5" t="inlineStr"/>
      <c r="AH106" s="5" t="inlineStr"/>
      <c r="AI106" s="5" t="inlineStr"/>
      <c r="AJ106" s="5" t="inlineStr"/>
    </row>
    <row r="107">
      <c r="A107" s="5" t="inlineStr">
        <is>
          <t>aileler-kiyasliyor</t>
        </is>
      </c>
      <c r="B107" s="5" t="n">
        <v>3</v>
      </c>
      <c r="C107" s="6" t="inlineStr">
        <is>
          <t>Annenle teyzeyi izle</t>
        </is>
      </c>
      <c r="D107" s="5" t="inlineStr">
        <is>
          <t>Sosyal Radar</t>
        </is>
      </c>
      <c r="E107" s="5" t="inlineStr">
        <is>
          <t>Orta</t>
        </is>
      </c>
      <c r="F107" s="5" t="inlineStr"/>
      <c r="G107" s="6" t="inlineStr"/>
      <c r="H107" s="6" t="inlineStr">
        <is>
          <t>İzledin: kimse kendi çocuğuna bakmıyor, herkes ötekinin çocuğuna bakıyor. Sen de kurabiyeye baktın; kimse fark etmedi, üç tane yedin.</t>
        </is>
      </c>
      <c r="I107" s="6" t="inlineStr">
        <is>
          <t>İzledin ve çözdün: teyze oğlunu övünce annen burnunu kaşıyor, annen seni övünce teyze çayını karıştırıyor. Akşam babana anlattın. Baban annene bakıp güldü, annen burnunu kaşıdı.</t>
        </is>
      </c>
      <c r="J107" s="6" t="inlineStr">
        <is>
          <t>İzledin. Vardığın sonuç: büyükler garip.</t>
        </is>
      </c>
      <c r="K107" s="6" t="inlineStr">
        <is>
          <t>Gözlemini herkese duyurdun: “Annem yalan söylüyor, ben alfabeyi tersten bilmiyorum.” Çay bardakları havada kaldı. Teyze kahkahayı bastı, annen basmadı; teyze bu cümleyi akşama kadar bütün apartmana anlattı.</t>
        </is>
      </c>
      <c r="L107" s="6" t="inlineStr"/>
      <c r="M107" s="5" t="inlineStr"/>
      <c r="N107" s="5" t="inlineStr"/>
      <c r="O107" s="6" t="inlineStr"/>
      <c r="P107" s="6" t="inlineStr"/>
      <c r="Q107" s="5" t="inlineStr"/>
      <c r="R107" s="5" t="inlineStr"/>
      <c r="S107" s="5" t="inlineStr"/>
      <c r="T107" s="5" t="inlineStr"/>
      <c r="U107" s="5" t="inlineStr"/>
      <c r="V107" s="5" t="inlineStr"/>
      <c r="W107" s="5" t="inlineStr"/>
      <c r="X107" s="5" t="inlineStr"/>
      <c r="Y107" s="5" t="inlineStr"/>
      <c r="Z107" s="6" t="inlineStr"/>
      <c r="AA107" s="5" t="inlineStr"/>
      <c r="AB107" s="5" t="inlineStr"/>
      <c r="AC107" s="5" t="inlineStr"/>
      <c r="AD107" s="5" t="inlineStr"/>
      <c r="AE107" s="5" t="inlineStr"/>
      <c r="AF107" s="5" t="inlineStr"/>
      <c r="AG107" s="5" t="inlineStr"/>
      <c r="AH107" s="5" t="inlineStr"/>
      <c r="AI107" s="5" t="inlineStr"/>
      <c r="AJ107" s="5" t="inlineStr"/>
    </row>
    <row r="108">
      <c r="A108" s="5" t="inlineStr">
        <is>
          <t>kirilan-oyuncak</t>
        </is>
      </c>
      <c r="B108" s="5" t="n">
        <v>1</v>
      </c>
      <c r="C108" s="6" t="inlineStr">
        <is>
          <t>Hemen söyle</t>
        </is>
      </c>
      <c r="D108" s="5" t="inlineStr"/>
      <c r="E108" s="5" t="inlineStr"/>
      <c r="F108" s="5" t="inlineStr">
        <is>
          <t>İtibar +2</t>
        </is>
      </c>
      <c r="G108" s="6" t="inlineStr">
        <is>
          <t>Kırık oyuncağı götürüp “Ben kırdım” dedin. Annen baktı, iç çekti, “Neyse” dedi. Sonra ekledi: “Ama bir daha olmaz.” Oldu.</t>
        </is>
      </c>
      <c r="H108" s="6" t="inlineStr"/>
      <c r="I108" s="6" t="inlineStr"/>
      <c r="J108" s="6" t="inlineStr"/>
      <c r="K108" s="6" t="inlineStr"/>
      <c r="L108" s="6" t="inlineStr"/>
      <c r="M108" s="5" t="inlineStr"/>
      <c r="N108" s="5" t="inlineStr"/>
      <c r="O108" s="6" t="inlineStr"/>
      <c r="P108" s="6" t="inlineStr"/>
      <c r="Q108" s="5" t="inlineStr"/>
      <c r="R108" s="5" t="inlineStr"/>
      <c r="S108" s="5" t="inlineStr"/>
      <c r="T108" s="5" t="inlineStr"/>
      <c r="U108" s="5" t="inlineStr"/>
      <c r="V108" s="5" t="inlineStr"/>
      <c r="W108" s="5" t="inlineStr"/>
      <c r="X108" s="5" t="inlineStr"/>
      <c r="Y108" s="5" t="inlineStr"/>
      <c r="Z108" s="6" t="inlineStr"/>
      <c r="AA108" s="5" t="inlineStr"/>
      <c r="AB108" s="5" t="inlineStr"/>
      <c r="AC108" s="5" t="inlineStr"/>
      <c r="AD108" s="5" t="inlineStr"/>
      <c r="AE108" s="5" t="inlineStr"/>
      <c r="AF108" s="5" t="inlineStr"/>
      <c r="AG108" s="5" t="inlineStr"/>
      <c r="AH108" s="5" t="inlineStr"/>
      <c r="AI108" s="5" t="inlineStr"/>
      <c r="AJ108" s="5" t="inlineStr"/>
    </row>
    <row r="109">
      <c r="A109" s="5" t="inlineStr">
        <is>
          <t>kirilan-oyuncak</t>
        </is>
      </c>
      <c r="B109" s="5" t="n">
        <v>2</v>
      </c>
      <c r="C109" s="6" t="inlineStr">
        <is>
          <t>Yerine koy, uzaklaş</t>
        </is>
      </c>
      <c r="D109" s="5" t="inlineStr">
        <is>
          <t>Kurnazlık</t>
        </is>
      </c>
      <c r="E109" s="5" t="inlineStr">
        <is>
          <t>Zor</t>
        </is>
      </c>
      <c r="F109" s="5" t="inlineStr"/>
      <c r="G109" s="6" t="inlineStr"/>
      <c r="H109" s="6" t="inlineStr">
        <is>
          <t>Yerine koydun, uzaklaştın. Üç gün kimse fark etmedi. Üç gün her sese irkildin.</t>
        </is>
      </c>
      <c r="I109" s="6" t="inlineStr">
        <is>
          <t>Kolu yerine oturtup robotu kutusuna koydun. Bir hafta sonra kuzenin geldi, robotla oynadı; kol onun elinde kaldı. Kuzenin ağladı, sen sırtını sıvazladın: “Olur öyle.”</t>
        </is>
      </c>
      <c r="J109" s="6" t="inlineStr">
        <is>
          <t>Kolu yerine oturtup robotu rafa koydun. Arkanı döndüğün an robot “Merhaba dostum!” dedi ve kolu halıya düştü. Annen salondan seslendi: “Kiminle konuşuyorsun?”</t>
        </is>
      </c>
      <c r="K109" s="6" t="inlineStr">
        <is>
          <t>Kolu bantla yapıştırıp rafa koydun, ıslık çalarak uzaklaştın. Hayatında hiç ıslık çalmamıştın. Baban ıslığı duyunca doğruca rafa yürüdü.</t>
        </is>
      </c>
      <c r="L109" s="6" t="inlineStr"/>
      <c r="M109" s="5" t="inlineStr"/>
      <c r="N109" s="5" t="inlineStr"/>
      <c r="O109" s="6" t="inlineStr"/>
      <c r="P109" s="6" t="inlineStr"/>
      <c r="Q109" s="5" t="inlineStr"/>
      <c r="R109" s="5" t="inlineStr"/>
      <c r="S109" s="5" t="inlineStr"/>
      <c r="T109" s="5" t="inlineStr"/>
      <c r="U109" s="5" t="inlineStr"/>
      <c r="V109" s="5" t="inlineStr"/>
      <c r="W109" s="5" t="inlineStr"/>
      <c r="X109" s="5" t="inlineStr"/>
      <c r="Y109" s="5" t="inlineStr"/>
      <c r="Z109" s="6" t="inlineStr"/>
      <c r="AA109" s="5" t="inlineStr"/>
      <c r="AB109" s="5" t="inlineStr"/>
      <c r="AC109" s="5" t="inlineStr"/>
      <c r="AD109" s="5" t="inlineStr"/>
      <c r="AE109" s="5" t="inlineStr"/>
      <c r="AF109" s="5" t="inlineStr"/>
      <c r="AG109" s="5" t="inlineStr"/>
      <c r="AH109" s="5" t="inlineStr"/>
      <c r="AI109" s="5" t="inlineStr"/>
      <c r="AJ109" s="5" t="inlineStr"/>
    </row>
    <row r="110">
      <c r="A110" s="5" t="inlineStr">
        <is>
          <t>kirilan-oyuncak</t>
        </is>
      </c>
      <c r="B110" s="5" t="n">
        <v>3</v>
      </c>
      <c r="C110" s="6" t="inlineStr">
        <is>
          <t>Tamir etmeye çalış</t>
        </is>
      </c>
      <c r="D110" s="5" t="inlineStr">
        <is>
          <t>Akıl</t>
        </is>
      </c>
      <c r="E110" s="5" t="inlineStr">
        <is>
          <t>Orta</t>
        </is>
      </c>
      <c r="F110" s="5" t="inlineStr"/>
      <c r="G110" s="6" t="inlineStr"/>
      <c r="H110" s="6" t="inlineStr">
        <is>
          <t>Bantla sardın. Oyuncak çalışıyor: biraz eğri, biraz yapışkan, ama çalışıyor. Baban “Aferin” dedi ve bant rulosunu geri istedi.</t>
        </is>
      </c>
      <c r="I110" s="6" t="inlineStr">
        <is>
          <t>Tamir ettin; oyuncak eskisinden iyi çalışıyor. Üstelik artık ışığı da yanıyor.</t>
        </is>
      </c>
      <c r="J110" s="6" t="inlineStr">
        <is>
          <t>Tamir ettin; bir parça arttı.</t>
        </is>
      </c>
      <c r="K110" s="6" t="inlineStr">
        <is>
          <t>Tamir için babanın alet çantasını açtın. Robotun karnından yaylar, vidalar ve iki pil fırladı; biri koltuğun altına kaçtı. Akşam baban dizlerinin üstünde vida aradı; annen babana bakarak “Kimden öğrendi acaba?” dedi.</t>
        </is>
      </c>
      <c r="L110" s="6" t="inlineStr"/>
      <c r="M110" s="5" t="inlineStr"/>
      <c r="N110" s="5" t="inlineStr"/>
      <c r="O110" s="6" t="inlineStr"/>
      <c r="P110" s="6" t="inlineStr"/>
      <c r="Q110" s="5" t="inlineStr"/>
      <c r="R110" s="5" t="inlineStr"/>
      <c r="S110" s="5" t="inlineStr"/>
      <c r="T110" s="5" t="inlineStr"/>
      <c r="U110" s="5" t="inlineStr"/>
      <c r="V110" s="5" t="inlineStr"/>
      <c r="W110" s="5" t="inlineStr"/>
      <c r="X110" s="5" t="inlineStr"/>
      <c r="Y110" s="5" t="inlineStr"/>
      <c r="Z110" s="6" t="inlineStr"/>
      <c r="AA110" s="5" t="inlineStr"/>
      <c r="AB110" s="5" t="inlineStr"/>
      <c r="AC110" s="5" t="inlineStr"/>
      <c r="AD110" s="5" t="inlineStr"/>
      <c r="AE110" s="5" t="inlineStr"/>
      <c r="AF110" s="5" t="inlineStr"/>
      <c r="AG110" s="5" t="inlineStr"/>
      <c r="AH110" s="5" t="inlineStr"/>
      <c r="AI110" s="5" t="inlineStr"/>
      <c r="AJ110" s="5" t="inlineStr"/>
    </row>
    <row r="111">
      <c r="A111" s="5" t="inlineStr">
        <is>
          <t>mahalle-turnuvasi</t>
        </is>
      </c>
      <c r="B111" s="5" t="n">
        <v>1</v>
      </c>
      <c r="C111" s="6" t="inlineStr">
        <is>
          <t>Yarış</t>
        </is>
      </c>
      <c r="D111" s="5" t="inlineStr">
        <is>
          <t>Dayanıklılık</t>
        </is>
      </c>
      <c r="E111" s="5" t="inlineStr">
        <is>
          <t>Orta</t>
        </is>
      </c>
      <c r="F111" s="5" t="inlineStr"/>
      <c r="G111" s="6" t="inlineStr"/>
      <c r="H111" s="6" t="inlineStr">
        <is>
          <t>Burun farkıyla öndeydin. Annen balkondan öyle bağırdı ki bütün sokak kimin çocuğu olduğunu öğrendi.</t>
        </is>
      </c>
      <c r="I111" s="6" t="inlineStr">
        <is>
          <t>Düdükle fırladın; bakkalın sandalyesine vardığında rakibin daha yarı yoldaydı. Bakkal ödül diye bir gazoz açtı, annen balkondan bütün apartmana bağırdı: “Bizimki!”</t>
        </is>
      </c>
      <c r="J111" s="6" t="inlineStr">
        <is>
          <t>Rakibin biraz daha hızlıydı.</t>
        </is>
      </c>
      <c r="K111" s="6" t="inlineStr">
        <is>
          <t>Başlangıçta tökezledin; herkes yanından geçti. Sonuncu geldin ama en çok alkışı sen aldın: acıma alkışı.</t>
        </is>
      </c>
      <c r="L111" s="6" t="inlineStr">
        <is>
          <t>Neredeyse aynı anda vardınız.</t>
        </is>
      </c>
      <c r="M111" s="5" t="inlineStr">
        <is>
          <t>timing</t>
        </is>
      </c>
      <c r="N111" s="5" t="inlineStr">
        <is>
          <t>Düdük!</t>
        </is>
      </c>
      <c r="O111" s="6" t="inlineStr">
        <is>
          <t>İbre yeşile girdiği an dokun; tam düdükle fırla.</t>
        </is>
      </c>
      <c r="P111" s="6" t="inlineStr"/>
      <c r="Q111" s="5" t="inlineStr"/>
      <c r="R111" s="5" t="inlineStr"/>
      <c r="S111" s="5" t="inlineStr"/>
      <c r="T111" s="5" t="inlineStr"/>
      <c r="U111" s="5" t="inlineStr"/>
      <c r="V111" s="5" t="inlineStr"/>
      <c r="W111" s="5" t="inlineStr"/>
      <c r="X111" s="5" t="inlineStr"/>
      <c r="Y111" s="5" t="inlineStr"/>
      <c r="Z111" s="6" t="inlineStr"/>
      <c r="AA111" s="5" t="inlineStr"/>
      <c r="AB111" s="5" t="inlineStr"/>
      <c r="AC111" s="5" t="inlineStr"/>
      <c r="AD111" s="5" t="inlineStr"/>
      <c r="AE111" s="5" t="inlineStr"/>
      <c r="AF111" s="5" t="inlineStr"/>
      <c r="AG111" s="5" t="inlineStr"/>
      <c r="AH111" s="5" t="inlineStr"/>
      <c r="AI111" s="5" t="inlineStr"/>
      <c r="AJ111" s="5" t="inlineStr"/>
    </row>
    <row r="112">
      <c r="A112" s="5" t="inlineStr">
        <is>
          <t>mahalle-turnuvasi</t>
        </is>
      </c>
      <c r="B112" s="5" t="n">
        <v>2</v>
      </c>
      <c r="C112" s="6" t="inlineStr">
        <is>
          <t>Başlangıç avantajı bul</t>
        </is>
      </c>
      <c r="D112" s="5" t="inlineStr">
        <is>
          <t>Kurnazlık</t>
        </is>
      </c>
      <c r="E112" s="5" t="inlineStr">
        <is>
          <t>Zor</t>
        </is>
      </c>
      <c r="F112" s="5" t="inlineStr"/>
      <c r="G112" s="6" t="inlineStr"/>
      <c r="H112" s="6" t="inlineStr">
        <is>
          <t>Kural “Kim ‘Başla’ derse o başlar”dı. “Başla” dedin. Başladın.</t>
        </is>
      </c>
      <c r="I112" s="6" t="inlineStr">
        <is>
          <t>Kural “Bakkala ilk varan kazanır”dı; hangi kapıdan varılacağını kimse söylememişti. Arka bahçeden dolanıp dükkânın arka kapısından girdin, ön kapıdan “Birinci!” diye çıktın. O günden beri mahallede yarış başlamadan biri “Arka kapı yok!” diye bağırıyor.</t>
        </is>
      </c>
      <c r="J112" s="6" t="inlineStr">
        <is>
          <t>Boşluk bulamadın. Kurallar sıkıymış.</t>
        </is>
      </c>
      <c r="K112" s="6" t="inlineStr">
        <is>
          <t>“Başla” denmeden fırladın. Bakkal seni geri çağırdı: “Sen bir dahaki yarışa.” Bir dahaki yarışa kadar seni her gördüğünde “Erkenci geldi” dedi; bütün mahalle de dedi.</t>
        </is>
      </c>
      <c r="L112" s="6" t="inlineStr"/>
      <c r="M112" s="5" t="inlineStr"/>
      <c r="N112" s="5" t="inlineStr"/>
      <c r="O112" s="6" t="inlineStr"/>
      <c r="P112" s="6" t="inlineStr"/>
      <c r="Q112" s="5" t="inlineStr"/>
      <c r="R112" s="5" t="inlineStr"/>
      <c r="S112" s="5" t="inlineStr"/>
      <c r="T112" s="5" t="inlineStr"/>
      <c r="U112" s="5" t="inlineStr"/>
      <c r="V112" s="5" t="inlineStr"/>
      <c r="W112" s="5" t="inlineStr"/>
      <c r="X112" s="5" t="inlineStr"/>
      <c r="Y112" s="5" t="inlineStr"/>
      <c r="Z112" s="6" t="inlineStr"/>
      <c r="AA112" s="5" t="inlineStr"/>
      <c r="AB112" s="5" t="inlineStr"/>
      <c r="AC112" s="5" t="inlineStr"/>
      <c r="AD112" s="5" t="inlineStr"/>
      <c r="AE112" s="5" t="inlineStr"/>
      <c r="AF112" s="5" t="inlineStr"/>
      <c r="AG112" s="5" t="inlineStr"/>
      <c r="AH112" s="5" t="inlineStr"/>
      <c r="AI112" s="5" t="inlineStr"/>
      <c r="AJ112" s="5" t="inlineStr"/>
    </row>
    <row r="113">
      <c r="A113" s="5" t="inlineStr">
        <is>
          <t>mahalle-turnuvasi</t>
        </is>
      </c>
      <c r="B113" s="5" t="n">
        <v>3</v>
      </c>
      <c r="C113" s="6" t="inlineStr">
        <is>
          <t>Hakem olmaya çalış</t>
        </is>
      </c>
      <c r="D113" s="5" t="inlineStr">
        <is>
          <t>İtibar</t>
        </is>
      </c>
      <c r="E113" s="5" t="inlineStr">
        <is>
          <t>Zor</t>
        </is>
      </c>
      <c r="F113" s="5" t="inlineStr"/>
      <c r="G113" s="6" t="inlineStr"/>
      <c r="H113" s="6" t="inlineStr">
        <is>
          <t>Yarışmadın; kuralları sen koydun: düşen yeniden başlar, ağlayan bir daha başlar, kuzenin yarışmaz. Kimse sebebini sormadı. Kuzenin de sormadı; o da sevindi.</t>
        </is>
      </c>
      <c r="I113" s="6" t="inlineStr">
        <is>
          <t>Hakem oldun; düdük yoktu, annenin iki tencere kapağını çarptın. Yarış bitince ödül töreni yaptın: birinciye bir bisküvi, ikinciye yarım, sonuncuya bir sarılma. Balkonlardaki anneler alkışladı.</t>
        </is>
      </c>
      <c r="J113" s="6" t="inlineStr">
        <is>
          <t>“Ben hakem olayım” dedin. Büyük çocuk “Hakem büyük olur” dedi ve seni başlangıç çizgisine yolladı. Ne hakem oldun ne birinci.</t>
        </is>
      </c>
      <c r="K113" s="6" t="inlineStr">
        <is>
          <t>İki çocuk aynı anda vardı; ikisine de “Birinci sen!” dedin. İkisi de annesini çağırdı, anneler balkonlardan birbirine seslendi. Yarış bitti; balkon atışması akşama kadar sürdü.</t>
        </is>
      </c>
      <c r="L113" s="6" t="inlineStr"/>
      <c r="M113" s="5" t="inlineStr"/>
      <c r="N113" s="5" t="inlineStr"/>
      <c r="O113" s="6" t="inlineStr"/>
      <c r="P113" s="6" t="inlineStr"/>
      <c r="Q113" s="5" t="inlineStr"/>
      <c r="R113" s="5" t="inlineStr"/>
      <c r="S113" s="5" t="inlineStr"/>
      <c r="T113" s="5" t="inlineStr">
        <is>
          <t>Kuralı Koyan</t>
        </is>
      </c>
      <c r="U113" s="5" t="inlineStr"/>
      <c r="V113" s="5" t="inlineStr"/>
      <c r="W113" s="5" t="inlineStr"/>
      <c r="X113" s="5" t="inlineStr"/>
      <c r="Y113" s="5" t="inlineStr"/>
      <c r="Z113" s="6" t="inlineStr"/>
      <c r="AA113" s="5" t="inlineStr"/>
      <c r="AB113" s="5" t="inlineStr"/>
      <c r="AC113" s="5" t="inlineStr"/>
      <c r="AD113" s="5" t="inlineStr"/>
      <c r="AE113" s="5" t="inlineStr"/>
      <c r="AF113" s="5" t="inlineStr"/>
      <c r="AG113" s="5" t="inlineStr"/>
      <c r="AH113" s="5" t="inlineStr"/>
      <c r="AI113" s="5" t="inlineStr"/>
      <c r="AJ113" s="5" t="inlineStr"/>
    </row>
    <row r="114">
      <c r="A114" s="5" t="inlineStr">
        <is>
          <t>mahalle-turnuvasi</t>
        </is>
      </c>
      <c r="B114" s="5" t="n">
        <v>4</v>
      </c>
      <c r="C114" s="6" t="inlineStr">
        <is>
          <t>Mahallenin kestirmesini kullan</t>
        </is>
      </c>
      <c r="D114" s="5" t="inlineStr">
        <is>
          <t>Kurnazlık</t>
        </is>
      </c>
      <c r="E114" s="5" t="inlineStr">
        <is>
          <t>Orta</t>
        </is>
      </c>
      <c r="F114" s="5" t="inlineStr"/>
      <c r="G114" s="6" t="inlineStr"/>
      <c r="H114" s="6" t="inlineStr">
        <is>
          <t>Yarışın ortasında bahçe duvarının arkasından çıktın. Kurallarda bununla ilgili bir madde yoktu.</t>
        </is>
      </c>
      <c r="I114" s="6" t="inlineStr">
        <is>
          <t>Kestirmeyi kullandın, birinci geldin. Hakem de mahalleden olduğu için itiraz eden çıkmadı.</t>
        </is>
      </c>
      <c r="J114" s="6" t="inlineStr">
        <is>
          <t>Kestirmeye saptın; duvarın arkasında komşunun köpeği vardı. Yarışın sonunu duvarın üstünden izledin.</t>
        </is>
      </c>
      <c r="K114" s="6" t="inlineStr">
        <is>
          <t>Kestirmeden çıktığında yarış bitmişti. Birinci sen değildin ama en çok çamura bulanan sendin.</t>
        </is>
      </c>
      <c r="L114" s="6" t="inlineStr"/>
      <c r="M114" s="5" t="inlineStr"/>
      <c r="N114" s="5" t="inlineStr"/>
      <c r="O114" s="6" t="inlineStr"/>
      <c r="P114" s="6" t="inlineStr"/>
      <c r="Q114" s="5" t="inlineStr"/>
      <c r="R114" s="5" t="inlineStr">
        <is>
          <t>mahalle-cocugu</t>
        </is>
      </c>
      <c r="S114" s="5" t="inlineStr"/>
      <c r="T114" s="5" t="inlineStr"/>
      <c r="U114" s="5" t="inlineStr"/>
      <c r="V114" s="5" t="inlineStr"/>
      <c r="W114" s="5" t="inlineStr"/>
      <c r="X114" s="5" t="inlineStr"/>
      <c r="Y114" s="5" t="inlineStr"/>
      <c r="Z114" s="6" t="inlineStr"/>
      <c r="AA114" s="5" t="inlineStr"/>
      <c r="AB114" s="5" t="inlineStr"/>
      <c r="AC114" s="5" t="inlineStr"/>
      <c r="AD114" s="5" t="inlineStr"/>
      <c r="AE114" s="5" t="inlineStr"/>
      <c r="AF114" s="5" t="inlineStr"/>
      <c r="AG114" s="5" t="inlineStr"/>
      <c r="AH114" s="5" t="inlineStr"/>
      <c r="AI114" s="5" t="inlineStr"/>
      <c r="AJ114" s="5" t="inlineStr"/>
    </row>
    <row r="115">
      <c r="A115" s="5" t="inlineStr">
        <is>
          <t>harclik-pazarligi</t>
        </is>
      </c>
      <c r="B115" s="5" t="n">
        <v>1</v>
      </c>
      <c r="C115" s="6" t="inlineStr">
        <is>
          <t>Kabul et</t>
        </is>
      </c>
      <c r="D115" s="5" t="inlineStr"/>
      <c r="E115" s="5" t="inlineStr"/>
      <c r="F115" s="5" t="inlineStr">
        <is>
          <t>İtibar +1</t>
        </is>
      </c>
      <c r="G115" s="6" t="inlineStr">
        <is>
          <t>Kabul ettin. Annen “Aferin, kanaatkâr çocuk” dedi. Kanaatkâr, harçlığı az olan demek.</t>
        </is>
      </c>
      <c r="H115" s="6" t="inlineStr"/>
      <c r="I115" s="6" t="inlineStr"/>
      <c r="J115" s="6" t="inlineStr"/>
      <c r="K115" s="6" t="inlineStr"/>
      <c r="L115" s="6" t="inlineStr"/>
      <c r="M115" s="5" t="inlineStr"/>
      <c r="N115" s="5" t="inlineStr"/>
      <c r="O115" s="6" t="inlineStr"/>
      <c r="P115" s="6" t="inlineStr"/>
      <c r="Q115" s="5" t="inlineStr"/>
      <c r="R115" s="5" t="inlineStr"/>
      <c r="S115" s="5" t="inlineStr"/>
      <c r="T115" s="5" t="inlineStr"/>
      <c r="U115" s="5" t="inlineStr"/>
      <c r="V115" s="5" t="inlineStr"/>
      <c r="W115" s="5" t="inlineStr"/>
      <c r="X115" s="5" t="inlineStr"/>
      <c r="Y115" s="5" t="inlineStr"/>
      <c r="Z115" s="6" t="inlineStr"/>
      <c r="AA115" s="5" t="inlineStr"/>
      <c r="AB115" s="5" t="inlineStr"/>
      <c r="AC115" s="5" t="inlineStr"/>
      <c r="AD115" s="5" t="inlineStr"/>
      <c r="AE115" s="5" t="inlineStr"/>
      <c r="AF115" s="5" t="inlineStr"/>
      <c r="AG115" s="5" t="inlineStr"/>
      <c r="AH115" s="5" t="inlineStr"/>
      <c r="AI115" s="5" t="inlineStr"/>
      <c r="AJ115" s="5" t="inlineStr"/>
    </row>
    <row r="116">
      <c r="A116" s="5" t="inlineStr">
        <is>
          <t>harclik-pazarligi</t>
        </is>
      </c>
      <c r="B116" s="5" t="n">
        <v>2</v>
      </c>
      <c r="C116" s="6" t="inlineStr">
        <is>
          <t>Biraz daha iste</t>
        </is>
      </c>
      <c r="D116" s="5" t="inlineStr">
        <is>
          <t>Çene</t>
        </is>
      </c>
      <c r="E116" s="5" t="inlineStr">
        <is>
          <t>Zor</t>
        </is>
      </c>
      <c r="F116" s="5" t="inlineStr"/>
      <c r="G116" s="6" t="inlineStr"/>
      <c r="H116" s="6" t="inlineStr">
        <is>
          <t>“Biraz daha” dedin. Baban annene baktı, annen omuz silkti. Bir bozukluk daha. Omuz silkmenin fiyatı bu.</t>
        </is>
      </c>
      <c r="I116" s="6" t="inlineStr">
        <is>
          <t>“Biraz daha” dedin ve babanın gözünün içine baktın, hiç kırpmadan. Baban bir bozukluk koydu, sonra bir tane daha. Annen mutfaktan seslendi: “Sen mi onu kandırıyorsun, o mu seni?”</t>
        </is>
      </c>
      <c r="J116" s="6" t="inlineStr">
        <is>
          <t>İstedin. Baban “Büyüyünce” dedi. “Ne zaman büyüyeceğim?” dedin; “Büyüyünce” dedi.</t>
        </is>
      </c>
      <c r="K116" s="6" t="inlineStr">
        <is>
          <t>“Biraz daha” dedin. Baban harçlığı geri aldı: “Önce kıymetini öğren.” Bu hafta sıfır. Konuşma yirmi dakika sürdü ve “Biz sizin yaşınızdayken” diye başladı.</t>
        </is>
      </c>
      <c r="L116" s="6" t="inlineStr"/>
      <c r="M116" s="5" t="inlineStr"/>
      <c r="N116" s="5" t="inlineStr"/>
      <c r="O116" s="6" t="inlineStr"/>
      <c r="P116" s="6" t="inlineStr"/>
      <c r="Q116" s="5" t="inlineStr"/>
      <c r="R116" s="5" t="inlineStr"/>
      <c r="S116" s="5" t="inlineStr"/>
      <c r="T116" s="5" t="inlineStr"/>
      <c r="U116" s="5" t="inlineStr"/>
      <c r="V116" s="5" t="inlineStr"/>
      <c r="W116" s="5" t="inlineStr"/>
      <c r="X116" s="5" t="inlineStr"/>
      <c r="Y116" s="5" t="inlineStr"/>
      <c r="Z116" s="6" t="inlineStr"/>
      <c r="AA116" s="5" t="inlineStr"/>
      <c r="AB116" s="5" t="inlineStr"/>
      <c r="AC116" s="5" t="inlineStr"/>
      <c r="AD116" s="5" t="inlineStr"/>
      <c r="AE116" s="5" t="inlineStr"/>
      <c r="AF116" s="5" t="inlineStr"/>
      <c r="AG116" s="5" t="inlineStr"/>
      <c r="AH116" s="5" t="inlineStr"/>
      <c r="AI116" s="5" t="inlineStr"/>
      <c r="AJ116" s="5" t="inlineStr"/>
    </row>
    <row r="117">
      <c r="A117" s="5" t="inlineStr">
        <is>
          <t>harclik-pazarligi</t>
        </is>
      </c>
      <c r="B117" s="5" t="n">
        <v>3</v>
      </c>
      <c r="C117" s="6" t="inlineStr">
        <is>
          <t>Ev işi karşılığı teklif et</t>
        </is>
      </c>
      <c r="D117" s="5" t="inlineStr">
        <is>
          <t>Kurnazlık</t>
        </is>
      </c>
      <c r="E117" s="5" t="inlineStr">
        <is>
          <t>Zor</t>
        </is>
      </c>
      <c r="F117" s="5" t="inlineStr"/>
      <c r="G117" s="6" t="inlineStr"/>
      <c r="H117" s="6" t="inlineStr">
        <is>
          <t>“Sofrayı kurarsam fazla verir misin?” dedin. Baban annene baktı; annen “Zaten kuracaktı” dedi. Yine de verdiler.</t>
        </is>
      </c>
      <c r="I117" s="6" t="inlineStr">
        <is>
          <t>“Sofrayı kurarım, peçeteleri katlarım, tuzu da ben getiririm” dedin; her biri ayrı bozukluk. Baban gülerek ödedi. Babaannen sofraya oturunca “Çatallar neden ters?” dedi; kimse parayı geri istemedi.</t>
        </is>
      </c>
      <c r="J117" s="6" t="inlineStr">
        <is>
          <t>Teklifin kabul edildi; parasız. Babaannen “Evin işi parayla mı olur?” dedi, sonra avucuna bir şeker koydu.</t>
        </is>
      </c>
      <c r="K117" s="6" t="inlineStr">
        <is>
          <t>“Ev işi yaparsam para verir misin?” dedin. Annen hemen bir liste yazdı: sofra, oyuncaklar, çorap eşleme, kedinin suyu. Akşama kadar çalıştın; parayı sorunca annen “Ay başında” dedi. Kaç ay başı geçti, sayamadın.</t>
        </is>
      </c>
      <c r="L117" s="6" t="inlineStr"/>
      <c r="M117" s="5" t="inlineStr"/>
      <c r="N117" s="5" t="inlineStr"/>
      <c r="O117" s="6" t="inlineStr"/>
      <c r="P117" s="6" t="inlineStr"/>
      <c r="Q117" s="5" t="inlineStr"/>
      <c r="R117" s="5" t="inlineStr"/>
      <c r="S117" s="5" t="inlineStr"/>
      <c r="T117" s="5" t="inlineStr">
        <is>
          <t>Sofra Müteahhidi</t>
        </is>
      </c>
      <c r="U117" s="5" t="inlineStr"/>
      <c r="V117" s="5" t="inlineStr"/>
      <c r="W117" s="5" t="inlineStr"/>
      <c r="X117" s="5" t="inlineStr"/>
      <c r="Y117" s="5" t="inlineStr"/>
      <c r="Z117" s="6" t="inlineStr"/>
      <c r="AA117" s="5" t="inlineStr"/>
      <c r="AB117" s="5" t="inlineStr"/>
      <c r="AC117" s="5" t="inlineStr"/>
      <c r="AD117" s="5" t="inlineStr"/>
      <c r="AE117" s="5" t="inlineStr"/>
      <c r="AF117" s="5" t="inlineStr"/>
      <c r="AG117" s="5" t="inlineStr"/>
      <c r="AH117" s="5" t="inlineStr"/>
      <c r="AI117" s="5" t="inlineStr"/>
      <c r="AJ117" s="5" t="inlineStr"/>
    </row>
    <row r="118">
      <c r="A118" s="5" t="inlineStr">
        <is>
          <t>harclik-pazarligi</t>
        </is>
      </c>
      <c r="B118" s="5" t="n">
        <v>4</v>
      </c>
      <c r="C118" s="6" t="inlineStr">
        <is>
          <t>Enflasyon farkı iste</t>
        </is>
      </c>
      <c r="D118" s="5" t="inlineStr">
        <is>
          <t>Akıl</t>
        </is>
      </c>
      <c r="E118" s="5" t="inlineStr">
        <is>
          <t>Orta</t>
        </is>
      </c>
      <c r="F118" s="5" t="inlineStr"/>
      <c r="G118" s="6" t="inlineStr"/>
      <c r="H118" s="6" t="inlineStr">
        <is>
          <t>“Geçen hafta simit daha ucuzdu” dedin. Baban annene baktı: “Bunu kim öğretiyor bu çocuğa?” Bir bozukluk zam geldi.</t>
        </is>
      </c>
      <c r="I118" s="6" t="inlineStr">
        <is>
          <t>“Geçen ay bu parayla iki sakız alıyordum, şimdi bir tane” dedin. Baban annene baktı, annen omuz silkti: “Haklı ama.” Harçlığın iki katına çıktı; baban o akşam haberleri sessize aldı.</t>
        </is>
      </c>
      <c r="J118" s="6" t="inlineStr">
        <is>
          <t>“Enflasyon” demeye çalıştın; “Enfilasyon” çıktı, sonra “Enflanyon”. Baban gülmekten harçlığı vermeyi unuttu; sen de hatırlatmayı.</t>
        </is>
      </c>
      <c r="K118" s="6" t="inlineStr">
        <is>
          <t>“Enflasyon farkı istiyorum” dedin. Baban kumandayı bıraktı: “Bir de bana sor!” Yarım saat kira, fatura ve babanın maaşı konuşuldu; sonunda baban harçlığından bir bozukluğu geri istedi.</t>
        </is>
      </c>
      <c r="L118" s="6" t="inlineStr"/>
      <c r="M118" s="5" t="inlineStr"/>
      <c r="N118" s="5" t="inlineStr"/>
      <c r="O118" s="6" t="inlineStr"/>
      <c r="P118" s="6" t="inlineStr"/>
      <c r="Q118" s="5" t="inlineStr">
        <is>
          <t>Kumbara Çocuğu</t>
        </is>
      </c>
      <c r="R118" s="5" t="inlineStr"/>
      <c r="S118" s="5" t="inlineStr"/>
      <c r="T118" s="5" t="inlineStr"/>
      <c r="U118" s="5" t="inlineStr"/>
      <c r="V118" s="5" t="inlineStr"/>
      <c r="W118" s="5" t="inlineStr"/>
      <c r="X118" s="5" t="inlineStr"/>
      <c r="Y118" s="5" t="inlineStr"/>
      <c r="Z118" s="6" t="inlineStr"/>
      <c r="AA118" s="5" t="inlineStr"/>
      <c r="AB118" s="5" t="inlineStr"/>
      <c r="AC118" s="5" t="inlineStr"/>
      <c r="AD118" s="5" t="inlineStr"/>
      <c r="AE118" s="5" t="inlineStr"/>
      <c r="AF118" s="5" t="inlineStr"/>
      <c r="AG118" s="5" t="inlineStr"/>
      <c r="AH118" s="5" t="inlineStr"/>
      <c r="AI118" s="5" t="inlineStr"/>
      <c r="AJ118" s="5" t="inlineStr"/>
    </row>
    <row r="119">
      <c r="A119" s="5" t="inlineStr">
        <is>
          <t>okul-hazirligi</t>
        </is>
      </c>
      <c r="B119" s="5" t="n">
        <v>1</v>
      </c>
      <c r="C119" s="6" t="inlineStr">
        <is>
          <t>Harflerle ilgilen</t>
        </is>
      </c>
      <c r="D119" s="5" t="inlineStr">
        <is>
          <t>Akıl</t>
        </is>
      </c>
      <c r="E119" s="5" t="inlineStr">
        <is>
          <t>Kolay</t>
        </is>
      </c>
      <c r="F119" s="5" t="inlineStr"/>
      <c r="G119" s="6" t="inlineStr"/>
      <c r="H119" s="6" t="inlineStr">
        <is>
          <t>M oldu, A oldu. Annen kâğıdı buzdolabına astı. Buzdolabı artık senin sergin.</t>
        </is>
      </c>
      <c r="I119" s="6" t="inlineStr">
        <is>
          <t>Harfleri öğrendin ve markette etiketleri okumaya başladın. Fiyatlar seni endişelendirdi.</t>
        </is>
      </c>
      <c r="J119" s="6" t="inlineStr">
        <is>
          <t>Harflerle ilgilendin; harfler seninle ilgilenmedi.</t>
        </is>
      </c>
      <c r="K119" s="6" t="inlineStr">
        <is>
          <t>B ile D'yi karıştırdın; babaannene yazdığın kartta kocaman “DADAANNE” yazıyordu. Babaannen kartı vitrine koydu, gelen her misafire okuttu. Hâlâ okutuyor.</t>
        </is>
      </c>
      <c r="L119" s="6" t="inlineStr">
        <is>
          <t>Harf oldu ama biraz yamuk. Öğretmen yine de yıldız verdi.</t>
        </is>
      </c>
      <c r="M119" s="5" t="inlineStr">
        <is>
          <t>trace</t>
        </is>
      </c>
      <c r="N119" s="5" t="inlineStr">
        <is>
          <t>İlk Harf</t>
        </is>
      </c>
      <c r="O119" s="6" t="inlineStr">
        <is>
          <t>Parmağını kaldırmadan kesikli çizginin üstünden M harfini çiz.</t>
        </is>
      </c>
      <c r="P119" s="6" t="inlineStr"/>
      <c r="Q119" s="5" t="inlineStr"/>
      <c r="R119" s="5" t="inlineStr"/>
      <c r="S119" s="5" t="inlineStr"/>
      <c r="T119" s="5" t="inlineStr"/>
      <c r="U119" s="5" t="inlineStr"/>
      <c r="V119" s="5" t="inlineStr"/>
      <c r="W119" s="5" t="inlineStr"/>
      <c r="X119" s="5" t="inlineStr"/>
      <c r="Y119" s="5" t="inlineStr"/>
      <c r="Z119" s="6" t="inlineStr"/>
      <c r="AA119" s="5" t="inlineStr"/>
      <c r="AB119" s="5" t="inlineStr"/>
      <c r="AC119" s="5" t="inlineStr"/>
      <c r="AD119" s="5" t="inlineStr"/>
      <c r="AE119" s="5" t="inlineStr"/>
      <c r="AF119" s="5" t="inlineStr"/>
      <c r="AG119" s="5" t="inlineStr"/>
      <c r="AH119" s="5" t="inlineStr"/>
      <c r="AI119" s="5" t="inlineStr"/>
      <c r="AJ119" s="5" t="inlineStr"/>
    </row>
    <row r="120">
      <c r="A120" s="5" t="inlineStr">
        <is>
          <t>okul-hazirligi</t>
        </is>
      </c>
      <c r="B120" s="5" t="n">
        <v>2</v>
      </c>
      <c r="C120" s="6" t="inlineStr">
        <is>
          <t>Çantayı kendin hazırla</t>
        </is>
      </c>
      <c r="D120" s="5" t="inlineStr">
        <is>
          <t>Dayanıklılık</t>
        </is>
      </c>
      <c r="E120" s="5" t="inlineStr">
        <is>
          <t>Kolay</t>
        </is>
      </c>
      <c r="F120" s="5" t="inlineStr"/>
      <c r="G120" s="6" t="inlineStr"/>
      <c r="H120" s="6" t="inlineStr">
        <is>
          <t>Çantayı kendin hazırladın. Annen gece gizlice açıp bir yedek beslenme koydu. İkiniz de bilmiyormuş gibi yaptınız.</t>
        </is>
      </c>
      <c r="I120" s="6" t="inlineStr">
        <is>
          <t>Beslenme, kalem, yedek çorap; hepsi yerinde. Annen kontrol etti, ekleyecek bir şey bulamadı, biraz bozuldu. Sonra yine de bir kolonya sıkıştırdı.</t>
        </is>
      </c>
      <c r="J120" s="6" t="inlineStr">
        <is>
          <t>Çantayı hazırladın; içinde sadece oyuncak var.</t>
        </is>
      </c>
      <c r="K120" s="6" t="inlineStr">
        <is>
          <t>Çantaya her şeyi koydun: üç kitap, beş oyuncak, bir kavanoz bozukluk ve kedinin maması. Sırtına aldın, geriye doğru popo üstü oturdun. Baban fotoğrafını çekti; aile grubunda altında “Okula hazır” yazıyor.</t>
        </is>
      </c>
      <c r="L120" s="6" t="inlineStr"/>
      <c r="M120" s="5" t="inlineStr"/>
      <c r="N120" s="5" t="inlineStr"/>
      <c r="O120" s="6" t="inlineStr"/>
      <c r="P120" s="6" t="inlineStr"/>
      <c r="Q120" s="5" t="inlineStr"/>
      <c r="R120" s="5" t="inlineStr"/>
      <c r="S120" s="5" t="inlineStr"/>
      <c r="T120" s="5" t="inlineStr"/>
      <c r="U120" s="5" t="inlineStr"/>
      <c r="V120" s="5" t="inlineStr"/>
      <c r="W120" s="5" t="inlineStr"/>
      <c r="X120" s="5" t="inlineStr"/>
      <c r="Y120" s="5" t="inlineStr"/>
      <c r="Z120" s="6" t="inlineStr"/>
      <c r="AA120" s="5" t="inlineStr"/>
      <c r="AB120" s="5" t="inlineStr"/>
      <c r="AC120" s="5" t="inlineStr"/>
      <c r="AD120" s="5" t="inlineStr"/>
      <c r="AE120" s="5" t="inlineStr"/>
      <c r="AF120" s="5" t="inlineStr"/>
      <c r="AG120" s="5" t="inlineStr"/>
      <c r="AH120" s="5" t="inlineStr"/>
      <c r="AI120" s="5" t="inlineStr"/>
      <c r="AJ120" s="5" t="inlineStr"/>
    </row>
    <row r="121">
      <c r="A121" s="5" t="inlineStr">
        <is>
          <t>okul-hazirligi</t>
        </is>
      </c>
      <c r="B121" s="5" t="n">
        <v>3</v>
      </c>
      <c r="C121" s="6" t="inlineStr">
        <is>
          <t>Annene bırak</t>
        </is>
      </c>
      <c r="D121" s="5" t="inlineStr"/>
      <c r="E121" s="5" t="inlineStr"/>
      <c r="F121" s="5" t="inlineStr">
        <is>
          <t>Sosyal Radar +1</t>
        </is>
      </c>
      <c r="G121" s="6" t="inlineStr">
        <is>
          <t>Çantayı annen hazırladı. İçinde ne olduğunu ilk derste öğrendin: peçete, peçete, ıslak mendil. Kalem yoktu.</t>
        </is>
      </c>
      <c r="H121" s="6" t="inlineStr"/>
      <c r="I121" s="6" t="inlineStr"/>
      <c r="J121" s="6" t="inlineStr"/>
      <c r="K121" s="6" t="inlineStr"/>
      <c r="L121" s="6" t="inlineStr"/>
      <c r="M121" s="5" t="inlineStr"/>
      <c r="N121" s="5" t="inlineStr"/>
      <c r="O121" s="6" t="inlineStr"/>
      <c r="P121" s="6" t="inlineStr"/>
      <c r="Q121" s="5" t="inlineStr"/>
      <c r="R121" s="5" t="inlineStr"/>
      <c r="S121" s="5" t="inlineStr"/>
      <c r="T121" s="5" t="inlineStr"/>
      <c r="U121" s="5" t="inlineStr"/>
      <c r="V121" s="5" t="inlineStr"/>
      <c r="W121" s="5" t="inlineStr"/>
      <c r="X121" s="5" t="inlineStr"/>
      <c r="Y121" s="5" t="inlineStr"/>
      <c r="Z121" s="6" t="inlineStr"/>
      <c r="AA121" s="5" t="inlineStr"/>
      <c r="AB121" s="5" t="inlineStr"/>
      <c r="AC121" s="5" t="inlineStr"/>
      <c r="AD121" s="5" t="inlineStr"/>
      <c r="AE121" s="5" t="inlineStr"/>
      <c r="AF121" s="5" t="inlineStr"/>
      <c r="AG121" s="5" t="inlineStr"/>
      <c r="AH121" s="5" t="inlineStr"/>
      <c r="AI121" s="5" t="inlineStr"/>
      <c r="AJ121" s="5" t="inlineStr"/>
    </row>
    <row r="122">
      <c r="A122" s="5" t="inlineStr">
        <is>
          <t>okul-hazirligi</t>
        </is>
      </c>
      <c r="B122" s="5" t="n">
        <v>4</v>
      </c>
      <c r="C122" s="6" t="inlineStr">
        <is>
          <t>Harfleri tabletten bildiğini göster</t>
        </is>
      </c>
      <c r="D122" s="5" t="inlineStr">
        <is>
          <t>Akıl</t>
        </is>
      </c>
      <c r="E122" s="5" t="inlineStr">
        <is>
          <t>Orta</t>
        </is>
      </c>
      <c r="F122" s="5" t="inlineStr"/>
      <c r="G122" s="6" t="inlineStr"/>
      <c r="H122" s="6" t="inlineStr">
        <is>
          <t>Harfleri tabletteki bir oyundan öğrenmiştin. Öğretmen “Bunu kim öğretti?” diye sordu; “Bir uygulama” dedin.</t>
        </is>
      </c>
      <c r="I122" s="6" t="inlineStr">
        <is>
          <t>Harfleri sayıp döktün, sonra hepsini sıraya dizdin. Öğretmen defterine “tablet çocuğu” diye not düştü.</t>
        </is>
      </c>
      <c r="J122" s="6" t="inlineStr">
        <is>
          <t>Harfleri biliyordun ama sadece dokunmatik ekranda. Kâğıt dokunuşuna tepki vermedi.</t>
        </is>
      </c>
      <c r="K122" s="6" t="inlineStr">
        <is>
          <t>Deftere harf yazmak yerine sayfayı kaydırmaya çalıştın. Defter yırtıldı, harfler dağıldı.</t>
        </is>
      </c>
      <c r="L122" s="6" t="inlineStr"/>
      <c r="M122" s="5" t="inlineStr"/>
      <c r="N122" s="5" t="inlineStr"/>
      <c r="O122" s="6" t="inlineStr"/>
      <c r="P122" s="6" t="inlineStr"/>
      <c r="Q122" s="5" t="inlineStr"/>
      <c r="R122" s="5" t="inlineStr">
        <is>
          <t>ekran-cocugu</t>
        </is>
      </c>
      <c r="S122" s="5" t="inlineStr"/>
      <c r="T122" s="5" t="inlineStr"/>
      <c r="U122" s="5" t="inlineStr"/>
      <c r="V122" s="5" t="inlineStr"/>
      <c r="W122" s="5" t="inlineStr"/>
      <c r="X122" s="5" t="inlineStr"/>
      <c r="Y122" s="5" t="inlineStr"/>
      <c r="Z122" s="6" t="inlineStr"/>
      <c r="AA122" s="5" t="inlineStr"/>
      <c r="AB122" s="5" t="inlineStr"/>
      <c r="AC122" s="5" t="inlineStr"/>
      <c r="AD122" s="5" t="inlineStr"/>
      <c r="AE122" s="5" t="inlineStr"/>
      <c r="AF122" s="5" t="inlineStr"/>
      <c r="AG122" s="5" t="inlineStr"/>
      <c r="AH122" s="5" t="inlineStr"/>
      <c r="AI122" s="5" t="inlineStr"/>
      <c r="AJ122" s="5" t="inlineStr"/>
    </row>
    <row r="123">
      <c r="A123" s="5" t="inlineStr">
        <is>
          <t>tepsiyle-kayak</t>
        </is>
      </c>
      <c r="B123" s="5" t="n">
        <v>1</v>
      </c>
      <c r="C123" s="6" t="inlineStr">
        <is>
          <t>Pencereden izle</t>
        </is>
      </c>
      <c r="D123" s="5" t="inlineStr"/>
      <c r="E123" s="5" t="inlineStr"/>
      <c r="F123" s="5" t="inlineStr">
        <is>
          <t>Akıl +1</t>
        </is>
      </c>
      <c r="G123" s="6" t="inlineStr">
        <is>
          <t>Pencereden izledin; burnun cama yapıştı, cam buğulandı. Annen arkandan bir bardak ıhlamur uzattı: “Benim aklı başında evladım.” Akşam mahallenin yarısı ıslak döndü; sen kuruydun.</t>
        </is>
      </c>
      <c r="H123" s="6" t="inlineStr"/>
      <c r="I123" s="6" t="inlineStr"/>
      <c r="J123" s="6" t="inlineStr"/>
      <c r="K123" s="6" t="inlineStr"/>
      <c r="L123" s="6" t="inlineStr"/>
      <c r="M123" s="5" t="inlineStr"/>
      <c r="N123" s="5" t="inlineStr"/>
      <c r="O123" s="6" t="inlineStr"/>
      <c r="P123" s="6" t="inlineStr"/>
      <c r="Q123" s="5" t="inlineStr"/>
      <c r="R123" s="5" t="inlineStr"/>
      <c r="S123" s="5" t="inlineStr"/>
      <c r="T123" s="5" t="inlineStr"/>
      <c r="U123" s="5" t="inlineStr"/>
      <c r="V123" s="5" t="inlineStr"/>
      <c r="W123" s="5" t="inlineStr"/>
      <c r="X123" s="5" t="inlineStr"/>
      <c r="Y123" s="5" t="inlineStr"/>
      <c r="Z123" s="6" t="inlineStr"/>
      <c r="AA123" s="5" t="inlineStr"/>
      <c r="AB123" s="5" t="inlineStr"/>
      <c r="AC123" s="5" t="inlineStr"/>
      <c r="AD123" s="5" t="inlineStr"/>
      <c r="AE123" s="5" t="inlineStr"/>
      <c r="AF123" s="5" t="inlineStr"/>
      <c r="AG123" s="5" t="inlineStr"/>
      <c r="AH123" s="5" t="inlineStr"/>
      <c r="AI123" s="5" t="inlineStr"/>
      <c r="AJ123" s="5" t="inlineStr"/>
    </row>
    <row r="124">
      <c r="A124" s="5" t="inlineStr">
        <is>
          <t>tepsiyle-kayak</t>
        </is>
      </c>
      <c r="B124" s="5" t="n">
        <v>2</v>
      </c>
      <c r="C124" s="6" t="inlineStr">
        <is>
          <t>Tepsiyle kay</t>
        </is>
      </c>
      <c r="D124" s="5" t="inlineStr">
        <is>
          <t>Cesaret</t>
        </is>
      </c>
      <c r="E124" s="5" t="inlineStr">
        <is>
          <t>Orta</t>
        </is>
      </c>
      <c r="F124" s="5" t="inlineStr"/>
      <c r="G124" s="6" t="inlineStr"/>
      <c r="H124" s="6" t="inlineStr">
        <is>
          <t>Yokuşu baştan sona kaydın. Mahalle seni alkışladı, annen seni aradı.</t>
        </is>
      </c>
      <c r="I124" s="6" t="inlineStr">
        <is>
          <t>Öyle bir kaydın ki yokuşun sonunda bir tur daha attın. Efsane doğdu.</t>
        </is>
      </c>
      <c r="J124" s="6" t="inlineStr">
        <is>
          <t>Tepsi döndü, sen döndün, yokuş dönmedi. Kar dolu bir kafayla eve vardın.</t>
        </is>
      </c>
      <c r="K124" s="6" t="inlineStr">
        <is>
          <t>Tepsi bir yöne, sen öbür yöne. Popo üstü bir kar yığınına gömüldün; dışarıda yalnızca botların kaldı. Kapıcı seni kardan söküp çıkardı. Annen balkondan önce “Tepsim!” diye bağırdı, sonra “İyi misin?” Sıra buydu.</t>
        </is>
      </c>
      <c r="L124" s="6" t="inlineStr"/>
      <c r="M124" s="5" t="inlineStr"/>
      <c r="N124" s="5" t="inlineStr"/>
      <c r="O124" s="6" t="inlineStr"/>
      <c r="P124" s="6" t="inlineStr"/>
      <c r="Q124" s="5" t="inlineStr"/>
      <c r="R124" s="5" t="inlineStr"/>
      <c r="S124" s="5" t="inlineStr"/>
      <c r="T124" s="5" t="inlineStr"/>
      <c r="U124" s="5" t="inlineStr"/>
      <c r="V124" s="5" t="inlineStr"/>
      <c r="W124" s="5" t="inlineStr"/>
      <c r="X124" s="5" t="inlineStr"/>
      <c r="Y124" s="5" t="inlineStr"/>
      <c r="Z124" s="6" t="inlineStr"/>
      <c r="AA124" s="5" t="inlineStr"/>
      <c r="AB124" s="5" t="inlineStr"/>
      <c r="AC124" s="5" t="inlineStr"/>
      <c r="AD124" s="5" t="inlineStr"/>
      <c r="AE124" s="5" t="inlineStr"/>
      <c r="AF124" s="5" t="inlineStr"/>
      <c r="AG124" s="5" t="inlineStr"/>
      <c r="AH124" s="5" t="inlineStr"/>
      <c r="AI124" s="5" t="inlineStr"/>
      <c r="AJ124" s="5" t="inlineStr"/>
    </row>
    <row r="125">
      <c r="A125" s="5" t="inlineStr">
        <is>
          <t>tepsiyle-kayak</t>
        </is>
      </c>
      <c r="B125" s="5" t="n">
        <v>3</v>
      </c>
      <c r="C125" s="6" t="inlineStr">
        <is>
          <t>Tepsi kiralama işi kur</t>
        </is>
      </c>
      <c r="D125" s="5" t="inlineStr">
        <is>
          <t>Kurnazlık</t>
        </is>
      </c>
      <c r="E125" s="5" t="inlineStr">
        <is>
          <t>Orta</t>
        </is>
      </c>
      <c r="F125" s="5" t="inlineStr"/>
      <c r="G125" s="6" t="inlineStr"/>
      <c r="H125" s="6" t="inlineStr">
        <is>
          <t>Evden üç tepsi indirdin; tur başına bir şeker. Akşama cebin şekerle doldu, mutfak tepsisiz kaldı; annen çayı tabakla taşıdı.</t>
        </is>
      </c>
      <c r="I125" s="6" t="inlineStr">
        <is>
          <t>Öğlene kadar mahallenin bütün tepsileri sende toplandı; kapıcı bile sıraya girdi. Akşam anneler kapı kapı tepsi aradı. Hepsi sizin balkondaydı.</t>
        </is>
      </c>
      <c r="J125" s="6" t="inlineStr">
        <is>
          <t>Tepsileri kiraladın; kimse geri getirmedi.</t>
        </is>
      </c>
      <c r="K125" s="6" t="inlineStr">
        <is>
          <t>Kiraladığın tepsilerden biri annenin baklava tepsisiymiş. Yokuşun dibinden ortası göçük döndü. O bayram baklava yine o tepsiden çıktı: ortası çukur, bütün şerbet ortada; her misafir sordu, annen her seferinde sana baktı.</t>
        </is>
      </c>
      <c r="L125" s="6" t="inlineStr"/>
      <c r="M125" s="5" t="inlineStr"/>
      <c r="N125" s="5" t="inlineStr"/>
      <c r="O125" s="6" t="inlineStr"/>
      <c r="P125" s="6" t="inlineStr"/>
      <c r="Q125" s="5" t="inlineStr"/>
      <c r="R125" s="5" t="inlineStr"/>
      <c r="S125" s="5" t="inlineStr"/>
      <c r="T125" s="5" t="inlineStr"/>
      <c r="U125" s="5" t="inlineStr">
        <is>
          <t>tepsiTekeli</t>
        </is>
      </c>
      <c r="V125" s="5" t="inlineStr"/>
      <c r="W125" s="5" t="inlineStr"/>
      <c r="X125" s="5" t="inlineStr"/>
      <c r="Y125" s="5" t="inlineStr"/>
      <c r="Z125" s="6" t="inlineStr"/>
      <c r="AA125" s="5" t="inlineStr"/>
      <c r="AB125" s="5" t="inlineStr"/>
      <c r="AC125" s="5" t="inlineStr"/>
      <c r="AD125" s="5" t="inlineStr"/>
      <c r="AE125" s="5" t="inlineStr"/>
      <c r="AF125" s="5" t="inlineStr"/>
      <c r="AG125" s="5" t="inlineStr"/>
      <c r="AH125" s="5" t="inlineStr"/>
      <c r="AI125" s="5" t="inlineStr">
        <is>
          <t>Baklava Tepsisi</t>
        </is>
      </c>
      <c r="AJ125" s="5" t="inlineStr"/>
    </row>
    <row r="126">
      <c r="A126" s="5" t="inlineStr">
        <is>
          <t>tepsiyle-kayak</t>
        </is>
      </c>
      <c r="B126" s="5" t="n">
        <v>4</v>
      </c>
      <c r="C126" s="6" t="inlineStr">
        <is>
          <t>Kardan adam yap</t>
        </is>
      </c>
      <c r="D126" s="5" t="inlineStr">
        <is>
          <t>Dayanıklılık</t>
        </is>
      </c>
      <c r="E126" s="5" t="inlineStr">
        <is>
          <t>Kolay</t>
        </is>
      </c>
      <c r="F126" s="5" t="inlineStr"/>
      <c r="G126" s="6" t="inlineStr"/>
      <c r="H126" s="6" t="inlineStr">
        <is>
          <t>Sağlam bir kardan adam yaptın. Havuçlu, düğmeli, vakur.</t>
        </is>
      </c>
      <c r="I126" s="6" t="inlineStr">
        <is>
          <t>Kardan adamın o kadar iyi oldu ki mahalle muhtarı fotoğrafını çekti.</t>
        </is>
      </c>
      <c r="J126" s="6" t="inlineStr">
        <is>
          <t>Kardan adam yarıda eridi. Tam bir kardan yarım adam.</t>
        </is>
      </c>
      <c r="K126" s="6" t="inlineStr">
        <is>
          <t>Kardan adamın kafasını takarken elinden kaçtı; yokuştan aşağı yuvarlandı, tepsiyle kayan üç çocuğu kara gömdü. Kardan çıkan ilk cümle “Kim attı bunu?” oldu. Bütün yokuş sana baktı.</t>
        </is>
      </c>
      <c r="L126" s="6" t="inlineStr"/>
      <c r="M126" s="5" t="inlineStr"/>
      <c r="N126" s="5" t="inlineStr"/>
      <c r="O126" s="6" t="inlineStr"/>
      <c r="P126" s="6" t="inlineStr"/>
      <c r="Q126" s="5" t="inlineStr"/>
      <c r="R126" s="5" t="inlineStr"/>
      <c r="S126" s="5" t="inlineStr"/>
      <c r="T126" s="5" t="inlineStr"/>
      <c r="U126" s="5" t="inlineStr"/>
      <c r="V126" s="5" t="inlineStr"/>
      <c r="W126" s="5" t="inlineStr"/>
      <c r="X126" s="5" t="inlineStr"/>
      <c r="Y126" s="5" t="inlineStr"/>
      <c r="Z126" s="6" t="inlineStr"/>
      <c r="AA126" s="5" t="inlineStr"/>
      <c r="AB126" s="5" t="inlineStr"/>
      <c r="AC126" s="5" t="inlineStr"/>
      <c r="AD126" s="5" t="inlineStr"/>
      <c r="AE126" s="5" t="inlineStr"/>
      <c r="AF126" s="5" t="inlineStr"/>
      <c r="AG126" s="5" t="inlineStr"/>
      <c r="AH126" s="5" t="inlineStr"/>
      <c r="AI126" s="5" t="inlineStr"/>
      <c r="AJ126" s="5" t="inlineStr"/>
    </row>
    <row r="127">
      <c r="A127" s="5" t="inlineStr">
        <is>
          <t>ilkokul-kapisi</t>
        </is>
      </c>
      <c r="B127" s="5" t="n">
        <v>1</v>
      </c>
      <c r="C127" s="6" t="inlineStr">
        <is>
          <t>Cesurca gir</t>
        </is>
      </c>
      <c r="D127" s="5" t="inlineStr">
        <is>
          <t>Cesaret</t>
        </is>
      </c>
      <c r="E127" s="5" t="inlineStr">
        <is>
          <t>Orta</t>
        </is>
      </c>
      <c r="F127" s="5" t="inlineStr"/>
      <c r="G127" s="6" t="inlineStr"/>
      <c r="H127" s="6" t="inlineStr">
        <is>
          <t>İçeri girdin, boş bir sıra buldun, oturdun. Arkandan annen el salladı; sen görmedin, o gördü.</t>
        </is>
      </c>
      <c r="I127" s="6" t="inlineStr">
        <is>
          <t>İçeri girdin, öğretmene 'Günaydın' dedin, en öndeki sırayı aldın.</t>
        </is>
      </c>
      <c r="J127" s="6" t="inlineStr">
        <is>
          <t>Kapıda bir an durdun. Arkadaki kalabalık seni içeri itti.</t>
        </is>
      </c>
      <c r="K127" s="6" t="inlineStr">
        <is>
          <t>Cesurca girdin; öğretmenler odasına. Altı öğretmen çay bardaklarıyla sana döndü: “Kaçıncı sınıfsın kuzum?” “Birinci.” “Burası değil.” Bir öğretmen seni elinden tutup koridor boyunca sınıfına götürdü; bütün veliler kapıdan izledi.</t>
        </is>
      </c>
      <c r="L127" s="6" t="inlineStr"/>
      <c r="M127" s="5" t="inlineStr"/>
      <c r="N127" s="5" t="inlineStr"/>
      <c r="O127" s="6" t="inlineStr"/>
      <c r="P127" s="6" t="inlineStr"/>
      <c r="Q127" s="5" t="inlineStr"/>
      <c r="R127" s="5" t="inlineStr"/>
      <c r="S127" s="5" t="inlineStr"/>
      <c r="T127" s="5" t="inlineStr"/>
      <c r="U127" s="5" t="inlineStr"/>
      <c r="V127" s="5" t="inlineStr"/>
      <c r="W127" s="5" t="inlineStr"/>
      <c r="X127" s="5" t="inlineStr"/>
      <c r="Y127" s="5" t="inlineStr"/>
      <c r="Z127" s="6" t="inlineStr"/>
      <c r="AA127" s="5" t="inlineStr"/>
      <c r="AB127" s="5" t="inlineStr"/>
      <c r="AC127" s="5" t="inlineStr"/>
      <c r="AD127" s="5" t="inlineStr"/>
      <c r="AE127" s="5" t="inlineStr"/>
      <c r="AF127" s="5" t="inlineStr"/>
      <c r="AG127" s="5" t="inlineStr"/>
      <c r="AH127" s="5" t="inlineStr"/>
      <c r="AI127" s="5" t="inlineStr"/>
      <c r="AJ127" s="5" t="inlineStr"/>
    </row>
    <row r="128">
      <c r="A128" s="5" t="inlineStr">
        <is>
          <t>ilkokul-kapisi</t>
        </is>
      </c>
      <c r="B128" s="5" t="n">
        <v>2</v>
      </c>
      <c r="C128" s="6" t="inlineStr">
        <is>
          <t>Önce ortamı oku</t>
        </is>
      </c>
      <c r="D128" s="5" t="inlineStr">
        <is>
          <t>Sosyal Radar</t>
        </is>
      </c>
      <c r="E128" s="5" t="inlineStr">
        <is>
          <t>Orta</t>
        </is>
      </c>
      <c r="F128" s="5" t="inlineStr"/>
      <c r="G128" s="6" t="inlineStr"/>
      <c r="H128" s="6" t="inlineStr">
        <is>
          <t>Kimin ağladığını, kimin ağlamaya hazırlandığını ve kimin beslenmesinde çikolata olduğunu ilk on dakikada öğrendin. Çikolatalının yanına oturdun.</t>
        </is>
      </c>
      <c r="I128" s="6" t="inlineStr">
        <is>
          <t>Kimin lider, kimin sessiz dahi, kimin kantincinin yeğeni olduğunu ilk gün öğrendin.</t>
        </is>
      </c>
      <c r="J128" s="6" t="inlineStr">
        <is>
          <t>Kapıda durup herkesi süzdün. Sınıf doldu, sıralar bitti; sana öğretmen masasının dibindeki sıra kaldı.</t>
        </is>
      </c>
      <c r="K128" s="6" t="inlineStr">
        <is>
          <t>Ortamı okumaya öyle daldın ki herkes oturdu, sen ayakta kaldın. Öğretmen sordu: “Sen de veli misin?” İlk günün ilk kahkahası seninle başladı.</t>
        </is>
      </c>
      <c r="L128" s="6" t="inlineStr"/>
      <c r="M128" s="5" t="inlineStr"/>
      <c r="N128" s="5" t="inlineStr"/>
      <c r="O128" s="6" t="inlineStr"/>
      <c r="P128" s="6" t="inlineStr"/>
      <c r="Q128" s="5" t="inlineStr"/>
      <c r="R128" s="5" t="inlineStr"/>
      <c r="S128" s="5" t="inlineStr"/>
      <c r="T128" s="5" t="inlineStr"/>
      <c r="U128" s="5" t="inlineStr"/>
      <c r="V128" s="5" t="inlineStr"/>
      <c r="W128" s="5" t="inlineStr"/>
      <c r="X128" s="5" t="inlineStr"/>
      <c r="Y128" s="5" t="inlineStr"/>
      <c r="Z128" s="6" t="inlineStr"/>
      <c r="AA128" s="5" t="inlineStr"/>
      <c r="AB128" s="5" t="inlineStr"/>
      <c r="AC128" s="5" t="inlineStr"/>
      <c r="AD128" s="5" t="inlineStr"/>
      <c r="AE128" s="5" t="inlineStr"/>
      <c r="AF128" s="5" t="inlineStr"/>
      <c r="AG128" s="5" t="inlineStr"/>
      <c r="AH128" s="5" t="inlineStr"/>
      <c r="AI128" s="5" t="inlineStr"/>
      <c r="AJ128" s="5" t="inlineStr"/>
    </row>
    <row r="129">
      <c r="A129" s="5" t="inlineStr">
        <is>
          <t>ilkokul-kapisi</t>
        </is>
      </c>
      <c r="B129" s="5" t="n">
        <v>3</v>
      </c>
      <c r="C129" s="6" t="inlineStr">
        <is>
          <t>Sınıfı kendin bul</t>
        </is>
      </c>
      <c r="D129" s="5" t="inlineStr">
        <is>
          <t>Akıl</t>
        </is>
      </c>
      <c r="E129" s="5" t="inlineStr">
        <is>
          <t>Kolay</t>
        </is>
      </c>
      <c r="F129" s="5" t="inlineStr"/>
      <c r="G129" s="6" t="inlineStr"/>
      <c r="H129" s="6" t="inlineStr">
        <is>
          <t>Kapıdaki resmi hatırladın: kırmızı balon. İçeri girdin; öğretmen “İlk gelen sensin” dedi.</t>
        </is>
      </c>
      <c r="I129" s="6" t="inlineStr">
        <is>
          <t>İpucunu tek bakışta çözdün. Doğru sınıf, ilk sıra.</t>
        </is>
      </c>
      <c r="J129" s="6" t="inlineStr">
        <is>
          <t>Yanlış sınıfa girdin, sonra doğrusunu buldun.</t>
        </is>
      </c>
      <c r="K129" s="6" t="inlineStr">
        <is>
          <t>Yanlış sınıfa girdin, en öne oturdun. Herkes senden bir baş uzundu; dördüncü sınıftı. Öğretmen “Bu yıl erken başladın galiba” dedi; sınıf güldü, kapıda annen de.</t>
        </is>
      </c>
      <c r="L129" s="6" t="inlineStr">
        <is>
          <t>Doğru koridor, yanlış kapı; ama öğretmen seni yönlendirdi.</t>
        </is>
      </c>
      <c r="M129" s="5" t="inlineStr">
        <is>
          <t>hidden</t>
        </is>
      </c>
      <c r="N129" s="5" t="inlineStr">
        <is>
          <t>Doğru Sınıfı Bul</t>
        </is>
      </c>
      <c r="O129" s="6" t="inlineStr">
        <is>
          <t>Sınıfının çiçeğini (🌻) kapılar arasında bul.</t>
        </is>
      </c>
      <c r="P129" s="6" t="inlineStr">
        <is>
          <t>{"target": "🌻", "decoys": ["🌼", "🌷", "🌹", "🪻"]}</t>
        </is>
      </c>
      <c r="Q129" s="5" t="inlineStr"/>
      <c r="R129" s="5" t="inlineStr"/>
      <c r="S129" s="5" t="inlineStr"/>
      <c r="T129" s="5" t="inlineStr"/>
      <c r="U129" s="5" t="inlineStr"/>
      <c r="V129" s="5" t="inlineStr"/>
      <c r="W129" s="5" t="inlineStr"/>
      <c r="X129" s="5" t="inlineStr"/>
      <c r="Y129" s="5" t="inlineStr"/>
      <c r="Z129" s="6" t="inlineStr"/>
      <c r="AA129" s="5" t="inlineStr"/>
      <c r="AB129" s="5" t="inlineStr"/>
      <c r="AC129" s="5" t="inlineStr"/>
      <c r="AD129" s="5" t="inlineStr"/>
      <c r="AE129" s="5" t="inlineStr"/>
      <c r="AF129" s="5" t="inlineStr"/>
      <c r="AG129" s="5" t="inlineStr"/>
      <c r="AH129" s="5" t="inlineStr"/>
      <c r="AI129" s="5" t="inlineStr"/>
      <c r="AJ129" s="5" t="inlineStr"/>
    </row>
    <row r="130">
      <c r="A130" s="5" t="inlineStr">
        <is>
          <t>ilk-ders</t>
        </is>
      </c>
      <c r="B130" s="5" t="n">
        <v>1</v>
      </c>
      <c r="C130" s="6" t="inlineStr">
        <is>
          <t>El kaldır</t>
        </is>
      </c>
      <c r="D130" s="5" t="inlineStr">
        <is>
          <t>Cesaret</t>
        </is>
      </c>
      <c r="E130" s="5" t="inlineStr">
        <is>
          <t>Kolay</t>
        </is>
      </c>
      <c r="F130" s="5" t="inlineStr"/>
      <c r="G130" s="6" t="inlineStr"/>
      <c r="H130" s="6" t="inlineStr">
        <is>
          <t>Tahtaya kalktın, adını kocaman yazdın. Öğretmen “Aferin” dedi. Akşam annene üç kez anlattın.</t>
        </is>
      </c>
      <c r="I130" s="6" t="inlineStr">
        <is>
          <t>Tahtaya çıktın ve koca bir cümle yazdın. Öğretmen defterine yıldız koydu.</t>
        </is>
      </c>
      <c r="J130" s="6" t="inlineStr">
        <is>
          <t>El kaldırdın; öğretmen başkasını seçti.</t>
        </is>
      </c>
      <c r="K130" s="6" t="inlineStr">
        <is>
          <t>Tahtaya kalktın, adını yazdın; harflerin yarısı ters. Arka sıradan biri yazdığını yüksek sesle okudu. Sınıf güldü, öğretmen de biraz.</t>
        </is>
      </c>
      <c r="L130" s="6" t="inlineStr"/>
      <c r="M130" s="5" t="inlineStr"/>
      <c r="N130" s="5" t="inlineStr"/>
      <c r="O130" s="6" t="inlineStr"/>
      <c r="P130" s="6" t="inlineStr"/>
      <c r="Q130" s="5" t="inlineStr"/>
      <c r="R130" s="5" t="inlineStr"/>
      <c r="S130" s="5" t="inlineStr"/>
      <c r="T130" s="5" t="inlineStr"/>
      <c r="U130" s="5" t="inlineStr"/>
      <c r="V130" s="5" t="inlineStr"/>
      <c r="W130" s="5" t="inlineStr"/>
      <c r="X130" s="5" t="inlineStr"/>
      <c r="Y130" s="5" t="inlineStr"/>
      <c r="Z130" s="6" t="inlineStr"/>
      <c r="AA130" s="5" t="inlineStr"/>
      <c r="AB130" s="5" t="inlineStr"/>
      <c r="AC130" s="5" t="inlineStr"/>
      <c r="AD130" s="5" t="inlineStr"/>
      <c r="AE130" s="5" t="inlineStr"/>
      <c r="AF130" s="5" t="inlineStr"/>
      <c r="AG130" s="5" t="inlineStr"/>
      <c r="AH130" s="5" t="inlineStr"/>
      <c r="AI130" s="5" t="inlineStr"/>
      <c r="AJ130" s="5" t="inlineStr"/>
    </row>
    <row r="131">
      <c r="A131" s="5" t="inlineStr">
        <is>
          <t>ilk-ders</t>
        </is>
      </c>
      <c r="B131" s="5" t="n">
        <v>2</v>
      </c>
      <c r="C131" s="6" t="inlineStr">
        <is>
          <t>Sessizce defterine yaz</t>
        </is>
      </c>
      <c r="D131" s="5" t="inlineStr">
        <is>
          <t>Akıl</t>
        </is>
      </c>
      <c r="E131" s="5" t="inlineStr">
        <is>
          <t>Kolay</t>
        </is>
      </c>
      <c r="F131" s="5" t="inlineStr"/>
      <c r="G131" s="6" t="inlineStr"/>
      <c r="H131" s="6" t="inlineStr">
        <is>
          <t>Sessizce yaptın. Öğretmen defterini görünce kaşlarını kaldırdı.</t>
        </is>
      </c>
      <c r="I131" s="6" t="inlineStr">
        <is>
          <t>Öğretmen defterini havaya kaldırdı: “İşte böyle yazılır.” Akşam annen defteri komşu teyzeye gösterdi, komşu teyze de telefonla kendi torununa.</t>
        </is>
      </c>
      <c r="J131" s="6" t="inlineStr">
        <is>
          <t>Yazdın, sildin, yine yazdın. Sayfada harf kalmadı, delik kaldı.</t>
        </is>
      </c>
      <c r="K131" s="6" t="inlineStr">
        <is>
          <t>O kadar dikkatli yazdın ki defterin kaydığını fark etmedin; bütün harfler sıraya geçmiş. Öğretmen sıraya baktı: “Çok güzel olmuş. Şimdi sil.” Teneffüs boyunca sildin; bir “a” hâlâ orada.</t>
        </is>
      </c>
      <c r="L131" s="6" t="inlineStr"/>
      <c r="M131" s="5" t="inlineStr"/>
      <c r="N131" s="5" t="inlineStr"/>
      <c r="O131" s="6" t="inlineStr"/>
      <c r="P131" s="6" t="inlineStr"/>
      <c r="Q131" s="5" t="inlineStr"/>
      <c r="R131" s="5" t="inlineStr"/>
      <c r="S131" s="5" t="inlineStr"/>
      <c r="T131" s="5" t="inlineStr"/>
      <c r="U131" s="5" t="inlineStr"/>
      <c r="V131" s="5" t="inlineStr"/>
      <c r="W131" s="5" t="inlineStr"/>
      <c r="X131" s="5" t="inlineStr"/>
      <c r="Y131" s="5" t="inlineStr"/>
      <c r="Z131" s="6" t="inlineStr"/>
      <c r="AA131" s="5" t="inlineStr"/>
      <c r="AB131" s="5" t="inlineStr"/>
      <c r="AC131" s="5" t="inlineStr"/>
      <c r="AD131" s="5" t="inlineStr"/>
      <c r="AE131" s="5" t="inlineStr"/>
      <c r="AF131" s="5" t="inlineStr"/>
      <c r="AG131" s="5" t="inlineStr"/>
      <c r="AH131" s="5" t="inlineStr"/>
      <c r="AI131" s="5" t="inlineStr"/>
      <c r="AJ131" s="5" t="inlineStr"/>
    </row>
    <row r="132">
      <c r="A132" s="5" t="inlineStr">
        <is>
          <t>ilk-ders</t>
        </is>
      </c>
      <c r="B132" s="5" t="n">
        <v>3</v>
      </c>
      <c r="C132" s="6" t="inlineStr">
        <is>
          <t>Yanındakine yardım et</t>
        </is>
      </c>
      <c r="D132" s="5" t="inlineStr"/>
      <c r="E132" s="5" t="inlineStr"/>
      <c r="F132" s="5" t="inlineStr">
        <is>
          <t>Gönül +1</t>
        </is>
      </c>
      <c r="G132" s="6" t="inlineStr">
        <is>
          <t>Yanındaki çocuğun ters yazdığı “a”yı düzelttin. Teneffüste simidinin yarısını sana uzattı. İlk arkadaşın oldu.</t>
        </is>
      </c>
      <c r="H132" s="6" t="inlineStr"/>
      <c r="I132" s="6" t="inlineStr"/>
      <c r="J132" s="6" t="inlineStr"/>
      <c r="K132" s="6" t="inlineStr"/>
      <c r="L132" s="6" t="inlineStr"/>
      <c r="M132" s="5" t="inlineStr"/>
      <c r="N132" s="5" t="inlineStr"/>
      <c r="O132" s="6" t="inlineStr"/>
      <c r="P132" s="6" t="inlineStr"/>
      <c r="Q132" s="5" t="inlineStr"/>
      <c r="R132" s="5" t="inlineStr"/>
      <c r="S132" s="5" t="inlineStr"/>
      <c r="T132" s="5" t="inlineStr"/>
      <c r="U132" s="5" t="inlineStr"/>
      <c r="V132" s="5" t="inlineStr"/>
      <c r="W132" s="5" t="inlineStr"/>
      <c r="X132" s="5" t="inlineStr"/>
      <c r="Y132" s="5" t="inlineStr"/>
      <c r="Z132" s="6" t="inlineStr"/>
      <c r="AA132" s="5" t="inlineStr"/>
      <c r="AB132" s="5" t="inlineStr"/>
      <c r="AC132" s="5" t="inlineStr"/>
      <c r="AD132" s="5" t="inlineStr"/>
      <c r="AE132" s="5" t="inlineStr"/>
      <c r="AF132" s="5" t="inlineStr"/>
      <c r="AG132" s="5" t="inlineStr"/>
      <c r="AH132" s="5" t="inlineStr"/>
      <c r="AI132" s="5" t="inlineStr"/>
      <c r="AJ132" s="5" t="inlineStr"/>
    </row>
    <row r="133">
      <c r="A133" s="5" t="inlineStr">
        <is>
          <t>ilk-ders</t>
        </is>
      </c>
      <c r="B133" s="5" t="n">
        <v>4</v>
      </c>
      <c r="C133" s="6" t="inlineStr">
        <is>
          <t>Tabletten öğrendiklerini göster</t>
        </is>
      </c>
      <c r="D133" s="5" t="inlineStr">
        <is>
          <t>Akıl</t>
        </is>
      </c>
      <c r="E133" s="5" t="inlineStr">
        <is>
          <t>Kolay</t>
        </is>
      </c>
      <c r="F133" s="5" t="inlineStr"/>
      <c r="G133" s="6" t="inlineStr"/>
      <c r="H133" s="6" t="inlineStr">
        <is>
          <t>Harfleri bir oyundan öğrendiğini anlattın. Öğretmen not aldı.</t>
        </is>
      </c>
      <c r="I133" s="6" t="inlineStr">
        <is>
          <t>Sınıfa harf oyunu tanıttın. Öğretmen dersin yarısını sana bıraktı.</t>
        </is>
      </c>
      <c r="J133" s="6" t="inlineStr">
        <is>
          <t>Anlatırken oyunun adını hatırlayamadın.</t>
        </is>
      </c>
      <c r="K133" s="6" t="inlineStr">
        <is>
          <t>“Harfleri biliyorum!” dedin ve okumaya başladın; ağzından bir deterjan reklamının şarkısı çıktı. Sınıfın yarısı nakaratta sana katıldı. Öğretmen akşam annene “Tablet saatine bir bakalım” dedi.</t>
        </is>
      </c>
      <c r="L133" s="6" t="inlineStr"/>
      <c r="M133" s="5" t="inlineStr"/>
      <c r="N133" s="5" t="inlineStr"/>
      <c r="O133" s="6" t="inlineStr"/>
      <c r="P133" s="6" t="inlineStr"/>
      <c r="Q133" s="5" t="inlineStr">
        <is>
          <t>Şifreyi Bilen</t>
        </is>
      </c>
      <c r="R133" s="5" t="inlineStr"/>
      <c r="S133" s="5" t="inlineStr"/>
      <c r="T133" s="5" t="inlineStr"/>
      <c r="U133" s="5" t="inlineStr"/>
      <c r="V133" s="5" t="inlineStr"/>
      <c r="W133" s="5" t="inlineStr"/>
      <c r="X133" s="5" t="inlineStr"/>
      <c r="Y133" s="5" t="inlineStr"/>
      <c r="Z133" s="6" t="inlineStr"/>
      <c r="AA133" s="5" t="inlineStr"/>
      <c r="AB133" s="5" t="inlineStr"/>
      <c r="AC133" s="5" t="inlineStr"/>
      <c r="AD133" s="5" t="inlineStr"/>
      <c r="AE133" s="5" t="inlineStr"/>
      <c r="AF133" s="5" t="inlineStr"/>
      <c r="AG133" s="5" t="inlineStr"/>
      <c r="AH133" s="5" t="inlineStr"/>
      <c r="AI133" s="5" t="inlineStr"/>
      <c r="AJ133" s="5" t="inlineStr"/>
    </row>
    <row r="134">
      <c r="A134" s="5" t="inlineStr">
        <is>
          <t>sira-arkadasi</t>
        </is>
      </c>
      <c r="B134" s="5" t="n">
        <v>1</v>
      </c>
      <c r="C134" s="6" t="inlineStr">
        <is>
          <t>Kendini tanıt</t>
        </is>
      </c>
      <c r="D134" s="5" t="inlineStr">
        <is>
          <t>Çene</t>
        </is>
      </c>
      <c r="E134" s="5" t="inlineStr">
        <is>
          <t>Kolay</t>
        </is>
      </c>
      <c r="F134" s="5" t="inlineStr"/>
      <c r="G134" s="6" t="inlineStr"/>
      <c r="H134" s="6" t="inlineStr">
        <is>
          <t>Adını söyledin, o da söyledi. Teneffüste senin kalemlerini de saymana izin verdi. Onun için büyük bir adım.</t>
        </is>
      </c>
      <c r="I134" s="6" t="inlineStr">
        <is>
          <t>Tanıştınız. İkinizin de silgisinin çilek koktuğu ortaya çıktı. Teneffüste beslenmeleri yarı yarıya böldünüz; öğretmen sizi ilk ay üç kez ayırmayı denedi.</t>
        </is>
      </c>
      <c r="J134" s="6" t="inlineStr">
        <is>
          <t>Tanıttın; o kalem saymaya devam etti.</t>
        </is>
      </c>
      <c r="K134" s="6" t="inlineStr">
        <is>
          <t>Heyecandan evdeki adını söyledin: “Ben Pamuk.” Öğretmen bile güldü. Bütün yıl Pamuk diye çağrıldın.</t>
        </is>
      </c>
      <c r="L134" s="6" t="inlineStr"/>
      <c r="M134" s="5" t="inlineStr"/>
      <c r="N134" s="5" t="inlineStr"/>
      <c r="O134" s="6" t="inlineStr"/>
      <c r="P134" s="6" t="inlineStr"/>
      <c r="Q134" s="5" t="inlineStr"/>
      <c r="R134" s="5" t="inlineStr"/>
      <c r="S134" s="5" t="inlineStr"/>
      <c r="T134" s="5" t="inlineStr"/>
      <c r="U134" s="5" t="inlineStr"/>
      <c r="V134" s="5" t="inlineStr"/>
      <c r="W134" s="5" t="inlineStr"/>
      <c r="X134" s="5" t="inlineStr"/>
      <c r="Y134" s="5" t="inlineStr"/>
      <c r="Z134" s="6" t="inlineStr"/>
      <c r="AA134" s="5" t="inlineStr"/>
      <c r="AB134" s="5" t="inlineStr"/>
      <c r="AC134" s="5" t="inlineStr"/>
      <c r="AD134" s="5" t="inlineStr"/>
      <c r="AE134" s="5" t="inlineStr"/>
      <c r="AF134" s="5" t="inlineStr"/>
      <c r="AG134" s="5" t="inlineStr"/>
      <c r="AH134" s="5" t="inlineStr"/>
      <c r="AI134" s="5" t="inlineStr">
        <is>
          <t>Pamuk</t>
        </is>
      </c>
      <c r="AJ134" s="5" t="inlineStr"/>
    </row>
    <row r="135">
      <c r="A135" s="5" t="inlineStr">
        <is>
          <t>sira-arkadasi</t>
        </is>
      </c>
      <c r="B135" s="5" t="n">
        <v>2</v>
      </c>
      <c r="C135" s="6" t="inlineStr">
        <is>
          <t>Kalemlerini paylaş</t>
        </is>
      </c>
      <c r="D135" s="5" t="inlineStr"/>
      <c r="E135" s="5" t="inlineStr"/>
      <c r="F135" s="5" t="inlineStr">
        <is>
          <t>Gönül +1</t>
        </is>
      </c>
      <c r="G135" s="6" t="inlineStr">
        <is>
          <t>Kalemlerini ortaya koydun. İki kez saydı, sonra en sevdiğin yeşili aldı. Akşam annene “Arkadaşım oldu” dedin; yeşilden bahsetmedin.</t>
        </is>
      </c>
      <c r="H135" s="6" t="inlineStr"/>
      <c r="I135" s="6" t="inlineStr"/>
      <c r="J135" s="6" t="inlineStr"/>
      <c r="K135" s="6" t="inlineStr"/>
      <c r="L135" s="6" t="inlineStr"/>
      <c r="M135" s="5" t="inlineStr"/>
      <c r="N135" s="5" t="inlineStr"/>
      <c r="O135" s="6" t="inlineStr"/>
      <c r="P135" s="6" t="inlineStr"/>
      <c r="Q135" s="5" t="inlineStr"/>
      <c r="R135" s="5" t="inlineStr"/>
      <c r="S135" s="5" t="inlineStr"/>
      <c r="T135" s="5" t="inlineStr"/>
      <c r="U135" s="5" t="inlineStr"/>
      <c r="V135" s="5" t="inlineStr"/>
      <c r="W135" s="5" t="inlineStr"/>
      <c r="X135" s="5" t="inlineStr"/>
      <c r="Y135" s="5" t="inlineStr"/>
      <c r="Z135" s="6" t="inlineStr"/>
      <c r="AA135" s="5" t="inlineStr"/>
      <c r="AB135" s="5" t="inlineStr"/>
      <c r="AC135" s="5" t="inlineStr"/>
      <c r="AD135" s="5" t="inlineStr"/>
      <c r="AE135" s="5" t="inlineStr"/>
      <c r="AF135" s="5" t="inlineStr"/>
      <c r="AG135" s="5" t="inlineStr"/>
      <c r="AH135" s="5" t="inlineStr"/>
      <c r="AI135" s="5" t="inlineStr"/>
      <c r="AJ135" s="5" t="inlineStr"/>
    </row>
    <row r="136">
      <c r="A136" s="5" t="inlineStr">
        <is>
          <t>sira-arkadasi</t>
        </is>
      </c>
      <c r="B136" s="5" t="n">
        <v>3</v>
      </c>
      <c r="C136" s="6" t="inlineStr">
        <is>
          <t>Sıraya sınır çiz</t>
        </is>
      </c>
      <c r="D136" s="5" t="inlineStr">
        <is>
          <t>Cesaret</t>
        </is>
      </c>
      <c r="E136" s="5" t="inlineStr">
        <is>
          <t>Orta</t>
        </is>
      </c>
      <c r="F136" s="5" t="inlineStr"/>
      <c r="G136" s="6" t="inlineStr"/>
      <c r="H136" s="6" t="inlineStr">
        <is>
          <t>Sıranın ortasına silgini koydun: “Buradan öbür tarafı senin.” Kalemlerini saydı, kendi tarafına dizdi, başını salladı. Ertesi gün silgiyi o getirdi.</t>
        </is>
      </c>
      <c r="I136" s="6" t="inlineStr">
        <is>
          <t>Sıranın ortasına cetvelle bir çizgi çektin. O da çizginin üstüne küçük bir kapı çizdi. Silgi o kapıdan gidip geliyor.</t>
        </is>
      </c>
      <c r="J136" s="6" t="inlineStr">
        <is>
          <t>Sınırı çizdin; dirseği her gün sınırı ihlal etti.</t>
        </is>
      </c>
      <c r="K136" s="6" t="inlineStr">
        <is>
          <t>Sınırı kalemle sıraya çizdin, hem de kalın kalın. Öğretmen gördü; teneffüste sırayı ıslak bezle sen sildin. Sıra arkadaşın izledi.</t>
        </is>
      </c>
      <c r="L136" s="6" t="inlineStr"/>
      <c r="M136" s="5" t="inlineStr"/>
      <c r="N136" s="5" t="inlineStr"/>
      <c r="O136" s="6" t="inlineStr"/>
      <c r="P136" s="6" t="inlineStr"/>
      <c r="Q136" s="5" t="inlineStr"/>
      <c r="R136" s="5" t="inlineStr"/>
      <c r="S136" s="5" t="inlineStr"/>
      <c r="T136" s="5" t="inlineStr"/>
      <c r="U136" s="5" t="inlineStr"/>
      <c r="V136" s="5" t="inlineStr"/>
      <c r="W136" s="5" t="inlineStr"/>
      <c r="X136" s="5" t="inlineStr"/>
      <c r="Y136" s="5" t="inlineStr"/>
      <c r="Z136" s="6" t="inlineStr"/>
      <c r="AA136" s="5" t="inlineStr"/>
      <c r="AB136" s="5" t="inlineStr"/>
      <c r="AC136" s="5" t="inlineStr"/>
      <c r="AD136" s="5" t="inlineStr"/>
      <c r="AE136" s="5" t="inlineStr"/>
      <c r="AF136" s="5" t="inlineStr"/>
      <c r="AG136" s="5" t="inlineStr"/>
      <c r="AH136" s="5" t="inlineStr"/>
      <c r="AI136" s="5" t="inlineStr"/>
      <c r="AJ136" s="5" t="inlineStr"/>
    </row>
    <row r="137">
      <c r="A137" s="5" t="inlineStr">
        <is>
          <t>sira-arkadasi</t>
        </is>
      </c>
      <c r="B137" s="5" t="n">
        <v>4</v>
      </c>
      <c r="C137" s="6" t="inlineStr">
        <is>
          <t>Espriyle buzları kır</t>
        </is>
      </c>
      <c r="D137" s="5" t="inlineStr">
        <is>
          <t>Pişkinlik</t>
        </is>
      </c>
      <c r="E137" s="5" t="inlineStr">
        <is>
          <t>Kolay</t>
        </is>
      </c>
      <c r="F137" s="5" t="inlineStr"/>
      <c r="G137" s="6" t="inlineStr"/>
      <c r="H137" s="6" t="inlineStr">
        <is>
          <t>“Benim kalemler sayılınca utanıyor” dedin. Güldü, saymayı bıraktı. Teneffüste kendi kalemlerini de utandırmaya çalıştı.</t>
        </is>
      </c>
      <c r="I137" s="6" t="inlineStr">
        <is>
          <t>“Benim kalemler sayılınca utanıyor” dedin. Öyle güldü ki teneffüste bütün sınıfa, akşam da annesine anlattı. Ertesi sabah annesi seni okul kapısında durdurdu: “Kalemler utanıyormuş, öyle mi?”</t>
        </is>
      </c>
      <c r="J137" s="6" t="inlineStr">
        <is>
          <t>“Benim kalemler sayılınca utanıyor” dedin. Anlamadı; saymaya devam etti, bu kez daha yavaş.</t>
        </is>
      </c>
      <c r="K137" s="6" t="inlineStr">
        <is>
          <t>Espri yaparken sandalyeden düştün. Sıra arkadaşın güldü, sınıf güldü, öğretmen güldü. Espriyi hâlâ kimse bilmiyor.</t>
        </is>
      </c>
      <c r="L137" s="6" t="inlineStr"/>
      <c r="M137" s="5" t="inlineStr"/>
      <c r="N137" s="5" t="inlineStr"/>
      <c r="O137" s="6" t="inlineStr"/>
      <c r="P137" s="6" t="inlineStr"/>
      <c r="Q137" s="5" t="inlineStr">
        <is>
          <t>Kendine Gülebilir</t>
        </is>
      </c>
      <c r="R137" s="5" t="inlineStr"/>
      <c r="S137" s="5" t="inlineStr"/>
      <c r="T137" s="5" t="inlineStr"/>
      <c r="U137" s="5" t="inlineStr"/>
      <c r="V137" s="5" t="inlineStr"/>
      <c r="W137" s="5" t="inlineStr"/>
      <c r="X137" s="5" t="inlineStr"/>
      <c r="Y137" s="5" t="inlineStr"/>
      <c r="Z137" s="6" t="inlineStr"/>
      <c r="AA137" s="5" t="inlineStr"/>
      <c r="AB137" s="5" t="inlineStr"/>
      <c r="AC137" s="5" t="inlineStr"/>
      <c r="AD137" s="5" t="inlineStr"/>
      <c r="AE137" s="5" t="inlineStr"/>
      <c r="AF137" s="5" t="inlineStr"/>
      <c r="AG137" s="5" t="inlineStr"/>
      <c r="AH137" s="5" t="inlineStr"/>
      <c r="AI137" s="5" t="inlineStr"/>
      <c r="AJ137" s="5" t="inlineStr"/>
    </row>
    <row r="138">
      <c r="A138" s="5" t="inlineStr">
        <is>
          <t>teneffus-kantini</t>
        </is>
      </c>
      <c r="B138" s="5" t="n">
        <v>1</v>
      </c>
      <c r="C138" s="6" t="inlineStr">
        <is>
          <t>Sırada bekle</t>
        </is>
      </c>
      <c r="D138" s="5" t="inlineStr"/>
      <c r="E138" s="5" t="inlineStr"/>
      <c r="F138" s="5" t="inlineStr">
        <is>
          <t>Dayanıklılık +1</t>
        </is>
      </c>
      <c r="G138" s="6" t="inlineStr">
        <is>
          <t>Sırada bekledin. Tam sıra sana gelince zil çaldı; kantinci tostu kâğıda sarıp uzattı: “Derste yeme, cebine koy.” Matematik dersi boyunca cebin sıcaktı.</t>
        </is>
      </c>
      <c r="H138" s="6" t="inlineStr"/>
      <c r="I138" s="6" t="inlineStr"/>
      <c r="J138" s="6" t="inlineStr"/>
      <c r="K138" s="6" t="inlineStr"/>
      <c r="L138" s="6" t="inlineStr"/>
      <c r="M138" s="5" t="inlineStr"/>
      <c r="N138" s="5" t="inlineStr"/>
      <c r="O138" s="6" t="inlineStr"/>
      <c r="P138" s="6" t="inlineStr"/>
      <c r="Q138" s="5" t="inlineStr"/>
      <c r="R138" s="5" t="inlineStr"/>
      <c r="S138" s="5" t="inlineStr"/>
      <c r="T138" s="5" t="inlineStr"/>
      <c r="U138" s="5" t="inlineStr"/>
      <c r="V138" s="5" t="inlineStr"/>
      <c r="W138" s="5" t="inlineStr"/>
      <c r="X138" s="5" t="inlineStr"/>
      <c r="Y138" s="5" t="inlineStr"/>
      <c r="Z138" s="6" t="inlineStr"/>
      <c r="AA138" s="5" t="inlineStr"/>
      <c r="AB138" s="5" t="inlineStr"/>
      <c r="AC138" s="5" t="inlineStr"/>
      <c r="AD138" s="5" t="inlineStr"/>
      <c r="AE138" s="5" t="inlineStr"/>
      <c r="AF138" s="5" t="inlineStr"/>
      <c r="AG138" s="5" t="inlineStr"/>
      <c r="AH138" s="5" t="inlineStr"/>
      <c r="AI138" s="5" t="inlineStr"/>
      <c r="AJ138" s="5" t="inlineStr"/>
    </row>
    <row r="139">
      <c r="A139" s="5" t="inlineStr">
        <is>
          <t>teneffus-kantini</t>
        </is>
      </c>
      <c r="B139" s="5" t="n">
        <v>2</v>
      </c>
      <c r="C139" s="6" t="inlineStr">
        <is>
          <t>Öndeki arkadaşına sipariş verdir</t>
        </is>
      </c>
      <c r="D139" s="5" t="inlineStr">
        <is>
          <t>Çene</t>
        </is>
      </c>
      <c r="E139" s="5" t="inlineStr">
        <is>
          <t>Orta</t>
        </is>
      </c>
      <c r="F139" s="5" t="inlineStr"/>
      <c r="G139" s="6" t="inlineStr"/>
      <c r="H139" s="6" t="inlineStr">
        <is>
          <t>Sipariş zincirini kurdun, tost sana ulaştı.</t>
        </is>
      </c>
      <c r="I139" s="6" t="inlineStr">
        <is>
          <t>“İki kaşarlı, bir karışık, bir de bana” zincirini öyle kurdun ki dört tost aynı anda çıktı. Kantinci teyze göz kırptı: “Sen bu işi bilirsin.” Teneffüs bitmeden üçüncü sınıflar da sana sipariş vermeye geldi.</t>
        </is>
      </c>
      <c r="J139" s="6" t="inlineStr">
        <is>
          <t>Arkadaşın siparişi unuttu. Kendi tostunu yedi.</t>
        </is>
      </c>
      <c r="K139" s="6" t="inlineStr">
        <is>
          <t>Kantinci gördü: “Arkadan sipariş yok! İkiniz de en sona!” Sona vardığınızda zil çaldı. Arkadaşın matematik dersi boyunca sana küstü; acıkmıştı ve haklıydı.</t>
        </is>
      </c>
      <c r="L139" s="6" t="inlineStr">
        <is>
          <t>Siparişin yarısı doğru geldi. Tost geldi, ayran yerine su geldi.</t>
        </is>
      </c>
      <c r="M139" s="5" t="inlineStr">
        <is>
          <t>simon</t>
        </is>
      </c>
      <c r="N139" s="5" t="inlineStr">
        <is>
          <t>Siparişi Ezberle</t>
        </is>
      </c>
      <c r="O139" s="6" t="inlineStr">
        <is>
          <t>Arkadaşın siparişi bir kez söyleyecek. Aynı sırayla tekrar et.</t>
        </is>
      </c>
      <c r="P139" s="6" t="inlineStr"/>
      <c r="Q139" s="5" t="inlineStr"/>
      <c r="R139" s="5" t="inlineStr"/>
      <c r="S139" s="5" t="inlineStr"/>
      <c r="T139" s="5" t="inlineStr"/>
      <c r="U139" s="5" t="inlineStr"/>
      <c r="V139" s="5" t="inlineStr"/>
      <c r="W139" s="5" t="inlineStr"/>
      <c r="X139" s="5" t="inlineStr"/>
      <c r="Y139" s="5" t="inlineStr"/>
      <c r="Z139" s="6" t="inlineStr"/>
      <c r="AA139" s="5" t="inlineStr"/>
      <c r="AB139" s="5" t="inlineStr"/>
      <c r="AC139" s="5" t="inlineStr"/>
      <c r="AD139" s="5" t="inlineStr"/>
      <c r="AE139" s="5" t="inlineStr"/>
      <c r="AF139" s="5" t="inlineStr"/>
      <c r="AG139" s="5" t="inlineStr"/>
      <c r="AH139" s="5" t="inlineStr"/>
      <c r="AI139" s="5" t="inlineStr"/>
      <c r="AJ139" s="5" t="inlineStr"/>
    </row>
    <row r="140">
      <c r="A140" s="5" t="inlineStr">
        <is>
          <t>teneffus-kantini</t>
        </is>
      </c>
      <c r="B140" s="5" t="n">
        <v>3</v>
      </c>
      <c r="C140" s="6" t="inlineStr">
        <is>
          <t>Kantinciye yardım et</t>
        </is>
      </c>
      <c r="D140" s="5" t="inlineStr">
        <is>
          <t>Dayanıklılık</t>
        </is>
      </c>
      <c r="E140" s="5" t="inlineStr">
        <is>
          <t>Orta</t>
        </is>
      </c>
      <c r="F140" s="5" t="inlineStr"/>
      <c r="G140" s="6" t="inlineStr"/>
      <c r="H140" s="6" t="inlineStr">
        <is>
          <t>Dökülen bozuklukları topladın. Kantinci seni sıranın önüne aldı.</t>
        </is>
      </c>
      <c r="I140" s="6" t="inlineStr">
        <is>
          <t>Yere saçılan bozuklukların hepsini zil çalmadan topladın, birini de tost makinesinin altından çıkardın. Kantinci seni herkesin önünde tezgâhın arkasına aldı: “Bu benim çırağım.” O yıl tostun hep çift kaşarlı geldi.</t>
        </is>
      </c>
      <c r="J140" s="6" t="inlineStr">
        <is>
          <t>Topladın ama zil çaldı. Yardım ettin, aç kaldın.</t>
        </is>
      </c>
      <c r="K140" s="6" t="inlineStr">
        <is>
          <t>Bozuklukları toplarken eğildin, kalkarken kafanla peynir kasesini devirdin. Kantinci tezgâhın arkasından seslendi: “Bugün kaşarlı yok, teşekkürler bu arkadaşınıza!” Bütün kuyruk sana döndü.</t>
        </is>
      </c>
      <c r="L140" s="6" t="inlineStr">
        <is>
          <t>Çoğunu topladın; kantinci teşekkür etti ama sıra aynı.</t>
        </is>
      </c>
      <c r="M140" s="5" t="inlineStr">
        <is>
          <t>collect</t>
        </is>
      </c>
      <c r="N140" s="5" t="inlineStr">
        <is>
          <t>Bozuklukları Topla</t>
        </is>
      </c>
      <c r="O140" s="6" t="inlineStr">
        <is>
          <t>Yere saçılan paraları zil çalmadan topla.</t>
        </is>
      </c>
      <c r="P140" s="6" t="inlineStr">
        <is>
          <t>{"piece": "🪙"}</t>
        </is>
      </c>
      <c r="Q140" s="5" t="inlineStr"/>
      <c r="R140" s="5" t="inlineStr"/>
      <c r="S140" s="5" t="inlineStr"/>
      <c r="T140" s="5" t="inlineStr"/>
      <c r="U140" s="5" t="inlineStr"/>
      <c r="V140" s="5" t="inlineStr"/>
      <c r="W140" s="5" t="inlineStr"/>
      <c r="X140" s="5" t="inlineStr"/>
      <c r="Y140" s="5" t="inlineStr"/>
      <c r="Z140" s="6" t="inlineStr"/>
      <c r="AA140" s="5" t="inlineStr"/>
      <c r="AB140" s="5" t="inlineStr"/>
      <c r="AC140" s="5" t="inlineStr"/>
      <c r="AD140" s="5" t="inlineStr"/>
      <c r="AE140" s="5" t="inlineStr"/>
      <c r="AF140" s="5" t="inlineStr"/>
      <c r="AG140" s="5" t="inlineStr"/>
      <c r="AH140" s="5" t="inlineStr"/>
      <c r="AI140" s="5" t="inlineStr"/>
      <c r="AJ140" s="5" t="inlineStr"/>
    </row>
    <row r="141">
      <c r="A141" s="5" t="inlineStr">
        <is>
          <t>teneffus-kantini</t>
        </is>
      </c>
      <c r="B141" s="5" t="n">
        <v>4</v>
      </c>
      <c r="C141" s="6" t="inlineStr">
        <is>
          <t>Kantincinin hesap hatasını düzelt</t>
        </is>
      </c>
      <c r="D141" s="5" t="inlineStr">
        <is>
          <t>Kurnazlık</t>
        </is>
      </c>
      <c r="E141" s="5" t="inlineStr">
        <is>
          <t>Kolay</t>
        </is>
      </c>
      <c r="F141" s="5" t="inlineStr"/>
      <c r="G141" s="6" t="inlineStr"/>
      <c r="H141" s="6" t="inlineStr">
        <is>
          <t>Kantincinin hesabındaki hatayı buldun. Sana 'Muhasebeci' lakabı takıldı.</t>
        </is>
      </c>
      <c r="I141" s="6" t="inlineStr">
        <is>
          <t>Kantinci teyzenin para üstünü yanlış verdiğini fark ettin; kendi aleyhine on kuruş. Söyledin. Teyze bozukluğu geri aldı, avucuna bir çikolata koydu: “Bu çocuk kantini batırmaz.”</t>
        </is>
      </c>
      <c r="J141" s="6" t="inlineStr">
        <is>
          <t>Hatayı söyledin; kantinci 'Sen önce toplama öğren' dedi.</t>
        </is>
      </c>
      <c r="K141" s="6" t="inlineStr">
        <is>
          <t>Hatayı söyledin; hata yokmuş. Kuyruk seni izledi.</t>
        </is>
      </c>
      <c r="L141" s="6" t="inlineStr"/>
      <c r="M141" s="5" t="inlineStr"/>
      <c r="N141" s="5" t="inlineStr"/>
      <c r="O141" s="6" t="inlineStr"/>
      <c r="P141" s="6" t="inlineStr"/>
      <c r="Q141" s="5" t="inlineStr">
        <is>
          <t>Para Üstü Radarı</t>
        </is>
      </c>
      <c r="R141" s="5" t="inlineStr"/>
      <c r="S141" s="5" t="inlineStr"/>
      <c r="T141" s="5" t="inlineStr"/>
      <c r="U141" s="5" t="inlineStr"/>
      <c r="V141" s="5" t="inlineStr"/>
      <c r="W141" s="5" t="inlineStr"/>
      <c r="X141" s="5" t="inlineStr"/>
      <c r="Y141" s="5" t="inlineStr"/>
      <c r="Z141" s="6" t="inlineStr"/>
      <c r="AA141" s="5" t="inlineStr"/>
      <c r="AB141" s="5" t="inlineStr"/>
      <c r="AC141" s="5" t="inlineStr"/>
      <c r="AD141" s="5" t="inlineStr"/>
      <c r="AE141" s="5" t="inlineStr"/>
      <c r="AF141" s="5" t="inlineStr"/>
      <c r="AG141" s="5" t="inlineStr"/>
      <c r="AH141" s="5" t="inlineStr"/>
      <c r="AI141" s="5" t="inlineStr"/>
      <c r="AJ141" s="5" t="inlineStr"/>
    </row>
    <row r="142">
      <c r="A142" s="5" t="inlineStr">
        <is>
          <t>teneffus-kantini</t>
        </is>
      </c>
      <c r="B142" s="5" t="n">
        <v>5</v>
      </c>
      <c r="C142" s="6" t="inlineStr">
        <is>
          <t>Bir paket sakız al, sınıfta tek tek sat</t>
        </is>
      </c>
      <c r="D142" s="5" t="inlineStr">
        <is>
          <t>Kurnazlık</t>
        </is>
      </c>
      <c r="E142" s="5" t="inlineStr">
        <is>
          <t>Orta</t>
        </is>
      </c>
      <c r="F142" s="5" t="inlineStr"/>
      <c r="G142" s="6" t="inlineStr"/>
      <c r="H142" s="6" t="inlineStr">
        <is>
          <t>Bir paket sakız aldın, teneffüs bitmeden tanesini bir çıkartmaya sattın. Akşam çantandan yirmi çıkartma çıktı; annen nereden geldiklerini hâlâ soruyor.</t>
        </is>
      </c>
      <c r="I142" s="6" t="inlineStr">
        <is>
          <t>Sakızlar ilk teneffüste bitti, ertesi gün yan sınıftan sipariş geldi. Kantinci seni görünce “Küçük rakip geldi” diye gülüyor.</t>
        </is>
      </c>
      <c r="J142" s="6" t="inlineStr">
        <is>
          <t>Sakızları aldın; sınıfta herkesin cebinde zaten sakız vardı. Akşama kadar on sakız çiğnedin. Çenen ağrıdı.</t>
        </is>
      </c>
      <c r="K142" s="6" t="inlineStr">
        <is>
          <t>Kantinci öğretmene “Benim müşterimi elimden alıyor” dedi. Öğretmen sakızları topladı ve sınıfa dağıttı. Bedava.</t>
        </is>
      </c>
      <c r="L142" s="6" t="inlineStr"/>
      <c r="M142" s="5" t="inlineStr"/>
      <c r="N142" s="5" t="inlineStr"/>
      <c r="O142" s="6" t="inlineStr"/>
      <c r="P142" s="6" t="inlineStr"/>
      <c r="Q142" s="5" t="inlineStr"/>
      <c r="R142" s="5" t="inlineStr"/>
      <c r="S142" s="5" t="inlineStr"/>
      <c r="T142" s="5" t="inlineStr"/>
      <c r="U142" s="5" t="inlineStr">
        <is>
          <t>teneffus-tuccari</t>
        </is>
      </c>
      <c r="V142" s="5" t="inlineStr"/>
      <c r="W142" s="5" t="inlineStr"/>
      <c r="X142" s="5" t="inlineStr"/>
      <c r="Y142" s="5" t="inlineStr"/>
      <c r="Z142" s="6" t="inlineStr"/>
      <c r="AA142" s="5" t="inlineStr"/>
      <c r="AB142" s="5" t="inlineStr"/>
      <c r="AC142" s="5" t="inlineStr"/>
      <c r="AD142" s="5" t="inlineStr"/>
      <c r="AE142" s="5" t="inlineStr"/>
      <c r="AF142" s="5" t="inlineStr"/>
      <c r="AG142" s="5" t="inlineStr"/>
      <c r="AH142" s="5" t="inlineStr"/>
      <c r="AI142" s="5" t="inlineStr"/>
      <c r="AJ142" s="5" t="inlineStr"/>
    </row>
    <row r="143">
      <c r="A143" s="5" t="inlineStr">
        <is>
          <t>odev-nerede</t>
        </is>
      </c>
      <c r="B143" s="5" t="n">
        <v>1</v>
      </c>
      <c r="C143" s="6" t="inlineStr">
        <is>
          <t>Doğruyu söyle</t>
        </is>
      </c>
      <c r="D143" s="5" t="inlineStr"/>
      <c r="E143" s="5" t="inlineStr"/>
      <c r="F143" s="5" t="inlineStr">
        <is>
          <t>İtibar +2</t>
        </is>
      </c>
      <c r="G143" s="6" t="inlineStr">
        <is>
          <t>“Yapmadım öğretmenim” dedin. Öğretmen gözlüğünün üstünden baktı, ödev defterine yazdı: “Dürüst ama tembel.” Akşam annen imzayı atarken “dürüst” kelimesinin altını çizdi.</t>
        </is>
      </c>
      <c r="H143" s="6" t="inlineStr"/>
      <c r="I143" s="6" t="inlineStr"/>
      <c r="J143" s="6" t="inlineStr"/>
      <c r="K143" s="6" t="inlineStr"/>
      <c r="L143" s="6" t="inlineStr"/>
      <c r="M143" s="5" t="inlineStr"/>
      <c r="N143" s="5" t="inlineStr"/>
      <c r="O143" s="6" t="inlineStr"/>
      <c r="P143" s="6" t="inlineStr"/>
      <c r="Q143" s="5" t="inlineStr"/>
      <c r="R143" s="5" t="inlineStr"/>
      <c r="S143" s="5" t="inlineStr"/>
      <c r="T143" s="5" t="inlineStr"/>
      <c r="U143" s="5" t="inlineStr"/>
      <c r="V143" s="5" t="inlineStr"/>
      <c r="W143" s="5" t="inlineStr"/>
      <c r="X143" s="5" t="inlineStr"/>
      <c r="Y143" s="5" t="inlineStr"/>
      <c r="Z143" s="6" t="inlineStr"/>
      <c r="AA143" s="5" t="inlineStr"/>
      <c r="AB143" s="5" t="inlineStr"/>
      <c r="AC143" s="5" t="inlineStr"/>
      <c r="AD143" s="5" t="inlineStr"/>
      <c r="AE143" s="5" t="inlineStr"/>
      <c r="AF143" s="5" t="inlineStr"/>
      <c r="AG143" s="5" t="inlineStr"/>
      <c r="AH143" s="5" t="inlineStr"/>
      <c r="AI143" s="5" t="inlineStr"/>
      <c r="AJ143" s="5" t="inlineStr"/>
    </row>
    <row r="144">
      <c r="A144" s="5" t="inlineStr">
        <is>
          <t>odev-nerede</t>
        </is>
      </c>
      <c r="B144" s="5" t="n">
        <v>2</v>
      </c>
      <c r="C144" s="6" t="inlineStr">
        <is>
          <t>Teneffüste yetiştir</t>
        </is>
      </c>
      <c r="D144" s="5" t="inlineStr">
        <is>
          <t>Akıl</t>
        </is>
      </c>
      <c r="E144" s="5" t="inlineStr">
        <is>
          <t>Orta</t>
        </is>
      </c>
      <c r="F144" s="5" t="inlineStr"/>
      <c r="G144" s="6" t="inlineStr"/>
      <c r="H144" s="6" t="inlineStr">
        <is>
          <t>On dakikada bir sayfa “e” yazdın; harfler teneffüste koşturmuş gibi. Öğretmen defteri çevirdi, bir daha çevirdi: “Bunu otobüste mi yazdın?” Ama yıldızı koydu.</t>
        </is>
      </c>
      <c r="I144" s="6" t="inlineStr">
        <is>
          <t>Teneffüste bitirdin; öğretmen 'En temiz ödev bu' dedi. Kimse sormadı.</t>
        </is>
      </c>
      <c r="J144" s="6" t="inlineStr">
        <is>
          <t>Yetiştiremedin; ödevin yarısını verdin. Öğretmen yarım ödevin altına yarım yıldız çizdi.</t>
        </is>
      </c>
      <c r="K144" s="6" t="inlineStr">
        <is>
          <t>Teneffüs boyunca yazdın, zil çaldı. Son satıra “Devamı yarın” yazdın. Öğretmen altına kırmızıyla ekledi: “Annen de yarın gelsin.”</t>
        </is>
      </c>
      <c r="L144" s="6" t="inlineStr"/>
      <c r="M144" s="5" t="inlineStr"/>
      <c r="N144" s="5" t="inlineStr"/>
      <c r="O144" s="6" t="inlineStr"/>
      <c r="P144" s="6" t="inlineStr"/>
      <c r="Q144" s="5" t="inlineStr"/>
      <c r="R144" s="5" t="inlineStr"/>
      <c r="S144" s="5" t="inlineStr"/>
      <c r="T144" s="5" t="inlineStr"/>
      <c r="U144" s="5" t="inlineStr"/>
      <c r="V144" s="5" t="inlineStr"/>
      <c r="W144" s="5" t="inlineStr"/>
      <c r="X144" s="5" t="inlineStr"/>
      <c r="Y144" s="5" t="inlineStr"/>
      <c r="Z144" s="6" t="inlineStr"/>
      <c r="AA144" s="5" t="inlineStr"/>
      <c r="AB144" s="5" t="inlineStr"/>
      <c r="AC144" s="5" t="inlineStr"/>
      <c r="AD144" s="5" t="inlineStr"/>
      <c r="AE144" s="5" t="inlineStr"/>
      <c r="AF144" s="5" t="inlineStr"/>
      <c r="AG144" s="5" t="inlineStr"/>
      <c r="AH144" s="5" t="inlineStr"/>
      <c r="AI144" s="5" t="inlineStr"/>
      <c r="AJ144" s="5" t="inlineStr"/>
    </row>
    <row r="145">
      <c r="A145" s="5" t="inlineStr">
        <is>
          <t>odev-nerede</t>
        </is>
      </c>
      <c r="B145" s="5" t="n">
        <v>3</v>
      </c>
      <c r="C145" s="6" t="inlineStr">
        <is>
          <t>'Köpek yedi' de</t>
        </is>
      </c>
      <c r="D145" s="5" t="inlineStr">
        <is>
          <t>Pişkinlik</t>
        </is>
      </c>
      <c r="E145" s="5" t="inlineStr">
        <is>
          <t>Zor</t>
        </is>
      </c>
      <c r="F145" s="5" t="inlineStr"/>
      <c r="G145" s="6" t="inlineStr"/>
      <c r="H145" s="6" t="inlineStr">
        <is>
          <t>Öğretmen güldü ve bir gün ek süre verdi.</t>
        </is>
      </c>
      <c r="I145" s="6" t="inlineStr">
        <is>
          <t>Öyle anlattın ki öğretmen köpeğin sağlığını sordu, sınıf da ona geçmiş olsun kartı yaptı. Kart hâlâ buzdolabında. Köpek hâlâ yok.</t>
        </is>
      </c>
      <c r="J145" s="6" t="inlineStr">
        <is>
          <t>'Sizin köpeğiniz yok ki' dedi öğretmen.</t>
        </is>
      </c>
      <c r="K145" s="6" t="inlineStr">
        <is>
          <t>Köpeğin adını bile uydurdun: Karabaş. Öğretmen akşam anneni arayıp Karabaş'ın sağlığını sordu; annen “Hangi Karabaş?” dedi. Ertesi sabah sınıfa girdiğinde tahtada kocaman bir köpek resmi vardı, altında senin adın.</t>
        </is>
      </c>
      <c r="L145" s="6" t="inlineStr"/>
      <c r="M145" s="5" t="inlineStr"/>
      <c r="N145" s="5" t="inlineStr"/>
      <c r="O145" s="6" t="inlineStr"/>
      <c r="P145" s="6" t="inlineStr"/>
      <c r="Q145" s="5" t="inlineStr"/>
      <c r="R145" s="5" t="inlineStr"/>
      <c r="S145" s="5" t="inlineStr"/>
      <c r="T145" s="5" t="inlineStr"/>
      <c r="U145" s="5" t="inlineStr">
        <is>
          <t>yalanci</t>
        </is>
      </c>
      <c r="V145" s="5" t="inlineStr"/>
      <c r="W145" s="5" t="inlineStr"/>
      <c r="X145" s="5" t="inlineStr"/>
      <c r="Y145" s="5" t="inlineStr"/>
      <c r="Z145" s="6" t="inlineStr"/>
      <c r="AA145" s="5" t="inlineStr"/>
      <c r="AB145" s="5" t="inlineStr"/>
      <c r="AC145" s="5" t="inlineStr"/>
      <c r="AD145" s="5" t="inlineStr"/>
      <c r="AE145" s="5" t="inlineStr"/>
      <c r="AF145" s="5" t="inlineStr"/>
      <c r="AG145" s="5" t="inlineStr"/>
      <c r="AH145" s="5" t="inlineStr"/>
      <c r="AI145" s="5" t="inlineStr">
        <is>
          <t>Karabaş</t>
        </is>
      </c>
      <c r="AJ145" s="5" t="inlineStr"/>
    </row>
    <row r="146">
      <c r="A146" s="5" t="inlineStr">
        <is>
          <t>sinif-baskani</t>
        </is>
      </c>
      <c r="B146" s="5" t="n">
        <v>1</v>
      </c>
      <c r="C146" s="6" t="inlineStr">
        <is>
          <t>Aday ol</t>
        </is>
      </c>
      <c r="D146" s="5" t="inlineStr">
        <is>
          <t>Cesaret</t>
        </is>
      </c>
      <c r="E146" s="5" t="inlineStr">
        <is>
          <t>Zor</t>
        </is>
      </c>
      <c r="F146" s="5" t="inlineStr"/>
      <c r="G146" s="6" t="inlineStr"/>
      <c r="H146" s="6" t="inlineStr">
        <is>
          <t>Seçildin. Öğretmen çıkınca tahtaya konuşanları yazma yetkisi artık sende. Sınıf hiç bu kadar sessiz olmamıştı.</t>
        </is>
      </c>
      <c r="I146" s="6" t="inlineStr">
        <is>
          <t>Oyların çoğunu aldın. Rakibin ağlayarak tebrik etti, öğretmen de onu yardımcın yaptı. Akşam baban kapıda “Buyurun başkanım” deyip terliklerini önüne koydu.</t>
        </is>
      </c>
      <c r="J146" s="6" t="inlineStr">
        <is>
          <t>Aday oldun; iki oy aldın. Biri senin, biri sıra arkadaşının.</t>
        </is>
      </c>
      <c r="K146" s="6" t="inlineStr">
        <is>
          <t>Konuşmanda “Başkan olursam herkese her gün dondurma!” dedin. Sınıf ayağa kalktı. Öğretmen sordu: “Dondurmayı kim alacak?” “Annem” dedin. Annen ertesi gün okula geldi, ama dondurmayla değil.</t>
        </is>
      </c>
      <c r="L146" s="6" t="inlineStr"/>
      <c r="M146" s="5" t="inlineStr"/>
      <c r="N146" s="5" t="inlineStr"/>
      <c r="O146" s="6" t="inlineStr"/>
      <c r="P146" s="6" t="inlineStr"/>
      <c r="Q146" s="5" t="inlineStr"/>
      <c r="R146" s="5" t="inlineStr"/>
      <c r="S146" s="5" t="inlineStr"/>
      <c r="T146" s="5" t="inlineStr">
        <is>
          <t>Teneffüs Başkanı</t>
        </is>
      </c>
      <c r="U146" s="5" t="inlineStr"/>
      <c r="V146" s="5" t="inlineStr">
        <is>
          <t>baskan</t>
        </is>
      </c>
      <c r="W146" s="5" t="inlineStr"/>
      <c r="X146" s="5" t="inlineStr"/>
      <c r="Y146" s="5" t="inlineStr"/>
      <c r="Z146" s="6" t="inlineStr"/>
      <c r="AA146" s="5" t="inlineStr"/>
      <c r="AB146" s="5" t="inlineStr"/>
      <c r="AC146" s="5" t="inlineStr"/>
      <c r="AD146" s="5" t="inlineStr"/>
      <c r="AE146" s="5" t="inlineStr"/>
      <c r="AF146" s="5" t="inlineStr"/>
      <c r="AG146" s="5" t="inlineStr"/>
      <c r="AH146" s="5" t="inlineStr"/>
      <c r="AI146" s="5" t="inlineStr"/>
      <c r="AJ146" s="5" t="inlineStr"/>
    </row>
    <row r="147">
      <c r="A147" s="5" t="inlineStr">
        <is>
          <t>sinif-baskani</t>
        </is>
      </c>
      <c r="B147" s="5" t="n">
        <v>2</v>
      </c>
      <c r="C147" s="6" t="inlineStr">
        <is>
          <t>Arkadaşının kampanyasını yönet</t>
        </is>
      </c>
      <c r="D147" s="5" t="inlineStr">
        <is>
          <t>Sosyal Radar</t>
        </is>
      </c>
      <c r="E147" s="5" t="inlineStr">
        <is>
          <t>Orta</t>
        </is>
      </c>
      <c r="F147" s="5" t="inlineStr"/>
      <c r="G147" s="6" t="inlineStr"/>
      <c r="H147" s="6" t="inlineStr">
        <is>
          <t>Adayın kazandı. Teneffüste herkes ona sarıldı, sana “Sağ ol” dedi. Başkan o; akvaryum gelirse balıklara sen bakacaksın.</t>
        </is>
      </c>
      <c r="I147" s="6" t="inlineStr">
        <is>
          <t>Adayın açık farkla kazandı; afişleri sen yazmıştın, sloganı sen bulmuştun. Başkan her karardan önce sıraya eğilip soruyor: “Sence?”</t>
        </is>
      </c>
      <c r="J147" s="6" t="inlineStr">
        <is>
          <t>Adayın kaybetti. Teneffüste ikiniz merdivene oturup oyları yeniden saydınız. Yine kaybetmişti.</t>
        </is>
      </c>
      <c r="K147" s="6" t="inlineStr">
        <is>
          <t>Adayın kaybetti ve ağlayarak öğretmene koştu: “Afişleri o yazdı!” Afişlerde “Başkan” yerine “Başkam” yazıyordu. Hepsini sen yazmıştın.</t>
        </is>
      </c>
      <c r="L147" s="6" t="inlineStr"/>
      <c r="M147" s="5" t="inlineStr"/>
      <c r="N147" s="5" t="inlineStr"/>
      <c r="O147" s="6" t="inlineStr"/>
      <c r="P147" s="6" t="inlineStr"/>
      <c r="Q147" s="5" t="inlineStr"/>
      <c r="R147" s="5" t="inlineStr"/>
      <c r="S147" s="5" t="inlineStr"/>
      <c r="T147" s="5" t="inlineStr"/>
      <c r="U147" s="5" t="inlineStr"/>
      <c r="V147" s="5" t="inlineStr"/>
      <c r="W147" s="5" t="inlineStr"/>
      <c r="X147" s="5" t="inlineStr"/>
      <c r="Y147" s="5" t="inlineStr"/>
      <c r="Z147" s="6" t="inlineStr"/>
      <c r="AA147" s="5" t="inlineStr"/>
      <c r="AB147" s="5" t="inlineStr"/>
      <c r="AC147" s="5" t="inlineStr"/>
      <c r="AD147" s="5" t="inlineStr"/>
      <c r="AE147" s="5" t="inlineStr"/>
      <c r="AF147" s="5" t="inlineStr"/>
      <c r="AG147" s="5" t="inlineStr"/>
      <c r="AH147" s="5" t="inlineStr"/>
      <c r="AI147" s="5" t="inlineStr"/>
      <c r="AJ147" s="5" t="inlineStr"/>
    </row>
    <row r="148">
      <c r="A148" s="5" t="inlineStr">
        <is>
          <t>sinif-baskani</t>
        </is>
      </c>
      <c r="B148" s="5" t="n">
        <v>3</v>
      </c>
      <c r="C148" s="6" t="inlineStr">
        <is>
          <t>Oy ver, geç</t>
        </is>
      </c>
      <c r="D148" s="5" t="inlineStr"/>
      <c r="E148" s="5" t="inlineStr"/>
      <c r="F148" s="5" t="inlineStr">
        <is>
          <t>İtibar +1</t>
        </is>
      </c>
      <c r="G148" s="6" t="inlineStr">
        <is>
          <t>Demokrasiye katkıda bulundun. Akvaryum gelmedi.</t>
        </is>
      </c>
      <c r="H148" s="6" t="inlineStr"/>
      <c r="I148" s="6" t="inlineStr"/>
      <c r="J148" s="6" t="inlineStr"/>
      <c r="K148" s="6" t="inlineStr"/>
      <c r="L148" s="6" t="inlineStr"/>
      <c r="M148" s="5" t="inlineStr"/>
      <c r="N148" s="5" t="inlineStr"/>
      <c r="O148" s="6" t="inlineStr"/>
      <c r="P148" s="6" t="inlineStr"/>
      <c r="Q148" s="5" t="inlineStr"/>
      <c r="R148" s="5" t="inlineStr"/>
      <c r="S148" s="5" t="inlineStr"/>
      <c r="T148" s="5" t="inlineStr"/>
      <c r="U148" s="5" t="inlineStr"/>
      <c r="V148" s="5" t="inlineStr"/>
      <c r="W148" s="5" t="inlineStr"/>
      <c r="X148" s="5" t="inlineStr"/>
      <c r="Y148" s="5" t="inlineStr"/>
      <c r="Z148" s="6" t="inlineStr"/>
      <c r="AA148" s="5" t="inlineStr"/>
      <c r="AB148" s="5" t="inlineStr"/>
      <c r="AC148" s="5" t="inlineStr"/>
      <c r="AD148" s="5" t="inlineStr"/>
      <c r="AE148" s="5" t="inlineStr"/>
      <c r="AF148" s="5" t="inlineStr"/>
      <c r="AG148" s="5" t="inlineStr"/>
      <c r="AH148" s="5" t="inlineStr"/>
      <c r="AI148" s="5" t="inlineStr"/>
      <c r="AJ148" s="5" t="inlineStr"/>
    </row>
    <row r="149">
      <c r="A149" s="5" t="inlineStr">
        <is>
          <t>sinif-baskani</t>
        </is>
      </c>
      <c r="B149" s="5" t="n">
        <v>4</v>
      </c>
      <c r="C149" s="6" t="inlineStr">
        <is>
          <t>Seçim kurulunu kur</t>
        </is>
      </c>
      <c r="D149" s="5" t="inlineStr">
        <is>
          <t>İtibar</t>
        </is>
      </c>
      <c r="E149" s="5" t="inlineStr">
        <is>
          <t>Kolay</t>
        </is>
      </c>
      <c r="F149" s="5" t="inlineStr"/>
      <c r="G149" s="6" t="inlineStr"/>
      <c r="H149" s="6" t="inlineStr">
        <is>
          <t>Sandığı sen kurdun, oyları sen saydın. Kim kazanırsa kazansın, sonucu herkes senden duydu.</t>
        </is>
      </c>
      <c r="I149" s="6" t="inlineStr">
        <is>
          <t>Ayakkabı kutusundan sandık yaptın, üstüne yarık açtın, oyları tek tek yüksek sesle okudun. Öğretmen “Bu çocuk bizden düzgün sayıyor” dedi; müdür sandığı yıl sonu sergisine istedi.</t>
        </is>
      </c>
      <c r="J149" s="6" t="inlineStr">
        <is>
          <t>Kurul kuruldu; kimse seni dinlemedi.</t>
        </is>
      </c>
      <c r="K149" s="6" t="inlineStr">
        <is>
          <t>Heyecandan bir pusulayı iki kez okudun. Kaybeden aday parmağıyla saydı: “Yirmi sekiz kişiyiz, yirmi dokuz oy var!” Seçim yenilendi; sayımı bu kez öğretmen yaptı, sen kenardan izledin.</t>
        </is>
      </c>
      <c r="L149" s="6" t="inlineStr"/>
      <c r="M149" s="5" t="inlineStr"/>
      <c r="N149" s="5" t="inlineStr"/>
      <c r="O149" s="6" t="inlineStr"/>
      <c r="P149" s="6" t="inlineStr"/>
      <c r="Q149" s="5" t="inlineStr">
        <is>
          <t>Kuralı Koyan</t>
        </is>
      </c>
      <c r="R149" s="5" t="inlineStr"/>
      <c r="S149" s="5" t="inlineStr"/>
      <c r="T149" s="5" t="inlineStr"/>
      <c r="U149" s="5" t="inlineStr"/>
      <c r="V149" s="5" t="inlineStr"/>
      <c r="W149" s="5" t="inlineStr"/>
      <c r="X149" s="5" t="inlineStr"/>
      <c r="Y149" s="5" t="inlineStr"/>
      <c r="Z149" s="6" t="inlineStr"/>
      <c r="AA149" s="5" t="inlineStr"/>
      <c r="AB149" s="5" t="inlineStr"/>
      <c r="AC149" s="5" t="inlineStr"/>
      <c r="AD149" s="5" t="inlineStr"/>
      <c r="AE149" s="5" t="inlineStr"/>
      <c r="AF149" s="5" t="inlineStr"/>
      <c r="AG149" s="5" t="inlineStr"/>
      <c r="AH149" s="5" t="inlineStr"/>
      <c r="AI149" s="5" t="inlineStr"/>
      <c r="AJ149" s="5" t="inlineStr"/>
    </row>
    <row r="150">
      <c r="A150" s="5" t="inlineStr">
        <is>
          <t>sinif-baskani</t>
        </is>
      </c>
      <c r="B150" s="5" t="n">
        <v>5</v>
      </c>
      <c r="C150" s="6" t="inlineStr">
        <is>
          <t>Seçim konuşması yap</t>
        </is>
      </c>
      <c r="D150" s="5" t="inlineStr">
        <is>
          <t>Pişkinlik</t>
        </is>
      </c>
      <c r="E150" s="5" t="inlineStr">
        <is>
          <t>Orta</t>
        </is>
      </c>
      <c r="F150" s="5" t="inlineStr"/>
      <c r="G150" s="6" t="inlineStr"/>
      <c r="H150" s="6" t="inlineStr">
        <is>
          <t>Konuşmanı yaptın; sınıf ayakta alkışladı.</t>
        </is>
      </c>
      <c r="I150" s="6" t="inlineStr">
        <is>
          <t>Konuşmanı “Teneffüs uzayacak, ödev azalacak, akvaryuma da ben bakacağım!” diye bitirdin. Akvaryum vaat eden aday elini indirdi: “Ben de ona veriyorum.”</t>
        </is>
      </c>
      <c r="J150" s="6" t="inlineStr">
        <is>
          <t>Konuşman uzun sürdü; teneffüs zili yarıda kesti.</t>
        </is>
      </c>
      <c r="K150" s="6" t="inlineStr">
        <is>
          <t>Konuşmanın ortasında ne diyeceğini unuttun. Kırk saniye sustun; arka sıradan biri “Akvaryum!” diye fısıldadı. “Akvaryum!” dedin. Rakibinin vaadini sen okumuş oldun.</t>
        </is>
      </c>
      <c r="L150" s="6" t="inlineStr"/>
      <c r="M150" s="5" t="inlineStr"/>
      <c r="N150" s="5" t="inlineStr"/>
      <c r="O150" s="6" t="inlineStr"/>
      <c r="P150" s="6" t="inlineStr"/>
      <c r="Q150" s="5" t="inlineStr">
        <is>
          <t>Sahne Sever</t>
        </is>
      </c>
      <c r="R150" s="5" t="inlineStr"/>
      <c r="S150" s="5" t="inlineStr"/>
      <c r="T150" s="5" t="inlineStr"/>
      <c r="U150" s="5" t="inlineStr"/>
      <c r="V150" s="5" t="inlineStr">
        <is>
          <t>baskan</t>
        </is>
      </c>
      <c r="W150" s="5" t="inlineStr"/>
      <c r="X150" s="5" t="inlineStr"/>
      <c r="Y150" s="5" t="inlineStr"/>
      <c r="Z150" s="6" t="inlineStr"/>
      <c r="AA150" s="5" t="inlineStr"/>
      <c r="AB150" s="5" t="inlineStr"/>
      <c r="AC150" s="5" t="inlineStr"/>
      <c r="AD150" s="5" t="inlineStr"/>
      <c r="AE150" s="5" t="inlineStr"/>
      <c r="AF150" s="5" t="inlineStr"/>
      <c r="AG150" s="5" t="inlineStr"/>
      <c r="AH150" s="5" t="inlineStr"/>
      <c r="AI150" s="5" t="inlineStr"/>
      <c r="AJ150" s="5" t="inlineStr"/>
    </row>
    <row r="151">
      <c r="A151" s="5" t="inlineStr">
        <is>
          <t>davetiyeler</t>
        </is>
      </c>
      <c r="B151" s="5" t="n">
        <v>1</v>
      </c>
      <c r="C151" s="6" t="inlineStr">
        <is>
          <t>Umursama</t>
        </is>
      </c>
      <c r="D151" s="5" t="inlineStr"/>
      <c r="E151" s="5" t="inlineStr"/>
      <c r="F151" s="5" t="inlineStr">
        <is>
          <t>Dayanıklılık +1</t>
        </is>
      </c>
      <c r="G151" s="6" t="inlineStr">
        <is>
          <t>Umursamadın. En azından öyle görünmeye çalıştın. Akşam annen hiçbir şey sormadan kek yaptı.</t>
        </is>
      </c>
      <c r="H151" s="6" t="inlineStr"/>
      <c r="I151" s="6" t="inlineStr"/>
      <c r="J151" s="6" t="inlineStr"/>
      <c r="K151" s="6" t="inlineStr"/>
      <c r="L151" s="6" t="inlineStr"/>
      <c r="M151" s="5" t="inlineStr"/>
      <c r="N151" s="5" t="inlineStr"/>
      <c r="O151" s="6" t="inlineStr"/>
      <c r="P151" s="6" t="inlineStr"/>
      <c r="Q151" s="5" t="inlineStr"/>
      <c r="R151" s="5" t="inlineStr"/>
      <c r="S151" s="5" t="inlineStr"/>
      <c r="T151" s="5" t="inlineStr"/>
      <c r="U151" s="5" t="inlineStr"/>
      <c r="V151" s="5" t="inlineStr"/>
      <c r="W151" s="5" t="inlineStr"/>
      <c r="X151" s="5" t="inlineStr"/>
      <c r="Y151" s="5" t="inlineStr"/>
      <c r="Z151" s="6" t="inlineStr"/>
      <c r="AA151" s="5" t="inlineStr"/>
      <c r="AB151" s="5" t="inlineStr"/>
      <c r="AC151" s="5" t="inlineStr"/>
      <c r="AD151" s="5" t="inlineStr"/>
      <c r="AE151" s="5" t="inlineStr"/>
      <c r="AF151" s="5" t="inlineStr"/>
      <c r="AG151" s="5" t="inlineStr"/>
      <c r="AH151" s="5" t="inlineStr"/>
      <c r="AI151" s="5" t="inlineStr"/>
      <c r="AJ151" s="5" t="inlineStr"/>
    </row>
    <row r="152">
      <c r="A152" s="5" t="inlineStr">
        <is>
          <t>davetiyeler</t>
        </is>
      </c>
      <c r="B152" s="5" t="n">
        <v>2</v>
      </c>
      <c r="C152" s="6" t="inlineStr">
        <is>
          <t>Nedenini sor</t>
        </is>
      </c>
      <c r="D152" s="5" t="inlineStr">
        <is>
          <t>Cesaret</t>
        </is>
      </c>
      <c r="E152" s="5" t="inlineStr">
        <is>
          <t>Orta</t>
        </is>
      </c>
      <c r="F152" s="5" t="inlineStr"/>
      <c r="G152" s="6" t="inlineStr"/>
      <c r="H152" s="6" t="inlineStr">
        <is>
          <t>Sordun; davetiyen çantada unutulmuş.</t>
        </is>
      </c>
      <c r="I152" s="6" t="inlineStr">
        <is>
          <t>Sordun. Seninkini kendisi çizecekmiş, o yüzden gecikmiş. Ertesi gün getirdi: el ele iki çöp adam ve bir pasta. Annen davetiyeyi çerçeveletti.</t>
        </is>
      </c>
      <c r="J152" s="6" t="inlineStr">
        <is>
          <t>Sordun; cevap 'yer kalmadı' oldu.</t>
        </is>
      </c>
      <c r="K152" s="6" t="inlineStr">
        <is>
          <t>Heyecandan “Benim davetiyem nerede?” yerine “Benim doğum günüm nerede?” dedin. Bütün sınıf sana doğum günü şarkısı söyledi. Doğum günün martta.</t>
        </is>
      </c>
      <c r="L152" s="6" t="inlineStr"/>
      <c r="M152" s="5" t="inlineStr"/>
      <c r="N152" s="5" t="inlineStr"/>
      <c r="O152" s="6" t="inlineStr"/>
      <c r="P152" s="6" t="inlineStr"/>
      <c r="Q152" s="5" t="inlineStr"/>
      <c r="R152" s="5" t="inlineStr"/>
      <c r="S152" s="5" t="inlineStr"/>
      <c r="T152" s="5" t="inlineStr"/>
      <c r="U152" s="5" t="inlineStr"/>
      <c r="V152" s="5" t="inlineStr"/>
      <c r="W152" s="5" t="inlineStr"/>
      <c r="X152" s="5" t="inlineStr"/>
      <c r="Y152" s="5" t="inlineStr"/>
      <c r="Z152" s="6" t="inlineStr"/>
      <c r="AA152" s="5" t="inlineStr"/>
      <c r="AB152" s="5" t="inlineStr"/>
      <c r="AC152" s="5" t="inlineStr"/>
      <c r="AD152" s="5" t="inlineStr"/>
      <c r="AE152" s="5" t="inlineStr"/>
      <c r="AF152" s="5" t="inlineStr"/>
      <c r="AG152" s="5" t="inlineStr"/>
      <c r="AH152" s="5" t="inlineStr"/>
      <c r="AI152" s="5" t="inlineStr"/>
      <c r="AJ152" s="5" t="inlineStr"/>
    </row>
    <row r="153">
      <c r="A153" s="5" t="inlineStr">
        <is>
          <t>davetiyeler</t>
        </is>
      </c>
      <c r="B153" s="5" t="n">
        <v>3</v>
      </c>
      <c r="C153" s="6" t="inlineStr">
        <is>
          <t>Aynı gün kendi partini planla</t>
        </is>
      </c>
      <c r="D153" s="5" t="inlineStr">
        <is>
          <t>Kurnazlık</t>
        </is>
      </c>
      <c r="E153" s="5" t="inlineStr">
        <is>
          <t>Orta</t>
        </is>
      </c>
      <c r="F153" s="5" t="inlineStr"/>
      <c r="G153" s="6" t="inlineStr"/>
      <c r="H153" s="6" t="inlineStr">
        <is>
          <t>Aynı gün kendi partini ilan ettin. Altı kişi sana geldi, altı kişi ona. Annen pastanın yarısını kesip karşı partiye yolladı.</t>
        </is>
      </c>
      <c r="I153" s="6" t="inlineStr">
        <is>
          <t>Partine dayının palyaço olarak geleceğini duyurdun. Öbür partinin yarısı sana kaydı. Dayın geldi; kostüm küçüktü ama çocuklar bayıldı.</t>
        </is>
      </c>
      <c r="J153" s="6" t="inlineStr">
        <is>
          <t>Parti planladın; kimse gelmedi, çünkü herkes öbür partideydi.</t>
        </is>
      </c>
      <c r="K153" s="6" t="inlineStr">
        <is>
          <t>Sınıfa “Cumartesi bizde parti” dedin; annenin haberi yoktu. Cumartesi on iki çocuk kapıya geldi. Annen kapıyı bornozla açtı; evde bir paket bisküvi vardı.</t>
        </is>
      </c>
      <c r="L153" s="6" t="inlineStr"/>
      <c r="M153" s="5" t="inlineStr"/>
      <c r="N153" s="5" t="inlineStr"/>
      <c r="O153" s="6" t="inlineStr"/>
      <c r="P153" s="6" t="inlineStr"/>
      <c r="Q153" s="5" t="inlineStr"/>
      <c r="R153" s="5" t="inlineStr"/>
      <c r="S153" s="5" t="inlineStr"/>
      <c r="T153" s="5" t="inlineStr"/>
      <c r="U153" s="5" t="inlineStr"/>
      <c r="V153" s="5" t="inlineStr"/>
      <c r="W153" s="5" t="inlineStr"/>
      <c r="X153" s="5" t="inlineStr"/>
      <c r="Y153" s="5" t="inlineStr"/>
      <c r="Z153" s="6" t="inlineStr"/>
      <c r="AA153" s="5" t="inlineStr"/>
      <c r="AB153" s="5" t="inlineStr"/>
      <c r="AC153" s="5" t="inlineStr"/>
      <c r="AD153" s="5" t="inlineStr"/>
      <c r="AE153" s="5" t="inlineStr"/>
      <c r="AF153" s="5" t="inlineStr"/>
      <c r="AG153" s="5" t="inlineStr"/>
      <c r="AH153" s="5" t="inlineStr"/>
      <c r="AI153" s="5" t="inlineStr"/>
      <c r="AJ153" s="5" t="inlineStr"/>
    </row>
    <row r="154">
      <c r="A154" s="5" t="inlineStr">
        <is>
          <t>davetiyeler</t>
        </is>
      </c>
      <c r="B154" s="5" t="n">
        <v>4</v>
      </c>
      <c r="C154" s="6" t="inlineStr">
        <is>
          <t>Kimin gerçekten gideceğini tahmin et</t>
        </is>
      </c>
      <c r="D154" s="5" t="inlineStr">
        <is>
          <t>Sosyal Radar</t>
        </is>
      </c>
      <c r="E154" s="5" t="inlineStr">
        <is>
          <t>Kolay</t>
        </is>
      </c>
      <c r="F154" s="5" t="inlineStr"/>
      <c r="G154" s="6" t="inlineStr"/>
      <c r="H154" s="6" t="inlineStr">
        <is>
          <t>Partiye yarısının gitmeyeceğini tahmin ettin. Haklıydın.</t>
        </is>
      </c>
      <c r="I154" s="6" t="inlineStr">
        <is>
          <t>Tahminin o kadar isabetliydi ki parti sahibi davetiye listesini sana danıştı.</t>
        </is>
      </c>
      <c r="J154" s="6" t="inlineStr">
        <is>
          <t>Tahmin ettin; yanıldın. Herkes gitti.</t>
        </is>
      </c>
      <c r="K154" s="6" t="inlineStr">
        <is>
          <t>“Bunların yarısı gitmez” dedin; parti sahibi tam arkandaydı. Gözleri doldu, öğretmen sana baktı. Cumartesi partiye herkes gitti, inadına.</t>
        </is>
      </c>
      <c r="L154" s="6" t="inlineStr"/>
      <c r="M154" s="5" t="inlineStr"/>
      <c r="N154" s="5" t="inlineStr"/>
      <c r="O154" s="6" t="inlineStr"/>
      <c r="P154" s="6" t="inlineStr"/>
      <c r="Q154" s="5" t="inlineStr">
        <is>
          <t>Odayı Okur</t>
        </is>
      </c>
      <c r="R154" s="5" t="inlineStr"/>
      <c r="S154" s="5" t="inlineStr"/>
      <c r="T154" s="5" t="inlineStr"/>
      <c r="U154" s="5" t="inlineStr"/>
      <c r="V154" s="5" t="inlineStr"/>
      <c r="W154" s="5" t="inlineStr"/>
      <c r="X154" s="5" t="inlineStr"/>
      <c r="Y154" s="5" t="inlineStr"/>
      <c r="Z154" s="6" t="inlineStr"/>
      <c r="AA154" s="5" t="inlineStr"/>
      <c r="AB154" s="5" t="inlineStr"/>
      <c r="AC154" s="5" t="inlineStr"/>
      <c r="AD154" s="5" t="inlineStr"/>
      <c r="AE154" s="5" t="inlineStr"/>
      <c r="AF154" s="5" t="inlineStr"/>
      <c r="AG154" s="5" t="inlineStr"/>
      <c r="AH154" s="5" t="inlineStr"/>
      <c r="AI154" s="5" t="inlineStr"/>
      <c r="AJ154" s="5" t="inlineStr"/>
    </row>
    <row r="155">
      <c r="A155" s="5" t="inlineStr">
        <is>
          <t>bayram-harcligi</t>
        </is>
      </c>
      <c r="B155" s="5" t="n">
        <v>1</v>
      </c>
      <c r="C155" s="6" t="inlineStr">
        <is>
          <t>Ailene teslim et</t>
        </is>
      </c>
      <c r="D155" s="5" t="inlineStr"/>
      <c r="E155" s="5" t="inlineStr"/>
      <c r="F155" s="5" t="inlineStr">
        <is>
          <t>İtibar +1</t>
        </is>
      </c>
      <c r="G155" s="6" t="inlineStr">
        <is>
          <t>Zarfları annene verdin. Annen “Ben senin için saklıyorum” dedi. Bu cümleyi yıllar sonra kendi çocuğuna söyleyeceksin.</t>
        </is>
      </c>
      <c r="H155" s="6" t="inlineStr"/>
      <c r="I155" s="6" t="inlineStr"/>
      <c r="J155" s="6" t="inlineStr"/>
      <c r="K155" s="6" t="inlineStr"/>
      <c r="L155" s="6" t="inlineStr"/>
      <c r="M155" s="5" t="inlineStr"/>
      <c r="N155" s="5" t="inlineStr"/>
      <c r="O155" s="6" t="inlineStr"/>
      <c r="P155" s="6" t="inlineStr"/>
      <c r="Q155" s="5" t="inlineStr"/>
      <c r="R155" s="5" t="inlineStr"/>
      <c r="S155" s="5" t="inlineStr"/>
      <c r="T155" s="5" t="inlineStr"/>
      <c r="U155" s="5" t="inlineStr"/>
      <c r="V155" s="5" t="inlineStr"/>
      <c r="W155" s="5" t="inlineStr"/>
      <c r="X155" s="5" t="inlineStr"/>
      <c r="Y155" s="5" t="inlineStr"/>
      <c r="Z155" s="6" t="inlineStr"/>
      <c r="AA155" s="5" t="inlineStr"/>
      <c r="AB155" s="5" t="inlineStr"/>
      <c r="AC155" s="5" t="inlineStr"/>
      <c r="AD155" s="5" t="inlineStr"/>
      <c r="AE155" s="5" t="inlineStr"/>
      <c r="AF155" s="5" t="inlineStr"/>
      <c r="AG155" s="5" t="inlineStr"/>
      <c r="AH155" s="5" t="inlineStr"/>
      <c r="AI155" s="5" t="inlineStr"/>
      <c r="AJ155" s="5" t="inlineStr"/>
    </row>
    <row r="156">
      <c r="A156" s="5" t="inlineStr">
        <is>
          <t>bayram-harcligi</t>
        </is>
      </c>
      <c r="B156" s="5" t="n">
        <v>2</v>
      </c>
      <c r="C156" s="6" t="inlineStr">
        <is>
          <t>Hepsini harca</t>
        </is>
      </c>
      <c r="D156" s="5" t="inlineStr">
        <is>
          <t>Pişkinlik</t>
        </is>
      </c>
      <c r="E156" s="5" t="inlineStr">
        <is>
          <t>Kolay</t>
        </is>
      </c>
      <c r="F156" s="5" t="inlineStr"/>
      <c r="G156" s="6" t="inlineStr"/>
      <c r="H156" s="6" t="inlineStr">
        <is>
          <t>Bayram yerine koştun: iki tur atlıkarınca, bir pamuk şeker, bir de sallanan gemi. Cebin boş, yüzün pembe.</t>
        </is>
      </c>
      <c r="I156" s="6" t="inlineStr">
        <is>
          <t>Atlıkarıncacı amca dördüncü turdan sonra para almadı: “Sen artık bizdensin.” Cebindeki son bozuklukla babaannene şeker aldın. Babaannen şekeri yemedi, çantasında sakladı.</t>
        </is>
      </c>
      <c r="J156" s="6" t="inlineStr">
        <is>
          <t>Harcadın; aldıklarının yarısı ertesi gün bozuldu.</t>
        </is>
      </c>
      <c r="K156" s="6" t="inlineStr">
        <is>
          <t>Bütün zarfları tek bir uzaktan kumandalı arabaya yatırdın. Araba ilk turda merdivenden düştü. Baban parçaları toplayıp “Bak, pili sağlam” dedi. Pil hâlâ çekmecede.</t>
        </is>
      </c>
      <c r="L156" s="6" t="inlineStr"/>
      <c r="M156" s="5" t="inlineStr"/>
      <c r="N156" s="5" t="inlineStr"/>
      <c r="O156" s="6" t="inlineStr"/>
      <c r="P156" s="6" t="inlineStr"/>
      <c r="Q156" s="5" t="inlineStr"/>
      <c r="R156" s="5" t="inlineStr"/>
      <c r="S156" s="5" t="inlineStr"/>
      <c r="T156" s="5" t="inlineStr"/>
      <c r="U156" s="5" t="inlineStr"/>
      <c r="V156" s="5" t="inlineStr"/>
      <c r="W156" s="5" t="inlineStr"/>
      <c r="X156" s="5" t="inlineStr"/>
      <c r="Y156" s="5" t="inlineStr"/>
      <c r="Z156" s="6" t="inlineStr"/>
      <c r="AA156" s="5" t="inlineStr"/>
      <c r="AB156" s="5" t="inlineStr"/>
      <c r="AC156" s="5" t="inlineStr"/>
      <c r="AD156" s="5" t="inlineStr"/>
      <c r="AE156" s="5" t="inlineStr"/>
      <c r="AF156" s="5" t="inlineStr"/>
      <c r="AG156" s="5" t="inlineStr"/>
      <c r="AH156" s="5" t="inlineStr"/>
      <c r="AI156" s="5" t="inlineStr"/>
      <c r="AJ156" s="5" t="inlineStr"/>
    </row>
    <row r="157">
      <c r="A157" s="5" t="inlineStr">
        <is>
          <t>bayram-harcligi</t>
        </is>
      </c>
      <c r="B157" s="5" t="n">
        <v>3</v>
      </c>
      <c r="C157" s="6" t="inlineStr">
        <is>
          <t>Akrabalarla ikinci tur yap</t>
        </is>
      </c>
      <c r="D157" s="5" t="inlineStr">
        <is>
          <t>Çene</t>
        </is>
      </c>
      <c r="E157" s="5" t="inlineStr">
        <is>
          <t>Orta</t>
        </is>
      </c>
      <c r="F157" s="5" t="inlineStr"/>
      <c r="G157" s="6" t="inlineStr"/>
      <c r="H157" s="6" t="inlineStr">
        <is>
          <t>İkinci el öpme turunda zarflar ikiye katlandı. Ellerin üç gün limon kolonyası koktu.</t>
        </is>
      </c>
      <c r="I157" s="6" t="inlineStr">
        <is>
          <t>Uzak akrabaları da ziyaret listesine ekledin. Babanın teyzesinin kayınbiraderi bile zarf verdi; kim olduğunu hâlâ bilmiyorsun.</t>
        </is>
      </c>
      <c r="J157" s="6" t="inlineStr">
        <is>
          <t>İkinci tura çıktın. Teyze kapıyı açtı, sana baktı ve kolonya şişesini uzattı. Zarf yok, kolonya bol.</t>
        </is>
      </c>
      <c r="K157" s="6" t="inlineStr">
        <is>
          <t>İkinci turda aynı amcanın elini ikinci kez öptün. Amca zarfı uzatırken durdu: “Sen az önce de öpmüştün.” Zarf cebine geri girdi, hikâye bütün bayram anlatıldı.</t>
        </is>
      </c>
      <c r="L157" s="6" t="inlineStr"/>
      <c r="M157" s="5" t="inlineStr"/>
      <c r="N157" s="5" t="inlineStr"/>
      <c r="O157" s="6" t="inlineStr"/>
      <c r="P157" s="6" t="inlineStr"/>
      <c r="Q157" s="5" t="inlineStr"/>
      <c r="R157" s="5" t="inlineStr"/>
      <c r="S157" s="5" t="inlineStr"/>
      <c r="T157" s="5" t="inlineStr"/>
      <c r="U157" s="5" t="inlineStr"/>
      <c r="V157" s="5" t="inlineStr"/>
      <c r="W157" s="5" t="inlineStr"/>
      <c r="X157" s="5" t="inlineStr"/>
      <c r="Y157" s="5" t="inlineStr"/>
      <c r="Z157" s="6" t="inlineStr"/>
      <c r="AA157" s="5" t="inlineStr"/>
      <c r="AB157" s="5" t="inlineStr"/>
      <c r="AC157" s="5" t="inlineStr"/>
      <c r="AD157" s="5" t="inlineStr"/>
      <c r="AE157" s="5" t="inlineStr"/>
      <c r="AF157" s="5" t="inlineStr"/>
      <c r="AG157" s="5" t="inlineStr"/>
      <c r="AH157" s="5" t="inlineStr"/>
      <c r="AI157" s="5" t="inlineStr"/>
      <c r="AJ157" s="5" t="inlineStr"/>
    </row>
    <row r="158">
      <c r="A158" s="5" t="inlineStr">
        <is>
          <t>bayram-harcligi</t>
        </is>
      </c>
      <c r="B158" s="5" t="n">
        <v>4</v>
      </c>
      <c r="C158" s="6" t="inlineStr">
        <is>
          <t>Kumbaraya at, kimseye söyleme</t>
        </is>
      </c>
      <c r="D158" s="5" t="inlineStr">
        <is>
          <t>Kurnazlık</t>
        </is>
      </c>
      <c r="E158" s="5" t="inlineStr">
        <is>
          <t>Kolay</t>
        </is>
      </c>
      <c r="F158" s="5" t="inlineStr"/>
      <c r="G158" s="6" t="inlineStr"/>
      <c r="H158" s="6" t="inlineStr">
        <is>
          <t>Kumbara ağırlaştı. Kimse bilmiyor.</t>
        </is>
      </c>
      <c r="I158" s="6" t="inlineStr">
        <is>
          <t>Kumbara o kadar doldu ki ikinci kumbara açıldı. Yastık altı büyüyor.</t>
        </is>
      </c>
      <c r="J158" s="6" t="inlineStr">
        <is>
          <t>Kumbarayı açmak için çekiç gerekti.</t>
        </is>
      </c>
      <c r="K158" s="6" t="inlineStr">
        <is>
          <t>Kumbarayı yatağın altına sakladın. Bayramın üçüncü günü kuzenin buldu, salladı ve sofraya bağırdı: “Bunun içi dolu!” İki amca zarflarını şakayla geri istedi. Şakayla aldılar.</t>
        </is>
      </c>
      <c r="L158" s="6" t="inlineStr"/>
      <c r="M158" s="5" t="inlineStr"/>
      <c r="N158" s="5" t="inlineStr"/>
      <c r="O158" s="6" t="inlineStr"/>
      <c r="P158" s="6" t="inlineStr"/>
      <c r="Q158" s="5" t="inlineStr">
        <is>
          <t>Yastık Altı Ekonomisti</t>
        </is>
      </c>
      <c r="R158" s="5" t="inlineStr"/>
      <c r="S158" s="5" t="inlineStr"/>
      <c r="T158" s="5" t="inlineStr"/>
      <c r="U158" s="5" t="inlineStr"/>
      <c r="V158" s="5" t="inlineStr"/>
      <c r="W158" s="5" t="inlineStr"/>
      <c r="X158" s="5" t="inlineStr"/>
      <c r="Y158" s="5" t="inlineStr"/>
      <c r="Z158" s="6" t="inlineStr"/>
      <c r="AA158" s="5" t="inlineStr"/>
      <c r="AB158" s="5" t="inlineStr"/>
      <c r="AC158" s="5" t="inlineStr"/>
      <c r="AD158" s="5" t="inlineStr"/>
      <c r="AE158" s="5" t="inlineStr"/>
      <c r="AF158" s="5" t="inlineStr"/>
      <c r="AG158" s="5" t="inlineStr"/>
      <c r="AH158" s="5" t="inlineStr"/>
      <c r="AI158" s="5" t="inlineStr"/>
      <c r="AJ158" s="5" t="inlineStr"/>
    </row>
    <row r="159">
      <c r="A159" s="5" t="inlineStr">
        <is>
          <t>bayram-harcligi</t>
        </is>
      </c>
      <c r="B159" s="5" t="n">
        <v>5</v>
      </c>
      <c r="C159" s="6" t="inlineStr">
        <is>
          <t>Harçlıkla çekirdek al, mahalle maçında sat</t>
        </is>
      </c>
      <c r="D159" s="5" t="inlineStr">
        <is>
          <t>Kurnazlık</t>
        </is>
      </c>
      <c r="E159" s="5" t="inlineStr">
        <is>
          <t>Zor</t>
        </is>
      </c>
      <c r="F159" s="5" t="inlineStr"/>
      <c r="G159" s="6" t="inlineStr"/>
      <c r="H159" s="6" t="inlineStr">
        <is>
          <t>Kuruyemişçiden bir kilo çekirdek aldın, gazeteden külah külah sardın, maçta sattın. Bayram parası ikiye katlandı.</t>
        </is>
      </c>
      <c r="I159" s="6" t="inlineStr">
        <is>
          <t>Maçta çekirdek bitince herkes seni çağırdı. Ertesi hafta karşı mahallenin maçından da sipariş geldi. İki sahada tezgâhın var.</t>
        </is>
      </c>
      <c r="J159" s="6" t="inlineStr">
        <is>
          <t>Çekirdekler satılmadı. Devre arasında hepsini kendin çitledin; dilin üç gün tuzlu kaldı.</t>
        </is>
      </c>
      <c r="K159" s="6" t="inlineStr">
        <is>
          <t>Bütün harçlığı çekirdeğe yatırdın; maç yağmurdan iptal oldu. Bir kilo ıslak çekirdekle eve döndün. Babaannen kış boyu balkonda kurutup sana geri sattı.</t>
        </is>
      </c>
      <c r="L159" s="6" t="inlineStr"/>
      <c r="M159" s="5" t="inlineStr"/>
      <c r="N159" s="5" t="inlineStr"/>
      <c r="O159" s="6" t="inlineStr"/>
      <c r="P159" s="6" t="inlineStr"/>
      <c r="Q159" s="5" t="inlineStr">
        <is>
          <t>Sofra Müteahhidi</t>
        </is>
      </c>
      <c r="R159" s="5" t="inlineStr"/>
      <c r="S159" s="5" t="inlineStr"/>
      <c r="T159" s="5" t="inlineStr">
        <is>
          <t>Çekirdek Baronu</t>
        </is>
      </c>
      <c r="U159" s="5" t="inlineStr"/>
      <c r="V159" s="5" t="inlineStr"/>
      <c r="W159" s="5" t="inlineStr"/>
      <c r="X159" s="5" t="inlineStr"/>
      <c r="Y159" s="5" t="inlineStr"/>
      <c r="Z159" s="6" t="inlineStr"/>
      <c r="AA159" s="5" t="inlineStr"/>
      <c r="AB159" s="5" t="inlineStr"/>
      <c r="AC159" s="5" t="inlineStr"/>
      <c r="AD159" s="5" t="inlineStr"/>
      <c r="AE159" s="5" t="inlineStr"/>
      <c r="AF159" s="5" t="inlineStr"/>
      <c r="AG159" s="5" t="inlineStr"/>
      <c r="AH159" s="5" t="inlineStr"/>
      <c r="AI159" s="5" t="inlineStr"/>
      <c r="AJ159" s="5" t="inlineStr"/>
    </row>
    <row r="160">
      <c r="A160" s="5" t="inlineStr">
        <is>
          <t>balkondaki-ucurtma</t>
        </is>
      </c>
      <c r="B160" s="5" t="n">
        <v>1</v>
      </c>
      <c r="C160" s="6" t="inlineStr">
        <is>
          <t>Vazgeç, yenisini iste</t>
        </is>
      </c>
      <c r="D160" s="5" t="inlineStr"/>
      <c r="E160" s="5" t="inlineStr"/>
      <c r="F160" s="5" t="inlineStr">
        <is>
          <t>Çene +1</t>
        </is>
      </c>
      <c r="G160" s="6" t="inlineStr">
        <is>
          <t>Yeni uçurtma istedin. Baban “Maaş yatsın, bakarız” dedi. Maaş üç kez yattı.</t>
        </is>
      </c>
      <c r="H160" s="6" t="inlineStr"/>
      <c r="I160" s="6" t="inlineStr"/>
      <c r="J160" s="6" t="inlineStr"/>
      <c r="K160" s="6" t="inlineStr"/>
      <c r="L160" s="6" t="inlineStr"/>
      <c r="M160" s="5" t="inlineStr"/>
      <c r="N160" s="5" t="inlineStr"/>
      <c r="O160" s="6" t="inlineStr"/>
      <c r="P160" s="6" t="inlineStr"/>
      <c r="Q160" s="5" t="inlineStr"/>
      <c r="R160" s="5" t="inlineStr"/>
      <c r="S160" s="5" t="inlineStr"/>
      <c r="T160" s="5" t="inlineStr"/>
      <c r="U160" s="5" t="inlineStr"/>
      <c r="V160" s="5" t="inlineStr"/>
      <c r="W160" s="5" t="inlineStr"/>
      <c r="X160" s="5" t="inlineStr"/>
      <c r="Y160" s="5" t="inlineStr"/>
      <c r="Z160" s="6" t="inlineStr"/>
      <c r="AA160" s="5" t="inlineStr"/>
      <c r="AB160" s="5" t="inlineStr"/>
      <c r="AC160" s="5" t="inlineStr"/>
      <c r="AD160" s="5" t="inlineStr"/>
      <c r="AE160" s="5" t="inlineStr"/>
      <c r="AF160" s="5" t="inlineStr"/>
      <c r="AG160" s="5" t="inlineStr"/>
      <c r="AH160" s="5" t="inlineStr"/>
      <c r="AI160" s="5" t="inlineStr"/>
      <c r="AJ160" s="5" t="inlineStr"/>
    </row>
    <row r="161">
      <c r="A161" s="5" t="inlineStr">
        <is>
          <t>balkondaki-ucurtma</t>
        </is>
      </c>
      <c r="B161" s="5" t="n">
        <v>2</v>
      </c>
      <c r="C161" s="6" t="inlineStr">
        <is>
          <t>Süpürge sapıyla kurtar</t>
        </is>
      </c>
      <c r="D161" s="5" t="inlineStr">
        <is>
          <t>Akıl</t>
        </is>
      </c>
      <c r="E161" s="5" t="inlineStr">
        <is>
          <t>Orta</t>
        </is>
      </c>
      <c r="F161" s="5" t="inlineStr"/>
      <c r="G161" s="6" t="inlineStr"/>
      <c r="H161" s="6" t="inlineStr">
        <is>
          <t>Süpürge, sandalye ve bir bant rulosuyla mühendislik harikası kurdun. Uçurtma kurtuldu.</t>
        </is>
      </c>
      <c r="I161" s="6" t="inlineStr">
        <is>
          <t>Uçurtmayı kurtardın; süpürgenin ucuna komşu çocuğun iki ay önce balkona kaçırdığı top da takıldı. Topu kapısına götürdün; annesi sana kocaman bir dilim kek verdi.</t>
        </is>
      </c>
      <c r="J161" s="6" t="inlineStr">
        <is>
          <t>Süpürge kısa geldi. Sandalye de. Sen de.</t>
        </is>
      </c>
      <c r="K161" s="6" t="inlineStr">
        <is>
          <t>Süpürge sapı korkuluğa sıkıştı. Artık balkonda bir uçurtma ve bir süpürge var. Akşam annen süpürgeyi aradı; sen pencereden parmağınla gösterdin.</t>
        </is>
      </c>
      <c r="L161" s="6" t="inlineStr"/>
      <c r="M161" s="5" t="inlineStr"/>
      <c r="N161" s="5" t="inlineStr"/>
      <c r="O161" s="6" t="inlineStr"/>
      <c r="P161" s="6" t="inlineStr"/>
      <c r="Q161" s="5" t="inlineStr"/>
      <c r="R161" s="5" t="inlineStr"/>
      <c r="S161" s="5" t="inlineStr"/>
      <c r="T161" s="5" t="inlineStr"/>
      <c r="U161" s="5" t="inlineStr"/>
      <c r="V161" s="5" t="inlineStr"/>
      <c r="W161" s="5" t="inlineStr"/>
      <c r="X161" s="5" t="inlineStr"/>
      <c r="Y161" s="5" t="inlineStr"/>
      <c r="Z161" s="6" t="inlineStr"/>
      <c r="AA161" s="5" t="inlineStr"/>
      <c r="AB161" s="5" t="inlineStr"/>
      <c r="AC161" s="5" t="inlineStr"/>
      <c r="AD161" s="5" t="inlineStr"/>
      <c r="AE161" s="5" t="inlineStr"/>
      <c r="AF161" s="5" t="inlineStr"/>
      <c r="AG161" s="5" t="inlineStr"/>
      <c r="AH161" s="5" t="inlineStr"/>
      <c r="AI161" s="5" t="inlineStr"/>
      <c r="AJ161" s="5" t="inlineStr"/>
    </row>
    <row r="162">
      <c r="A162" s="5" t="inlineStr">
        <is>
          <t>balkondaki-ucurtma</t>
        </is>
      </c>
      <c r="B162" s="5" t="n">
        <v>3</v>
      </c>
      <c r="C162" s="6" t="inlineStr">
        <is>
          <t>Kapıcıyı ikna et</t>
        </is>
      </c>
      <c r="D162" s="5" t="inlineStr">
        <is>
          <t>Çene</t>
        </is>
      </c>
      <c r="E162" s="5" t="inlineStr">
        <is>
          <t>Kolay</t>
        </is>
      </c>
      <c r="F162" s="5" t="inlineStr"/>
      <c r="G162" s="6" t="inlineStr"/>
      <c r="H162" s="6" t="inlineStr">
        <is>
          <t>Kapıcı yedek anahtarla çıktı ve uçurtmayı indirdi. Karşılığında bir hafta onun ekmeğini sen taşıdın.</t>
        </is>
      </c>
      <c r="I162" s="6" t="inlineStr">
        <is>
          <t>Kapıcı uçurtmayı indirdi, üstüne bir de nasıl daha iyi uçurulacağını gösterdi.</t>
        </is>
      </c>
      <c r="J162" s="6" t="inlineStr">
        <is>
          <t>Kapıcı 'Sahibi gelsin' dedi. Sahibi üç hafta sonra geliyor.</t>
        </is>
      </c>
      <c r="K162" s="6" t="inlineStr">
        <is>
          <t>Kapıcıyı ikna ettin, yedek anahtarla balkona çıktınız. Tam uçurtmayı alırken teyze memleketten döndü. Sen, kapıcı ve uçurtma, onun salonunda yakalandınız.</t>
        </is>
      </c>
      <c r="L162" s="6" t="inlineStr"/>
      <c r="M162" s="5" t="inlineStr"/>
      <c r="N162" s="5" t="inlineStr"/>
      <c r="O162" s="6" t="inlineStr"/>
      <c r="P162" s="6" t="inlineStr"/>
      <c r="Q162" s="5" t="inlineStr"/>
      <c r="R162" s="5" t="inlineStr"/>
      <c r="S162" s="5" t="inlineStr"/>
      <c r="T162" s="5" t="inlineStr"/>
      <c r="U162" s="5" t="inlineStr"/>
      <c r="V162" s="5" t="inlineStr"/>
      <c r="W162" s="5" t="inlineStr"/>
      <c r="X162" s="5" t="inlineStr"/>
      <c r="Y162" s="5" t="inlineStr"/>
      <c r="Z162" s="6" t="inlineStr"/>
      <c r="AA162" s="5" t="inlineStr"/>
      <c r="AB162" s="5" t="inlineStr"/>
      <c r="AC162" s="5" t="inlineStr"/>
      <c r="AD162" s="5" t="inlineStr"/>
      <c r="AE162" s="5" t="inlineStr"/>
      <c r="AF162" s="5" t="inlineStr"/>
      <c r="AG162" s="5" t="inlineStr"/>
      <c r="AH162" s="5" t="inlineStr"/>
      <c r="AI162" s="5" t="inlineStr"/>
      <c r="AJ162" s="5" t="inlineStr"/>
    </row>
    <row r="163">
      <c r="A163" s="5" t="inlineStr">
        <is>
          <t>balkondaki-ucurtma</t>
        </is>
      </c>
      <c r="B163" s="5" t="n">
        <v>4</v>
      </c>
      <c r="C163" s="6" t="inlineStr">
        <is>
          <t>Dut ağacına tırman</t>
        </is>
      </c>
      <c r="D163" s="5" t="inlineStr">
        <is>
          <t>Cesaret</t>
        </is>
      </c>
      <c r="E163" s="5" t="inlineStr">
        <is>
          <t>Zor</t>
        </is>
      </c>
      <c r="F163" s="5" t="inlineStr"/>
      <c r="G163" s="6" t="inlineStr"/>
      <c r="H163" s="6" t="inlineStr">
        <is>
          <t>Tırmandın, uzandın, aldın. Aşağıda babaannen ellerini yüzüne kapamış, parmaklarının arasından bakıyordu. İnince önce “Bir daha görmeyeyim!” dedi, sonra öptü ve dut istedi.</t>
        </is>
      </c>
      <c r="I163" s="6" t="inlineStr">
        <is>
          <t>Dala çıktın, uçurtmayı aldın, inerken ceplerini dutla doldurdun. Babaannen dutları yıkayıp komşulara “Torunum topladı” diye dağıttı.</t>
        </is>
      </c>
      <c r="J163" s="6" t="inlineStr">
        <is>
          <t>Yarıya kadar tırmandın, sonra aşağı baktın. Aşağı bakmak hataydı.</t>
        </is>
      </c>
      <c r="K163" s="6" t="inlineStr">
        <is>
          <t>Dala çıktın, uzandın, uçurtmayı aldın; dal çıt dedi. Altı hafta alçı. Alçına bütün sınıf imza attı, üstüne dut lekesi de bulaştı.</t>
        </is>
      </c>
      <c r="L163" s="6" t="inlineStr"/>
      <c r="M163" s="5" t="inlineStr"/>
      <c r="N163" s="5" t="inlineStr"/>
      <c r="O163" s="6" t="inlineStr"/>
      <c r="P163" s="6" t="inlineStr"/>
      <c r="Q163" s="5" t="inlineStr"/>
      <c r="R163" s="5" t="inlineStr"/>
      <c r="S163" s="5" t="inlineStr"/>
      <c r="T163" s="5" t="inlineStr"/>
      <c r="U163" s="5" t="inlineStr"/>
      <c r="V163" s="5" t="inlineStr"/>
      <c r="W163" s="5" t="inlineStr">
        <is>
          <t>alcili-kol</t>
        </is>
      </c>
      <c r="X163" s="5" t="inlineStr"/>
      <c r="Y163" s="5" t="inlineStr"/>
      <c r="Z163" s="6" t="inlineStr"/>
      <c r="AA163" s="5" t="inlineStr"/>
      <c r="AB163" s="5" t="inlineStr"/>
      <c r="AC163" s="5" t="inlineStr"/>
      <c r="AD163" s="5" t="inlineStr"/>
      <c r="AE163" s="5" t="inlineStr"/>
      <c r="AF163" s="5" t="inlineStr"/>
      <c r="AG163" s="5" t="inlineStr"/>
      <c r="AH163" s="5" t="inlineStr"/>
      <c r="AI163" s="5" t="inlineStr"/>
      <c r="AJ163" s="5" t="inlineStr"/>
    </row>
    <row r="164">
      <c r="A164" s="5" t="inlineStr">
        <is>
          <t>mahalle-maci</t>
        </is>
      </c>
      <c r="B164" s="5" t="n">
        <v>1</v>
      </c>
      <c r="C164" s="6" t="inlineStr">
        <is>
          <t>Şut çek</t>
        </is>
      </c>
      <c r="D164" s="5" t="inlineStr">
        <is>
          <t>Cesaret</t>
        </is>
      </c>
      <c r="E164" s="5" t="inlineStr">
        <is>
          <t>Orta</t>
        </is>
      </c>
      <c r="F164" s="5" t="inlineStr"/>
      <c r="G164" s="6" t="inlineStr"/>
      <c r="H164" s="6" t="inlineStr">
        <is>
          <t>Gol! Cam sağlam. Mahalle sallandı.</t>
        </is>
      </c>
      <c r="I164" s="6" t="inlineStr">
        <is>
          <t>Köşeye gol. Komşu bile balkondan alkışladı.</t>
        </is>
      </c>
      <c r="J164" s="6" t="inlineStr">
        <is>
          <t>Top kaleciye gitti. Maç berabere bitti.</t>
        </is>
      </c>
      <c r="K164" s="6" t="inlineStr">
        <is>
          <t>Var gücünle vurdun; top kaleyi değil, komşunun camını buldu. Camı kırdın. Alt kattaki amca topu aldı, balkondan herkese gösterdi ve ekmek bıçağıyla ikiye kesti.</t>
        </is>
      </c>
      <c r="L164" s="6" t="inlineStr">
        <is>
          <t>Direk! Cam sağlam, skor aynı.</t>
        </is>
      </c>
      <c r="M164" s="5" t="inlineStr">
        <is>
          <t>timing</t>
        </is>
      </c>
      <c r="N164" s="5" t="inlineStr">
        <is>
          <t>Şut Çek!</t>
        </is>
      </c>
      <c r="O164" s="6" t="inlineStr">
        <is>
          <t>Kırmızı işareti yeşil alanda durdur.</t>
        </is>
      </c>
      <c r="P164" s="6" t="inlineStr"/>
      <c r="Q164" s="5" t="inlineStr"/>
      <c r="R164" s="5" t="inlineStr"/>
      <c r="S164" s="5" t="inlineStr"/>
      <c r="T164" s="5" t="inlineStr"/>
      <c r="U164" s="5" t="inlineStr"/>
      <c r="V164" s="5" t="inlineStr"/>
      <c r="W164" s="5" t="inlineStr">
        <is>
          <t>camKirildi</t>
        </is>
      </c>
      <c r="X164" s="5" t="inlineStr"/>
      <c r="Y164" s="5" t="inlineStr"/>
      <c r="Z164" s="6" t="inlineStr"/>
      <c r="AA164" s="5" t="inlineStr"/>
      <c r="AB164" s="5" t="inlineStr"/>
      <c r="AC164" s="5" t="inlineStr"/>
      <c r="AD164" s="5" t="inlineStr"/>
      <c r="AE164" s="5" t="inlineStr"/>
      <c r="AF164" s="5" t="inlineStr"/>
      <c r="AG164" s="5" t="inlineStr"/>
      <c r="AH164" s="5" t="inlineStr"/>
      <c r="AI164" s="5" t="inlineStr"/>
      <c r="AJ164" s="5" t="inlineStr"/>
    </row>
    <row r="165">
      <c r="A165" s="5" t="inlineStr">
        <is>
          <t>mahalle-maci</t>
        </is>
      </c>
      <c r="B165" s="5" t="n">
        <v>2</v>
      </c>
      <c r="C165" s="6" t="inlineStr">
        <is>
          <t>Pas ver</t>
        </is>
      </c>
      <c r="D165" s="5" t="inlineStr">
        <is>
          <t>Sosyal Radar</t>
        </is>
      </c>
      <c r="E165" s="5" t="inlineStr">
        <is>
          <t>Zor</t>
        </is>
      </c>
      <c r="F165" s="5" t="inlineStr"/>
      <c r="G165" s="6" t="inlineStr"/>
      <c r="H165" s="6" t="inlineStr">
        <is>
          <t>Pas verdin, arkadaşın attı. Bütün takım golcünün üstüne çullandı; golcü kalabalığın altından sana el salladı. Sen bunu golden çok sevdin.</t>
        </is>
      </c>
      <c r="I165" s="6" t="inlineStr">
        <is>
          <t>Öyle bir pas verdin ki arkadaşın boş kaleye attı. Herkes seni kucakladı.</t>
        </is>
      </c>
      <c r="J165" s="6" t="inlineStr">
        <is>
          <t>Pas verdin; top karşı takıma gitti.</t>
        </is>
      </c>
      <c r="K165" s="6" t="inlineStr">
        <is>
          <t>Pas verdin; arkadaşın gelişine vurdu, top komşunun camını kırdı. Arkadaşın seni gösterdi: “Pası o verdi.” Komşu onu değil, seni hatırladı.</t>
        </is>
      </c>
      <c r="L165" s="6" t="inlineStr"/>
      <c r="M165" s="5" t="inlineStr"/>
      <c r="N165" s="5" t="inlineStr"/>
      <c r="O165" s="6" t="inlineStr"/>
      <c r="P165" s="6" t="inlineStr"/>
      <c r="Q165" s="5" t="inlineStr"/>
      <c r="R165" s="5" t="inlineStr"/>
      <c r="S165" s="5" t="inlineStr"/>
      <c r="T165" s="5" t="inlineStr">
        <is>
          <t>Asist Ustası</t>
        </is>
      </c>
      <c r="U165" s="5" t="inlineStr"/>
      <c r="V165" s="5" t="inlineStr"/>
      <c r="W165" s="5" t="inlineStr">
        <is>
          <t>camKirildi</t>
        </is>
      </c>
      <c r="X165" s="5" t="inlineStr"/>
      <c r="Y165" s="5" t="inlineStr"/>
      <c r="Z165" s="6" t="inlineStr"/>
      <c r="AA165" s="5" t="inlineStr"/>
      <c r="AB165" s="5" t="inlineStr"/>
      <c r="AC165" s="5" t="inlineStr"/>
      <c r="AD165" s="5" t="inlineStr"/>
      <c r="AE165" s="5" t="inlineStr"/>
      <c r="AF165" s="5" t="inlineStr"/>
      <c r="AG165" s="5" t="inlineStr"/>
      <c r="AH165" s="5" t="inlineStr"/>
      <c r="AI165" s="5" t="inlineStr"/>
      <c r="AJ165" s="5" t="inlineStr"/>
    </row>
    <row r="166">
      <c r="A166" s="5" t="inlineStr">
        <is>
          <t>mahalle-maci</t>
        </is>
      </c>
      <c r="B166" s="5" t="n">
        <v>3</v>
      </c>
      <c r="C166" s="6" t="inlineStr">
        <is>
          <t>Camı düşün, yavaş vur</t>
        </is>
      </c>
      <c r="D166" s="5" t="inlineStr"/>
      <c r="E166" s="5" t="inlineStr"/>
      <c r="F166" s="5" t="inlineStr">
        <is>
          <t>İtibar +1</t>
        </is>
      </c>
      <c r="G166" s="6" t="inlineStr">
        <is>
          <t>Top kaleye yavaşça yuvarlandı, kaleci eğilip aldı. Balkondaki komşu teyze “Aferin yavrum, aklı başında çocuk” dedi. Takım arkadaşların aynı şeyi demedi.</t>
        </is>
      </c>
      <c r="H166" s="6" t="inlineStr"/>
      <c r="I166" s="6" t="inlineStr"/>
      <c r="J166" s="6" t="inlineStr"/>
      <c r="K166" s="6" t="inlineStr"/>
      <c r="L166" s="6" t="inlineStr"/>
      <c r="M166" s="5" t="inlineStr"/>
      <c r="N166" s="5" t="inlineStr"/>
      <c r="O166" s="6" t="inlineStr"/>
      <c r="P166" s="6" t="inlineStr"/>
      <c r="Q166" s="5" t="inlineStr"/>
      <c r="R166" s="5" t="inlineStr"/>
      <c r="S166" s="5" t="inlineStr"/>
      <c r="T166" s="5" t="inlineStr"/>
      <c r="U166" s="5" t="inlineStr"/>
      <c r="V166" s="5" t="inlineStr"/>
      <c r="W166" s="5" t="inlineStr"/>
      <c r="X166" s="5" t="inlineStr"/>
      <c r="Y166" s="5" t="inlineStr"/>
      <c r="Z166" s="6" t="inlineStr"/>
      <c r="AA166" s="5" t="inlineStr"/>
      <c r="AB166" s="5" t="inlineStr"/>
      <c r="AC166" s="5" t="inlineStr"/>
      <c r="AD166" s="5" t="inlineStr"/>
      <c r="AE166" s="5" t="inlineStr"/>
      <c r="AF166" s="5" t="inlineStr"/>
      <c r="AG166" s="5" t="inlineStr"/>
      <c r="AH166" s="5" t="inlineStr"/>
      <c r="AI166" s="5" t="inlineStr"/>
      <c r="AJ166" s="5" t="inlineStr"/>
    </row>
    <row r="167">
      <c r="A167" s="5" t="inlineStr">
        <is>
          <t>kedi-istiyoruz</t>
        </is>
      </c>
      <c r="B167" s="5" t="n">
        <v>1</v>
      </c>
      <c r="C167" s="6" t="inlineStr">
        <is>
          <t>Duygusal konuşma yap</t>
        </is>
      </c>
      <c r="D167" s="5" t="inlineStr">
        <is>
          <t>Çene</t>
        </is>
      </c>
      <c r="E167" s="5" t="inlineStr">
        <is>
          <t>Orta</t>
        </is>
      </c>
      <c r="F167" s="5" t="inlineStr"/>
      <c r="G167" s="6" t="inlineStr"/>
      <c r="H167" s="6" t="inlineStr">
        <is>
          <t>Gözlerin doldu, sesin titredi. Baban annene baktı, annen babaannene. Babaannen iç çekti: “Kumunu sen temizleyeceksin.” Yavru geldi.</t>
        </is>
      </c>
      <c r="I167" s="6" t="inlineStr">
        <is>
          <t>Evin kedisinin yalnızlığını öyle anlattın ki babaannen gözlüğünü çıkarıp sildi: “Tek kedi büyütülmez, yazık.” Bakkaldan iki yavru geldi.</t>
        </is>
      </c>
      <c r="J167" s="6" t="inlineStr">
        <is>
          <t>Konuşman etkileyiciydi ama karar 'yazın bakarız'.</t>
        </is>
      </c>
      <c r="K167" s="6" t="inlineStr">
        <is>
          <t>Konuşmanın sonunda “Kedi gelmezse yemek yemem” dedin. Kedi gelmedi. Akşam yemeği köfteydi; ilk tabağı sen istedin, herkes gördü.</t>
        </is>
      </c>
      <c r="L167" s="6" t="inlineStr"/>
      <c r="M167" s="5" t="inlineStr"/>
      <c r="N167" s="5" t="inlineStr"/>
      <c r="O167" s="6" t="inlineStr"/>
      <c r="P167" s="6" t="inlineStr"/>
      <c r="Q167" s="5" t="inlineStr"/>
      <c r="R167" s="5" t="inlineStr"/>
      <c r="S167" s="5" t="inlineStr"/>
      <c r="T167" s="5" t="inlineStr"/>
      <c r="U167" s="5" t="inlineStr"/>
      <c r="V167" s="5" t="inlineStr">
        <is>
          <t>kediGeldi</t>
        </is>
      </c>
      <c r="W167" s="5" t="inlineStr"/>
      <c r="X167" s="5" t="inlineStr"/>
      <c r="Y167" s="5" t="inlineStr"/>
      <c r="Z167" s="6" t="inlineStr"/>
      <c r="AA167" s="5" t="inlineStr"/>
      <c r="AB167" s="5" t="inlineStr"/>
      <c r="AC167" s="5" t="inlineStr"/>
      <c r="AD167" s="5" t="inlineStr"/>
      <c r="AE167" s="5" t="inlineStr"/>
      <c r="AF167" s="5" t="inlineStr"/>
      <c r="AG167" s="5" t="inlineStr"/>
      <c r="AH167" s="5" t="inlineStr"/>
      <c r="AI167" s="5" t="inlineStr"/>
      <c r="AJ167" s="5" t="inlineStr"/>
    </row>
    <row r="168">
      <c r="A168" s="5" t="inlineStr">
        <is>
          <t>kedi-istiyoruz</t>
        </is>
      </c>
      <c r="B168" s="5" t="n">
        <v>2</v>
      </c>
      <c r="C168" s="6" t="inlineStr">
        <is>
          <t>Sorumluluk planı sun</t>
        </is>
      </c>
      <c r="D168" s="5" t="inlineStr">
        <is>
          <t>Akıl</t>
        </is>
      </c>
      <c r="E168" s="5" t="inlineStr">
        <is>
          <t>Orta</t>
        </is>
      </c>
      <c r="F168" s="5" t="inlineStr"/>
      <c r="G168" s="6" t="inlineStr"/>
      <c r="H168" s="6" t="inlineStr">
        <is>
          <t>Mama, kum, veteriner: üç maddeyi kâğıda yazıp buzdolabına astın. Baban okudu: “Bu kâğıt kadar düzenli ol yeter.” Yavru geldi; kâğıt bir hafta dayandı.</t>
        </is>
      </c>
      <c r="I168" s="6" t="inlineStr">
        <is>
          <t>Mama ve kum için kumbarandan pay ayırdın. Baban “Bu çocuk benden düzenli” dedi; iki yavru birden onaylandı.</t>
        </is>
      </c>
      <c r="J168" s="6" t="inlineStr">
        <is>
          <t>Planını okudun. Baban sonuna kadar dinledi, sonra sordu: “Veteriner parasını da kumbaradan mı vereceksin?” Kumbarana baktın. Konu yaza kaldı.</t>
        </is>
      </c>
      <c r="K168" s="6" t="inlineStr">
        <is>
          <t>Planın ilk maddesi: “Kumu babam temizler.” Baban çatalı bıraktı. Konu kapandı.</t>
        </is>
      </c>
      <c r="L168" s="6" t="inlineStr"/>
      <c r="M168" s="5" t="inlineStr"/>
      <c r="N168" s="5" t="inlineStr"/>
      <c r="O168" s="6" t="inlineStr"/>
      <c r="P168" s="6" t="inlineStr"/>
      <c r="Q168" s="5" t="inlineStr"/>
      <c r="R168" s="5" t="inlineStr"/>
      <c r="S168" s="5" t="inlineStr"/>
      <c r="T168" s="5" t="inlineStr"/>
      <c r="U168" s="5" t="inlineStr"/>
      <c r="V168" s="5" t="inlineStr">
        <is>
          <t>kediGeldi</t>
        </is>
      </c>
      <c r="W168" s="5" t="inlineStr"/>
      <c r="X168" s="5" t="inlineStr"/>
      <c r="Y168" s="5" t="inlineStr"/>
      <c r="Z168" s="6" t="inlineStr"/>
      <c r="AA168" s="5" t="inlineStr"/>
      <c r="AB168" s="5" t="inlineStr"/>
      <c r="AC168" s="5" t="inlineStr"/>
      <c r="AD168" s="5" t="inlineStr"/>
      <c r="AE168" s="5" t="inlineStr"/>
      <c r="AF168" s="5" t="inlineStr"/>
      <c r="AG168" s="5" t="inlineStr"/>
      <c r="AH168" s="5" t="inlineStr"/>
      <c r="AI168" s="5" t="inlineStr"/>
      <c r="AJ168" s="5" t="inlineStr"/>
    </row>
    <row r="169">
      <c r="A169" s="5" t="inlineStr">
        <is>
          <t>kedi-istiyoruz</t>
        </is>
      </c>
      <c r="B169" s="5" t="n">
        <v>3</v>
      </c>
      <c r="C169" s="6" t="inlineStr">
        <is>
          <t>Babaanneni ikna et</t>
        </is>
      </c>
      <c r="D169" s="5" t="inlineStr">
        <is>
          <t>Sosyal Radar</t>
        </is>
      </c>
      <c r="E169" s="5" t="inlineStr">
        <is>
          <t>Orta</t>
        </is>
      </c>
      <c r="F169" s="5" t="inlineStr"/>
      <c r="G169" s="6" t="inlineStr"/>
      <c r="H169" s="6" t="inlineStr">
        <is>
          <t>Babaanneni yanına çektin. Yemekte “Çocuk istiyor işte” dedi. Kimse babaanneye itiraz etmedi.</t>
        </is>
      </c>
      <c r="I169" s="6" t="inlineStr">
        <is>
          <t>Babaannen ertesi sabah elinde sepetle geldi: “Yavruların en tombulunu ben seçtim.” Tartışma bile olmadı.</t>
        </is>
      </c>
      <c r="J169" s="6" t="inlineStr">
        <is>
          <t>Babaannen kuş istiyormuş.</t>
        </is>
      </c>
      <c r="K169" s="6" t="inlineStr">
        <is>
          <t>Babaannen ikna oldu ve yavruyu kendi evine aldı. Artık bayramlarda kediyi ziyarete gidiyorsun.</t>
        </is>
      </c>
      <c r="L169" s="6" t="inlineStr"/>
      <c r="M169" s="5" t="inlineStr"/>
      <c r="N169" s="5" t="inlineStr"/>
      <c r="O169" s="6" t="inlineStr"/>
      <c r="P169" s="6" t="inlineStr"/>
      <c r="Q169" s="5" t="inlineStr"/>
      <c r="R169" s="5" t="inlineStr"/>
      <c r="S169" s="5" t="inlineStr"/>
      <c r="T169" s="5" t="inlineStr"/>
      <c r="U169" s="5" t="inlineStr"/>
      <c r="V169" s="5" t="inlineStr">
        <is>
          <t>kediGeldi</t>
        </is>
      </c>
      <c r="W169" s="5" t="inlineStr"/>
      <c r="X169" s="5" t="inlineStr"/>
      <c r="Y169" s="5" t="inlineStr"/>
      <c r="Z169" s="6" t="inlineStr"/>
      <c r="AA169" s="5" t="inlineStr"/>
      <c r="AB169" s="5" t="inlineStr"/>
      <c r="AC169" s="5" t="inlineStr"/>
      <c r="AD169" s="5" t="inlineStr"/>
      <c r="AE169" s="5" t="inlineStr"/>
      <c r="AF169" s="5" t="inlineStr"/>
      <c r="AG169" s="5" t="inlineStr"/>
      <c r="AH169" s="5" t="inlineStr"/>
      <c r="AI169" s="5" t="inlineStr"/>
      <c r="AJ169" s="5" t="inlineStr"/>
    </row>
    <row r="170">
      <c r="A170" s="5" t="inlineStr">
        <is>
          <t>kedi-istiyoruz</t>
        </is>
      </c>
      <c r="B170" s="5" t="n">
        <v>4</v>
      </c>
      <c r="C170" s="6" t="inlineStr">
        <is>
          <t>Vazo için kediden resmen özür dile</t>
        </is>
      </c>
      <c r="D170" s="5" t="inlineStr"/>
      <c r="E170" s="5" t="inlineStr"/>
      <c r="F170" s="5" t="inlineStr">
        <is>
          <t>Gönül +2</t>
        </is>
      </c>
      <c r="G170" s="6" t="inlineStr">
        <is>
          <t>Evin kedisinin önüne çömeldin: “Vazoyu ben kırdım, özür dilerim.” Babaannen gözlerini sildi, baban burnunu çekti. Yavru o akşam kabul edildi; kedi ise hâlâ düşünüyor.</t>
        </is>
      </c>
      <c r="H170" s="6" t="inlineStr"/>
      <c r="I170" s="6" t="inlineStr"/>
      <c r="J170" s="6" t="inlineStr"/>
      <c r="K170" s="6" t="inlineStr"/>
      <c r="L170" s="6" t="inlineStr"/>
      <c r="M170" s="5" t="inlineStr"/>
      <c r="N170" s="5" t="inlineStr"/>
      <c r="O170" s="6" t="inlineStr"/>
      <c r="P170" s="6" t="inlineStr"/>
      <c r="Q170" s="5" t="inlineStr"/>
      <c r="R170" s="5" t="inlineStr">
        <is>
          <t>kediSuclu</t>
        </is>
      </c>
      <c r="S170" s="5" t="inlineStr"/>
      <c r="T170" s="5" t="inlineStr"/>
      <c r="U170" s="5" t="inlineStr">
        <is>
          <t>kediGeldi</t>
        </is>
      </c>
      <c r="V170" s="5" t="inlineStr"/>
      <c r="W170" s="5" t="inlineStr"/>
      <c r="X170" s="5" t="inlineStr"/>
      <c r="Y170" s="5" t="inlineStr"/>
      <c r="Z170" s="6" t="inlineStr"/>
      <c r="AA170" s="5" t="inlineStr"/>
      <c r="AB170" s="5" t="inlineStr"/>
      <c r="AC170" s="5" t="inlineStr"/>
      <c r="AD170" s="5" t="inlineStr"/>
      <c r="AE170" s="5" t="inlineStr"/>
      <c r="AF170" s="5" t="inlineStr"/>
      <c r="AG170" s="5" t="inlineStr"/>
      <c r="AH170" s="5" t="inlineStr"/>
      <c r="AI170" s="5" t="inlineStr"/>
      <c r="AJ170" s="5" t="inlineStr"/>
    </row>
    <row r="171">
      <c r="A171" s="5" t="inlineStr">
        <is>
          <t>tablet-saati</t>
        </is>
      </c>
      <c r="B171" s="5" t="n">
        <v>1</v>
      </c>
      <c r="C171" s="6" t="inlineStr">
        <is>
          <t>Süreye uy</t>
        </is>
      </c>
      <c r="D171" s="5" t="inlineStr"/>
      <c r="E171" s="5" t="inlineStr"/>
      <c r="F171" s="5" t="inlineStr">
        <is>
          <t>Dayanıklılık +1</t>
        </is>
      </c>
      <c r="G171" s="6" t="inlineStr">
        <is>
          <t>Saat dolunca tableti kendin kapattın. Annen inanamadı, elini alnına koyup ateşine baktı. Canavar yarına kaldı.</t>
        </is>
      </c>
      <c r="H171" s="6" t="inlineStr"/>
      <c r="I171" s="6" t="inlineStr"/>
      <c r="J171" s="6" t="inlineStr"/>
      <c r="K171" s="6" t="inlineStr"/>
      <c r="L171" s="6" t="inlineStr"/>
      <c r="M171" s="5" t="inlineStr"/>
      <c r="N171" s="5" t="inlineStr"/>
      <c r="O171" s="6" t="inlineStr"/>
      <c r="P171" s="6" t="inlineStr"/>
      <c r="Q171" s="5" t="inlineStr"/>
      <c r="R171" s="5" t="inlineStr"/>
      <c r="S171" s="5" t="inlineStr"/>
      <c r="T171" s="5" t="inlineStr"/>
      <c r="U171" s="5" t="inlineStr"/>
      <c r="V171" s="5" t="inlineStr"/>
      <c r="W171" s="5" t="inlineStr"/>
      <c r="X171" s="5" t="inlineStr"/>
      <c r="Y171" s="5" t="inlineStr"/>
      <c r="Z171" s="6" t="inlineStr"/>
      <c r="AA171" s="5" t="inlineStr"/>
      <c r="AB171" s="5" t="inlineStr"/>
      <c r="AC171" s="5" t="inlineStr"/>
      <c r="AD171" s="5" t="inlineStr"/>
      <c r="AE171" s="5" t="inlineStr"/>
      <c r="AF171" s="5" t="inlineStr"/>
      <c r="AG171" s="5" t="inlineStr"/>
      <c r="AH171" s="5" t="inlineStr"/>
      <c r="AI171" s="5" t="inlineStr"/>
      <c r="AJ171" s="5" t="inlineStr"/>
    </row>
    <row r="172">
      <c r="A172" s="5" t="inlineStr">
        <is>
          <t>tablet-saati</t>
        </is>
      </c>
      <c r="B172" s="5" t="n">
        <v>2</v>
      </c>
      <c r="C172" s="6" t="inlineStr">
        <is>
          <t>Beş dakika daha iste</t>
        </is>
      </c>
      <c r="D172" s="5" t="inlineStr">
        <is>
          <t>Çene</t>
        </is>
      </c>
      <c r="E172" s="5" t="inlineStr">
        <is>
          <t>Kolay</t>
        </is>
      </c>
      <c r="F172" s="5" t="inlineStr"/>
      <c r="G172" s="6" t="inlineStr"/>
      <c r="H172" s="6" t="inlineStr">
        <is>
          <t>Beş dakika aldın, canavarı yendin.</t>
        </is>
      </c>
      <c r="I172" s="6" t="inlineStr">
        <is>
          <t>“Beş dakika” dedin. Annen “Tamam” dedi ve çayına daldı. Beş dakika on beş oldu, canavar yere serildi. Annen sonunda başını kaldırdı: “Bitti mi?” “Az önce” dedin.</t>
        </is>
      </c>
      <c r="J172" s="6" t="inlineStr">
        <is>
          <t>Beş dakika istedin; 'Yarın' dendi.</t>
        </is>
      </c>
      <c r="K172" s="6" t="inlineStr">
        <is>
          <t>“Beş dakika daha” dedin, sonra bir beş daha, sonra bir beş daha. Baban tableti alıp buzdolabının üstüne koydu: “Yarınki saatin de orada.”</t>
        </is>
      </c>
      <c r="L172" s="6" t="inlineStr"/>
      <c r="M172" s="5" t="inlineStr"/>
      <c r="N172" s="5" t="inlineStr"/>
      <c r="O172" s="6" t="inlineStr"/>
      <c r="P172" s="6" t="inlineStr"/>
      <c r="Q172" s="5" t="inlineStr"/>
      <c r="R172" s="5" t="inlineStr"/>
      <c r="S172" s="5" t="inlineStr"/>
      <c r="T172" s="5" t="inlineStr"/>
      <c r="U172" s="5" t="inlineStr"/>
      <c r="V172" s="5" t="inlineStr"/>
      <c r="W172" s="5" t="inlineStr"/>
      <c r="X172" s="5" t="inlineStr"/>
      <c r="Y172" s="5" t="inlineStr"/>
      <c r="Z172" s="6" t="inlineStr"/>
      <c r="AA172" s="5" t="inlineStr"/>
      <c r="AB172" s="5" t="inlineStr"/>
      <c r="AC172" s="5" t="inlineStr"/>
      <c r="AD172" s="5" t="inlineStr"/>
      <c r="AE172" s="5" t="inlineStr"/>
      <c r="AF172" s="5" t="inlineStr"/>
      <c r="AG172" s="5" t="inlineStr"/>
      <c r="AH172" s="5" t="inlineStr"/>
      <c r="AI172" s="5" t="inlineStr"/>
      <c r="AJ172" s="5" t="inlineStr"/>
    </row>
    <row r="173">
      <c r="A173" s="5" t="inlineStr">
        <is>
          <t>tablet-saati</t>
        </is>
      </c>
      <c r="B173" s="5" t="n">
        <v>3</v>
      </c>
      <c r="C173" s="6" t="inlineStr">
        <is>
          <t>Saati gizlice geri al</t>
        </is>
      </c>
      <c r="D173" s="5" t="inlineStr">
        <is>
          <t>Kurnazlık</t>
        </is>
      </c>
      <c r="E173" s="5" t="inlineStr">
        <is>
          <t>Zor</t>
        </is>
      </c>
      <c r="F173" s="5" t="inlineStr"/>
      <c r="G173" s="6" t="inlineStr"/>
      <c r="H173" s="6" t="inlineStr">
        <is>
          <t>Tabletin saati bir saat geri gitti. Canavar yenildi.</t>
        </is>
      </c>
      <c r="I173" s="6" t="inlineStr">
        <is>
          <t>Saati geri aldın, canavarı yendin, saati yine ileri aldın. Annen akşam “Bugün ne uslusun” dedi.</t>
        </is>
      </c>
      <c r="J173" s="6" t="inlineStr">
        <is>
          <t>Saati geri aldın; alarm çaldı.</t>
        </is>
      </c>
      <c r="K173" s="6" t="inlineStr">
        <is>
          <t>Saati geri aldın; tablet tarihi de geri aldı. Oyun kaydın üç gün önceye döndü. Canavar yine 61. dakikada seni bekliyor.</t>
        </is>
      </c>
      <c r="L173" s="6" t="inlineStr"/>
      <c r="M173" s="5" t="inlineStr"/>
      <c r="N173" s="5" t="inlineStr"/>
      <c r="O173" s="6" t="inlineStr"/>
      <c r="P173" s="6" t="inlineStr"/>
      <c r="Q173" s="5" t="inlineStr"/>
      <c r="R173" s="5" t="inlineStr"/>
      <c r="S173" s="5" t="inlineStr"/>
      <c r="T173" s="5" t="inlineStr"/>
      <c r="U173" s="5" t="inlineStr"/>
      <c r="V173" s="5" t="inlineStr"/>
      <c r="W173" s="5" t="inlineStr"/>
      <c r="X173" s="5" t="inlineStr"/>
      <c r="Y173" s="5" t="inlineStr"/>
      <c r="Z173" s="6" t="inlineStr"/>
      <c r="AA173" s="5" t="inlineStr"/>
      <c r="AB173" s="5" t="inlineStr"/>
      <c r="AC173" s="5" t="inlineStr"/>
      <c r="AD173" s="5" t="inlineStr"/>
      <c r="AE173" s="5" t="inlineStr"/>
      <c r="AF173" s="5" t="inlineStr"/>
      <c r="AG173" s="5" t="inlineStr"/>
      <c r="AH173" s="5" t="inlineStr"/>
      <c r="AI173" s="5" t="inlineStr"/>
      <c r="AJ173" s="5" t="inlineStr"/>
    </row>
    <row r="174">
      <c r="A174" s="5" t="inlineStr">
        <is>
          <t>tablet-saati</t>
        </is>
      </c>
      <c r="B174" s="5" t="n">
        <v>4</v>
      </c>
      <c r="C174" s="6" t="inlineStr">
        <is>
          <t>Ebeveyn kilidini çöz</t>
        </is>
      </c>
      <c r="D174" s="5" t="inlineStr">
        <is>
          <t>Akıl</t>
        </is>
      </c>
      <c r="E174" s="5" t="inlineStr">
        <is>
          <t>Zor</t>
        </is>
      </c>
      <c r="F174" s="5" t="inlineStr"/>
      <c r="G174" s="6" t="inlineStr"/>
      <c r="H174" s="6" t="inlineStr">
        <is>
          <t>Kilidi çözdün. Tablet artık istediğin an açılıyor; annen hâlâ kilidin çalıştığını sanıyor. İlk gece saat ikiye kadar oynadın, ertesi gün sıranın üstünde uyudun.</t>
        </is>
      </c>
      <c r="I174" s="6" t="inlineStr">
        <is>
          <t>Kilidi çözdün ve ailenin telefonuna ekran süresi koydun.</t>
        </is>
      </c>
      <c r="J174" s="6" t="inlineStr">
        <is>
          <t>Kilit çözülmedi; tablet 10 dakika kilitlendi.</t>
        </is>
      </c>
      <c r="K174" s="6" t="inlineStr">
        <is>
          <t>Kilidi çözmeye çalışırken tableti sıfırladın. Oyunlar, kayıtlar, babaannenin bayram videoları; hepsi gitti. Babaannen hâlâ soruyor: “Benim oynadığım video nerede?”</t>
        </is>
      </c>
      <c r="L174" s="6" t="inlineStr"/>
      <c r="M174" s="5" t="inlineStr"/>
      <c r="N174" s="5" t="inlineStr"/>
      <c r="O174" s="6" t="inlineStr"/>
      <c r="P174" s="6" t="inlineStr"/>
      <c r="Q174" s="5" t="inlineStr">
        <is>
          <t>Şifreyi Bilen</t>
        </is>
      </c>
      <c r="R174" s="5" t="inlineStr"/>
      <c r="S174" s="5" t="inlineStr"/>
      <c r="T174" s="5" t="inlineStr">
        <is>
          <t>Kilit Kırıcı</t>
        </is>
      </c>
      <c r="U174" s="5" t="inlineStr"/>
      <c r="V174" s="5" t="inlineStr"/>
      <c r="W174" s="5" t="inlineStr"/>
      <c r="X174" s="5" t="inlineStr"/>
      <c r="Y174" s="5" t="inlineStr"/>
      <c r="Z174" s="6" t="inlineStr"/>
      <c r="AA174" s="5" t="inlineStr"/>
      <c r="AB174" s="5" t="inlineStr"/>
      <c r="AC174" s="5" t="inlineStr"/>
      <c r="AD174" s="5" t="inlineStr"/>
      <c r="AE174" s="5" t="inlineStr"/>
      <c r="AF174" s="5" t="inlineStr"/>
      <c r="AG174" s="5" t="inlineStr"/>
      <c r="AH174" s="5" t="inlineStr"/>
      <c r="AI174" s="5" t="inlineStr"/>
      <c r="AJ174" s="5" t="inlineStr"/>
    </row>
    <row r="175">
      <c r="A175" s="5" t="inlineStr">
        <is>
          <t>veli-toplantisi</t>
        </is>
      </c>
      <c r="B175" s="5" t="n">
        <v>1</v>
      </c>
      <c r="C175" s="6" t="inlineStr">
        <is>
          <t>Kapıyı dinle</t>
        </is>
      </c>
      <c r="D175" s="5" t="inlineStr">
        <is>
          <t>Sosyal Radar</t>
        </is>
      </c>
      <c r="E175" s="5" t="inlineStr">
        <is>
          <t>Orta</t>
        </is>
      </c>
      <c r="F175" s="5" t="inlineStr"/>
      <c r="G175" s="6" t="inlineStr"/>
      <c r="H175" s="6" t="inlineStr">
        <is>
          <t>Kilit cümleleri duydun: 'zeki' ve 'biraz konuşkan'. Hazırlıklısın.</t>
        </is>
      </c>
      <c r="I175" s="6" t="inlineStr">
        <is>
          <t>Kulağını kapıya dayadın, her şeyi duydun: “zeki”, “biraz konuşkan”, “kalem kutusu”. Annen daha ağzını açmadan atıldın: “Kalem kutusu benim değildi.” Annen güldü, gerisini unuttu.</t>
        </is>
      </c>
      <c r="J175" s="6" t="inlineStr">
        <is>
          <t>Hiçbir şey duyamadın. Kapı çok kalınmış.</t>
        </is>
      </c>
      <c r="K175" s="6" t="inlineStr">
        <is>
          <t>Kapıya yaslandın, kapı açıldı, içeri düştün. Öğretmen hiç şaşırmadı, annene döndü: “İşte, bahsettiğim konu bu.”</t>
        </is>
      </c>
      <c r="L175" s="6" t="inlineStr"/>
      <c r="M175" s="5" t="inlineStr"/>
      <c r="N175" s="5" t="inlineStr"/>
      <c r="O175" s="6" t="inlineStr"/>
      <c r="P175" s="6" t="inlineStr"/>
      <c r="Q175" s="5" t="inlineStr"/>
      <c r="R175" s="5" t="inlineStr"/>
      <c r="S175" s="5" t="inlineStr"/>
      <c r="T175" s="5" t="inlineStr"/>
      <c r="U175" s="5" t="inlineStr"/>
      <c r="V175" s="5" t="inlineStr"/>
      <c r="W175" s="5" t="inlineStr"/>
      <c r="X175" s="5" t="inlineStr"/>
      <c r="Y175" s="5" t="inlineStr"/>
      <c r="Z175" s="6" t="inlineStr"/>
      <c r="AA175" s="5" t="inlineStr"/>
      <c r="AB175" s="5" t="inlineStr"/>
      <c r="AC175" s="5" t="inlineStr"/>
      <c r="AD175" s="5" t="inlineStr"/>
      <c r="AE175" s="5" t="inlineStr"/>
      <c r="AF175" s="5" t="inlineStr"/>
      <c r="AG175" s="5" t="inlineStr"/>
      <c r="AH175" s="5" t="inlineStr"/>
      <c r="AI175" s="5" t="inlineStr"/>
      <c r="AJ175" s="5" t="inlineStr"/>
    </row>
    <row r="176">
      <c r="A176" s="5" t="inlineStr">
        <is>
          <t>veli-toplantisi</t>
        </is>
      </c>
      <c r="B176" s="5" t="n">
        <v>2</v>
      </c>
      <c r="C176" s="6" t="inlineStr">
        <is>
          <t>Öğretmene önceden çiçek götür</t>
        </is>
      </c>
      <c r="D176" s="5" t="inlineStr">
        <is>
          <t>Kurnazlık</t>
        </is>
      </c>
      <c r="E176" s="5" t="inlineStr">
        <is>
          <t>Orta</t>
        </is>
      </c>
      <c r="F176" s="5" t="inlineStr"/>
      <c r="G176" s="6" t="inlineStr"/>
      <c r="H176" s="6" t="inlineStr">
        <is>
          <t>Çiçek kabul edildi. Öğretmen “zayıf” diyecekken “gelişiyor” dedi.</t>
        </is>
      </c>
      <c r="I176" s="6" t="inlineStr">
        <is>
          <t>Öğretmen çiçeği vazoya koydu ve annene ilk cümle olarak “Ne kadar kibar bir çocuk” dedi. Annen o cümleyi akşam üç kişiye anlattı.</t>
        </is>
      </c>
      <c r="J176" s="6" t="inlineStr">
        <is>
          <t>Çiçeği verdin; öğretmen alerjikmiş.</t>
        </is>
      </c>
      <c r="K176" s="6" t="inlineStr">
        <is>
          <t>Çiçeği okul bahçesinden kopardın. Öğretmen çiçeği hemen tanıdı: kendi diktiği sardunyaydı.</t>
        </is>
      </c>
      <c r="L176" s="6" t="inlineStr"/>
      <c r="M176" s="5" t="inlineStr"/>
      <c r="N176" s="5" t="inlineStr"/>
      <c r="O176" s="6" t="inlineStr"/>
      <c r="P176" s="6" t="inlineStr"/>
      <c r="Q176" s="5" t="inlineStr"/>
      <c r="R176" s="5" t="inlineStr"/>
      <c r="S176" s="5" t="inlineStr"/>
      <c r="T176" s="5" t="inlineStr"/>
      <c r="U176" s="5" t="inlineStr"/>
      <c r="V176" s="5" t="inlineStr"/>
      <c r="W176" s="5" t="inlineStr"/>
      <c r="X176" s="5" t="inlineStr"/>
      <c r="Y176" s="5" t="inlineStr"/>
      <c r="Z176" s="6" t="inlineStr"/>
      <c r="AA176" s="5" t="inlineStr"/>
      <c r="AB176" s="5" t="inlineStr"/>
      <c r="AC176" s="5" t="inlineStr"/>
      <c r="AD176" s="5" t="inlineStr"/>
      <c r="AE176" s="5" t="inlineStr"/>
      <c r="AF176" s="5" t="inlineStr"/>
      <c r="AG176" s="5" t="inlineStr"/>
      <c r="AH176" s="5" t="inlineStr"/>
      <c r="AI176" s="5" t="inlineStr"/>
      <c r="AJ176" s="5" t="inlineStr"/>
    </row>
    <row r="177">
      <c r="A177" s="5" t="inlineStr">
        <is>
          <t>veli-toplantisi</t>
        </is>
      </c>
      <c r="B177" s="5" t="n">
        <v>3</v>
      </c>
      <c r="C177" s="6" t="inlineStr">
        <is>
          <t>Sonucu bekle</t>
        </is>
      </c>
      <c r="D177" s="5" t="inlineStr"/>
      <c r="E177" s="5" t="inlineStr"/>
      <c r="F177" s="5" t="inlineStr">
        <is>
          <t>Dayanıklılık +1</t>
        </is>
      </c>
      <c r="G177" s="6" t="inlineStr">
        <is>
          <t>Kapının önünde yirmi dakika bekledin, ayakkabı bağcığını üç kez bağladın. Annen çıktı, saçını okşadı, “Hadi eve” dedi. Ne konuşulduğunu yolda da söylemedi.</t>
        </is>
      </c>
      <c r="H177" s="6" t="inlineStr"/>
      <c r="I177" s="6" t="inlineStr"/>
      <c r="J177" s="6" t="inlineStr"/>
      <c r="K177" s="6" t="inlineStr"/>
      <c r="L177" s="6" t="inlineStr"/>
      <c r="M177" s="5" t="inlineStr"/>
      <c r="N177" s="5" t="inlineStr"/>
      <c r="O177" s="6" t="inlineStr"/>
      <c r="P177" s="6" t="inlineStr"/>
      <c r="Q177" s="5" t="inlineStr"/>
      <c r="R177" s="5" t="inlineStr"/>
      <c r="S177" s="5" t="inlineStr"/>
      <c r="T177" s="5" t="inlineStr"/>
      <c r="U177" s="5" t="inlineStr"/>
      <c r="V177" s="5" t="inlineStr"/>
      <c r="W177" s="5" t="inlineStr"/>
      <c r="X177" s="5" t="inlineStr"/>
      <c r="Y177" s="5" t="inlineStr"/>
      <c r="Z177" s="6" t="inlineStr"/>
      <c r="AA177" s="5" t="inlineStr"/>
      <c r="AB177" s="5" t="inlineStr"/>
      <c r="AC177" s="5" t="inlineStr"/>
      <c r="AD177" s="5" t="inlineStr"/>
      <c r="AE177" s="5" t="inlineStr"/>
      <c r="AF177" s="5" t="inlineStr"/>
      <c r="AG177" s="5" t="inlineStr"/>
      <c r="AH177" s="5" t="inlineStr"/>
      <c r="AI177" s="5" t="inlineStr"/>
      <c r="AJ177" s="5" t="inlineStr"/>
    </row>
    <row r="178">
      <c r="A178" s="5" t="inlineStr">
        <is>
          <t>veli-toplantisi</t>
        </is>
      </c>
      <c r="B178" s="5" t="n">
        <v>4</v>
      </c>
      <c r="C178" s="6" t="inlineStr">
        <is>
          <t>Annenin yüzünden sonucu oku</t>
        </is>
      </c>
      <c r="D178" s="5" t="inlineStr">
        <is>
          <t>Sosyal Radar</t>
        </is>
      </c>
      <c r="E178" s="5" t="inlineStr">
        <is>
          <t>Kolay</t>
        </is>
      </c>
      <c r="F178" s="5" t="inlineStr"/>
      <c r="G178" s="6" t="inlineStr"/>
      <c r="H178" s="6" t="inlineStr">
        <is>
          <t>Annen kapıdan çıktı; dudağının kenarı kıpırdıyordu, gülmemek için. Sonuç iyiydi. Eve dönerken simit aldınız.</t>
        </is>
      </c>
      <c r="I178" s="6" t="inlineStr">
        <is>
          <t>Yüz ifadesinden sadece sonucu değil, akşam yemeğini de tahmin ettin.</t>
        </is>
      </c>
      <c r="J178" s="6" t="inlineStr">
        <is>
          <t>Annenin yüzü hiçbir şey söylemiyordu.</t>
        </is>
      </c>
      <c r="K178" s="6" t="inlineStr">
        <is>
          <t>Annenin yüzünü “iyi” diye okudun, koşup boynuna sarıldın: “Ben demiştim!” Annen seni yavaşça indirdi: “Ne demiştin, anlat bakalım.” Eve kadar anlattın.</t>
        </is>
      </c>
      <c r="L178" s="6" t="inlineStr"/>
      <c r="M178" s="5" t="inlineStr"/>
      <c r="N178" s="5" t="inlineStr"/>
      <c r="O178" s="6" t="inlineStr"/>
      <c r="P178" s="6" t="inlineStr"/>
      <c r="Q178" s="5" t="inlineStr">
        <is>
          <t>Odayı Okur</t>
        </is>
      </c>
      <c r="R178" s="5" t="inlineStr"/>
      <c r="S178" s="5" t="inlineStr"/>
      <c r="T178" s="5" t="inlineStr"/>
      <c r="U178" s="5" t="inlineStr"/>
      <c r="V178" s="5" t="inlineStr"/>
      <c r="W178" s="5" t="inlineStr"/>
      <c r="X178" s="5" t="inlineStr"/>
      <c r="Y178" s="5" t="inlineStr"/>
      <c r="Z178" s="6" t="inlineStr"/>
      <c r="AA178" s="5" t="inlineStr"/>
      <c r="AB178" s="5" t="inlineStr"/>
      <c r="AC178" s="5" t="inlineStr"/>
      <c r="AD178" s="5" t="inlineStr"/>
      <c r="AE178" s="5" t="inlineStr"/>
      <c r="AF178" s="5" t="inlineStr"/>
      <c r="AG178" s="5" t="inlineStr"/>
      <c r="AH178" s="5" t="inlineStr"/>
      <c r="AI178" s="5" t="inlineStr"/>
      <c r="AJ178" s="5" t="inlineStr"/>
    </row>
    <row r="179">
      <c r="A179" s="5" t="inlineStr">
        <is>
          <t>karne-gunu</t>
        </is>
      </c>
      <c r="B179" s="5" t="n">
        <v>1</v>
      </c>
      <c r="C179" s="6" t="inlineStr">
        <is>
          <t>Karneyi gururla göster</t>
        </is>
      </c>
      <c r="D179" s="5" t="inlineStr">
        <is>
          <t>Pişkinlik</t>
        </is>
      </c>
      <c r="E179" s="5" t="inlineStr">
        <is>
          <t>Kolay</t>
        </is>
      </c>
      <c r="F179" s="5" t="inlineStr"/>
      <c r="G179" s="6" t="inlineStr"/>
      <c r="H179" s="6" t="inlineStr">
        <is>
          <t>Karneyi kapıda notlara değil jestine baktırarak çıkardın. Annen güldü, baban karneyi balkondan alt komşuya salladı: “Bizimki!”</t>
        </is>
      </c>
      <c r="I179" s="6" t="inlineStr">
        <is>
          <t>Karneyi kapıda açtın; yüzündeki özgüven notları gölgede bıraktı. Annen fotoğrafını çekip aile grubuna attı; on dakikada otuz kalp ve babaannenin bir sesli mesajı geldi: “Bu bizim taraftan.”</t>
        </is>
      </c>
      <c r="J179" s="6" t="inlineStr">
        <is>
          <t>Karneyi gösterdin; en çok göze batan not senden önce konuştu.</t>
        </is>
      </c>
      <c r="K179" s="6" t="inlineStr">
        <is>
          <t>Karneyi kapıda gururla açtın; rüzgâr kaptı, alt komşunun balkonuna attı. Komşu teyze notları annenden önce okudu. Merdivenden, yüksek sesle.</t>
        </is>
      </c>
      <c r="L179" s="6" t="inlineStr"/>
      <c r="M179" s="5" t="inlineStr"/>
      <c r="N179" s="5" t="inlineStr"/>
      <c r="O179" s="6" t="inlineStr"/>
      <c r="P179" s="6" t="inlineStr"/>
      <c r="Q179" s="5" t="inlineStr"/>
      <c r="R179" s="5" t="inlineStr"/>
      <c r="S179" s="5" t="inlineStr"/>
      <c r="T179" s="5" t="inlineStr"/>
      <c r="U179" s="5" t="inlineStr"/>
      <c r="V179" s="5" t="inlineStr"/>
      <c r="W179" s="5" t="inlineStr"/>
      <c r="X179" s="5" t="inlineStr"/>
      <c r="Y179" s="5" t="inlineStr"/>
      <c r="Z179" s="6" t="inlineStr"/>
      <c r="AA179" s="5" t="inlineStr"/>
      <c r="AB179" s="5" t="inlineStr"/>
      <c r="AC179" s="5" t="inlineStr"/>
      <c r="AD179" s="5" t="inlineStr"/>
      <c r="AE179" s="5" t="inlineStr"/>
      <c r="AF179" s="5" t="inlineStr"/>
      <c r="AG179" s="5" t="inlineStr"/>
      <c r="AH179" s="5" t="inlineStr"/>
      <c r="AI179" s="5" t="inlineStr"/>
      <c r="AJ179" s="5" t="inlineStr"/>
    </row>
    <row r="180">
      <c r="A180" s="5" t="inlineStr">
        <is>
          <t>karne-gunu</t>
        </is>
      </c>
      <c r="B180" s="5" t="n">
        <v>2</v>
      </c>
      <c r="C180" s="6" t="inlineStr">
        <is>
          <t>Önce iyi haberleri anlat</t>
        </is>
      </c>
      <c r="D180" s="5" t="inlineStr">
        <is>
          <t>Çene</t>
        </is>
      </c>
      <c r="E180" s="5" t="inlineStr">
        <is>
          <t>Orta</t>
        </is>
      </c>
      <c r="F180" s="5" t="inlineStr"/>
      <c r="G180" s="6" t="inlineStr"/>
      <c r="H180" s="6" t="inlineStr">
        <is>
          <t>İyi haberlerle başladın; gerisi gölgede kaldı.</t>
        </is>
      </c>
      <c r="I180" s="6" t="inlineStr">
        <is>
          <t>“Öğretmenim benim için ‘ışık saçıyor’ dedi” diye başladın. Babaannen ağladı, baban harçlık verdi. Karne ertesi gün imzalandı; kimse açmadan.</t>
        </is>
      </c>
      <c r="J180" s="6" t="inlineStr">
        <is>
          <t>İyi haberleri anlattın; karne yine de açıldı.</t>
        </is>
      </c>
      <c r="K180" s="6" t="inlineStr">
        <is>
          <t>İyi haberle başladın: “Beden eğitiminden pekiyi aldım.” Baban “Başka?” dedi. Başka yoktu. Akşam yemeğinde tuzluğu bile işaretle istediniz.</t>
        </is>
      </c>
      <c r="L180" s="6" t="inlineStr"/>
      <c r="M180" s="5" t="inlineStr"/>
      <c r="N180" s="5" t="inlineStr"/>
      <c r="O180" s="6" t="inlineStr"/>
      <c r="P180" s="6" t="inlineStr"/>
      <c r="Q180" s="5" t="inlineStr"/>
      <c r="R180" s="5" t="inlineStr"/>
      <c r="S180" s="5" t="inlineStr"/>
      <c r="T180" s="5" t="inlineStr"/>
      <c r="U180" s="5" t="inlineStr"/>
      <c r="V180" s="5" t="inlineStr"/>
      <c r="W180" s="5" t="inlineStr"/>
      <c r="X180" s="5" t="inlineStr"/>
      <c r="Y180" s="5" t="inlineStr"/>
      <c r="Z180" s="6" t="inlineStr"/>
      <c r="AA180" s="5" t="inlineStr"/>
      <c r="AB180" s="5" t="inlineStr"/>
      <c r="AC180" s="5" t="inlineStr"/>
      <c r="AD180" s="5" t="inlineStr"/>
      <c r="AE180" s="5" t="inlineStr"/>
      <c r="AF180" s="5" t="inlineStr"/>
      <c r="AG180" s="5" t="inlineStr"/>
      <c r="AH180" s="5" t="inlineStr"/>
      <c r="AI180" s="5" t="inlineStr"/>
      <c r="AJ180" s="5" t="inlineStr"/>
    </row>
    <row r="181">
      <c r="A181" s="5" t="inlineStr">
        <is>
          <t>karne-gunu</t>
        </is>
      </c>
      <c r="B181" s="5" t="n">
        <v>3</v>
      </c>
      <c r="C181" s="6" t="inlineStr">
        <is>
          <t>İmzayı yarına ertele</t>
        </is>
      </c>
      <c r="D181" s="5" t="inlineStr">
        <is>
          <t>Kurnazlık</t>
        </is>
      </c>
      <c r="E181" s="5" t="inlineStr">
        <is>
          <t>Zor</t>
        </is>
      </c>
      <c r="F181" s="5" t="inlineStr"/>
      <c r="G181" s="6" t="inlineStr"/>
      <c r="H181" s="6" t="inlineStr">
        <is>
          <t>İmzayı bir gün erteledin. O bir günde odanı topladın, bulaşığı kuruladın, babaannene üç kez çay taşıdın. Ertesi gün karne açılınca annen önce odana baktı.</t>
        </is>
      </c>
      <c r="I181" s="6" t="inlineStr">
        <is>
          <t>Karne tatil boyunca 'kayıp' kaldı ve ilk gün imzalı bulundu. Kimse nasıl olduğunu sormadı.</t>
        </is>
      </c>
      <c r="J181" s="6" t="inlineStr">
        <is>
          <t>Ertelemeye çalıştın; öğretmen aradı.</t>
        </is>
      </c>
      <c r="K181" s="6" t="inlineStr">
        <is>
          <t>Karneyi çantanın en dibine sakladın. Akşam halanlar misafir geldi; kuzenin çantanı karıştırdı, karneyi buldu ve salonun ortasında yüksek sesle okudu. Matematiğe gelince halan çayını bıraktı.</t>
        </is>
      </c>
      <c r="L181" s="6" t="inlineStr"/>
      <c r="M181" s="5" t="inlineStr"/>
      <c r="N181" s="5" t="inlineStr"/>
      <c r="O181" s="6" t="inlineStr"/>
      <c r="P181" s="6" t="inlineStr"/>
      <c r="Q181" s="5" t="inlineStr"/>
      <c r="R181" s="5" t="inlineStr"/>
      <c r="S181" s="5" t="inlineStr"/>
      <c r="T181" s="5" t="inlineStr"/>
      <c r="U181" s="5" t="inlineStr"/>
      <c r="V181" s="5" t="inlineStr"/>
      <c r="W181" s="5" t="inlineStr"/>
      <c r="X181" s="5" t="inlineStr"/>
      <c r="Y181" s="5" t="inlineStr"/>
      <c r="Z181" s="6" t="inlineStr"/>
      <c r="AA181" s="5" t="inlineStr"/>
      <c r="AB181" s="5" t="inlineStr"/>
      <c r="AC181" s="5" t="inlineStr"/>
      <c r="AD181" s="5" t="inlineStr"/>
      <c r="AE181" s="5" t="inlineStr"/>
      <c r="AF181" s="5" t="inlineStr"/>
      <c r="AG181" s="5" t="inlineStr"/>
      <c r="AH181" s="5" t="inlineStr"/>
      <c r="AI181" s="5" t="inlineStr"/>
      <c r="AJ181" s="5" t="inlineStr"/>
    </row>
    <row r="182">
      <c r="A182" s="5" t="inlineStr">
        <is>
          <t>karne-gunu</t>
        </is>
      </c>
      <c r="B182" s="5" t="n">
        <v>4</v>
      </c>
      <c r="C182" s="6" t="inlineStr">
        <is>
          <t>Olduğu gibi ver</t>
        </is>
      </c>
      <c r="D182" s="5" t="inlineStr"/>
      <c r="E182" s="5" t="inlineStr"/>
      <c r="F182" s="5" t="inlineStr">
        <is>
          <t>İtibar +1</t>
        </is>
      </c>
      <c r="G182" s="6" t="inlineStr">
        <is>
          <t>Karneyi olduğu gibi verdin. Baban gözlüğünü taktı, annen çayı demledi. Karne buzdolabına asıldı; ne yazıyorsa o.</t>
        </is>
      </c>
      <c r="H182" s="6" t="inlineStr"/>
      <c r="I182" s="6" t="inlineStr"/>
      <c r="J182" s="6" t="inlineStr"/>
      <c r="K182" s="6" t="inlineStr"/>
      <c r="L182" s="6" t="inlineStr"/>
      <c r="M182" s="5" t="inlineStr"/>
      <c r="N182" s="5" t="inlineStr"/>
      <c r="O182" s="6" t="inlineStr"/>
      <c r="P182" s="6" t="inlineStr"/>
      <c r="Q182" s="5" t="inlineStr"/>
      <c r="R182" s="5" t="inlineStr"/>
      <c r="S182" s="5" t="inlineStr"/>
      <c r="T182" s="5" t="inlineStr"/>
      <c r="U182" s="5" t="inlineStr"/>
      <c r="V182" s="5" t="inlineStr"/>
      <c r="W182" s="5" t="inlineStr"/>
      <c r="X182" s="5" t="inlineStr"/>
      <c r="Y182" s="5" t="inlineStr"/>
      <c r="Z182" s="6" t="inlineStr"/>
      <c r="AA182" s="5" t="inlineStr"/>
      <c r="AB182" s="5" t="inlineStr"/>
      <c r="AC182" s="5" t="inlineStr"/>
      <c r="AD182" s="5" t="inlineStr"/>
      <c r="AE182" s="5" t="inlineStr"/>
      <c r="AF182" s="5" t="inlineStr"/>
      <c r="AG182" s="5" t="inlineStr"/>
      <c r="AH182" s="5" t="inlineStr"/>
      <c r="AI182" s="5" t="inlineStr"/>
      <c r="AJ182" s="5" t="inlineStr"/>
    </row>
    <row r="183">
      <c r="A183" s="5" t="inlineStr">
        <is>
          <t>karne-gunu</t>
        </is>
      </c>
      <c r="B183" s="5" t="n">
        <v>5</v>
      </c>
      <c r="C183" s="6" t="inlineStr">
        <is>
          <t>Karne hediyesini pazarlıkla büyüt</t>
        </is>
      </c>
      <c r="D183" s="5" t="inlineStr">
        <is>
          <t>Çene</t>
        </is>
      </c>
      <c r="E183" s="5" t="inlineStr">
        <is>
          <t>Orta</t>
        </is>
      </c>
      <c r="F183" s="5" t="inlineStr"/>
      <c r="G183" s="6" t="inlineStr"/>
      <c r="H183" s="6" t="inlineStr">
        <is>
          <t>Hediye pazarlığına oturdun: iki pekiyiye bir oyuncak, bir takdire iki. Babanın hesap makinesi çıktı.</t>
        </is>
      </c>
      <c r="I183" s="6" t="inlineStr">
        <is>
          <t>Karneden önce babana bir kâğıt imzalatmıştın: “Her pekiyiye bir dondurma.” Baban gülerek imzalamıştı. Temmuz ortasında bakkal dondurma dolabını yalnızca senin için doldurmaya başladı.</t>
        </is>
      </c>
      <c r="J183" s="6" t="inlineStr">
        <is>
          <t>Pazarlığa başladın; annen karneye baktı ve pazarlığı kapattı.</t>
        </is>
      </c>
      <c r="K183" s="6" t="inlineStr">
        <is>
          <t>Karneyi pazarlık kozu yaptın ama içinden bir “geliştirilmeli” çıktı. Baban hesap makinesini kapattı: “Hediye yok. Yaz okulu var.”</t>
        </is>
      </c>
      <c r="L183" s="6" t="inlineStr"/>
      <c r="M183" s="5" t="inlineStr"/>
      <c r="N183" s="5" t="inlineStr"/>
      <c r="O183" s="6" t="inlineStr"/>
      <c r="P183" s="6" t="inlineStr"/>
      <c r="Q183" s="5" t="inlineStr"/>
      <c r="R183" s="5" t="inlineStr">
        <is>
          <t>teneffus-tuccari</t>
        </is>
      </c>
      <c r="S183" s="5" t="inlineStr"/>
      <c r="T183" s="5" t="inlineStr"/>
      <c r="U183" s="5" t="inlineStr"/>
      <c r="V183" s="5" t="inlineStr"/>
      <c r="W183" s="5" t="inlineStr"/>
      <c r="X183" s="5" t="inlineStr"/>
      <c r="Y183" s="5" t="inlineStr"/>
      <c r="Z183" s="6" t="inlineStr"/>
      <c r="AA183" s="5" t="inlineStr"/>
      <c r="AB183" s="5" t="inlineStr"/>
      <c r="AC183" s="5" t="inlineStr"/>
      <c r="AD183" s="5" t="inlineStr"/>
      <c r="AE183" s="5" t="inlineStr"/>
      <c r="AF183" s="5" t="inlineStr"/>
      <c r="AG183" s="5" t="inlineStr"/>
      <c r="AH183" s="5" t="inlineStr"/>
      <c r="AI183" s="5" t="inlineStr"/>
      <c r="AJ183" s="5" t="inlineStr"/>
    </row>
    <row r="184">
      <c r="A184" s="5" t="inlineStr">
        <is>
          <t>b4-ilk-telefon</t>
        </is>
      </c>
      <c r="B184" s="5" t="n">
        <v>1</v>
      </c>
      <c r="C184" s="6" t="inlineStr">
        <is>
          <t>Kurallara uy</t>
        </is>
      </c>
      <c r="D184" s="5" t="inlineStr"/>
      <c r="E184" s="5" t="inlineStr"/>
      <c r="F184" s="5" t="inlineStr">
        <is>
          <t>İtibar +1</t>
        </is>
      </c>
      <c r="G184" s="6" t="inlineStr">
        <is>
          <t>Kurallara uydun: günde bir saat, yatakta telefon yok. Saat dolunca telefonu kendin uzattın. Annen babana döndü: “Bu bizim çocuk mu?”</t>
        </is>
      </c>
      <c r="H184" s="6" t="inlineStr"/>
      <c r="I184" s="6" t="inlineStr"/>
      <c r="J184" s="6" t="inlineStr"/>
      <c r="K184" s="6" t="inlineStr"/>
      <c r="L184" s="6" t="inlineStr"/>
      <c r="M184" s="5" t="inlineStr"/>
      <c r="N184" s="5" t="inlineStr"/>
      <c r="O184" s="6" t="inlineStr"/>
      <c r="P184" s="6" t="inlineStr"/>
      <c r="Q184" s="5" t="inlineStr"/>
      <c r="R184" s="5" t="inlineStr"/>
      <c r="S184" s="5" t="inlineStr"/>
      <c r="T184" s="5" t="inlineStr"/>
      <c r="U184" s="5" t="inlineStr"/>
      <c r="V184" s="5" t="inlineStr"/>
      <c r="W184" s="5" t="inlineStr"/>
      <c r="X184" s="5" t="inlineStr"/>
      <c r="Y184" s="5" t="inlineStr"/>
      <c r="Z184" s="6" t="inlineStr"/>
      <c r="AA184" s="5" t="inlineStr"/>
      <c r="AB184" s="5" t="inlineStr"/>
      <c r="AC184" s="5" t="inlineStr"/>
      <c r="AD184" s="5" t="inlineStr"/>
      <c r="AE184" s="5" t="inlineStr"/>
      <c r="AF184" s="5" t="inlineStr"/>
      <c r="AG184" s="5" t="inlineStr"/>
      <c r="AH184" s="5" t="inlineStr"/>
      <c r="AI184" s="5" t="inlineStr"/>
      <c r="AJ184" s="5" t="inlineStr"/>
    </row>
    <row r="185">
      <c r="A185" s="5" t="inlineStr">
        <is>
          <t>b4-ilk-telefon</t>
        </is>
      </c>
      <c r="B185" s="5" t="n">
        <v>2</v>
      </c>
      <c r="C185" s="6" t="inlineStr">
        <is>
          <t>Ekran süresini pazarlık et</t>
        </is>
      </c>
      <c r="D185" s="5" t="inlineStr">
        <is>
          <t>Çene</t>
        </is>
      </c>
      <c r="E185" s="5" t="inlineStr">
        <is>
          <t>Orta</t>
        </is>
      </c>
      <c r="F185" s="5" t="inlineStr"/>
      <c r="G185" s="6" t="inlineStr"/>
      <c r="H185" s="6" t="inlineStr">
        <is>
          <t>Günlük süre bir buçuk saate çıktı. Baban şartları bir kâğıda yazıp buzdolabına astı; altında iki imza var.</t>
        </is>
      </c>
      <c r="I185" s="6" t="inlineStr">
        <is>
          <t>Hafta içi iki saat, hafta sonu serbest, bayramda sınırsız. Babana öyle hızlı okudun ki “Tamam, tamam” dedi. Annen akşam kâğıdı okuyunca babana baktı; baban telefonuna baktı.</t>
        </is>
      </c>
      <c r="J185" s="6" t="inlineStr">
        <is>
          <t>'Hafta sonu bakarız' denildi. Hafta sonu bakılmadı.</t>
        </is>
      </c>
      <c r="K185" s="6" t="inlineStr">
        <is>
          <t>Pazarlık uzadı, sesler yükseldi. Annen telefonu alıp vitrine, kristal şekerliğin yanına koydu: “Bir hafta.” Bir hafta boyunca telefonuna camın arkasından baktın.</t>
        </is>
      </c>
      <c r="L185" s="6" t="inlineStr"/>
      <c r="M185" s="5" t="inlineStr"/>
      <c r="N185" s="5" t="inlineStr"/>
      <c r="O185" s="6" t="inlineStr"/>
      <c r="P185" s="6" t="inlineStr"/>
      <c r="Q185" s="5" t="inlineStr"/>
      <c r="R185" s="5" t="inlineStr"/>
      <c r="S185" s="5" t="inlineStr"/>
      <c r="T185" s="5" t="inlineStr"/>
      <c r="U185" s="5" t="inlineStr"/>
      <c r="V185" s="5" t="inlineStr"/>
      <c r="W185" s="5" t="inlineStr"/>
      <c r="X185" s="5" t="inlineStr"/>
      <c r="Y185" s="5" t="inlineStr"/>
      <c r="Z185" s="6" t="inlineStr"/>
      <c r="AA185" s="5" t="inlineStr"/>
      <c r="AB185" s="5" t="inlineStr"/>
      <c r="AC185" s="5" t="inlineStr"/>
      <c r="AD185" s="5" t="inlineStr"/>
      <c r="AE185" s="5" t="inlineStr"/>
      <c r="AF185" s="5" t="inlineStr"/>
      <c r="AG185" s="5" t="inlineStr"/>
      <c r="AH185" s="5" t="inlineStr"/>
      <c r="AI185" s="5" t="inlineStr"/>
      <c r="AJ185" s="5" t="inlineStr"/>
    </row>
    <row r="186">
      <c r="A186" s="5" t="inlineStr">
        <is>
          <t>b4-ilk-telefon</t>
        </is>
      </c>
      <c r="B186" s="5" t="n">
        <v>3</v>
      </c>
      <c r="C186" s="6" t="inlineStr">
        <is>
          <t>Denetim şifresini çöz</t>
        </is>
      </c>
      <c r="D186" s="5" t="inlineStr">
        <is>
          <t>Kurnazlık</t>
        </is>
      </c>
      <c r="E186" s="5" t="inlineStr">
        <is>
          <t>Zor</t>
        </is>
      </c>
      <c r="F186" s="5" t="inlineStr"/>
      <c r="G186" s="6" t="inlineStr"/>
      <c r="H186" s="6" t="inlineStr">
        <is>
          <t>Denetim uygulaması hâlâ çalışıyor. Sadece artık senin için çalışıyor.</t>
        </is>
      </c>
      <c r="I186" s="6" t="inlineStr">
        <is>
          <t>Ailene her akşam 'Bugün 3 saat kitap okundu' raporu gidiyor. Ailen seninle gurur duyuyor. Evde kitap yok.</t>
        </is>
      </c>
      <c r="J186" s="6" t="inlineStr">
        <is>
          <t>Üç yanlış deneme. Telefon “Bir büyüğünden izin iste” yazdı. Babaannene götürdün; ekrana baktı, telefona eğildi: “Verdim, verdim, aç hadi!” Telefon inanmadı.</t>
        </is>
      </c>
      <c r="K186" s="6" t="inlineStr">
        <is>
          <t>Yanlış şifreyi o kadar çok denedin ki bütün aile cihazlarına 'Çocuğunuz denetimi aşmaya çalışıyor' bildirimi gitti. Babaanneninkine de.</t>
        </is>
      </c>
      <c r="L186" s="6" t="inlineStr"/>
      <c r="M186" s="5" t="inlineStr"/>
      <c r="N186" s="5" t="inlineStr"/>
      <c r="O186" s="6" t="inlineStr"/>
      <c r="P186" s="6" t="inlineStr"/>
      <c r="Q186" s="5" t="inlineStr"/>
      <c r="R186" s="5" t="inlineStr"/>
      <c r="S186" s="5" t="inlineStr">
        <is>
          <t>Kurnazlık</t>
        </is>
      </c>
      <c r="T186" s="5" t="inlineStr">
        <is>
          <t>Ekran Yerlisi</t>
        </is>
      </c>
      <c r="U186" s="5" t="inlineStr"/>
      <c r="V186" s="5" t="inlineStr"/>
      <c r="W186" s="5" t="inlineStr"/>
      <c r="X186" s="5" t="inlineStr"/>
      <c r="Y186" s="5" t="inlineStr"/>
      <c r="Z186" s="6" t="inlineStr"/>
      <c r="AA186" s="5" t="inlineStr"/>
      <c r="AB186" s="5" t="inlineStr"/>
      <c r="AC186" s="5" t="inlineStr"/>
      <c r="AD186" s="5" t="inlineStr"/>
      <c r="AE186" s="5" t="inlineStr"/>
      <c r="AF186" s="5" t="inlineStr"/>
      <c r="AG186" s="5" t="inlineStr"/>
      <c r="AH186" s="5" t="inlineStr"/>
      <c r="AI186" s="5" t="inlineStr"/>
      <c r="AJ186" s="5" t="inlineStr"/>
    </row>
    <row r="187">
      <c r="A187" s="5" t="inlineStr">
        <is>
          <t>b4-ilk-telefon</t>
        </is>
      </c>
      <c r="B187" s="5" t="n">
        <v>4</v>
      </c>
      <c r="C187" s="6" t="inlineStr">
        <is>
          <t>Dedenin telefonunu da kur</t>
        </is>
      </c>
      <c r="D187" s="5" t="inlineStr">
        <is>
          <t>Akıl</t>
        </is>
      </c>
      <c r="E187" s="5" t="inlineStr">
        <is>
          <t>Kolay</t>
        </is>
      </c>
      <c r="F187" s="5" t="inlineStr"/>
      <c r="G187" s="6" t="inlineStr"/>
      <c r="H187" s="6" t="inlineStr">
        <is>
          <t>Dedenin telefonunu da kurdun. Dede herkese “Torunum yaptı” diye gösteriyor. Artık bütün akrabalar telefonu bozulunca seni arıyor.</t>
        </is>
      </c>
      <c r="I187" s="6" t="inlineStr">
        <is>
          <t>Dedeye yazıyı büyütmeyi öğrettin. Dedenin ilk mesajı sana geldi: “GÖRÜYORUM.” Ertesi gün kapıda elinde harçlıkla seni bekliyordu.</t>
        </is>
      </c>
      <c r="J187" s="6" t="inlineStr">
        <is>
          <t>Dedenin telefonunda her şeyi ayarladın. Dede ertesi sabah hepsini sildi.</t>
        </is>
      </c>
      <c r="K187" s="6" t="inlineStr">
        <is>
          <t>Yanlış bir yere bastın; dede artık her mesajı sesli gönderiyor. Her birini. Sabah altıda.</t>
        </is>
      </c>
      <c r="L187" s="6" t="inlineStr"/>
      <c r="M187" s="5" t="inlineStr"/>
      <c r="N187" s="5" t="inlineStr"/>
      <c r="O187" s="6" t="inlineStr"/>
      <c r="P187" s="6" t="inlineStr"/>
      <c r="Q187" s="5" t="inlineStr">
        <is>
          <t>Şifreyi Bilen</t>
        </is>
      </c>
      <c r="R187" s="5" t="inlineStr"/>
      <c r="S187" s="5" t="inlineStr"/>
      <c r="T187" s="5" t="inlineStr"/>
      <c r="U187" s="5" t="inlineStr"/>
      <c r="V187" s="5" t="inlineStr"/>
      <c r="W187" s="5" t="inlineStr"/>
      <c r="X187" s="5" t="inlineStr"/>
      <c r="Y187" s="5" t="inlineStr"/>
      <c r="Z187" s="6" t="inlineStr"/>
      <c r="AA187" s="5" t="inlineStr"/>
      <c r="AB187" s="5" t="inlineStr"/>
      <c r="AC187" s="5" t="inlineStr"/>
      <c r="AD187" s="5" t="inlineStr"/>
      <c r="AE187" s="5" t="inlineStr"/>
      <c r="AF187" s="5" t="inlineStr"/>
      <c r="AG187" s="5" t="inlineStr"/>
      <c r="AH187" s="5" t="inlineStr"/>
      <c r="AI187" s="5" t="inlineStr"/>
      <c r="AJ187" s="5" t="inlineStr"/>
    </row>
    <row r="188">
      <c r="A188" s="5" t="inlineStr">
        <is>
          <t>b4-aile-grubu</t>
        </is>
      </c>
      <c r="B188" s="5" t="n">
        <v>1</v>
      </c>
      <c r="C188" s="6" t="inlineStr">
        <is>
          <t>Grubu sessize al</t>
        </is>
      </c>
      <c r="D188" s="5" t="inlineStr"/>
      <c r="E188" s="5" t="inlineStr"/>
      <c r="F188" s="5" t="inlineStr">
        <is>
          <t>Kurnazlık +1</t>
        </is>
      </c>
      <c r="G188" s="6" t="inlineStr">
        <is>
          <t>Grubu bir yıllığına sessize aldın. Grup bunu fark etmedi. Sen de grubun ne dediğini.</t>
        </is>
      </c>
      <c r="H188" s="6" t="inlineStr"/>
      <c r="I188" s="6" t="inlineStr"/>
      <c r="J188" s="6" t="inlineStr"/>
      <c r="K188" s="6" t="inlineStr"/>
      <c r="L188" s="6" t="inlineStr"/>
      <c r="M188" s="5" t="inlineStr"/>
      <c r="N188" s="5" t="inlineStr"/>
      <c r="O188" s="6" t="inlineStr"/>
      <c r="P188" s="6" t="inlineStr"/>
      <c r="Q188" s="5" t="inlineStr"/>
      <c r="R188" s="5" t="inlineStr"/>
      <c r="S188" s="5" t="inlineStr"/>
      <c r="T188" s="5" t="inlineStr"/>
      <c r="U188" s="5" t="inlineStr"/>
      <c r="V188" s="5" t="inlineStr"/>
      <c r="W188" s="5" t="inlineStr"/>
      <c r="X188" s="5" t="inlineStr"/>
      <c r="Y188" s="5" t="inlineStr"/>
      <c r="Z188" s="6" t="inlineStr"/>
      <c r="AA188" s="5" t="inlineStr"/>
      <c r="AB188" s="5" t="inlineStr"/>
      <c r="AC188" s="5" t="inlineStr"/>
      <c r="AD188" s="5" t="inlineStr"/>
      <c r="AE188" s="5" t="inlineStr"/>
      <c r="AF188" s="5" t="inlineStr"/>
      <c r="AG188" s="5" t="inlineStr"/>
      <c r="AH188" s="5" t="inlineStr"/>
      <c r="AI188" s="5" t="inlineStr"/>
      <c r="AJ188" s="5" t="inlineStr"/>
    </row>
    <row r="189">
      <c r="A189" s="5" t="inlineStr">
        <is>
          <t>b4-aile-grubu</t>
        </is>
      </c>
      <c r="B189" s="5" t="n">
        <v>2</v>
      </c>
      <c r="C189" s="6" t="inlineStr">
        <is>
          <t>Herkese günaydın yaz</t>
        </is>
      </c>
      <c r="D189" s="5" t="inlineStr">
        <is>
          <t>Çene</t>
        </is>
      </c>
      <c r="E189" s="5" t="inlineStr">
        <is>
          <t>Kolay</t>
        </is>
      </c>
      <c r="F189" s="5" t="inlineStr"/>
      <c r="G189" s="6" t="inlineStr"/>
      <c r="H189" s="6" t="inlineStr">
        <is>
          <t>Günaydın yazdın. Dokuz teyze kalp bıraktı, babaannen sesli mesaj attı: “Kuzum benim, gözlerinden öperim.” Ertesi sabah grup senden yine günaydın bekledi.</t>
        </is>
      </c>
      <c r="I189" s="6" t="inlineStr">
        <is>
          <t>Günaydını çiçekli görselle attın; babaanne onu alıp başka bir aile grubuna iletti. Artık iki grupta ünlüsün.</t>
        </is>
      </c>
      <c r="J189" s="6" t="inlineStr">
        <is>
          <t>Günaydın yazdın. Saat 11.40'tı. Dayın cevap yazdı: “Tünaydın.”</t>
        </is>
      </c>
      <c r="K189" s="6" t="inlineStr">
        <is>
          <t>Otomatik düzeltme 'Günaydın'ı 'Gün bitti' yaptı. Üç akraba seni ayrı ayrı aradı.</t>
        </is>
      </c>
      <c r="L189" s="6" t="inlineStr"/>
      <c r="M189" s="5" t="inlineStr"/>
      <c r="N189" s="5" t="inlineStr"/>
      <c r="O189" s="6" t="inlineStr"/>
      <c r="P189" s="6" t="inlineStr"/>
      <c r="Q189" s="5" t="inlineStr"/>
      <c r="R189" s="5" t="inlineStr"/>
      <c r="S189" s="5" t="inlineStr"/>
      <c r="T189" s="5" t="inlineStr"/>
      <c r="U189" s="5" t="inlineStr"/>
      <c r="V189" s="5" t="inlineStr"/>
      <c r="W189" s="5" t="inlineStr"/>
      <c r="X189" s="5" t="inlineStr"/>
      <c r="Y189" s="5" t="inlineStr"/>
      <c r="Z189" s="6" t="inlineStr"/>
      <c r="AA189" s="5" t="inlineStr"/>
      <c r="AB189" s="5" t="inlineStr"/>
      <c r="AC189" s="5" t="inlineStr"/>
      <c r="AD189" s="5" t="inlineStr"/>
      <c r="AE189" s="5" t="inlineStr"/>
      <c r="AF189" s="5" t="inlineStr"/>
      <c r="AG189" s="5" t="inlineStr"/>
      <c r="AH189" s="5" t="inlineStr"/>
      <c r="AI189" s="5" t="inlineStr"/>
      <c r="AJ189" s="5" t="inlineStr"/>
    </row>
    <row r="190">
      <c r="A190" s="5" t="inlineStr">
        <is>
          <t>b4-aile-grubu</t>
        </is>
      </c>
      <c r="B190" s="5" t="n">
        <v>3</v>
      </c>
      <c r="C190" s="6" t="inlineStr">
        <is>
          <t>Grubun adını değiştir</t>
        </is>
      </c>
      <c r="D190" s="5" t="inlineStr">
        <is>
          <t>Pişkinlik</t>
        </is>
      </c>
      <c r="E190" s="5" t="inlineStr">
        <is>
          <t>Orta</t>
        </is>
      </c>
      <c r="F190" s="5" t="inlineStr"/>
      <c r="G190" s="6" t="inlineStr"/>
      <c r="H190" s="6" t="inlineStr">
        <is>
          <t>Grubun adı artık 'Aile Meclisi'. Kimse geri değiştiremiyor, çünkü kimse nasıl yapıldığını bilmiyor.</t>
        </is>
      </c>
      <c r="I190" s="6" t="inlineStr">
        <is>
          <t>Adı değiştirdin, kendini de yönetici yaptın. Babaannen fark etmedi; halan fark etti ama nasıl geri alınacağını bilmiyor.</t>
        </is>
      </c>
      <c r="J190" s="6" t="inlineStr">
        <is>
          <t>Halan on dakika içinde eski adı geri getirdi ve 'Bu kimin işi?' yazdı.</t>
        </is>
      </c>
      <c r="K190" s="6" t="inlineStr">
        <is>
          <t>Adı değiştirecekken gruptan çıktın. “… ayrıldı” yazısını 34 kişi gördü. On dakika içinde babaannen annene telefon açtı: “Çocuk bize küsmüş.”</t>
        </is>
      </c>
      <c r="L190" s="6" t="inlineStr"/>
      <c r="M190" s="5" t="inlineStr"/>
      <c r="N190" s="5" t="inlineStr"/>
      <c r="O190" s="6" t="inlineStr"/>
      <c r="P190" s="6" t="inlineStr"/>
      <c r="Q190" s="5" t="inlineStr"/>
      <c r="R190" s="5" t="inlineStr"/>
      <c r="S190" s="5" t="inlineStr"/>
      <c r="T190" s="5" t="inlineStr"/>
      <c r="U190" s="5" t="inlineStr"/>
      <c r="V190" s="5" t="inlineStr"/>
      <c r="W190" s="5" t="inlineStr"/>
      <c r="X190" s="5" t="inlineStr"/>
      <c r="Y190" s="5" t="inlineStr"/>
      <c r="Z190" s="6" t="inlineStr"/>
      <c r="AA190" s="5" t="inlineStr"/>
      <c r="AB190" s="5" t="inlineStr"/>
      <c r="AC190" s="5" t="inlineStr"/>
      <c r="AD190" s="5" t="inlineStr"/>
      <c r="AE190" s="5" t="inlineStr"/>
      <c r="AF190" s="5" t="inlineStr"/>
      <c r="AG190" s="5" t="inlineStr"/>
      <c r="AH190" s="5" t="inlineStr"/>
      <c r="AI190" s="5" t="inlineStr"/>
      <c r="AJ190" s="5" t="inlineStr"/>
    </row>
    <row r="191">
      <c r="A191" s="5" t="inlineStr">
        <is>
          <t>b4-oyun-faturasi</t>
        </is>
      </c>
      <c r="B191" s="5" t="n">
        <v>1</v>
      </c>
      <c r="C191" s="6" t="inlineStr">
        <is>
          <t>Kılıçsız devam et</t>
        </is>
      </c>
      <c r="D191" s="5" t="inlineStr"/>
      <c r="E191" s="5" t="inlineStr"/>
      <c r="F191" s="5" t="inlineStr">
        <is>
          <t>Dayanıklılık +1</t>
        </is>
      </c>
      <c r="G191" s="6" t="inlineStr">
        <is>
          <t>Kılıçsız savaştın. Ejderha seni on bir kez yedi; on ikincide onu tahta sopayla yendin. Kimse inanmadı ama sen oradaydın.</t>
        </is>
      </c>
      <c r="H191" s="6" t="inlineStr"/>
      <c r="I191" s="6" t="inlineStr"/>
      <c r="J191" s="6" t="inlineStr"/>
      <c r="K191" s="6" t="inlineStr"/>
      <c r="L191" s="6" t="inlineStr"/>
      <c r="M191" s="5" t="inlineStr"/>
      <c r="N191" s="5" t="inlineStr"/>
      <c r="O191" s="6" t="inlineStr"/>
      <c r="P191" s="6" t="inlineStr"/>
      <c r="Q191" s="5" t="inlineStr"/>
      <c r="R191" s="5" t="inlineStr"/>
      <c r="S191" s="5" t="inlineStr"/>
      <c r="T191" s="5" t="inlineStr"/>
      <c r="U191" s="5" t="inlineStr"/>
      <c r="V191" s="5" t="inlineStr"/>
      <c r="W191" s="5" t="inlineStr"/>
      <c r="X191" s="5" t="inlineStr"/>
      <c r="Y191" s="5" t="inlineStr"/>
      <c r="Z191" s="6" t="inlineStr"/>
      <c r="AA191" s="5" t="inlineStr"/>
      <c r="AB191" s="5" t="inlineStr"/>
      <c r="AC191" s="5" t="inlineStr"/>
      <c r="AD191" s="5" t="inlineStr"/>
      <c r="AE191" s="5" t="inlineStr"/>
      <c r="AF191" s="5" t="inlineStr"/>
      <c r="AG191" s="5" t="inlineStr"/>
      <c r="AH191" s="5" t="inlineStr"/>
      <c r="AI191" s="5" t="inlineStr"/>
      <c r="AJ191" s="5" t="inlineStr"/>
    </row>
    <row r="192">
      <c r="A192" s="5" t="inlineStr">
        <is>
          <t>b4-oyun-faturasi</t>
        </is>
      </c>
      <c r="B192" s="5" t="n">
        <v>2</v>
      </c>
      <c r="C192" s="6" t="inlineStr">
        <is>
          <t>Ailenden izin iste</t>
        </is>
      </c>
      <c r="D192" s="5" t="inlineStr">
        <is>
          <t>Çene</t>
        </is>
      </c>
      <c r="E192" s="5" t="inlineStr">
        <is>
          <t>Orta</t>
        </is>
      </c>
      <c r="F192" s="5" t="inlineStr"/>
      <c r="G192" s="6" t="inlineStr"/>
      <c r="H192" s="6" t="inlineStr">
        <is>
          <t>“Sadece bu seferlik, söz” dedin. Annen telefona baktı, sana baktı, parmağını bastı: “Bu son. Karnede görüşürüz.”</t>
        </is>
      </c>
      <c r="I192" s="6" t="inlineStr">
        <is>
          <t>Kılıcın 'eğitim amaçlı' olduğunu anlattın. Kılıçla birlikte bir kalkan da onaylandı.</t>
        </is>
      </c>
      <c r="J192" s="6" t="inlineStr">
        <is>
          <t>Annen “Gerçek kılıç mı bu?” diye sordu. On dakika anlattın. Annen “Babana sor” dedi, baban “Annene sor” dedi.</t>
        </is>
      </c>
      <c r="K192" s="6" t="inlineStr">
        <is>
          <t>İzin istedin; annen hesap dökümünü açtı ve önceki üç 'küçük' alımı buldu. Sen de şaşırdın.</t>
        </is>
      </c>
      <c r="L192" s="6" t="inlineStr"/>
      <c r="M192" s="5" t="inlineStr"/>
      <c r="N192" s="5" t="inlineStr"/>
      <c r="O192" s="6" t="inlineStr"/>
      <c r="P192" s="6" t="inlineStr"/>
      <c r="Q192" s="5" t="inlineStr"/>
      <c r="R192" s="5" t="inlineStr"/>
      <c r="S192" s="5" t="inlineStr"/>
      <c r="T192" s="5" t="inlineStr"/>
      <c r="U192" s="5" t="inlineStr"/>
      <c r="V192" s="5" t="inlineStr"/>
      <c r="W192" s="5" t="inlineStr"/>
      <c r="X192" s="5" t="inlineStr"/>
      <c r="Y192" s="5" t="inlineStr"/>
      <c r="Z192" s="6" t="inlineStr"/>
      <c r="AA192" s="5" t="inlineStr"/>
      <c r="AB192" s="5" t="inlineStr"/>
      <c r="AC192" s="5" t="inlineStr"/>
      <c r="AD192" s="5" t="inlineStr"/>
      <c r="AE192" s="5" t="inlineStr"/>
      <c r="AF192" s="5" t="inlineStr"/>
      <c r="AG192" s="5" t="inlineStr"/>
      <c r="AH192" s="5" t="inlineStr"/>
      <c r="AI192" s="5" t="inlineStr"/>
      <c r="AJ192" s="5" t="inlineStr"/>
    </row>
    <row r="193">
      <c r="A193" s="5" t="inlineStr">
        <is>
          <t>b4-oyun-faturasi</t>
        </is>
      </c>
      <c r="B193" s="5" t="n">
        <v>3</v>
      </c>
      <c r="C193" s="6" t="inlineStr">
        <is>
          <t>Harçlıktan öde</t>
        </is>
      </c>
      <c r="D193" s="5" t="inlineStr">
        <is>
          <t>Akıl</t>
        </is>
      </c>
      <c r="E193" s="5" t="inlineStr">
        <is>
          <t>Kolay</t>
        </is>
      </c>
      <c r="F193" s="5" t="inlineStr"/>
      <c r="G193" s="6" t="inlineStr"/>
      <c r="H193" s="6" t="inlineStr">
        <is>
          <t>Yastığın altındaki harçlıkla ödedin. Yastığın altı bomboş ama kılıç parlıyor.</t>
        </is>
      </c>
      <c r="I193" s="6" t="inlineStr">
        <is>
          <t>Kılıcı aldın, bir hafta sonra oyun içi pazarda iki katına sattın. Yastık altı dijitalleşti.</t>
        </is>
      </c>
      <c r="J193" s="6" t="inlineStr">
        <is>
          <t>Kılıcı aldın. Ertesi gün güncellemeyle kılıçlar bedava oldu.</t>
        </is>
      </c>
      <c r="K193" s="6" t="inlineStr">
        <is>
          <t>'Otomatik yenile'yi işaretlemişsin. Kılıç her ay yeniden satın alınıyor. Hâlâ.</t>
        </is>
      </c>
      <c r="L193" s="6" t="inlineStr"/>
      <c r="M193" s="5" t="inlineStr"/>
      <c r="N193" s="5" t="inlineStr"/>
      <c r="O193" s="6" t="inlineStr"/>
      <c r="P193" s="6" t="inlineStr"/>
      <c r="Q193" s="5" t="inlineStr">
        <is>
          <t>Yastık Altı Ekonomisti</t>
        </is>
      </c>
      <c r="R193" s="5" t="inlineStr"/>
      <c r="S193" s="5" t="inlineStr"/>
      <c r="T193" s="5" t="inlineStr"/>
      <c r="U193" s="5" t="inlineStr"/>
      <c r="V193" s="5" t="inlineStr"/>
      <c r="W193" s="5" t="inlineStr"/>
      <c r="X193" s="5" t="inlineStr"/>
      <c r="Y193" s="5" t="inlineStr"/>
      <c r="Z193" s="6" t="inlineStr"/>
      <c r="AA193" s="5" t="inlineStr"/>
      <c r="AB193" s="5" t="inlineStr"/>
      <c r="AC193" s="5" t="inlineStr"/>
      <c r="AD193" s="5" t="inlineStr"/>
      <c r="AE193" s="5" t="inlineStr"/>
      <c r="AF193" s="5" t="inlineStr"/>
      <c r="AG193" s="5" t="inlineStr"/>
      <c r="AH193" s="5" t="inlineStr"/>
      <c r="AI193" s="5" t="inlineStr"/>
      <c r="AJ193" s="5" t="inlineStr"/>
    </row>
    <row r="194">
      <c r="A194" s="5" t="inlineStr">
        <is>
          <t>b4-oyun-faturasi</t>
        </is>
      </c>
      <c r="B194" s="5" t="n">
        <v>4</v>
      </c>
      <c r="C194" s="6" t="inlineStr">
        <is>
          <t>Annen uyurken parmağını kullan</t>
        </is>
      </c>
      <c r="D194" s="5" t="inlineStr">
        <is>
          <t>Kurnazlık</t>
        </is>
      </c>
      <c r="E194" s="5" t="inlineStr">
        <is>
          <t>Zor</t>
        </is>
      </c>
      <c r="F194" s="5" t="inlineStr"/>
      <c r="G194" s="6" t="inlineStr"/>
      <c r="H194" s="6" t="inlineStr">
        <is>
          <t>Ödeme onaylandı. Annen uykusunda gülümsedi. Kılıç parlıyor.</t>
        </is>
      </c>
      <c r="I194" s="6" t="inlineStr">
        <is>
          <t>Kılıç, kalkan ve bir ejderha. Annen hâlâ uyuyor. Ekstrenin gelmesine yirmi sekiz gün var.</t>
        </is>
      </c>
      <c r="J194" s="6" t="inlineStr">
        <is>
          <t>Annen uyandı. Parmağı da.</t>
        </is>
      </c>
      <c r="K194" s="6" t="inlineStr">
        <is>
          <t>Annenin parmağıyla bir değil, yedi kez bastın. Ay sonunda baban ekstreyi mutfakta sesli okudu: “Ejderha… Ejderha… Ejderha…” Annen o gece parmağını yorganın altında sakladı.</t>
        </is>
      </c>
      <c r="L194" s="6" t="inlineStr"/>
      <c r="M194" s="5" t="inlineStr"/>
      <c r="N194" s="5" t="inlineStr"/>
      <c r="O194" s="6" t="inlineStr"/>
      <c r="P194" s="6" t="inlineStr"/>
      <c r="Q194" s="5" t="inlineStr"/>
      <c r="R194" s="5" t="inlineStr"/>
      <c r="S194" s="5" t="inlineStr">
        <is>
          <t>Kurnazlık</t>
        </is>
      </c>
      <c r="T194" s="5" t="inlineStr"/>
      <c r="U194" s="5" t="inlineStr"/>
      <c r="V194" s="5" t="inlineStr"/>
      <c r="W194" s="5" t="inlineStr">
        <is>
          <t>oyun-faturasi</t>
        </is>
      </c>
      <c r="X194" s="5" t="inlineStr"/>
      <c r="Y194" s="5" t="inlineStr"/>
      <c r="Z194" s="6" t="inlineStr"/>
      <c r="AA194" s="5" t="inlineStr"/>
      <c r="AB194" s="5" t="inlineStr"/>
      <c r="AC194" s="5" t="inlineStr"/>
      <c r="AD194" s="5" t="inlineStr"/>
      <c r="AE194" s="5" t="inlineStr"/>
      <c r="AF194" s="5" t="inlineStr"/>
      <c r="AG194" s="5" t="inlineStr"/>
      <c r="AH194" s="5" t="inlineStr"/>
      <c r="AI194" s="5" t="inlineStr"/>
      <c r="AJ194" s="5" t="inlineStr"/>
    </row>
    <row r="195">
      <c r="A195" s="5" t="inlineStr">
        <is>
          <t>b4-flut</t>
        </is>
      </c>
      <c r="B195" s="5" t="n">
        <v>1</v>
      </c>
      <c r="C195" s="6" t="inlineStr">
        <is>
          <t>Yalnızca derste çal</t>
        </is>
      </c>
      <c r="D195" s="5" t="inlineStr"/>
      <c r="E195" s="5" t="inlineStr"/>
      <c r="F195" s="5" t="inlineStr">
        <is>
          <t>İtibar +1</t>
        </is>
      </c>
      <c r="G195" s="6" t="inlineStr">
        <is>
          <t>Flütü yalnızca derste çaldın. Evde kimse sesini hiç duymadı. Yıl sonunda baban sordu: “Senin bir flütün vardı, ne oldu?”</t>
        </is>
      </c>
      <c r="H195" s="6" t="inlineStr"/>
      <c r="I195" s="6" t="inlineStr"/>
      <c r="J195" s="6" t="inlineStr"/>
      <c r="K195" s="6" t="inlineStr"/>
      <c r="L195" s="6" t="inlineStr"/>
      <c r="M195" s="5" t="inlineStr"/>
      <c r="N195" s="5" t="inlineStr"/>
      <c r="O195" s="6" t="inlineStr"/>
      <c r="P195" s="6" t="inlineStr"/>
      <c r="Q195" s="5" t="inlineStr"/>
      <c r="R195" s="5" t="inlineStr"/>
      <c r="S195" s="5" t="inlineStr"/>
      <c r="T195" s="5" t="inlineStr"/>
      <c r="U195" s="5" t="inlineStr"/>
      <c r="V195" s="5" t="inlineStr"/>
      <c r="W195" s="5" t="inlineStr"/>
      <c r="X195" s="5" t="inlineStr"/>
      <c r="Y195" s="5" t="inlineStr"/>
      <c r="Z195" s="6" t="inlineStr"/>
      <c r="AA195" s="5" t="inlineStr"/>
      <c r="AB195" s="5" t="inlineStr"/>
      <c r="AC195" s="5" t="inlineStr"/>
      <c r="AD195" s="5" t="inlineStr"/>
      <c r="AE195" s="5" t="inlineStr"/>
      <c r="AF195" s="5" t="inlineStr"/>
      <c r="AG195" s="5" t="inlineStr"/>
      <c r="AH195" s="5" t="inlineStr"/>
      <c r="AI195" s="5" t="inlineStr"/>
      <c r="AJ195" s="5" t="inlineStr"/>
    </row>
    <row r="196">
      <c r="A196" s="5" t="inlineStr">
        <is>
          <t>b4-flut</t>
        </is>
      </c>
      <c r="B196" s="5" t="n">
        <v>2</v>
      </c>
      <c r="C196" s="6" t="inlineStr">
        <is>
          <t>Her akşam çalış</t>
        </is>
      </c>
      <c r="D196" s="5" t="inlineStr">
        <is>
          <t>Dayanıklılık</t>
        </is>
      </c>
      <c r="E196" s="5" t="inlineStr">
        <is>
          <t>Orta</t>
        </is>
      </c>
      <c r="F196" s="5" t="inlineStr"/>
      <c r="G196" s="6" t="inlineStr"/>
      <c r="H196" s="6" t="inlineStr">
        <is>
          <t>Üç ayın sonunda bir şarkıyı baştan sona çalabiliyorsun. Komşular da biliyor. Hepsi.</t>
        </is>
      </c>
      <c r="I196" s="6" t="inlineStr">
        <is>
          <t>Okul konserinde solo verdin. Annen ağladı. Sevinçten, büyük ihtimalle.</t>
        </is>
      </c>
      <c r="J196" s="6" t="inlineStr">
        <is>
          <t>Her akşam çaldın. Apartman grubuna bir mesaj düştü: “Akşamları bir düdük sesi geliyor, kimde var bu düdük?” Annen okudu ama cevap yazmadı.</t>
        </is>
      </c>
      <c r="K196" s="6" t="inlineStr">
        <is>
          <t>Her akşam çaldın. Kedi evi terk etmeyi düşündü. Komşu kapıya kulak tıkacı bıraktı. İmzasız.</t>
        </is>
      </c>
      <c r="L196" s="6" t="inlineStr">
        <is>
          <t>Şarkının yarısını çaldın; diğer yarısını alt kattaki teyze tahmin etti.</t>
        </is>
      </c>
      <c r="M196" s="5" t="inlineStr">
        <is>
          <t>simon</t>
        </is>
      </c>
      <c r="N196" s="5" t="inlineStr">
        <is>
          <t>Flüt Notaları</t>
        </is>
      </c>
      <c r="O196" s="6" t="inlineStr">
        <is>
          <t>Sırayı dinle, aynı sırayla tekrar et.</t>
        </is>
      </c>
      <c r="P196" s="6" t="inlineStr">
        <is>
          <t>{"items": ["🔴", "🟡", "🟢", "🔵"]}</t>
        </is>
      </c>
      <c r="Q196" s="5" t="inlineStr"/>
      <c r="R196" s="5" t="inlineStr"/>
      <c r="S196" s="5" t="inlineStr"/>
      <c r="T196" s="5" t="inlineStr"/>
      <c r="U196" s="5" t="inlineStr"/>
      <c r="V196" s="5" t="inlineStr"/>
      <c r="W196" s="5" t="inlineStr"/>
      <c r="X196" s="5" t="inlineStr"/>
      <c r="Y196" s="5" t="inlineStr"/>
      <c r="Z196" s="6" t="inlineStr"/>
      <c r="AA196" s="5" t="inlineStr"/>
      <c r="AB196" s="5" t="inlineStr"/>
      <c r="AC196" s="5" t="inlineStr"/>
      <c r="AD196" s="5" t="inlineStr"/>
      <c r="AE196" s="5" t="inlineStr"/>
      <c r="AF196" s="5" t="inlineStr"/>
      <c r="AG196" s="5" t="inlineStr"/>
      <c r="AH196" s="5" t="inlineStr"/>
      <c r="AI196" s="5" t="inlineStr"/>
      <c r="AJ196" s="5" t="inlineStr"/>
    </row>
    <row r="197">
      <c r="A197" s="5" t="inlineStr">
        <is>
          <t>b4-flut</t>
        </is>
      </c>
      <c r="B197" s="5" t="n">
        <v>3</v>
      </c>
      <c r="C197" s="6" t="inlineStr">
        <is>
          <t>Flütü 'kaybet'</t>
        </is>
      </c>
      <c r="D197" s="5" t="inlineStr">
        <is>
          <t>Kurnazlık</t>
        </is>
      </c>
      <c r="E197" s="5" t="inlineStr">
        <is>
          <t>Orta</t>
        </is>
      </c>
      <c r="F197" s="5" t="inlineStr"/>
      <c r="G197" s="6" t="inlineStr"/>
      <c r="H197" s="6" t="inlineStr">
        <is>
          <t>Flüt kayboldu. Öğretmen sana ritim tahtası verdi. Daha kötü müydü, emin değilsin.</t>
        </is>
      </c>
      <c r="I197" s="6" t="inlineStr">
        <is>
          <t>Flüt kayboldu, yenisi alınamadı. Öğretmen sana nota yazdırdı; o yıl müzikten pekiyi aldın, ev de huzurdan.</t>
        </is>
      </c>
      <c r="J197" s="6" t="inlineStr">
        <is>
          <t>Flüt kayboldu. Babaanne yenisini aldı. İki flütün var.</t>
        </is>
      </c>
      <c r="K197" s="6" t="inlineStr">
        <is>
          <t>Flütü kaybettin; babaanne kanepenin altından buldu ve öğretmene 'Bunu mu arıyordunuz?' diye getirdi.</t>
        </is>
      </c>
      <c r="L197" s="6" t="inlineStr"/>
      <c r="M197" s="5" t="inlineStr"/>
      <c r="N197" s="5" t="inlineStr"/>
      <c r="O197" s="6" t="inlineStr"/>
      <c r="P197" s="6" t="inlineStr"/>
      <c r="Q197" s="5" t="inlineStr"/>
      <c r="R197" s="5" t="inlineStr"/>
      <c r="S197" s="5" t="inlineStr"/>
      <c r="T197" s="5" t="inlineStr"/>
      <c r="U197" s="5" t="inlineStr"/>
      <c r="V197" s="5" t="inlineStr"/>
      <c r="W197" s="5" t="inlineStr">
        <is>
          <t>yalanci</t>
        </is>
      </c>
      <c r="X197" s="5" t="inlineStr"/>
      <c r="Y197" s="5" t="inlineStr"/>
      <c r="Z197" s="6" t="inlineStr"/>
      <c r="AA197" s="5" t="inlineStr"/>
      <c r="AB197" s="5" t="inlineStr"/>
      <c r="AC197" s="5" t="inlineStr"/>
      <c r="AD197" s="5" t="inlineStr"/>
      <c r="AE197" s="5" t="inlineStr"/>
      <c r="AF197" s="5" t="inlineStr"/>
      <c r="AG197" s="5" t="inlineStr"/>
      <c r="AH197" s="5" t="inlineStr"/>
      <c r="AI197" s="5" t="inlineStr"/>
      <c r="AJ197" s="5" t="inlineStr"/>
    </row>
    <row r="198">
      <c r="A198" s="5" t="inlineStr">
        <is>
          <t>b4-flut</t>
        </is>
      </c>
      <c r="B198" s="5" t="n">
        <v>4</v>
      </c>
      <c r="C198" s="6" t="inlineStr">
        <is>
          <t>Okul gösterisinde solo iste</t>
        </is>
      </c>
      <c r="D198" s="5" t="inlineStr">
        <is>
          <t>Pişkinlik</t>
        </is>
      </c>
      <c r="E198" s="5" t="inlineStr">
        <is>
          <t>Zor</t>
        </is>
      </c>
      <c r="F198" s="5" t="inlineStr"/>
      <c r="G198" s="6" t="inlineStr"/>
      <c r="H198" s="6" t="inlineStr">
        <is>
          <t>Solo verildi. Sahnede üç nota çaldın; üçü de doğruydu. Babaannen üç kez alkışladı, her notaya bir.</t>
        </is>
      </c>
      <c r="I198" s="6" t="inlineStr">
        <is>
          <t>Solon o kadar iyi geçti ki okulun bütün törenleri artık seninle açılıyor.</t>
        </is>
      </c>
      <c r="J198" s="6" t="inlineStr">
        <is>
          <t>Solo istedin; öğretmen seni 'ikinci flüt' yaptı. İkinci flüt yok. Sensin.</t>
        </is>
      </c>
      <c r="K198" s="6" t="inlineStr">
        <is>
          <t>Solonun ortasında flütten nota değil hıçkırık çıktı. Salon güldü, sonra alkışladı. Okulda adın artık “Hıçkıran Flüt”.</t>
        </is>
      </c>
      <c r="L198" s="6" t="inlineStr"/>
      <c r="M198" s="5" t="inlineStr"/>
      <c r="N198" s="5" t="inlineStr"/>
      <c r="O198" s="6" t="inlineStr"/>
      <c r="P198" s="6" t="inlineStr"/>
      <c r="Q198" s="5" t="inlineStr">
        <is>
          <t>Sahne Sever</t>
        </is>
      </c>
      <c r="R198" s="5" t="inlineStr"/>
      <c r="S198" s="5" t="inlineStr"/>
      <c r="T198" s="5" t="inlineStr"/>
      <c r="U198" s="5" t="inlineStr"/>
      <c r="V198" s="5" t="inlineStr"/>
      <c r="W198" s="5" t="inlineStr">
        <is>
          <t>lakapli</t>
        </is>
      </c>
      <c r="X198" s="5" t="inlineStr"/>
      <c r="Y198" s="5" t="inlineStr"/>
      <c r="Z198" s="6" t="inlineStr"/>
      <c r="AA198" s="5" t="inlineStr"/>
      <c r="AB198" s="5" t="inlineStr"/>
      <c r="AC198" s="5" t="inlineStr"/>
      <c r="AD198" s="5" t="inlineStr"/>
      <c r="AE198" s="5" t="inlineStr"/>
      <c r="AF198" s="5" t="inlineStr"/>
      <c r="AG198" s="5" t="inlineStr"/>
      <c r="AH198" s="5" t="inlineStr"/>
      <c r="AI198" s="5" t="inlineStr">
        <is>
          <t>Hıçkıran Flüt</t>
        </is>
      </c>
      <c r="AJ198" s="5" t="inlineStr"/>
    </row>
    <row r="199">
      <c r="A199" s="5" t="inlineStr">
        <is>
          <t>b4-sinif-grubu</t>
        </is>
      </c>
      <c r="B199" s="5" t="n">
        <v>1</v>
      </c>
      <c r="C199" s="6" t="inlineStr">
        <is>
          <t>Hiçbir şey yazma</t>
        </is>
      </c>
      <c r="D199" s="5" t="inlineStr"/>
      <c r="E199" s="5" t="inlineStr"/>
      <c r="F199" s="5" t="inlineStr">
        <is>
          <t>Sosyal Radar +1</t>
        </is>
      </c>
      <c r="G199" s="6" t="inlineStr">
        <is>
          <t>Okudun, yazmadın. Ertesi gün üç kişi ayrı ayrı “Sen bir şey yazmadın, değil mi?” diye sordu. Bütün sırlar artık sende.</t>
        </is>
      </c>
      <c r="H199" s="6" t="inlineStr"/>
      <c r="I199" s="6" t="inlineStr"/>
      <c r="J199" s="6" t="inlineStr"/>
      <c r="K199" s="6" t="inlineStr"/>
      <c r="L199" s="6" t="inlineStr"/>
      <c r="M199" s="5" t="inlineStr"/>
      <c r="N199" s="5" t="inlineStr"/>
      <c r="O199" s="6" t="inlineStr"/>
      <c r="P199" s="6" t="inlineStr"/>
      <c r="Q199" s="5" t="inlineStr"/>
      <c r="R199" s="5" t="inlineStr"/>
      <c r="S199" s="5" t="inlineStr"/>
      <c r="T199" s="5" t="inlineStr"/>
      <c r="U199" s="5" t="inlineStr"/>
      <c r="V199" s="5" t="inlineStr"/>
      <c r="W199" s="5" t="inlineStr"/>
      <c r="X199" s="5" t="inlineStr"/>
      <c r="Y199" s="5" t="inlineStr"/>
      <c r="Z199" s="6" t="inlineStr"/>
      <c r="AA199" s="5" t="inlineStr"/>
      <c r="AB199" s="5" t="inlineStr"/>
      <c r="AC199" s="5" t="inlineStr"/>
      <c r="AD199" s="5" t="inlineStr"/>
      <c r="AE199" s="5" t="inlineStr"/>
      <c r="AF199" s="5" t="inlineStr"/>
      <c r="AG199" s="5" t="inlineStr"/>
      <c r="AH199" s="5" t="inlineStr"/>
      <c r="AI199" s="5" t="inlineStr"/>
      <c r="AJ199" s="5" t="inlineStr"/>
    </row>
    <row r="200">
      <c r="A200" s="5" t="inlineStr">
        <is>
          <t>b4-sinif-grubu</t>
        </is>
      </c>
      <c r="B200" s="5" t="n">
        <v>2</v>
      </c>
      <c r="C200" s="6" t="inlineStr">
        <is>
          <t>Mesajları süz</t>
        </is>
      </c>
      <c r="D200" s="5" t="inlineStr">
        <is>
          <t>Sosyal Radar</t>
        </is>
      </c>
      <c r="E200" s="5" t="inlineStr">
        <is>
          <t>Zor</t>
        </is>
      </c>
      <c r="F200" s="5" t="inlineStr"/>
      <c r="G200" s="6" t="inlineStr"/>
      <c r="H200" s="6" t="inlineStr">
        <is>
          <t>Gönderdiğin her şey işe yaradı, sildiğin her şey silinmeyi hak etti. Grup seni yönetici sanıyor.</t>
        </is>
      </c>
      <c r="I200" s="6" t="inlineStr">
        <is>
          <t>Gece yarısı kaynayan grupta tek bir mesaj attın: “Yarın matematik kitabını getirmeyi unutmayın.” Ertesi sabah bütün sınıf kitapla geldi. Öğretmen şaşırdı: “Ne oldu size?”</t>
        </is>
      </c>
      <c r="J200" s="6" t="inlineStr">
        <is>
          <t>Doğru mesajları gönderdin, bir tane yanlışı da. Hangisi olduğunu herkes biliyor.</t>
        </is>
      </c>
      <c r="K200" s="6" t="inlineStr">
        <is>
          <t>Öğretmenin hırkası hakkındaki mesaj gitti. Ertesi gün öğretmen o hırkayla derse girdi ve sadece sana baktı.</t>
        </is>
      </c>
      <c r="L200" s="6" t="inlineStr">
        <is>
          <t>Çoğunu doğru ayırdın. Bir mesaj 'Bu mesaj silindi' olarak kaldı; en çok o konuşuldu.</t>
        </is>
      </c>
      <c r="M200" s="5" t="inlineStr">
        <is>
          <t>hidden</t>
        </is>
      </c>
      <c r="N200" s="5" t="inlineStr">
        <is>
          <t>Önemli Mesaj</t>
        </is>
      </c>
      <c r="O200" s="6" t="inlineStr">
        <is>
          <t>Yüzlerce mesajın içinde tek önemli olanı (❗) bul.</t>
        </is>
      </c>
      <c r="P200" s="6" t="inlineStr">
        <is>
          <t>{"target": "❗", "decoys": ["💬", "😂", "👍", "🎉", "📷"]}</t>
        </is>
      </c>
      <c r="Q200" s="5" t="inlineStr"/>
      <c r="R200" s="5" t="inlineStr"/>
      <c r="S200" s="5" t="inlineStr"/>
      <c r="T200" s="5" t="inlineStr">
        <is>
          <t>Grup Diplomatı</t>
        </is>
      </c>
      <c r="U200" s="5" t="inlineStr"/>
      <c r="V200" s="5" t="inlineStr"/>
      <c r="W200" s="5" t="inlineStr"/>
      <c r="X200" s="5" t="inlineStr"/>
      <c r="Y200" s="5" t="inlineStr"/>
      <c r="Z200" s="6" t="inlineStr"/>
      <c r="AA200" s="5" t="inlineStr"/>
      <c r="AB200" s="5" t="inlineStr"/>
      <c r="AC200" s="5" t="inlineStr"/>
      <c r="AD200" s="5" t="inlineStr"/>
      <c r="AE200" s="5" t="inlineStr"/>
      <c r="AF200" s="5" t="inlineStr"/>
      <c r="AG200" s="5" t="inlineStr"/>
      <c r="AH200" s="5" t="inlineStr"/>
      <c r="AI200" s="5" t="inlineStr"/>
      <c r="AJ200" s="5" t="inlineStr"/>
    </row>
    <row r="201">
      <c r="A201" s="5" t="inlineStr">
        <is>
          <t>b4-sinif-grubu</t>
        </is>
      </c>
      <c r="B201" s="5" t="n">
        <v>3</v>
      </c>
      <c r="C201" s="6" t="inlineStr">
        <is>
          <t>Dram başlat</t>
        </is>
      </c>
      <c r="D201" s="5" t="inlineStr">
        <is>
          <t>Pişkinlik</t>
        </is>
      </c>
      <c r="E201" s="5" t="inlineStr">
        <is>
          <t>Orta</t>
        </is>
      </c>
      <c r="F201" s="5" t="inlineStr"/>
      <c r="G201" s="6" t="inlineStr"/>
      <c r="H201" s="6" t="inlineStr">
        <is>
          <t>“Burada yazılanlar dışarı gidiyor, dikkat!” yazdın. Grup iki saat sustu. Sonra biri “Kim götürüyor?” diye sordu, herkes birbirinden şüphelendi. Sen uyudun.</t>
        </is>
      </c>
      <c r="I201" s="6" t="inlineStr">
        <is>
          <t>Taraflar oluştu, iki taraf da sana yazdı. Gece boyunca iki ayrı özel mesajda iki ayrı arkadaş oldun. Ertesi gün ikisi de yanına oturdu.</t>
        </is>
      </c>
      <c r="J201" s="6" t="inlineStr">
        <is>
          <t>Dram başlattın; kimse katılmadı. Mesajın okundu ve orada öylece kaldı.</t>
        </is>
      </c>
      <c r="K201" s="6" t="inlineStr">
        <is>
          <t>Bütün grup sana döndü. Ertesi gün 'Asıl Sınıf Grubu' diye yeni bir grup kuruldu. Sen yoksun.</t>
        </is>
      </c>
      <c r="L201" s="6" t="inlineStr"/>
      <c r="M201" s="5" t="inlineStr"/>
      <c r="N201" s="5" t="inlineStr"/>
      <c r="O201" s="6" t="inlineStr"/>
      <c r="P201" s="6" t="inlineStr"/>
      <c r="Q201" s="5" t="inlineStr"/>
      <c r="R201" s="5" t="inlineStr"/>
      <c r="S201" s="5" t="inlineStr"/>
      <c r="T201" s="5" t="inlineStr"/>
      <c r="U201" s="5" t="inlineStr"/>
      <c r="V201" s="5" t="inlineStr"/>
      <c r="W201" s="5" t="inlineStr"/>
      <c r="X201" s="5" t="inlineStr"/>
      <c r="Y201" s="5" t="inlineStr"/>
      <c r="Z201" s="6" t="inlineStr"/>
      <c r="AA201" s="5" t="inlineStr"/>
      <c r="AB201" s="5" t="inlineStr"/>
      <c r="AC201" s="5" t="inlineStr"/>
      <c r="AD201" s="5" t="inlineStr"/>
      <c r="AE201" s="5" t="inlineStr"/>
      <c r="AF201" s="5" t="inlineStr"/>
      <c r="AG201" s="5" t="inlineStr"/>
      <c r="AH201" s="5" t="inlineStr"/>
      <c r="AI201" s="5" t="inlineStr"/>
      <c r="AJ201" s="5" t="inlineStr"/>
    </row>
    <row r="202">
      <c r="A202" s="5" t="inlineStr">
        <is>
          <t>b4-sinif-grubu</t>
        </is>
      </c>
      <c r="B202" s="5" t="n">
        <v>4</v>
      </c>
      <c r="C202" s="6" t="inlineStr">
        <is>
          <t>Öğretmenin kızını özelden uyar</t>
        </is>
      </c>
      <c r="D202" s="5" t="inlineStr">
        <is>
          <t>Sosyal Radar</t>
        </is>
      </c>
      <c r="E202" s="5" t="inlineStr">
        <is>
          <t>Kolay</t>
        </is>
      </c>
      <c r="F202" s="5" t="inlineStr"/>
      <c r="G202" s="6" t="inlineStr"/>
      <c r="H202" s="6" t="inlineStr">
        <is>
          <t>Özelden 'Bu grubu annene gösterme lütfen' yazdın. Anlaşma sağlandı.</t>
        </is>
      </c>
      <c r="I202" s="6" t="inlineStr">
        <is>
          <t>Özelden yazdın. Ertesi gün teneffüste öğretmenin kızı sana bir gofret uzattı: “Annem gruptan haberdar. Ama senin adın geçmedi.”</t>
        </is>
      </c>
      <c r="J202" s="6" t="inlineStr">
        <is>
          <t>Uyardın; o da ekran görüntüsünü annesine 'Bak, uyardılar' diye attı.</t>
        </is>
      </c>
      <c r="K202" s="6" t="inlineStr">
        <is>
          <t>Özelden yazacaktın, gruba yazdın: 'Öğretmenin kızı bu grupta mı?' Otuz sekiz kişi okudu, bir kişi annesine iletti.</t>
        </is>
      </c>
      <c r="L202" s="6" t="inlineStr"/>
      <c r="M202" s="5" t="inlineStr"/>
      <c r="N202" s="5" t="inlineStr"/>
      <c r="O202" s="6" t="inlineStr"/>
      <c r="P202" s="6" t="inlineStr"/>
      <c r="Q202" s="5" t="inlineStr"/>
      <c r="R202" s="5" t="inlineStr"/>
      <c r="S202" s="5" t="inlineStr">
        <is>
          <t>Sosyal Radar</t>
        </is>
      </c>
      <c r="T202" s="5" t="inlineStr"/>
      <c r="U202" s="5" t="inlineStr"/>
      <c r="V202" s="5" t="inlineStr"/>
      <c r="W202" s="5" t="inlineStr"/>
      <c r="X202" s="5" t="inlineStr"/>
      <c r="Y202" s="5" t="inlineStr"/>
      <c r="Z202" s="6" t="inlineStr"/>
      <c r="AA202" s="5" t="inlineStr"/>
      <c r="AB202" s="5" t="inlineStr"/>
      <c r="AC202" s="5" t="inlineStr"/>
      <c r="AD202" s="5" t="inlineStr"/>
      <c r="AE202" s="5" t="inlineStr"/>
      <c r="AF202" s="5" t="inlineStr"/>
      <c r="AG202" s="5" t="inlineStr"/>
      <c r="AH202" s="5" t="inlineStr"/>
      <c r="AI202" s="5" t="inlineStr"/>
      <c r="AJ202" s="5" t="inlineStr"/>
    </row>
    <row r="203">
      <c r="A203" s="5" t="inlineStr">
        <is>
          <t>b4-kisa-video</t>
        </is>
      </c>
      <c r="B203" s="5" t="n">
        <v>1</v>
      </c>
      <c r="C203" s="6" t="inlineStr">
        <is>
          <t>İzle, beğen, geç</t>
        </is>
      </c>
      <c r="D203" s="5" t="inlineStr"/>
      <c r="E203" s="5" t="inlineStr"/>
      <c r="F203" s="5" t="inlineStr">
        <is>
          <t>Akıl +1</t>
        </is>
      </c>
      <c r="G203" s="6" t="inlineStr">
        <is>
          <t>Üç saat dans videosu izledin, hiçbirini yapmadın. Sabah aynanın karşısında kollarını salladın; annen kapıdan baktı ve sessizce kapattı.</t>
        </is>
      </c>
      <c r="H203" s="6" t="inlineStr"/>
      <c r="I203" s="6" t="inlineStr"/>
      <c r="J203" s="6" t="inlineStr"/>
      <c r="K203" s="6" t="inlineStr"/>
      <c r="L203" s="6" t="inlineStr"/>
      <c r="M203" s="5" t="inlineStr"/>
      <c r="N203" s="5" t="inlineStr"/>
      <c r="O203" s="6" t="inlineStr"/>
      <c r="P203" s="6" t="inlineStr"/>
      <c r="Q203" s="5" t="inlineStr"/>
      <c r="R203" s="5" t="inlineStr"/>
      <c r="S203" s="5" t="inlineStr"/>
      <c r="T203" s="5" t="inlineStr"/>
      <c r="U203" s="5" t="inlineStr"/>
      <c r="V203" s="5" t="inlineStr"/>
      <c r="W203" s="5" t="inlineStr"/>
      <c r="X203" s="5" t="inlineStr"/>
      <c r="Y203" s="5" t="inlineStr"/>
      <c r="Z203" s="6" t="inlineStr"/>
      <c r="AA203" s="5" t="inlineStr"/>
      <c r="AB203" s="5" t="inlineStr"/>
      <c r="AC203" s="5" t="inlineStr"/>
      <c r="AD203" s="5" t="inlineStr"/>
      <c r="AE203" s="5" t="inlineStr"/>
      <c r="AF203" s="5" t="inlineStr"/>
      <c r="AG203" s="5" t="inlineStr"/>
      <c r="AH203" s="5" t="inlineStr"/>
      <c r="AI203" s="5" t="inlineStr"/>
      <c r="AJ203" s="5" t="inlineStr"/>
    </row>
    <row r="204">
      <c r="A204" s="5" t="inlineStr">
        <is>
          <t>b4-kisa-video</t>
        </is>
      </c>
      <c r="B204" s="5" t="n">
        <v>2</v>
      </c>
      <c r="C204" s="6" t="inlineStr">
        <is>
          <t>Dansı çek</t>
        </is>
      </c>
      <c r="D204" s="5" t="inlineStr">
        <is>
          <t>Pişkinlik</t>
        </is>
      </c>
      <c r="E204" s="5" t="inlineStr">
        <is>
          <t>Orta</t>
        </is>
      </c>
      <c r="F204" s="5" t="inlineStr"/>
      <c r="G204" s="6" t="inlineStr"/>
      <c r="H204" s="6" t="inlineStr">
        <is>
          <t>Video 400 kez izlendi. 380'i annen.</t>
        </is>
      </c>
      <c r="I204" s="6" t="inlineStr">
        <is>
          <t>Videonu başka bir şehirde, hiç tanımadığın bir çocuk taklit etti ve altına seni etiketledi: “Asıl sahibi bu.” Babaannen herkese “Torunum ünlü” diyor; hangi video olduğunu soran olmadı.</t>
        </is>
      </c>
      <c r="J204" s="6" t="inlineStr">
        <is>
          <t>Dansın ortasında babaannen kadraja girdi, elinde çay. Video onun videosu oldu.</t>
        </is>
      </c>
      <c r="K204" s="6" t="inlineStr">
        <is>
          <t>“Yalnızca ben” diye paylaştığını sandın; “Herkes” diye paylaşmışsın. Ertesi gün okul dansı teneffüste sana geri yaptı. Yeni adın: “Yalnızca Ben”.</t>
        </is>
      </c>
      <c r="L204" s="6" t="inlineStr"/>
      <c r="M204" s="5" t="inlineStr"/>
      <c r="N204" s="5" t="inlineStr"/>
      <c r="O204" s="6" t="inlineStr"/>
      <c r="P204" s="6" t="inlineStr"/>
      <c r="Q204" s="5" t="inlineStr"/>
      <c r="R204" s="5" t="inlineStr"/>
      <c r="S204" s="5" t="inlineStr"/>
      <c r="T204" s="5" t="inlineStr"/>
      <c r="U204" s="5" t="inlineStr"/>
      <c r="V204" s="5" t="inlineStr"/>
      <c r="W204" s="5" t="inlineStr">
        <is>
          <t>lakapli</t>
        </is>
      </c>
      <c r="X204" s="5" t="inlineStr"/>
      <c r="Y204" s="5" t="inlineStr"/>
      <c r="Z204" s="6" t="inlineStr"/>
      <c r="AA204" s="5" t="inlineStr"/>
      <c r="AB204" s="5" t="inlineStr"/>
      <c r="AC204" s="5" t="inlineStr"/>
      <c r="AD204" s="5" t="inlineStr"/>
      <c r="AE204" s="5" t="inlineStr"/>
      <c r="AF204" s="5" t="inlineStr"/>
      <c r="AG204" s="5" t="inlineStr"/>
      <c r="AH204" s="5" t="inlineStr"/>
      <c r="AI204" s="5" t="inlineStr"/>
      <c r="AJ204" s="5" t="inlineStr"/>
    </row>
    <row r="205">
      <c r="A205" s="5" t="inlineStr">
        <is>
          <t>b4-kisa-video</t>
        </is>
      </c>
      <c r="B205" s="5" t="n">
        <v>3</v>
      </c>
      <c r="C205" s="6" t="inlineStr">
        <is>
          <t>Trendin parodisini çek</t>
        </is>
      </c>
      <c r="D205" s="5" t="inlineStr">
        <is>
          <t>Kurnazlık</t>
        </is>
      </c>
      <c r="E205" s="5" t="inlineStr">
        <is>
          <t>Orta</t>
        </is>
      </c>
      <c r="F205" s="5" t="inlineStr"/>
      <c r="G205" s="6" t="inlineStr"/>
      <c r="H205" s="6" t="inlineStr">
        <is>
          <t>Dansı babanın kravatıyla, ciddi ciddi yaptın. Yorumlar: “Bu çocuk büyüyünce müdür olur.” Baban kravatını bir hafta aradı.</t>
        </is>
      </c>
      <c r="I205" s="6" t="inlineStr">
        <is>
          <t>Parodin asıl trendden çok izlendi. Trendi başlatan çocuk sana özelden 'Neden?' yazdı.</t>
        </is>
      </c>
      <c r="J205" s="6" t="inlineStr">
        <is>
          <t>Parodi anlaşılmadı. Yorumlar: 'Dans güzel ama biraz sert.'</t>
        </is>
      </c>
      <c r="K205" s="6" t="inlineStr">
        <is>
          <t>Parodinin parodisi yapıldı, onun da parodisi. Zincirin en altında, en az izlenen sensin.</t>
        </is>
      </c>
      <c r="L205" s="6" t="inlineStr"/>
      <c r="M205" s="5" t="inlineStr"/>
      <c r="N205" s="5" t="inlineStr"/>
      <c r="O205" s="6" t="inlineStr"/>
      <c r="P205" s="6" t="inlineStr"/>
      <c r="Q205" s="5" t="inlineStr"/>
      <c r="R205" s="5" t="inlineStr"/>
      <c r="S205" s="5" t="inlineStr"/>
      <c r="T205" s="5" t="inlineStr"/>
      <c r="U205" s="5" t="inlineStr"/>
      <c r="V205" s="5" t="inlineStr"/>
      <c r="W205" s="5" t="inlineStr"/>
      <c r="X205" s="5" t="inlineStr"/>
      <c r="Y205" s="5" t="inlineStr"/>
      <c r="Z205" s="6" t="inlineStr"/>
      <c r="AA205" s="5" t="inlineStr"/>
      <c r="AB205" s="5" t="inlineStr"/>
      <c r="AC205" s="5" t="inlineStr"/>
      <c r="AD205" s="5" t="inlineStr"/>
      <c r="AE205" s="5" t="inlineStr"/>
      <c r="AF205" s="5" t="inlineStr"/>
      <c r="AG205" s="5" t="inlineStr"/>
      <c r="AH205" s="5" t="inlineStr"/>
      <c r="AI205" s="5" t="inlineStr"/>
      <c r="AJ205" s="5" t="inlineStr"/>
    </row>
    <row r="206">
      <c r="A206" s="5" t="inlineStr">
        <is>
          <t>b4-kisa-video</t>
        </is>
      </c>
      <c r="B206" s="5" t="n">
        <v>4</v>
      </c>
      <c r="C206" s="6" t="inlineStr">
        <is>
          <t>Babaanneyi de çek</t>
        </is>
      </c>
      <c r="D206" s="5" t="inlineStr">
        <is>
          <t>Çene</t>
        </is>
      </c>
      <c r="E206" s="5" t="inlineStr">
        <is>
          <t>Kolay</t>
        </is>
      </c>
      <c r="F206" s="5" t="inlineStr"/>
      <c r="G206" s="6" t="inlineStr"/>
      <c r="H206" s="6" t="inlineStr">
        <is>
          <t>Babaanneye dansı öğrettin. Video ondan çok izlendi; sen menajer oldun.</t>
        </is>
      </c>
      <c r="I206" s="6" t="inlineStr">
        <is>
          <t>Babaannenin videosu bütün aile gruplarında dolaştı. Babaannenin artık hayranları var, senin yüzde onun.</t>
        </is>
      </c>
      <c r="J206" s="6" t="inlineStr">
        <is>
          <t>Babaanne adımları öğrendi ama çekime girmedi. 'Ben bunu akşam dizisinde gördüm' dedi, konu kapandı.</t>
        </is>
      </c>
      <c r="K206" s="6" t="inlineStr">
        <is>
          <t>Babaanne dansı kusursuz yaptı, sen arkada yere düştün. Video o düşüşle ünlendi.</t>
        </is>
      </c>
      <c r="L206" s="6" t="inlineStr"/>
      <c r="M206" s="5" t="inlineStr"/>
      <c r="N206" s="5" t="inlineStr"/>
      <c r="O206" s="6" t="inlineStr"/>
      <c r="P206" s="6" t="inlineStr"/>
      <c r="Q206" s="5" t="inlineStr">
        <is>
          <t>Sahne Sever</t>
        </is>
      </c>
      <c r="R206" s="5" t="inlineStr"/>
      <c r="S206" s="5" t="inlineStr"/>
      <c r="T206" s="5" t="inlineStr"/>
      <c r="U206" s="5" t="inlineStr"/>
      <c r="V206" s="5" t="inlineStr"/>
      <c r="W206" s="5" t="inlineStr"/>
      <c r="X206" s="5" t="inlineStr"/>
      <c r="Y206" s="5" t="inlineStr"/>
      <c r="Z206" s="6" t="inlineStr"/>
      <c r="AA206" s="5" t="inlineStr"/>
      <c r="AB206" s="5" t="inlineStr"/>
      <c r="AC206" s="5" t="inlineStr"/>
      <c r="AD206" s="5" t="inlineStr"/>
      <c r="AE206" s="5" t="inlineStr"/>
      <c r="AF206" s="5" t="inlineStr"/>
      <c r="AG206" s="5" t="inlineStr"/>
      <c r="AH206" s="5" t="inlineStr"/>
      <c r="AI206" s="5" t="inlineStr"/>
      <c r="AJ206" s="5" t="inlineStr"/>
    </row>
    <row r="207">
      <c r="A207" s="5" t="inlineStr">
        <is>
          <t>b4-kuzen-kiyaslama</t>
        </is>
      </c>
      <c r="B207" s="5" t="n">
        <v>1</v>
      </c>
      <c r="C207" s="6" t="inlineStr">
        <is>
          <t>Kuzenini tebrik et</t>
        </is>
      </c>
      <c r="D207" s="5" t="inlineStr"/>
      <c r="E207" s="5" t="inlineStr"/>
      <c r="F207" s="5" t="inlineStr">
        <is>
          <t>Gönül +1</t>
        </is>
      </c>
      <c r="G207" s="6" t="inlineStr">
        <is>
          <t>Kuzenini tebrik ettin. Kuzen şaşırdı; bunu ona ilk söyleyen aile üyesi sendin.</t>
        </is>
      </c>
      <c r="H207" s="6" t="inlineStr"/>
      <c r="I207" s="6" t="inlineStr"/>
      <c r="J207" s="6" t="inlineStr"/>
      <c r="K207" s="6" t="inlineStr"/>
      <c r="L207" s="6" t="inlineStr"/>
      <c r="M207" s="5" t="inlineStr"/>
      <c r="N207" s="5" t="inlineStr"/>
      <c r="O207" s="6" t="inlineStr"/>
      <c r="P207" s="6" t="inlineStr"/>
      <c r="Q207" s="5" t="inlineStr"/>
      <c r="R207" s="5" t="inlineStr"/>
      <c r="S207" s="5" t="inlineStr"/>
      <c r="T207" s="5" t="inlineStr"/>
      <c r="U207" s="5" t="inlineStr"/>
      <c r="V207" s="5" t="inlineStr"/>
      <c r="W207" s="5" t="inlineStr"/>
      <c r="X207" s="5" t="inlineStr"/>
      <c r="Y207" s="5" t="inlineStr"/>
      <c r="Z207" s="6" t="inlineStr"/>
      <c r="AA207" s="5" t="inlineStr"/>
      <c r="AB207" s="5" t="inlineStr"/>
      <c r="AC207" s="5" t="inlineStr"/>
      <c r="AD207" s="5" t="inlineStr"/>
      <c r="AE207" s="5" t="inlineStr"/>
      <c r="AF207" s="5" t="inlineStr"/>
      <c r="AG207" s="5" t="inlineStr"/>
      <c r="AH207" s="5" t="inlineStr"/>
      <c r="AI207" s="5" t="inlineStr"/>
      <c r="AJ207" s="5" t="inlineStr"/>
    </row>
    <row r="208">
      <c r="A208" s="5" t="inlineStr">
        <is>
          <t>b4-kuzen-kiyaslama</t>
        </is>
      </c>
      <c r="B208" s="5" t="n">
        <v>2</v>
      </c>
      <c r="C208" s="6" t="inlineStr">
        <is>
          <t>Karşı hamle yap</t>
        </is>
      </c>
      <c r="D208" s="5" t="inlineStr">
        <is>
          <t>Çene</t>
        </is>
      </c>
      <c r="E208" s="5" t="inlineStr">
        <is>
          <t>Orta</t>
        </is>
      </c>
      <c r="F208" s="5" t="inlineStr"/>
      <c r="G208" s="6" t="inlineStr"/>
      <c r="H208" s="6" t="inlineStr">
        <is>
          <t>“Ben de bilim fuarına hazırlanıyorum” dedin. Enişten çatalı bıraktı: “Neyle ilgili?” Yirmi dakika anlattın. Fuarın konusu daha belli bile değildi.</t>
        </is>
      </c>
      <c r="I208" s="6" t="inlineStr">
        <is>
          <t>Başarılarını öyle sundun ki teyzen konuyu değiştirdi ve 'Çay isteyen?' diye kalktı.</t>
        </is>
      </c>
      <c r="J208" s="6" t="inlineStr">
        <is>
          <t>Başarılarını saydın. Bitince teyzen 'Ha, bir de yüzmede ikinci oldu' dedi.</t>
        </is>
      </c>
      <c r="K208" s="6" t="inlineStr">
        <is>
          <t>“Ben de piyano çalıyorum” dedin. Teyzen salonun köşesindeki örtüyü kaldırdı; altından piyano çıktı. “Çal bakalım.” Tek parmakla doğum günü şarkısını çaldın. O gün kimsenin doğum günü değildi.</t>
        </is>
      </c>
      <c r="L208" s="6" t="inlineStr"/>
      <c r="M208" s="5" t="inlineStr"/>
      <c r="N208" s="5" t="inlineStr"/>
      <c r="O208" s="6" t="inlineStr"/>
      <c r="P208" s="6" t="inlineStr"/>
      <c r="Q208" s="5" t="inlineStr"/>
      <c r="R208" s="5" t="inlineStr"/>
      <c r="S208" s="5" t="inlineStr"/>
      <c r="T208" s="5" t="inlineStr"/>
      <c r="U208" s="5" t="inlineStr"/>
      <c r="V208" s="5" t="inlineStr"/>
      <c r="W208" s="5" t="inlineStr"/>
      <c r="X208" s="5" t="inlineStr"/>
      <c r="Y208" s="5" t="inlineStr"/>
      <c r="Z208" s="6" t="inlineStr"/>
      <c r="AA208" s="5" t="inlineStr"/>
      <c r="AB208" s="5" t="inlineStr"/>
      <c r="AC208" s="5" t="inlineStr"/>
      <c r="AD208" s="5" t="inlineStr"/>
      <c r="AE208" s="5" t="inlineStr"/>
      <c r="AF208" s="5" t="inlineStr"/>
      <c r="AG208" s="5" t="inlineStr"/>
      <c r="AH208" s="5" t="inlineStr"/>
      <c r="AI208" s="5" t="inlineStr"/>
      <c r="AJ208" s="5" t="inlineStr"/>
    </row>
    <row r="209">
      <c r="A209" s="5" t="inlineStr">
        <is>
          <t>b4-kuzen-kiyaslama</t>
        </is>
      </c>
      <c r="B209" s="5" t="n">
        <v>3</v>
      </c>
      <c r="C209" s="6" t="inlineStr">
        <is>
          <t>Kuzenle balkonda anlaş</t>
        </is>
      </c>
      <c r="D209" s="5" t="inlineStr">
        <is>
          <t>Sosyal Radar</t>
        </is>
      </c>
      <c r="E209" s="5" t="inlineStr">
        <is>
          <t>Zor</t>
        </is>
      </c>
      <c r="F209" s="5" t="inlineStr"/>
      <c r="G209" s="6" t="inlineStr"/>
      <c r="H209" s="6" t="inlineStr">
        <is>
          <t>Balkonda anlaştınız: kimse kimseyi geçmeyecek. Kuzenin elini uzattı, sıktın. İçeride anneler hâlâ notları sayıyordu.</t>
        </is>
      </c>
      <c r="I209" s="6" t="inlineStr">
        <is>
          <t>Balkonda anlaştınız, sofraya beraber döndünüz. Kuzenin ağzını açtı: “Biz ikimiz de ortalama olmak istiyoruz.” Anneler birbirine baktı. O bayram tatlı sessizce yendi.</t>
        </is>
      </c>
      <c r="J209" s="6" t="inlineStr">
        <is>
          <t>Anlaşma teklif ettin; kuzen bunu da annesine anlattı.</t>
        </is>
      </c>
      <c r="K209" s="6" t="inlineStr">
        <is>
          <t>Anlaştınız; ertesi yıl kuzen yine birinci oldu. Ortalamada yalnız kaldın.</t>
        </is>
      </c>
      <c r="L209" s="6" t="inlineStr"/>
      <c r="M209" s="5" t="inlineStr"/>
      <c r="N209" s="5" t="inlineStr"/>
      <c r="O209" s="6" t="inlineStr"/>
      <c r="P209" s="6" t="inlineStr"/>
      <c r="Q209" s="5" t="inlineStr"/>
      <c r="R209" s="5" t="inlineStr"/>
      <c r="S209" s="5" t="inlineStr"/>
      <c r="T209" s="5" t="inlineStr"/>
      <c r="U209" s="5" t="inlineStr"/>
      <c r="V209" s="5" t="inlineStr"/>
      <c r="W209" s="5" t="inlineStr"/>
      <c r="X209" s="5" t="inlineStr"/>
      <c r="Y209" s="5" t="inlineStr"/>
      <c r="Z209" s="6" t="inlineStr"/>
      <c r="AA209" s="5" t="inlineStr"/>
      <c r="AB209" s="5" t="inlineStr"/>
      <c r="AC209" s="5" t="inlineStr"/>
      <c r="AD209" s="5" t="inlineStr"/>
      <c r="AE209" s="5" t="inlineStr"/>
      <c r="AF209" s="5" t="inlineStr"/>
      <c r="AG209" s="5" t="inlineStr"/>
      <c r="AH209" s="5" t="inlineStr"/>
      <c r="AI209" s="5" t="inlineStr"/>
      <c r="AJ209" s="5" t="inlineStr"/>
    </row>
    <row r="210">
      <c r="A210" s="5" t="inlineStr">
        <is>
          <t>b4-kuzen-kiyaslama</t>
        </is>
      </c>
      <c r="B210" s="5" t="n">
        <v>4</v>
      </c>
      <c r="C210" s="6" t="inlineStr">
        <is>
          <t>Başkanlık dönemini hatırlat</t>
        </is>
      </c>
      <c r="D210" s="5" t="inlineStr">
        <is>
          <t>Pişkinlik</t>
        </is>
      </c>
      <c r="E210" s="5" t="inlineStr">
        <is>
          <t>Kolay</t>
        </is>
      </c>
      <c r="F210" s="5" t="inlineStr"/>
      <c r="G210" s="6" t="inlineStr"/>
      <c r="H210" s="6" t="inlineStr">
        <is>
          <t>“Ben seçilmiş başkandım” dedin. Deden çayını bıraktı: “Bak sen!” Kuzenin bir şey diyemedi; onların okulunda seçim yokmuş.</t>
        </is>
      </c>
      <c r="I210" s="6" t="inlineStr">
        <is>
          <t>Başkanlık icraatlarını madde madde saydın. Teyzen kuzenine 'Sen neden aday olmadın?' diye sordu. Taraf değiştirdin.</t>
        </is>
      </c>
      <c r="J210" s="6" t="inlineStr">
        <is>
          <t>Başkanlık dönemini anlattın. Teyzen 'Akvaryum geldi mi?' diye sordu. Gelmemişti.</t>
        </is>
      </c>
      <c r="K210" s="6" t="inlineStr">
        <is>
          <t>Başkanlığını anlatırken kuzenin araya girdi: “Ben o yıl aday olsaydım...” Aynı okulda bile değildiniz. Sofra yine de ona inandı.</t>
        </is>
      </c>
      <c r="L210" s="6" t="inlineStr"/>
      <c r="M210" s="5" t="inlineStr"/>
      <c r="N210" s="5" t="inlineStr"/>
      <c r="O210" s="6" t="inlineStr"/>
      <c r="P210" s="6" t="inlineStr"/>
      <c r="Q210" s="5" t="inlineStr"/>
      <c r="R210" s="5" t="inlineStr">
        <is>
          <t>baskan</t>
        </is>
      </c>
      <c r="S210" s="5" t="inlineStr"/>
      <c r="T210" s="5" t="inlineStr"/>
      <c r="U210" s="5" t="inlineStr"/>
      <c r="V210" s="5" t="inlineStr"/>
      <c r="W210" s="5" t="inlineStr"/>
      <c r="X210" s="5" t="inlineStr"/>
      <c r="Y210" s="5" t="inlineStr"/>
      <c r="Z210" s="6" t="inlineStr"/>
      <c r="AA210" s="5" t="inlineStr"/>
      <c r="AB210" s="5" t="inlineStr"/>
      <c r="AC210" s="5" t="inlineStr"/>
      <c r="AD210" s="5" t="inlineStr"/>
      <c r="AE210" s="5" t="inlineStr"/>
      <c r="AF210" s="5" t="inlineStr"/>
      <c r="AG210" s="5" t="inlineStr"/>
      <c r="AH210" s="5" t="inlineStr"/>
      <c r="AI210" s="5" t="inlineStr"/>
      <c r="AJ210" s="5" t="inlineStr"/>
    </row>
    <row r="211">
      <c r="A211" s="5" t="inlineStr">
        <is>
          <t>b4-ekran-suresi</t>
        </is>
      </c>
      <c r="B211" s="5" t="n">
        <v>1</v>
      </c>
      <c r="C211" s="6" t="inlineStr">
        <is>
          <t>İtiraf et</t>
        </is>
      </c>
      <c r="D211" s="5" t="inlineStr"/>
      <c r="E211" s="5" t="inlineStr"/>
      <c r="F211" s="5" t="inlineStr">
        <is>
          <t>İtibar +2</t>
        </is>
      </c>
      <c r="G211" s="6" t="inlineStr">
        <is>
          <t>Hesap makinesinin içinde gizli bir oyun olduğunu itiraf ettin. Baban etkilendi, annen korktu. Babaannen o günden beri hesap makinesine dokunmuyor.</t>
        </is>
      </c>
      <c r="H211" s="6" t="inlineStr"/>
      <c r="I211" s="6" t="inlineStr"/>
      <c r="J211" s="6" t="inlineStr"/>
      <c r="K211" s="6" t="inlineStr"/>
      <c r="L211" s="6" t="inlineStr"/>
      <c r="M211" s="5" t="inlineStr"/>
      <c r="N211" s="5" t="inlineStr"/>
      <c r="O211" s="6" t="inlineStr"/>
      <c r="P211" s="6" t="inlineStr"/>
      <c r="Q211" s="5" t="inlineStr"/>
      <c r="R211" s="5" t="inlineStr"/>
      <c r="S211" s="5" t="inlineStr"/>
      <c r="T211" s="5" t="inlineStr"/>
      <c r="U211" s="5" t="inlineStr"/>
      <c r="V211" s="5" t="inlineStr"/>
      <c r="W211" s="5" t="inlineStr"/>
      <c r="X211" s="5" t="inlineStr"/>
      <c r="Y211" s="5" t="inlineStr"/>
      <c r="Z211" s="6" t="inlineStr"/>
      <c r="AA211" s="5" t="inlineStr"/>
      <c r="AB211" s="5" t="inlineStr"/>
      <c r="AC211" s="5" t="inlineStr"/>
      <c r="AD211" s="5" t="inlineStr"/>
      <c r="AE211" s="5" t="inlineStr"/>
      <c r="AF211" s="5" t="inlineStr"/>
      <c r="AG211" s="5" t="inlineStr"/>
      <c r="AH211" s="5" t="inlineStr"/>
      <c r="AI211" s="5" t="inlineStr"/>
      <c r="AJ211" s="5" t="inlineStr"/>
    </row>
    <row r="212">
      <c r="A212" s="5" t="inlineStr">
        <is>
          <t>b4-ekran-suresi</t>
        </is>
      </c>
      <c r="B212" s="5" t="n">
        <v>2</v>
      </c>
      <c r="C212" s="6" t="inlineStr">
        <is>
          <t>Matematik çalıştığını söyle</t>
        </is>
      </c>
      <c r="D212" s="5" t="inlineStr">
        <is>
          <t>Pişkinlik</t>
        </is>
      </c>
      <c r="E212" s="5" t="inlineStr">
        <is>
          <t>Zor</t>
        </is>
      </c>
      <c r="F212" s="5" t="inlineStr"/>
      <c r="G212" s="6" t="inlineStr"/>
      <c r="H212" s="6" t="inlineStr">
        <is>
          <t>'Çarpım tablosu' dedin. Ailen raporu gururla aile grubuna attı.</t>
        </is>
      </c>
      <c r="I212" s="6" t="inlineStr">
        <is>
          <t>“Çarpım tablosu çalışıyorum” dedin, yüzün kıpırdamadı. Annen duygulandı, ekran süreni yarım saat uzattı: “Hesap makinesi için.” Baban aynı akşam kendi telefonuna da hesap makinesi indirdi.</t>
        </is>
      </c>
      <c r="J212" s="6" t="inlineStr">
        <is>
          <t>Baban hesap makinesini açtı. Karşısına bir uzay gemisi çıktı.</t>
        </is>
      </c>
      <c r="K212" s="6" t="inlineStr">
        <is>
          <t>Baban hesap makinesinde iki artı iki yaptı. Ekranda 'Seviye 47' yazdı.</t>
        </is>
      </c>
      <c r="L212" s="6" t="inlineStr"/>
      <c r="M212" s="5" t="inlineStr"/>
      <c r="N212" s="5" t="inlineStr"/>
      <c r="O212" s="6" t="inlineStr"/>
      <c r="P212" s="6" t="inlineStr"/>
      <c r="Q212" s="5" t="inlineStr"/>
      <c r="R212" s="5" t="inlineStr"/>
      <c r="S212" s="5" t="inlineStr"/>
      <c r="T212" s="5" t="inlineStr"/>
      <c r="U212" s="5" t="inlineStr"/>
      <c r="V212" s="5" t="inlineStr"/>
      <c r="W212" s="5" t="inlineStr"/>
      <c r="X212" s="5" t="inlineStr"/>
      <c r="Y212" s="5" t="inlineStr"/>
      <c r="Z212" s="6" t="inlineStr"/>
      <c r="AA212" s="5" t="inlineStr"/>
      <c r="AB212" s="5" t="inlineStr"/>
      <c r="AC212" s="5" t="inlineStr"/>
      <c r="AD212" s="5" t="inlineStr"/>
      <c r="AE212" s="5" t="inlineStr"/>
      <c r="AF212" s="5" t="inlineStr"/>
      <c r="AG212" s="5" t="inlineStr"/>
      <c r="AH212" s="5" t="inlineStr"/>
      <c r="AI212" s="5" t="inlineStr"/>
      <c r="AJ212" s="5" t="inlineStr"/>
    </row>
    <row r="213">
      <c r="A213" s="5" t="inlineStr">
        <is>
          <t>b4-ekran-suresi</t>
        </is>
      </c>
      <c r="B213" s="5" t="n">
        <v>3</v>
      </c>
      <c r="C213" s="6" t="inlineStr">
        <is>
          <t>Raporu ayarlardan düzelt</t>
        </is>
      </c>
      <c r="D213" s="5" t="inlineStr">
        <is>
          <t>Kurnazlık</t>
        </is>
      </c>
      <c r="E213" s="5" t="inlineStr">
        <is>
          <t>Orta</t>
        </is>
      </c>
      <c r="F213" s="5" t="inlineStr"/>
      <c r="G213" s="6" t="inlineStr"/>
      <c r="H213" s="6" t="inlineStr">
        <is>
          <t>Rapor artık “Kitap: 4 saat” diyor. Evdeki tek kitaplar vitrindeki ansiklopedi takımı; naylonu hâlâ üstünde.</t>
        </is>
      </c>
      <c r="I213" s="6" t="inlineStr">
        <is>
          <t>Raporu düzelttin, babanın raporunu da açtın: günde on bir saat. Baban telefonunu yavaşça cebine koydu. O akşam ekran süresinden kimse bahsetmedi.</t>
        </is>
      </c>
      <c r="J213" s="6" t="inlineStr">
        <is>
          <t>Ayarları kurcaladın; telefonun dili değişti. Rapor artık kimsenin okuyamadığı bir alfabede. Babaannen “Bu çocuk yabancı dil öğrenmiş” diye herkese anlatıyor.</t>
        </is>
      </c>
      <c r="K213" s="6" t="inlineStr">
        <is>
          <t>Ayarları kurcalarken telefonu sıfırladın. Fotoğraflar, yazışmalar, üç yıllık oyun kaydı gitti. Annen en çok bayram fotoğraflarına üzüldü, sen Seviye 47'ye.</t>
        </is>
      </c>
      <c r="L213" s="6" t="inlineStr"/>
      <c r="M213" s="5" t="inlineStr"/>
      <c r="N213" s="5" t="inlineStr"/>
      <c r="O213" s="6" t="inlineStr"/>
      <c r="P213" s="6" t="inlineStr"/>
      <c r="Q213" s="5" t="inlineStr">
        <is>
          <t>Ekran Yerlisi</t>
        </is>
      </c>
      <c r="R213" s="5" t="inlineStr"/>
      <c r="S213" s="5" t="inlineStr"/>
      <c r="T213" s="5" t="inlineStr"/>
      <c r="U213" s="5" t="inlineStr"/>
      <c r="V213" s="5" t="inlineStr"/>
      <c r="W213" s="5" t="inlineStr"/>
      <c r="X213" s="5" t="inlineStr"/>
      <c r="Y213" s="5" t="inlineStr"/>
      <c r="Z213" s="6" t="inlineStr"/>
      <c r="AA213" s="5" t="inlineStr"/>
      <c r="AB213" s="5" t="inlineStr"/>
      <c r="AC213" s="5" t="inlineStr"/>
      <c r="AD213" s="5" t="inlineStr"/>
      <c r="AE213" s="5" t="inlineStr"/>
      <c r="AF213" s="5" t="inlineStr"/>
      <c r="AG213" s="5" t="inlineStr"/>
      <c r="AH213" s="5" t="inlineStr"/>
      <c r="AI213" s="5" t="inlineStr"/>
      <c r="AJ213" s="5" t="inlineStr"/>
    </row>
    <row r="214">
      <c r="A214" s="5" t="inlineStr">
        <is>
          <t>b4-ekran-suresi</t>
        </is>
      </c>
      <c r="B214" s="5" t="n">
        <v>4</v>
      </c>
      <c r="C214" s="6" t="inlineStr">
        <is>
          <t>Gizli oyunu babana da kur</t>
        </is>
      </c>
      <c r="D214" s="5" t="inlineStr">
        <is>
          <t>Çene</t>
        </is>
      </c>
      <c r="E214" s="5" t="inlineStr">
        <is>
          <t>Kolay</t>
        </is>
      </c>
      <c r="F214" s="5" t="inlineStr"/>
      <c r="G214" s="6" t="inlineStr"/>
      <c r="H214" s="6" t="inlineStr">
        <is>
          <t>Babana da kurdun. Artık ikiniz de 'matematik çalışıyorsunuz'. Ortak bir sır, ortak bir skor tablosu.</t>
        </is>
      </c>
      <c r="I214" s="6" t="inlineStr">
        <is>
          <t>Baban oyuna öyle daldı ki gece yarısı annen onun telefonuna ekran süresi koydu. Kural artık evde iki kişiye uygulanıyor; sana değil.</t>
        </is>
      </c>
      <c r="J214" s="6" t="inlineStr">
        <is>
          <t>Babana kurdun; baban 'Bu ne saçmalık' dedi ve üç saat oynadı. Kural yine sana uygulandı.</t>
        </is>
      </c>
      <c r="K214" s="6" t="inlineStr">
        <is>
          <t>Baban seviyeni geçti ve ekran görüntüsünü aile grubuna attı. Hesap makinesinin sırrı artık 34 kişide.</t>
        </is>
      </c>
      <c r="L214" s="6" t="inlineStr"/>
      <c r="M214" s="5" t="inlineStr"/>
      <c r="N214" s="5" t="inlineStr"/>
      <c r="O214" s="6" t="inlineStr"/>
      <c r="P214" s="6" t="inlineStr"/>
      <c r="Q214" s="5" t="inlineStr"/>
      <c r="R214" s="5" t="inlineStr"/>
      <c r="S214" s="5" t="inlineStr">
        <is>
          <t>Kurnazlık</t>
        </is>
      </c>
      <c r="T214" s="5" t="inlineStr"/>
      <c r="U214" s="5" t="inlineStr"/>
      <c r="V214" s="5" t="inlineStr"/>
      <c r="W214" s="5" t="inlineStr"/>
      <c r="X214" s="5" t="inlineStr"/>
      <c r="Y214" s="5" t="inlineStr"/>
      <c r="Z214" s="6" t="inlineStr"/>
      <c r="AA214" s="5" t="inlineStr"/>
      <c r="AB214" s="5" t="inlineStr"/>
      <c r="AC214" s="5" t="inlineStr"/>
      <c r="AD214" s="5" t="inlineStr"/>
      <c r="AE214" s="5" t="inlineStr"/>
      <c r="AF214" s="5" t="inlineStr"/>
      <c r="AG214" s="5" t="inlineStr"/>
      <c r="AH214" s="5" t="inlineStr"/>
      <c r="AI214" s="5" t="inlineStr"/>
      <c r="AJ214" s="5" t="inlineStr"/>
    </row>
    <row r="215">
      <c r="A215" s="5" t="inlineStr">
        <is>
          <t>b4-mahalle-haraccilari</t>
        </is>
      </c>
      <c r="B215" s="5" t="n">
        <v>1</v>
      </c>
      <c r="C215" s="6" t="inlineStr">
        <is>
          <t>Harçlığı ver, yanlarına otur</t>
        </is>
      </c>
      <c r="D215" s="5" t="inlineStr"/>
      <c r="E215" s="5" t="inlineStr"/>
      <c r="F215" s="5" t="inlineStr">
        <is>
          <t>Pişkinlik +1</t>
        </is>
      </c>
      <c r="G215" s="6" t="inlineStr">
        <is>
          <t>Harçlığı verdin ve yanlarına oturdun. Ortadaki “Sen akıllı çocuksun” dedi, avucuna çekirdek döktü. Akşama kadar onlarla oturdun; eve geldiğinde annen kapıda bekliyordu.</t>
        </is>
      </c>
      <c r="H215" s="6" t="inlineStr"/>
      <c r="I215" s="6" t="inlineStr"/>
      <c r="J215" s="6" t="inlineStr"/>
      <c r="K215" s="6" t="inlineStr"/>
      <c r="L215" s="6" t="inlineStr"/>
      <c r="M215" s="5" t="inlineStr"/>
      <c r="N215" s="5" t="inlineStr"/>
      <c r="O215" s="6" t="inlineStr"/>
      <c r="P215" s="6" t="inlineStr"/>
      <c r="Q215" s="5" t="inlineStr"/>
      <c r="R215" s="5" t="inlineStr"/>
      <c r="S215" s="5" t="inlineStr"/>
      <c r="T215" s="5" t="inlineStr"/>
      <c r="U215" s="5" t="inlineStr">
        <is>
          <t>mahalle-abileri</t>
        </is>
      </c>
      <c r="V215" s="5" t="inlineStr"/>
      <c r="W215" s="5" t="inlineStr"/>
      <c r="X215" s="5" t="inlineStr"/>
      <c r="Y215" s="5" t="inlineStr"/>
      <c r="Z215" s="6" t="inlineStr"/>
      <c r="AA215" s="5" t="inlineStr">
        <is>
          <t>hepsi -1</t>
        </is>
      </c>
      <c r="AB215" s="5" t="inlineStr"/>
      <c r="AC215" s="5" t="inlineStr"/>
      <c r="AD215" s="5" t="inlineStr"/>
      <c r="AE215" s="5" t="inlineStr"/>
      <c r="AF215" s="5" t="inlineStr"/>
      <c r="AG215" s="5" t="inlineStr"/>
      <c r="AH215" s="5" t="inlineStr"/>
      <c r="AI215" s="5" t="inlineStr"/>
      <c r="AJ215" s="5" t="inlineStr"/>
    </row>
    <row r="216">
      <c r="A216" s="5" t="inlineStr">
        <is>
          <t>b4-mahalle-haraccilari</t>
        </is>
      </c>
      <c r="B216" s="5" t="n">
        <v>2</v>
      </c>
      <c r="C216" s="6" t="inlineStr">
        <is>
          <t>Kaç</t>
        </is>
      </c>
      <c r="D216" s="5" t="inlineStr">
        <is>
          <t>Dayanıklılık</t>
        </is>
      </c>
      <c r="E216" s="5" t="inlineStr">
        <is>
          <t>Orta</t>
        </is>
      </c>
      <c r="F216" s="5" t="inlineStr"/>
      <c r="G216" s="6" t="inlineStr"/>
      <c r="H216" s="6" t="inlineStr">
        <is>
          <t>Kaçtın. Harçlık cepte, telefon elde. Ama o köşe artık sana kapalı.</t>
        </is>
      </c>
      <c r="I216" s="6" t="inlineStr">
        <is>
          <t>Öyle kaçtın ki arkandan alkışladılar. Mahallede adın 'Rüzgâr'. Köşe yine de kapalı.</t>
        </is>
      </c>
      <c r="J216" s="6" t="inlineStr">
        <is>
          <t>Kaçtın ama cebinden bozukluklar döküldü; köşeden eve kadar iz bıraktın. Arkandan gelen üçü teker teker topladı.</t>
        </is>
      </c>
      <c r="K216" s="6" t="inlineStr">
        <is>
          <t>Yanlış sokağa saptın; çıkmaz sokaktı. Üçü harçlığını aldı, giderken ayakkabı bağcıklarını birbirine bağladı. Eve sekerek döndün; bütün apartman balkondaydı.</t>
        </is>
      </c>
      <c r="L216" s="6" t="inlineStr">
        <is>
          <t>Yakalanmadın ama tam da kurtulmadın. Harçlığın yarısı ve saygınlığın çeyreği gitti.</t>
        </is>
      </c>
      <c r="M216" s="5" t="inlineStr">
        <is>
          <t>fight</t>
        </is>
      </c>
      <c r="N216" s="5" t="inlineStr">
        <is>
          <t>Köşeden Kaç</t>
        </is>
      </c>
      <c r="O216" s="6" t="inlineStr">
        <is>
          <t>Engelin olmadığı şeride geç.</t>
        </is>
      </c>
      <c r="P216" s="6" t="inlineStr">
        <is>
          <t>{"mode": "dodge", "obstacles": ["🛴", "🐕", "🗑️", "📦", "🛒"]}</t>
        </is>
      </c>
      <c r="Q216" s="5" t="inlineStr"/>
      <c r="R216" s="5" t="inlineStr"/>
      <c r="S216" s="5" t="inlineStr"/>
      <c r="T216" s="5" t="inlineStr"/>
      <c r="U216" s="5" t="inlineStr">
        <is>
          <t>haracci-dusmani</t>
        </is>
      </c>
      <c r="V216" s="5" t="inlineStr"/>
      <c r="W216" s="5" t="inlineStr">
        <is>
          <t>sokak-yasagi</t>
        </is>
      </c>
      <c r="X216" s="5" t="inlineStr"/>
      <c r="Y216" s="5" t="inlineStr"/>
      <c r="Z216" s="6" t="inlineStr"/>
      <c r="AA216" s="5" t="inlineStr"/>
      <c r="AB216" s="5" t="inlineStr"/>
      <c r="AC216" s="5" t="inlineStr"/>
      <c r="AD216" s="5" t="inlineStr"/>
      <c r="AE216" s="5" t="inlineStr"/>
      <c r="AF216" s="5" t="inlineStr"/>
      <c r="AG216" s="5" t="inlineStr"/>
      <c r="AH216" s="5" t="inlineStr"/>
      <c r="AI216" s="5" t="inlineStr"/>
      <c r="AJ216" s="5" t="inlineStr"/>
    </row>
    <row r="217">
      <c r="A217" s="5" t="inlineStr">
        <is>
          <t>b4-mahalle-haraccilari</t>
        </is>
      </c>
      <c r="B217" s="5" t="n">
        <v>3</v>
      </c>
      <c r="C217" s="6" t="inlineStr">
        <is>
          <t>Pazarlık et</t>
        </is>
      </c>
      <c r="D217" s="5" t="inlineStr">
        <is>
          <t>Cesaret</t>
        </is>
      </c>
      <c r="E217" s="5" t="inlineStr">
        <is>
          <t>Zor</t>
        </is>
      </c>
      <c r="F217" s="5" t="inlineStr"/>
      <c r="G217" s="6" t="inlineStr"/>
      <c r="H217" s="6" t="inlineStr">
        <is>
          <t>Harçlığın yarısında anlaştınız; telefon cebinde kaldı. Ortadaki “Haftaya yine konuşuruz” dedi. Artık haftalık müşterisin.</t>
        </is>
      </c>
      <c r="I217" s="6" t="inlineStr">
        <is>
          <t>Onlara ödev yapmayı teklif ettin. Artık para vermiyorsun, para alıyorsun.</t>
        </is>
      </c>
      <c r="J217" s="6" t="inlineStr">
        <is>
          <t>Pazarlık ettin. Ortadaki dinledi, düşündü: “Tamam, bugün yarısı. Yarın öbür yarısı.” Yarın da geldiler.</t>
        </is>
      </c>
      <c r="K217" s="6" t="inlineStr">
        <is>
          <t>Pazarlık uzadıkça fiyat arttı. Sonunda harçlığı, şarj aletini ve bir paket sakızı verdin. Ortadaki giderken elini sıktı: “Seninle iş yapmak güzel.”</t>
        </is>
      </c>
      <c r="L217" s="6" t="inlineStr"/>
      <c r="M217" s="5" t="inlineStr"/>
      <c r="N217" s="5" t="inlineStr"/>
      <c r="O217" s="6" t="inlineStr"/>
      <c r="P217" s="6" t="inlineStr"/>
      <c r="Q217" s="5" t="inlineStr"/>
      <c r="R217" s="5" t="inlineStr"/>
      <c r="S217" s="5" t="inlineStr"/>
      <c r="T217" s="5" t="inlineStr"/>
      <c r="U217" s="5" t="inlineStr"/>
      <c r="V217" s="5" t="inlineStr"/>
      <c r="W217" s="5" t="inlineStr"/>
      <c r="X217" s="5" t="inlineStr"/>
      <c r="Y217" s="5" t="inlineStr"/>
      <c r="Z217" s="6" t="inlineStr"/>
      <c r="AA217" s="5" t="inlineStr"/>
      <c r="AB217" s="5" t="inlineStr"/>
      <c r="AC217" s="5" t="inlineStr"/>
      <c r="AD217" s="5" t="inlineStr"/>
      <c r="AE217" s="5" t="inlineStr"/>
      <c r="AF217" s="5" t="inlineStr"/>
      <c r="AG217" s="5" t="inlineStr"/>
      <c r="AH217" s="5" t="inlineStr"/>
      <c r="AI217" s="5" t="inlineStr"/>
      <c r="AJ217" s="5" t="inlineStr"/>
    </row>
    <row r="218">
      <c r="A218" s="5" t="inlineStr">
        <is>
          <t>b4-mahalle-haraccilari</t>
        </is>
      </c>
      <c r="B218" s="5" t="n">
        <v>4</v>
      </c>
      <c r="C218" s="6" t="inlineStr">
        <is>
          <t>'Bakkal amca annemin sınıf arkadaşı' de</t>
        </is>
      </c>
      <c r="D218" s="5" t="inlineStr">
        <is>
          <t>Sosyal Radar</t>
        </is>
      </c>
      <c r="E218" s="5" t="inlineStr">
        <is>
          <t>Kolay</t>
        </is>
      </c>
      <c r="F218" s="5" t="inlineStr"/>
      <c r="G218" s="6" t="inlineStr"/>
      <c r="H218" s="6" t="inlineStr">
        <is>
          <t>Ortadaki çocuk sessizce geri çekildi. Ertesi gün bakkal sana fazladan bir sakız verdi: “Annene selam.”</t>
        </is>
      </c>
      <c r="I218" s="6" t="inlineStr">
        <is>
          <t>Ortadaki çocuk o akşam kapına bir çikolata bıraktı. Yanında el yazısı bir özür.</t>
        </is>
      </c>
      <c r="J218" s="6" t="inlineStr">
        <is>
          <t>“Bakkal bizi zaten sevmez” dediler ve gülüştüler. Harçlık gitti; bakkal da hiçbir şey görmedi.</t>
        </is>
      </c>
      <c r="K218" s="6" t="inlineStr">
        <is>
          <t>Tam o sırada bakkal dükkândan çıktı: “Ne oluyor?” Üçü birden seni gösterdi: “Bu bizi tehdit ediyor amca.” Akşam annen bakkaldan ekmeğin yanında bir de nasihat aldı.</t>
        </is>
      </c>
      <c r="L218" s="6" t="inlineStr"/>
      <c r="M218" s="5" t="inlineStr"/>
      <c r="N218" s="5" t="inlineStr"/>
      <c r="O218" s="6" t="inlineStr"/>
      <c r="P218" s="6" t="inlineStr"/>
      <c r="Q218" s="5" t="inlineStr"/>
      <c r="R218" s="5" t="inlineStr"/>
      <c r="S218" s="5" t="inlineStr">
        <is>
          <t>Sosyal Radar</t>
        </is>
      </c>
      <c r="T218" s="5" t="inlineStr"/>
      <c r="U218" s="5" t="inlineStr"/>
      <c r="V218" s="5" t="inlineStr"/>
      <c r="W218" s="5" t="inlineStr">
        <is>
          <t>haracci-dusmani</t>
        </is>
      </c>
      <c r="X218" s="5" t="inlineStr"/>
      <c r="Y218" s="5" t="inlineStr"/>
      <c r="Z218" s="6" t="inlineStr"/>
      <c r="AA218" s="5" t="inlineStr"/>
      <c r="AB218" s="5" t="inlineStr"/>
      <c r="AC218" s="5" t="inlineStr"/>
      <c r="AD218" s="5" t="inlineStr"/>
      <c r="AE218" s="5" t="inlineStr"/>
      <c r="AF218" s="5" t="inlineStr"/>
      <c r="AG218" s="5" t="inlineStr"/>
      <c r="AH218" s="5" t="inlineStr"/>
      <c r="AI218" s="5" t="inlineStr"/>
      <c r="AJ218" s="5" t="inlineStr"/>
    </row>
    <row r="219">
      <c r="A219" s="5" t="inlineStr">
        <is>
          <t>b4-mahalle-haraccilari</t>
        </is>
      </c>
      <c r="B219" s="5" t="n">
        <v>5</v>
      </c>
      <c r="C219" s="6" t="inlineStr">
        <is>
          <t>Ortadakine tek başına meydan oku</t>
        </is>
      </c>
      <c r="D219" s="5" t="inlineStr">
        <is>
          <t>Cesaret</t>
        </is>
      </c>
      <c r="E219" s="5" t="inlineStr">
        <is>
          <t>Zor</t>
        </is>
      </c>
      <c r="F219" s="5" t="inlineStr"/>
      <c r="G219" s="6" t="inlineStr"/>
      <c r="H219" s="6" t="inlineStr">
        <is>
          <t>'Yalnızken de böyle misin?' dedin. Değildi. Grup dağıldı.</t>
        </is>
      </c>
      <c r="I219" s="6" t="inlineStr">
        <is>
          <t>Meydan okudun; ortadaki çocuk ertesi gün başka mahalleye taşındıklarını söyledi. Tesadüf olabilir.</t>
        </is>
      </c>
      <c r="J219" s="6" t="inlineStr">
        <is>
          <t>Meydan okudun. Telefonunu aldılar; ertesi gün bakkala bıraktılar. Mesaj alındı.</t>
        </is>
      </c>
      <c r="K219" s="6" t="inlineStr">
        <is>
          <t>Meydan okudun. Ortadaki güldü, telefonunu aldı ve bakkalın tentesinin üstüne attı. Bakkal merdiven getirene kadar bütün mahalle seyretti. O günden beri adın “Kahraman”; kimse ciddi söylemiyor.</t>
        </is>
      </c>
      <c r="L219" s="6" t="inlineStr"/>
      <c r="M219" s="5" t="inlineStr"/>
      <c r="N219" s="5" t="inlineStr"/>
      <c r="O219" s="6" t="inlineStr"/>
      <c r="P219" s="6" t="inlineStr"/>
      <c r="Q219" s="5" t="inlineStr"/>
      <c r="R219" s="5" t="inlineStr">
        <is>
          <t>cesurPark</t>
        </is>
      </c>
      <c r="S219" s="5" t="inlineStr"/>
      <c r="T219" s="5" t="inlineStr"/>
      <c r="U219" s="5" t="inlineStr">
        <is>
          <t>haracci-dusmani</t>
        </is>
      </c>
      <c r="V219" s="5" t="inlineStr"/>
      <c r="W219" s="5" t="inlineStr"/>
      <c r="X219" s="5" t="inlineStr"/>
      <c r="Y219" s="5" t="inlineStr"/>
      <c r="Z219" s="6" t="inlineStr"/>
      <c r="AA219" s="5" t="inlineStr"/>
      <c r="AB219" s="5" t="inlineStr"/>
      <c r="AC219" s="5" t="inlineStr"/>
      <c r="AD219" s="5" t="inlineStr"/>
      <c r="AE219" s="5" t="inlineStr"/>
      <c r="AF219" s="5" t="inlineStr"/>
      <c r="AG219" s="5" t="inlineStr"/>
      <c r="AH219" s="5" t="inlineStr"/>
      <c r="AI219" s="5" t="inlineStr"/>
      <c r="AJ219" s="5" t="inlineStr"/>
    </row>
    <row r="220">
      <c r="A220" s="5" t="inlineStr">
        <is>
          <t>b4-mahalle-haraccilari</t>
        </is>
      </c>
      <c r="B220" s="5" t="n">
        <v>6</v>
      </c>
      <c r="C220" s="6" t="inlineStr">
        <is>
          <t>Eve dön, kitaplara göm</t>
        </is>
      </c>
      <c r="D220" s="5" t="inlineStr">
        <is>
          <t>Akıl</t>
        </is>
      </c>
      <c r="E220" s="5" t="inlineStr">
        <is>
          <t>Orta</t>
        </is>
      </c>
      <c r="F220" s="5" t="inlineStr"/>
      <c r="G220" s="6" t="inlineStr"/>
      <c r="H220" s="6" t="inlineStr">
        <is>
          <t>Köşeyi dolaşmak yerine kütüphaneye giden yolu keşfettin. Yol daha uzun ama kimse harçlık sormuyor.</t>
        </is>
      </c>
      <c r="I220" s="6" t="inlineStr">
        <is>
          <t>O yıl kütüphanenin en sadık üyesiydin. Kütüphaneci teyze masasının yanına bir sandalye koydu: “Burası senin.” Köşeyi bir daha düşünmedin.</t>
        </is>
      </c>
      <c r="J220" s="6" t="inlineStr">
        <is>
          <t>Eve döndün ama kitap açılmadı; köşedekiler aklından çıkmadı.</t>
        </is>
      </c>
      <c r="K220" s="6" t="inlineStr">
        <is>
          <t>Kitaplara öyle gömüldün ki kütüphane kapandı, sen içeride kaldın. Kapıcı seni akşam dokuzda bir ansiklopedinin üstünde uyurken buldu. Bütün mahalle seni aramaya çıkmıştı.</t>
        </is>
      </c>
      <c r="L220" s="6" t="inlineStr"/>
      <c r="M220" s="5" t="inlineStr"/>
      <c r="N220" s="5" t="inlineStr"/>
      <c r="O220" s="6" t="inlineStr"/>
      <c r="P220" s="6" t="inlineStr"/>
      <c r="Q220" s="5" t="inlineStr"/>
      <c r="R220" s="5" t="inlineStr"/>
      <c r="S220" s="5" t="inlineStr"/>
      <c r="T220" s="5" t="inlineStr">
        <is>
          <t>Kitap Kurdu</t>
        </is>
      </c>
      <c r="U220" s="5" t="inlineStr"/>
      <c r="V220" s="5" t="inlineStr"/>
      <c r="W220" s="5" t="inlineStr"/>
      <c r="X220" s="5" t="inlineStr"/>
      <c r="Y220" s="5" t="inlineStr"/>
      <c r="Z220" s="6" t="inlineStr"/>
      <c r="AA220" s="5" t="inlineStr"/>
      <c r="AB220" s="5" t="inlineStr"/>
      <c r="AC220" s="5" t="inlineStr"/>
      <c r="AD220" s="5" t="inlineStr"/>
      <c r="AE220" s="5" t="inlineStr"/>
      <c r="AF220" s="5" t="inlineStr"/>
      <c r="AG220" s="5" t="inlineStr"/>
      <c r="AH220" s="5" t="inlineStr"/>
      <c r="AI220" s="5" t="inlineStr"/>
      <c r="AJ220" s="5" t="inlineStr"/>
    </row>
    <row r="221">
      <c r="A221" s="5" t="inlineStr">
        <is>
          <t>b4-sivilce</t>
        </is>
      </c>
      <c r="B221" s="5" t="n">
        <v>1</v>
      </c>
      <c r="C221" s="6" t="inlineStr">
        <is>
          <t>Olduğu gibi git</t>
        </is>
      </c>
      <c r="D221" s="5" t="inlineStr"/>
      <c r="E221" s="5" t="inlineStr"/>
      <c r="F221" s="5" t="inlineStr">
        <is>
          <t>Dayanıklılık +1</t>
        </is>
      </c>
      <c r="G221" s="6" t="inlineStr">
        <is>
          <t>Fotoğraf çekildi. Sivilce de. Yıllığa ikiniz birlikte girdiniz.</t>
        </is>
      </c>
      <c r="H221" s="6" t="inlineStr"/>
      <c r="I221" s="6" t="inlineStr"/>
      <c r="J221" s="6" t="inlineStr"/>
      <c r="K221" s="6" t="inlineStr"/>
      <c r="L221" s="6" t="inlineStr"/>
      <c r="M221" s="5" t="inlineStr"/>
      <c r="N221" s="5" t="inlineStr"/>
      <c r="O221" s="6" t="inlineStr"/>
      <c r="P221" s="6" t="inlineStr"/>
      <c r="Q221" s="5" t="inlineStr"/>
      <c r="R221" s="5" t="inlineStr"/>
      <c r="S221" s="5" t="inlineStr"/>
      <c r="T221" s="5" t="inlineStr"/>
      <c r="U221" s="5" t="inlineStr"/>
      <c r="V221" s="5" t="inlineStr"/>
      <c r="W221" s="5" t="inlineStr"/>
      <c r="X221" s="5" t="inlineStr"/>
      <c r="Y221" s="5" t="inlineStr"/>
      <c r="Z221" s="6" t="inlineStr"/>
      <c r="AA221" s="5" t="inlineStr"/>
      <c r="AB221" s="5" t="inlineStr"/>
      <c r="AC221" s="5" t="inlineStr"/>
      <c r="AD221" s="5" t="inlineStr"/>
      <c r="AE221" s="5" t="inlineStr"/>
      <c r="AF221" s="5" t="inlineStr"/>
      <c r="AG221" s="5" t="inlineStr"/>
      <c r="AH221" s="5" t="inlineStr"/>
      <c r="AI221" s="5" t="inlineStr"/>
      <c r="AJ221" s="5" t="inlineStr"/>
    </row>
    <row r="222">
      <c r="A222" s="5" t="inlineStr">
        <is>
          <t>b4-sivilce</t>
        </is>
      </c>
      <c r="B222" s="5" t="n">
        <v>2</v>
      </c>
      <c r="C222" s="6" t="inlineStr">
        <is>
          <t>Annenin kapatıcısını kullan</t>
        </is>
      </c>
      <c r="D222" s="5" t="inlineStr">
        <is>
          <t>Kurnazlık</t>
        </is>
      </c>
      <c r="E222" s="5" t="inlineStr">
        <is>
          <t>Orta</t>
        </is>
      </c>
      <c r="F222" s="5" t="inlineStr"/>
      <c r="G222" s="6" t="inlineStr"/>
      <c r="H222" s="6" t="inlineStr">
        <is>
          <t>Sivilce görünmüyor. Sadece alnında hafif bir ton farkı var.</t>
        </is>
      </c>
      <c r="I222" s="6" t="inlineStr">
        <is>
          <t>Kusursuz uyguladın. Fotoğrafçı 'Ne güzel cilt' dedi. Annen kapatıcının azaldığını hâlâ bilmiyor.</t>
        </is>
      </c>
      <c r="J222" s="6" t="inlineStr">
        <is>
          <t>Yanlış tonu seçtin. Alnında bej bir ada oluştu.</t>
        </is>
      </c>
      <c r="K222" s="6" t="inlineStr">
        <is>
          <t>Kapatıcı sandığın şey annenin göz farıymış. Yıllıkta alnında parlak mor bir yıldız var. Sonsuza dek.</t>
        </is>
      </c>
      <c r="L222" s="6" t="inlineStr"/>
      <c r="M222" s="5" t="inlineStr"/>
      <c r="N222" s="5" t="inlineStr"/>
      <c r="O222" s="6" t="inlineStr"/>
      <c r="P222" s="6" t="inlineStr"/>
      <c r="Q222" s="5" t="inlineStr"/>
      <c r="R222" s="5" t="inlineStr"/>
      <c r="S222" s="5" t="inlineStr"/>
      <c r="T222" s="5" t="inlineStr"/>
      <c r="U222" s="5" t="inlineStr"/>
      <c r="V222" s="5" t="inlineStr"/>
      <c r="W222" s="5" t="inlineStr"/>
      <c r="X222" s="5" t="inlineStr"/>
      <c r="Y222" s="5" t="inlineStr"/>
      <c r="Z222" s="6" t="inlineStr"/>
      <c r="AA222" s="5" t="inlineStr"/>
      <c r="AB222" s="5" t="inlineStr"/>
      <c r="AC222" s="5" t="inlineStr"/>
      <c r="AD222" s="5" t="inlineStr"/>
      <c r="AE222" s="5" t="inlineStr"/>
      <c r="AF222" s="5" t="inlineStr"/>
      <c r="AG222" s="5" t="inlineStr"/>
      <c r="AH222" s="5" t="inlineStr"/>
      <c r="AI222" s="5" t="inlineStr"/>
      <c r="AJ222" s="5" t="inlineStr"/>
    </row>
    <row r="223">
      <c r="A223" s="5" t="inlineStr">
        <is>
          <t>b4-sivilce</t>
        </is>
      </c>
      <c r="B223" s="5" t="n">
        <v>3</v>
      </c>
      <c r="C223" s="6" t="inlineStr">
        <is>
          <t>Bere tak</t>
        </is>
      </c>
      <c r="D223" s="5" t="inlineStr">
        <is>
          <t>Kurnazlık</t>
        </is>
      </c>
      <c r="E223" s="5" t="inlineStr">
        <is>
          <t>Kolay</t>
        </is>
      </c>
      <c r="F223" s="5" t="inlineStr"/>
      <c r="G223" s="6" t="inlineStr"/>
      <c r="H223" s="6" t="inlineStr">
        <is>
          <t>Bereyle poz verdin. Fotoğrafçı “Çok havalı” dedi; sınıf öğretmeni “Okulda bere yasak” dedi ama fotoğraf çoktan çekilmişti.</t>
        </is>
      </c>
      <c r="I223" s="6" t="inlineStr">
        <is>
          <t>Ertesi hafta sınıfın yarısı bereyle geldi. Trendi bir sivilce başlattı.</t>
        </is>
      </c>
      <c r="J223" s="6" t="inlineStr">
        <is>
          <t>Fotoğrafçı bereni çıkarttı.</t>
        </is>
      </c>
      <c r="K223" s="6" t="inlineStr">
        <is>
          <t>Fotoğrafçı bereni çıkarttı; statik elektrikten saçların dikildi. Sivilce ikinci planda kaldı. Saçların birinci.</t>
        </is>
      </c>
      <c r="L223" s="6" t="inlineStr"/>
      <c r="M223" s="5" t="inlineStr"/>
      <c r="N223" s="5" t="inlineStr"/>
      <c r="O223" s="6" t="inlineStr"/>
      <c r="P223" s="6" t="inlineStr"/>
      <c r="Q223" s="5" t="inlineStr"/>
      <c r="R223" s="5" t="inlineStr"/>
      <c r="S223" s="5" t="inlineStr"/>
      <c r="T223" s="5" t="inlineStr"/>
      <c r="U223" s="5" t="inlineStr"/>
      <c r="V223" s="5" t="inlineStr"/>
      <c r="W223" s="5" t="inlineStr"/>
      <c r="X223" s="5" t="inlineStr"/>
      <c r="Y223" s="5" t="inlineStr"/>
      <c r="Z223" s="6" t="inlineStr"/>
      <c r="AA223" s="5" t="inlineStr"/>
      <c r="AB223" s="5" t="inlineStr"/>
      <c r="AC223" s="5" t="inlineStr"/>
      <c r="AD223" s="5" t="inlineStr"/>
      <c r="AE223" s="5" t="inlineStr"/>
      <c r="AF223" s="5" t="inlineStr"/>
      <c r="AG223" s="5" t="inlineStr"/>
      <c r="AH223" s="5" t="inlineStr"/>
      <c r="AI223" s="5" t="inlineStr"/>
      <c r="AJ223" s="5" t="inlineStr"/>
    </row>
    <row r="224">
      <c r="A224" s="5" t="inlineStr">
        <is>
          <t>b4-sivilce</t>
        </is>
      </c>
      <c r="B224" s="5" t="n">
        <v>4</v>
      </c>
      <c r="C224" s="6" t="inlineStr">
        <is>
          <t>Sivilceye isim ver</t>
        </is>
      </c>
      <c r="D224" s="5" t="inlineStr">
        <is>
          <t>Çene</t>
        </is>
      </c>
      <c r="E224" s="5" t="inlineStr">
        <is>
          <t>Kolay</t>
        </is>
      </c>
      <c r="F224" s="5" t="inlineStr"/>
      <c r="G224" s="6" t="inlineStr"/>
      <c r="H224" s="6" t="inlineStr">
        <is>
          <t>Sivilceye 'Müdür Bey' dedin. Sınıf gün boyu ona selam verdi. Kimse seninle dalga geçemedi, çünkü önce sen geçtin.</t>
        </is>
      </c>
      <c r="I224" s="6" t="inlineStr">
        <is>
          <t>Müdür Bey'in resmî bir veda töreni yapıldı. Sınıf alkışladı. Başka hiçbir sivilce bu kadar sevilmedi.</t>
        </is>
      </c>
      <c r="J224" s="6" t="inlineStr">
        <is>
          <t>İsmi koydun; ertesi gün Müdür Bey'in bir yardımcısı çıktı.</t>
        </is>
      </c>
      <c r="K224" s="6" t="inlineStr">
        <is>
          <t>Sivilce iki günde geçti, ad geçmedi. Sınıf artık sana “Müdür Bey” diyor. Gerçek müdür bunu duyunca seni odasına çağırdı; kim olduğunu görmek istemiş.</t>
        </is>
      </c>
      <c r="L224" s="6" t="inlineStr"/>
      <c r="M224" s="5" t="inlineStr"/>
      <c r="N224" s="5" t="inlineStr"/>
      <c r="O224" s="6" t="inlineStr"/>
      <c r="P224" s="6" t="inlineStr"/>
      <c r="Q224" s="5" t="inlineStr">
        <is>
          <t>Kendine Gülebilir</t>
        </is>
      </c>
      <c r="R224" s="5" t="inlineStr"/>
      <c r="S224" s="5" t="inlineStr"/>
      <c r="T224" s="5" t="inlineStr"/>
      <c r="U224" s="5" t="inlineStr"/>
      <c r="V224" s="5" t="inlineStr"/>
      <c r="W224" s="5" t="inlineStr"/>
      <c r="X224" s="5" t="inlineStr"/>
      <c r="Y224" s="5" t="inlineStr"/>
      <c r="Z224" s="6" t="inlineStr"/>
      <c r="AA224" s="5" t="inlineStr"/>
      <c r="AB224" s="5" t="inlineStr"/>
      <c r="AC224" s="5" t="inlineStr"/>
      <c r="AD224" s="5" t="inlineStr"/>
      <c r="AE224" s="5" t="inlineStr"/>
      <c r="AF224" s="5" t="inlineStr"/>
      <c r="AG224" s="5" t="inlineStr"/>
      <c r="AH224" s="5" t="inlineStr"/>
      <c r="AI224" s="5" t="inlineStr">
        <is>
          <t>Müdür Bey</t>
        </is>
      </c>
      <c r="AJ224" s="5" t="inlineStr"/>
    </row>
    <row r="225">
      <c r="A225" s="5" t="inlineStr">
        <is>
          <t>b4-ses-catlamasi</t>
        </is>
      </c>
      <c r="B225" s="5" t="n">
        <v>1</v>
      </c>
      <c r="C225" s="6" t="inlineStr">
        <is>
          <t>Fısıltıyla oku</t>
        </is>
      </c>
      <c r="D225" s="5" t="inlineStr"/>
      <c r="E225" s="5" t="inlineStr"/>
      <c r="F225" s="5" t="inlineStr">
        <is>
          <t>Kurnazlık +1</t>
        </is>
      </c>
      <c r="G225" s="6" t="inlineStr">
        <is>
          <t>Fısıltıyla okudun. Öğretmen “Duyamıyoruz” dedi. Biraz yükselttin; sesin tam “Makarya” kelimesinde ikiye bölündü. Fısıltı daha iyiydi.</t>
        </is>
      </c>
      <c r="H225" s="6" t="inlineStr"/>
      <c r="I225" s="6" t="inlineStr"/>
      <c r="J225" s="6" t="inlineStr"/>
      <c r="K225" s="6" t="inlineStr"/>
      <c r="L225" s="6" t="inlineStr"/>
      <c r="M225" s="5" t="inlineStr"/>
      <c r="N225" s="5" t="inlineStr"/>
      <c r="O225" s="6" t="inlineStr"/>
      <c r="P225" s="6" t="inlineStr"/>
      <c r="Q225" s="5" t="inlineStr"/>
      <c r="R225" s="5" t="inlineStr"/>
      <c r="S225" s="5" t="inlineStr"/>
      <c r="T225" s="5" t="inlineStr"/>
      <c r="U225" s="5" t="inlineStr"/>
      <c r="V225" s="5" t="inlineStr"/>
      <c r="W225" s="5" t="inlineStr"/>
      <c r="X225" s="5" t="inlineStr"/>
      <c r="Y225" s="5" t="inlineStr"/>
      <c r="Z225" s="6" t="inlineStr"/>
      <c r="AA225" s="5" t="inlineStr"/>
      <c r="AB225" s="5" t="inlineStr"/>
      <c r="AC225" s="5" t="inlineStr"/>
      <c r="AD225" s="5" t="inlineStr"/>
      <c r="AE225" s="5" t="inlineStr"/>
      <c r="AF225" s="5" t="inlineStr"/>
      <c r="AG225" s="5" t="inlineStr"/>
      <c r="AH225" s="5" t="inlineStr"/>
      <c r="AI225" s="5" t="inlineStr"/>
      <c r="AJ225" s="5" t="inlineStr"/>
    </row>
    <row r="226">
      <c r="A226" s="5" t="inlineStr">
        <is>
          <t>b4-ses-catlamasi</t>
        </is>
      </c>
      <c r="B226" s="5" t="n">
        <v>2</v>
      </c>
      <c r="C226" s="6" t="inlineStr">
        <is>
          <t>Normal oku</t>
        </is>
      </c>
      <c r="D226" s="5" t="inlineStr">
        <is>
          <t>Dayanıklılık</t>
        </is>
      </c>
      <c r="E226" s="5" t="inlineStr">
        <is>
          <t>Orta</t>
        </is>
      </c>
      <c r="F226" s="5" t="inlineStr"/>
      <c r="G226" s="6" t="inlineStr"/>
      <c r="H226" s="6" t="inlineStr">
        <is>
          <t>Ses çatlamadı. Paragraf bitti. Sınıf kayıtsız. Bu yaşta en büyük başarı.</t>
        </is>
      </c>
      <c r="I226" s="6" t="inlineStr">
        <is>
          <t>Paragrafı pürüzsüz okudun; öğretmen 'Ne güzel tok bir ses' dedi. Sınıf ilk kez seni dinledi.</t>
        </is>
      </c>
      <c r="J226" s="6" t="inlineStr">
        <is>
          <t>“Makarya'nın başlıca ürünleri…” derken sesin inceldi. Arka sıradan biri kıkırdadı; öğretmen bakınca sustu.</t>
        </is>
      </c>
      <c r="K226" s="6" t="inlineStr">
        <is>
          <t>Ses çatladı, sen durdun, sınıf durdu, öğretmen devam etmeni istedi. Lakabın o günden beri 'Kanarya'.</t>
        </is>
      </c>
      <c r="L226" s="6" t="inlineStr">
        <is>
          <t>Paragrafın çoğunu tok okudun; son kelimede ses bir an kaçtı. Sadece arka sıra duydu.</t>
        </is>
      </c>
      <c r="M226" s="5" t="inlineStr">
        <is>
          <t>timing</t>
        </is>
      </c>
      <c r="N226" s="5" t="inlineStr">
        <is>
          <t>Sesini Sabit Tut</t>
        </is>
      </c>
      <c r="O226" s="6" t="inlineStr">
        <is>
          <t>İbre yeşil alandayken DURDUR'a bas. Art arda tutturdukça kombo kazanırsın.</t>
        </is>
      </c>
      <c r="P226" s="6" t="n"/>
      <c r="Q226" s="5" t="inlineStr"/>
      <c r="R226" s="5" t="inlineStr"/>
      <c r="S226" s="5" t="inlineStr"/>
      <c r="T226" s="5" t="inlineStr"/>
      <c r="U226" s="5" t="inlineStr"/>
      <c r="V226" s="5" t="inlineStr"/>
      <c r="W226" s="5" t="inlineStr">
        <is>
          <t>lakapli</t>
        </is>
      </c>
      <c r="X226" s="5" t="inlineStr"/>
      <c r="Y226" s="5" t="inlineStr"/>
      <c r="Z226" s="6" t="inlineStr"/>
      <c r="AA226" s="5" t="inlineStr"/>
      <c r="AB226" s="5" t="inlineStr"/>
      <c r="AC226" s="5" t="inlineStr"/>
      <c r="AD226" s="5" t="inlineStr"/>
      <c r="AE226" s="5" t="inlineStr"/>
      <c r="AF226" s="5" t="inlineStr"/>
      <c r="AG226" s="5" t="inlineStr"/>
      <c r="AH226" s="5" t="inlineStr"/>
      <c r="AI226" s="5" t="inlineStr">
        <is>
          <t>Kanarya</t>
        </is>
      </c>
      <c r="AJ226" s="5" t="inlineStr"/>
    </row>
    <row r="227">
      <c r="A227" s="5" t="inlineStr">
        <is>
          <t>b4-ses-catlamasi</t>
        </is>
      </c>
      <c r="B227" s="5" t="n">
        <v>3</v>
      </c>
      <c r="C227" s="6" t="inlineStr">
        <is>
          <t>Bas sesle oku</t>
        </is>
      </c>
      <c r="D227" s="5" t="inlineStr">
        <is>
          <t>Pişkinlik</t>
        </is>
      </c>
      <c r="E227" s="5" t="inlineStr">
        <is>
          <t>Zor</t>
        </is>
      </c>
      <c r="F227" s="5" t="inlineStr"/>
      <c r="G227" s="6" t="inlineStr"/>
      <c r="H227" s="6" t="inlineStr">
        <is>
          <t>Haber spikeri tonunda okudun. Öğretmen seni tören sunucusu yaptı.</t>
        </is>
      </c>
      <c r="I227" s="6" t="inlineStr">
        <is>
          <t>O kadar tok okudun ki müdür yardımcısı sınıfa girip anonsu senin yapmanı istedi. Okulun resmî sesisin.</t>
        </is>
      </c>
      <c r="J227" s="6" t="inlineStr">
        <is>
          <t>Bas başladın, tiz bitirdin. Tek cümlede iki kişi konuştu.</t>
        </is>
      </c>
      <c r="K227" s="6" t="inlineStr">
        <is>
          <t>Bas başladın, öksürdün, soprano devam ettin. Müzik öğretmeni seni koroya yazdı. En ön sıraya.</t>
        </is>
      </c>
      <c r="L227" s="6" t="inlineStr"/>
      <c r="M227" s="5" t="inlineStr"/>
      <c r="N227" s="5" t="inlineStr"/>
      <c r="O227" s="6" t="inlineStr"/>
      <c r="P227" s="6" t="inlineStr"/>
      <c r="Q227" s="5" t="inlineStr"/>
      <c r="R227" s="5" t="inlineStr"/>
      <c r="S227" s="5" t="inlineStr"/>
      <c r="T227" s="5" t="inlineStr"/>
      <c r="U227" s="5" t="inlineStr"/>
      <c r="V227" s="5" t="inlineStr"/>
      <c r="W227" s="5" t="inlineStr"/>
      <c r="X227" s="5" t="inlineStr"/>
      <c r="Y227" s="5" t="inlineStr"/>
      <c r="Z227" s="6" t="inlineStr"/>
      <c r="AA227" s="5" t="inlineStr"/>
      <c r="AB227" s="5" t="inlineStr"/>
      <c r="AC227" s="5" t="inlineStr"/>
      <c r="AD227" s="5" t="inlineStr"/>
      <c r="AE227" s="5" t="inlineStr"/>
      <c r="AF227" s="5" t="inlineStr"/>
      <c r="AG227" s="5" t="inlineStr"/>
      <c r="AH227" s="5" t="inlineStr"/>
      <c r="AI227" s="5" t="inlineStr"/>
      <c r="AJ227" s="5" t="inlineStr"/>
    </row>
    <row r="228">
      <c r="A228" s="5" t="inlineStr">
        <is>
          <t>b4-ses-catlamasi</t>
        </is>
      </c>
      <c r="B228" s="5" t="n">
        <v>4</v>
      </c>
      <c r="C228" s="6" t="inlineStr">
        <is>
          <t>Çatlamayı şova çevir</t>
        </is>
      </c>
      <c r="D228" s="5" t="inlineStr">
        <is>
          <t>Pişkinlik</t>
        </is>
      </c>
      <c r="E228" s="5" t="inlineStr">
        <is>
          <t>Kolay</t>
        </is>
      </c>
      <c r="F228" s="5" t="inlineStr"/>
      <c r="G228" s="6" t="inlineStr"/>
      <c r="H228" s="6" t="inlineStr">
        <is>
          <t>Ses çatlayınca eğilip selam verdin. Sınıf alkışladı; öğretmen gülmemek için tahtaya döndü.</t>
        </is>
      </c>
      <c r="I228" s="6" t="inlineStr">
        <is>
          <t>Her çatlamada farklı bir karakterin sesini yaptın. Paragraf bir radyo tiyatrosuna döndü.</t>
        </is>
      </c>
      <c r="J228" s="6" t="inlineStr">
        <is>
          <t>Şova çevirdin; öğretmen 'Tekrar baştan' dedi. Gösteri iki kez oynandı, ikincisi daha kötü.</t>
        </is>
      </c>
      <c r="K228" s="6" t="inlineStr">
        <is>
          <t>Şova çevirdin, sınıf coştu. Tam o sırada müdür kapıdan başını uzattı. Gösteri müdürün odasında, tek seyirciyle devam etti.</t>
        </is>
      </c>
      <c r="L228" s="6" t="inlineStr"/>
      <c r="M228" s="5" t="inlineStr"/>
      <c r="N228" s="5" t="inlineStr"/>
      <c r="O228" s="6" t="inlineStr"/>
      <c r="P228" s="6" t="inlineStr"/>
      <c r="Q228" s="5" t="inlineStr">
        <is>
          <t>Sahne Sever</t>
        </is>
      </c>
      <c r="R228" s="5" t="inlineStr"/>
      <c r="S228" s="5" t="inlineStr"/>
      <c r="T228" s="5" t="inlineStr"/>
      <c r="U228" s="5" t="inlineStr"/>
      <c r="V228" s="5" t="inlineStr"/>
      <c r="W228" s="5" t="inlineStr"/>
      <c r="X228" s="5" t="inlineStr"/>
      <c r="Y228" s="5" t="inlineStr"/>
      <c r="Z228" s="6" t="inlineStr"/>
      <c r="AA228" s="5" t="inlineStr"/>
      <c r="AB228" s="5" t="inlineStr"/>
      <c r="AC228" s="5" t="inlineStr"/>
      <c r="AD228" s="5" t="inlineStr"/>
      <c r="AE228" s="5" t="inlineStr"/>
      <c r="AF228" s="5" t="inlineStr"/>
      <c r="AG228" s="5" t="inlineStr"/>
      <c r="AH228" s="5" t="inlineStr"/>
      <c r="AI228" s="5" t="inlineStr"/>
      <c r="AJ228" s="5" t="inlineStr"/>
    </row>
    <row r="229">
      <c r="A229" s="5" t="inlineStr">
        <is>
          <t>b4-ogretmenler-gunu</t>
        </is>
      </c>
      <c r="B229" s="5" t="n">
        <v>1</v>
      </c>
      <c r="C229" s="6" t="inlineStr">
        <is>
          <t>Elle kart yaz</t>
        </is>
      </c>
      <c r="D229" s="5" t="inlineStr"/>
      <c r="E229" s="5" t="inlineStr"/>
      <c r="F229" s="5" t="inlineStr">
        <is>
          <t>İtibar +1</t>
        </is>
      </c>
      <c r="G229" s="6" t="inlineStr">
        <is>
          <t>El yazısıyla bir kart verdin. Öğretmen çantasına koydu. Yıllar sonra da orada olacak.</t>
        </is>
      </c>
      <c r="H229" s="6" t="inlineStr"/>
      <c r="I229" s="6" t="inlineStr"/>
      <c r="J229" s="6" t="inlineStr"/>
      <c r="K229" s="6" t="inlineStr"/>
      <c r="L229" s="6" t="inlineStr"/>
      <c r="M229" s="5" t="inlineStr"/>
      <c r="N229" s="5" t="inlineStr"/>
      <c r="O229" s="6" t="inlineStr"/>
      <c r="P229" s="6" t="inlineStr"/>
      <c r="Q229" s="5" t="inlineStr"/>
      <c r="R229" s="5" t="inlineStr"/>
      <c r="S229" s="5" t="inlineStr"/>
      <c r="T229" s="5" t="inlineStr"/>
      <c r="U229" s="5" t="inlineStr"/>
      <c r="V229" s="5" t="inlineStr"/>
      <c r="W229" s="5" t="inlineStr"/>
      <c r="X229" s="5" t="inlineStr"/>
      <c r="Y229" s="5" t="inlineStr"/>
      <c r="Z229" s="6" t="inlineStr"/>
      <c r="AA229" s="5" t="inlineStr"/>
      <c r="AB229" s="5" t="inlineStr"/>
      <c r="AC229" s="5" t="inlineStr"/>
      <c r="AD229" s="5" t="inlineStr"/>
      <c r="AE229" s="5" t="inlineStr"/>
      <c r="AF229" s="5" t="inlineStr"/>
      <c r="AG229" s="5" t="inlineStr"/>
      <c r="AH229" s="5" t="inlineStr"/>
      <c r="AI229" s="5" t="inlineStr"/>
      <c r="AJ229" s="5" t="inlineStr"/>
    </row>
    <row r="230">
      <c r="A230" s="5" t="inlineStr">
        <is>
          <t>b4-ogretmenler-gunu</t>
        </is>
      </c>
      <c r="B230" s="5" t="n">
        <v>2</v>
      </c>
      <c r="C230" s="6" t="inlineStr">
        <is>
          <t>Hediyeyi sen seç</t>
        </is>
      </c>
      <c r="D230" s="5" t="inlineStr">
        <is>
          <t>Sosyal Radar</t>
        </is>
      </c>
      <c r="E230" s="5" t="inlineStr">
        <is>
          <t>Orta</t>
        </is>
      </c>
      <c r="F230" s="5" t="inlineStr"/>
      <c r="G230" s="6" t="inlineStr"/>
      <c r="H230" s="6" t="inlineStr">
        <is>
          <t>Öğretmenin sevdiği çiçeği buldun. Masada tek canlı hediye sizinkiydi.</t>
        </is>
      </c>
      <c r="I230" s="6" t="inlineStr">
        <is>
          <t>Öğretmen hediyeyi açınca gözleri doldu ve 'Bunu nereden bildiniz?' dedi. Kimse sana sormadı ama herkes biliyor.</t>
        </is>
      </c>
      <c r="J230" s="6" t="inlineStr">
        <is>
          <t>Kupa aldınız. Öğretmenin masasında o yıl dokuz kupa vardı.</t>
        </is>
      </c>
      <c r="K230" s="6" t="inlineStr">
        <is>
          <t>Evdeki “yeni gibi” kupayı hediye diye paketledin. Öğretmen paketi sınıfta açtı ve kupayı tanıdı: geçen yıl annene kendisi vermişti.</t>
        </is>
      </c>
      <c r="L230" s="6" t="inlineStr"/>
      <c r="M230" s="5" t="inlineStr"/>
      <c r="N230" s="5" t="inlineStr"/>
      <c r="O230" s="6" t="inlineStr"/>
      <c r="P230" s="6" t="inlineStr"/>
      <c r="Q230" s="5" t="inlineStr"/>
      <c r="R230" s="5" t="inlineStr"/>
      <c r="S230" s="5" t="inlineStr"/>
      <c r="T230" s="5" t="inlineStr"/>
      <c r="U230" s="5" t="inlineStr"/>
      <c r="V230" s="5" t="inlineStr"/>
      <c r="W230" s="5" t="inlineStr"/>
      <c r="X230" s="5" t="inlineStr"/>
      <c r="Y230" s="5" t="inlineStr"/>
      <c r="Z230" s="6" t="inlineStr"/>
      <c r="AA230" s="5" t="inlineStr"/>
      <c r="AB230" s="5" t="inlineStr"/>
      <c r="AC230" s="5" t="inlineStr"/>
      <c r="AD230" s="5" t="inlineStr"/>
      <c r="AE230" s="5" t="inlineStr"/>
      <c r="AF230" s="5" t="inlineStr"/>
      <c r="AG230" s="5" t="inlineStr"/>
      <c r="AH230" s="5" t="inlineStr"/>
      <c r="AI230" s="5" t="inlineStr"/>
      <c r="AJ230" s="5" t="inlineStr"/>
    </row>
    <row r="231">
      <c r="A231" s="5" t="inlineStr">
        <is>
          <t>b4-ogretmenler-gunu</t>
        </is>
      </c>
      <c r="B231" s="5" t="n">
        <v>3</v>
      </c>
      <c r="C231" s="6" t="inlineStr">
        <is>
          <t>Para toplamayı üstlen</t>
        </is>
      </c>
      <c r="D231" s="5" t="inlineStr">
        <is>
          <t>İtibar</t>
        </is>
      </c>
      <c r="E231" s="5" t="inlineStr">
        <is>
          <t>Orta</t>
        </is>
      </c>
      <c r="F231" s="5" t="inlineStr"/>
      <c r="G231" s="6" t="inlineStr"/>
      <c r="H231" s="6" t="inlineStr">
        <is>
          <t>Paraları topladın, kuruşu kuruşuna deftere yazdın, para üstlerini geri verdin. Bir veli gruba yazdı: “Bu çocuğu site yönetimine alalım.”</t>
        </is>
      </c>
      <c r="I231" s="6" t="inlineStr">
        <is>
          <t>Toplamı hedefin üstüne çıkardın ve kalan parayla sınıfa pasta aldın. Veli grubu ilk kez hemfikir.</t>
        </is>
      </c>
      <c r="J231" s="6" t="inlineStr">
        <is>
          <t>Üç kişi 'Sonra veririm' dedi. Sonra gelmedi.</t>
        </is>
      </c>
      <c r="K231" s="6" t="inlineStr">
        <is>
          <t>Toplanan parayı pantolon cebinde unuttun. Annen pantolonu yıkadı ve paraları balkona tek tek mandalla astı. Bütün apartman öğretmen hediyesinin parasını balkondan izledi.</t>
        </is>
      </c>
      <c r="L231" s="6" t="inlineStr"/>
      <c r="M231" s="5" t="inlineStr"/>
      <c r="N231" s="5" t="inlineStr"/>
      <c r="O231" s="6" t="inlineStr"/>
      <c r="P231" s="6" t="inlineStr"/>
      <c r="Q231" s="5" t="inlineStr">
        <is>
          <t>Kuralı Koyan</t>
        </is>
      </c>
      <c r="R231" s="5" t="inlineStr"/>
      <c r="S231" s="5" t="inlineStr"/>
      <c r="T231" s="5" t="inlineStr"/>
      <c r="U231" s="5" t="inlineStr"/>
      <c r="V231" s="5" t="inlineStr"/>
      <c r="W231" s="5" t="inlineStr"/>
      <c r="X231" s="5" t="inlineStr"/>
      <c r="Y231" s="5" t="inlineStr"/>
      <c r="Z231" s="6" t="inlineStr"/>
      <c r="AA231" s="5" t="inlineStr"/>
      <c r="AB231" s="5" t="inlineStr"/>
      <c r="AC231" s="5" t="inlineStr"/>
      <c r="AD231" s="5" t="inlineStr"/>
      <c r="AE231" s="5" t="inlineStr"/>
      <c r="AF231" s="5" t="inlineStr"/>
      <c r="AG231" s="5" t="inlineStr"/>
      <c r="AH231" s="5" t="inlineStr"/>
      <c r="AI231" s="5" t="inlineStr"/>
      <c r="AJ231" s="5" t="inlineStr"/>
    </row>
    <row r="232">
      <c r="A232" s="5" t="inlineStr">
        <is>
          <t>b4-ogretmenler-gunu</t>
        </is>
      </c>
      <c r="B232" s="5" t="n">
        <v>4</v>
      </c>
      <c r="C232" s="6" t="inlineStr">
        <is>
          <t>Veli grubunu yatıştır</t>
        </is>
      </c>
      <c r="D232" s="5" t="inlineStr">
        <is>
          <t>İtibar</t>
        </is>
      </c>
      <c r="E232" s="5" t="inlineStr">
        <is>
          <t>Zor</t>
        </is>
      </c>
      <c r="F232" s="5" t="inlineStr"/>
      <c r="G232" s="6" t="inlineStr"/>
      <c r="H232" s="6" t="inlineStr">
        <is>
          <t>Annene 'Katılmak isteyen katılsın, isteyen kart yazsın' yazdırdın. Grup sakinleşti.</t>
        </is>
      </c>
      <c r="I232" s="6" t="inlineStr">
        <is>
          <t>Annene öyle bir mesaj yazdırdın ki küs iki anne aynı mesaja kalp bıraktı. Ertesi sabah okul kapısında yan yana durdular. Annen gururla “Ben yazdım” dedi.</t>
        </is>
      </c>
      <c r="J232" s="6" t="inlineStr">
        <is>
          <t>Annene yazdırdın; bir veli 'Çocuk mu yazıyor bunları?' diye sordu.</t>
        </is>
      </c>
      <c r="K232" s="6" t="inlineStr">
        <is>
          <t>Annen mesajı senin cümlelerinle gönderdi ama sonuna 'Böyle yaz dedi' diye ekledi.</t>
        </is>
      </c>
      <c r="L232" s="6" t="inlineStr"/>
      <c r="M232" s="5" t="inlineStr"/>
      <c r="N232" s="5" t="inlineStr"/>
      <c r="O232" s="6" t="inlineStr"/>
      <c r="P232" s="6" t="inlineStr"/>
      <c r="Q232" s="5" t="inlineStr">
        <is>
          <t>Grup Diplomatı</t>
        </is>
      </c>
      <c r="R232" s="5" t="inlineStr"/>
      <c r="S232" s="5" t="inlineStr"/>
      <c r="T232" s="5" t="inlineStr"/>
      <c r="U232" s="5" t="inlineStr"/>
      <c r="V232" s="5" t="inlineStr"/>
      <c r="W232" s="5" t="inlineStr"/>
      <c r="X232" s="5" t="inlineStr"/>
      <c r="Y232" s="5" t="inlineStr"/>
      <c r="Z232" s="6" t="inlineStr"/>
      <c r="AA232" s="5" t="inlineStr"/>
      <c r="AB232" s="5" t="inlineStr"/>
      <c r="AC232" s="5" t="inlineStr"/>
      <c r="AD232" s="5" t="inlineStr"/>
      <c r="AE232" s="5" t="inlineStr"/>
      <c r="AF232" s="5" t="inlineStr"/>
      <c r="AG232" s="5" t="inlineStr"/>
      <c r="AH232" s="5" t="inlineStr"/>
      <c r="AI232" s="5" t="inlineStr"/>
      <c r="AJ232" s="5" t="inlineStr"/>
    </row>
    <row r="233">
      <c r="A233" s="5" t="inlineStr">
        <is>
          <t>b4-ilk-hoslanti</t>
        </is>
      </c>
      <c r="B233" s="5" t="n">
        <v>1</v>
      </c>
      <c r="C233" s="6" t="inlineStr">
        <is>
          <t>Hiçbir şey yapma</t>
        </is>
      </c>
      <c r="D233" s="5" t="inlineStr"/>
      <c r="E233" s="5" t="inlineStr"/>
      <c r="F233" s="5" t="inlineStr">
        <is>
          <t>Dayanıklılık +1</t>
        </is>
      </c>
      <c r="G233" s="6" t="inlineStr">
        <is>
          <t>Hiçbir şey yapmadın. Üç ay boyunca o beğeniyi düşündün, en yakın arkadaşına on dört kez anlattın. On beşincide arkadaşın “Yaz artık” dedi.</t>
        </is>
      </c>
      <c r="H233" s="6" t="inlineStr"/>
      <c r="I233" s="6" t="inlineStr"/>
      <c r="J233" s="6" t="inlineStr"/>
      <c r="K233" s="6" t="inlineStr"/>
      <c r="L233" s="6" t="inlineStr"/>
      <c r="M233" s="5" t="inlineStr"/>
      <c r="N233" s="5" t="inlineStr"/>
      <c r="O233" s="6" t="inlineStr"/>
      <c r="P233" s="6" t="inlineStr"/>
      <c r="Q233" s="5" t="inlineStr"/>
      <c r="R233" s="5" t="inlineStr"/>
      <c r="S233" s="5" t="inlineStr"/>
      <c r="T233" s="5" t="inlineStr"/>
      <c r="U233" s="5" t="inlineStr"/>
      <c r="V233" s="5" t="inlineStr"/>
      <c r="W233" s="5" t="inlineStr"/>
      <c r="X233" s="5" t="inlineStr"/>
      <c r="Y233" s="5" t="inlineStr"/>
      <c r="Z233" s="6" t="inlineStr"/>
      <c r="AA233" s="5" t="inlineStr"/>
      <c r="AB233" s="5" t="inlineStr"/>
      <c r="AC233" s="5" t="inlineStr"/>
      <c r="AD233" s="5" t="inlineStr"/>
      <c r="AE233" s="5" t="inlineStr"/>
      <c r="AF233" s="5" t="inlineStr"/>
      <c r="AG233" s="5" t="inlineStr"/>
      <c r="AH233" s="5" t="inlineStr"/>
      <c r="AI233" s="5" t="inlineStr"/>
      <c r="AJ233" s="5" t="inlineStr"/>
    </row>
    <row r="234">
      <c r="A234" s="5" t="inlineStr">
        <is>
          <t>b4-ilk-hoslanti</t>
        </is>
      </c>
      <c r="B234" s="5" t="n">
        <v>2</v>
      </c>
      <c r="C234" s="6" t="inlineStr">
        <is>
          <t>İlk mesajı at</t>
        </is>
      </c>
      <c r="D234" s="5" t="inlineStr">
        <is>
          <t>Gönül</t>
        </is>
      </c>
      <c r="E234" s="5" t="inlineStr">
        <is>
          <t>Zor</t>
        </is>
      </c>
      <c r="F234" s="5" t="inlineStr"/>
      <c r="G234" s="6" t="inlineStr"/>
      <c r="H234" s="6" t="inlineStr">
        <is>
          <t>“Selam” yazdın. Bir dakika sonra “Selam” geldi. Telefonu yatağa fırlattın, yüzünü yastığa gömüp bağırdın. Annen kapıyı açtı: “İyi misin?”</t>
        </is>
      </c>
      <c r="I234" s="6" t="inlineStr">
        <is>
          <t>Mesaj attın, cevap emojiyle geldi. Ertesi gün koridorda ilk kez yan yana yürüdünüz.</t>
        </is>
      </c>
      <c r="J234" s="6" t="inlineStr">
        <is>
          <t>'Selam' yazdın. Okundu. Üç gündür 'yazıyor...' görünüyor.</t>
        </is>
      </c>
      <c r="K234" s="6" t="inlineStr">
        <is>
          <t>Yazdın, sildin, yazdın. Silinen hâli gitti: 'Seni özlüyorum sanırım.' Hiç konuşmamıştınız.</t>
        </is>
      </c>
      <c r="L234" s="6" t="inlineStr"/>
      <c r="M234" s="5" t="inlineStr"/>
      <c r="N234" s="5" t="inlineStr"/>
      <c r="O234" s="6" t="inlineStr"/>
      <c r="P234" s="6" t="inlineStr"/>
      <c r="Q234" s="5" t="inlineStr"/>
      <c r="R234" s="5" t="inlineStr"/>
      <c r="S234" s="5" t="inlineStr"/>
      <c r="T234" s="5" t="inlineStr"/>
      <c r="U234" s="5" t="inlineStr"/>
      <c r="V234" s="5" t="inlineStr">
        <is>
          <t>ilk-mesaj</t>
        </is>
      </c>
      <c r="W234" s="5" t="inlineStr"/>
      <c r="X234" s="5" t="inlineStr"/>
      <c r="Y234" s="5" t="inlineStr"/>
      <c r="Z234" s="6" t="inlineStr"/>
      <c r="AA234" s="5" t="inlineStr"/>
      <c r="AB234" s="5" t="inlineStr"/>
      <c r="AC234" s="5" t="inlineStr"/>
      <c r="AD234" s="5" t="inlineStr"/>
      <c r="AE234" s="5" t="inlineStr"/>
      <c r="AF234" s="5" t="inlineStr"/>
      <c r="AG234" s="5" t="inlineStr"/>
      <c r="AH234" s="5" t="inlineStr"/>
      <c r="AI234" s="5" t="inlineStr"/>
      <c r="AJ234" s="5" t="inlineStr"/>
    </row>
    <row r="235">
      <c r="A235" s="5" t="inlineStr">
        <is>
          <t>b4-ilk-hoslanti</t>
        </is>
      </c>
      <c r="B235" s="5" t="n">
        <v>3</v>
      </c>
      <c r="C235" s="6" t="inlineStr">
        <is>
          <t>Hikâyesine emoji bırak</t>
        </is>
      </c>
      <c r="D235" s="5" t="inlineStr">
        <is>
          <t>Kurnazlık</t>
        </is>
      </c>
      <c r="E235" s="5" t="inlineStr">
        <is>
          <t>Kolay</t>
        </is>
      </c>
      <c r="F235" s="5" t="inlineStr"/>
      <c r="G235" s="6" t="inlineStr"/>
      <c r="H235" s="6" t="inlineStr">
        <is>
          <t>Ateş emojisi bıraktın. Karşılığında kalp geldi. Telefonu yastığın altına koydun; gece üç kez çıkarıp baktın.</t>
        </is>
      </c>
      <c r="I235" s="6" t="inlineStr">
        <is>
          <t>Emojine cevap olarak özel mesaj geldi: 'Sen de mi bu şarkıyı seviyorsun?' Sevmiyordun. Artık seviyorsun.</t>
        </is>
      </c>
      <c r="J235" s="6" t="inlineStr">
        <is>
          <t>Emoji bıraktın. O da herkese aynı emojiyi bırakıyormuş.</t>
        </is>
      </c>
      <c r="K235" s="6" t="inlineStr">
        <is>
          <t>Ateş bırakacaktın, itfaiye aracı gitti. Cevap geldi: “Yangın mı var?” “Evet” yazdın. Neden yazdığını hâlâ bilmiyorsun.</t>
        </is>
      </c>
      <c r="L235" s="6" t="inlineStr"/>
      <c r="M235" s="5" t="inlineStr"/>
      <c r="N235" s="5" t="inlineStr"/>
      <c r="O235" s="6" t="inlineStr"/>
      <c r="P235" s="6" t="inlineStr"/>
      <c r="Q235" s="5" t="inlineStr"/>
      <c r="R235" s="5" t="inlineStr"/>
      <c r="S235" s="5" t="inlineStr"/>
      <c r="T235" s="5" t="inlineStr"/>
      <c r="U235" s="5" t="inlineStr"/>
      <c r="V235" s="5" t="inlineStr"/>
      <c r="W235" s="5" t="inlineStr"/>
      <c r="X235" s="5" t="inlineStr"/>
      <c r="Y235" s="5" t="inlineStr"/>
      <c r="Z235" s="6" t="inlineStr"/>
      <c r="AA235" s="5" t="inlineStr"/>
      <c r="AB235" s="5" t="inlineStr"/>
      <c r="AC235" s="5" t="inlineStr"/>
      <c r="AD235" s="5" t="inlineStr"/>
      <c r="AE235" s="5" t="inlineStr"/>
      <c r="AF235" s="5" t="inlineStr"/>
      <c r="AG235" s="5" t="inlineStr"/>
      <c r="AH235" s="5" t="inlineStr"/>
      <c r="AI235" s="5" t="inlineStr"/>
      <c r="AJ235" s="5" t="inlineStr"/>
    </row>
    <row r="236">
      <c r="A236" s="5" t="inlineStr">
        <is>
          <t>b4-ilk-hoslanti</t>
        </is>
      </c>
      <c r="B236" s="5" t="n">
        <v>4</v>
      </c>
      <c r="C236" s="6" t="inlineStr">
        <is>
          <t>Ortak arkadaşa sor</t>
        </is>
      </c>
      <c r="D236" s="5" t="inlineStr">
        <is>
          <t>Sosyal Radar</t>
        </is>
      </c>
      <c r="E236" s="5" t="inlineStr">
        <is>
          <t>Kolay</t>
        </is>
      </c>
      <c r="F236" s="5" t="inlineStr"/>
      <c r="G236" s="6" t="inlineStr"/>
      <c r="H236" s="6" t="inlineStr">
        <is>
          <t>Ortak arkadaş haber getirdi: “O da senin hikâyeni ilk izleyenlerden.” O gece uyuyamadın.</t>
        </is>
      </c>
      <c r="I236" s="6" t="inlineStr">
        <is>
          <t>Ortak arkadaş ortamı öyle hazırladı ki teneffüste yanınıza iki kişilik boşluk bırakıldı.</t>
        </is>
      </c>
      <c r="J236" s="6" t="inlineStr">
        <is>
          <t>Ortak arkadaş 'Bilmiyorum, sorayım mı?' dedi. Sormamasını rica ettin. Sordu.</t>
        </is>
      </c>
      <c r="K236" s="6" t="inlineStr">
        <is>
          <t>Ortak arkadaş soruyu kendi bildiği gibi iletti: “Biri seni seviyormuş ama söylemememi istedi.” Cevap geldi: “Kim?” Ortak arkadaş senin adını yazdı.</t>
        </is>
      </c>
      <c r="L236" s="6" t="inlineStr"/>
      <c r="M236" s="5" t="inlineStr"/>
      <c r="N236" s="5" t="inlineStr"/>
      <c r="O236" s="6" t="inlineStr"/>
      <c r="P236" s="6" t="inlineStr"/>
      <c r="Q236" s="5" t="inlineStr"/>
      <c r="R236" s="5" t="inlineStr"/>
      <c r="S236" s="5" t="inlineStr">
        <is>
          <t>Sosyal Radar</t>
        </is>
      </c>
      <c r="T236" s="5" t="inlineStr"/>
      <c r="U236" s="5" t="inlineStr"/>
      <c r="V236" s="5" t="inlineStr">
        <is>
          <t>ilk-mesaj</t>
        </is>
      </c>
      <c r="W236" s="5" t="inlineStr"/>
      <c r="X236" s="5" t="inlineStr"/>
      <c r="Y236" s="5" t="inlineStr"/>
      <c r="Z236" s="6" t="inlineStr"/>
      <c r="AA236" s="5" t="inlineStr"/>
      <c r="AB236" s="5" t="inlineStr"/>
      <c r="AC236" s="5" t="inlineStr"/>
      <c r="AD236" s="5" t="inlineStr"/>
      <c r="AE236" s="5" t="inlineStr"/>
      <c r="AF236" s="5" t="inlineStr"/>
      <c r="AG236" s="5" t="inlineStr"/>
      <c r="AH236" s="5" t="inlineStr"/>
      <c r="AI236" s="5" t="inlineStr"/>
      <c r="AJ236" s="5" t="inlineStr"/>
    </row>
    <row r="237">
      <c r="A237" s="5" t="inlineStr">
        <is>
          <t>b4-grup-odevi</t>
        </is>
      </c>
      <c r="B237" s="5" t="n">
        <v>1</v>
      </c>
      <c r="C237" s="6" t="inlineStr">
        <is>
          <t>Hepsini sen yap</t>
        </is>
      </c>
      <c r="D237" s="5" t="inlineStr"/>
      <c r="E237" s="5" t="inlineStr"/>
      <c r="F237" s="5" t="inlineStr">
        <is>
          <t>Dayanıklılık +1</t>
        </is>
      </c>
      <c r="G237" s="6" t="inlineStr">
        <is>
          <t>Ödevi tek başına yaptın. Sunumda üç kişi “Biz yaptık” dedi. Annen o gece ışığı söndürürken “Seninki en güzeliydi” dedi; görmemişti bile.</t>
        </is>
      </c>
      <c r="H237" s="6" t="inlineStr"/>
      <c r="I237" s="6" t="inlineStr"/>
      <c r="J237" s="6" t="inlineStr"/>
      <c r="K237" s="6" t="inlineStr"/>
      <c r="L237" s="6" t="inlineStr"/>
      <c r="M237" s="5" t="inlineStr"/>
      <c r="N237" s="5" t="inlineStr"/>
      <c r="O237" s="6" t="inlineStr"/>
      <c r="P237" s="6" t="inlineStr"/>
      <c r="Q237" s="5" t="inlineStr"/>
      <c r="R237" s="5" t="inlineStr"/>
      <c r="S237" s="5" t="inlineStr"/>
      <c r="T237" s="5" t="inlineStr"/>
      <c r="U237" s="5" t="inlineStr"/>
      <c r="V237" s="5" t="inlineStr"/>
      <c r="W237" s="5" t="inlineStr"/>
      <c r="X237" s="5" t="inlineStr"/>
      <c r="Y237" s="5" t="inlineStr"/>
      <c r="Z237" s="6" t="inlineStr"/>
      <c r="AA237" s="5" t="inlineStr"/>
      <c r="AB237" s="5" t="inlineStr"/>
      <c r="AC237" s="5" t="inlineStr"/>
      <c r="AD237" s="5" t="inlineStr"/>
      <c r="AE237" s="5" t="inlineStr"/>
      <c r="AF237" s="5" t="inlineStr"/>
      <c r="AG237" s="5" t="inlineStr"/>
      <c r="AH237" s="5" t="inlineStr"/>
      <c r="AI237" s="5" t="inlineStr"/>
      <c r="AJ237" s="5" t="inlineStr"/>
    </row>
    <row r="238">
      <c r="A238" s="5" t="inlineStr">
        <is>
          <t>b4-grup-odevi</t>
        </is>
      </c>
      <c r="B238" s="5" t="n">
        <v>2</v>
      </c>
      <c r="C238" s="6" t="inlineStr">
        <is>
          <t>Görev dağıt</t>
        </is>
      </c>
      <c r="D238" s="5" t="inlineStr">
        <is>
          <t>Çene</t>
        </is>
      </c>
      <c r="E238" s="5" t="inlineStr">
        <is>
          <t>Zor</t>
        </is>
      </c>
      <c r="F238" s="5" t="inlineStr"/>
      <c r="G238" s="6" t="inlineStr"/>
      <c r="H238" s="6" t="inlineStr">
        <is>
          <t>Herkese bir slayt verdin. Üç slayt geldi, biri başka bir ödevdendi ama geldi.</t>
        </is>
      </c>
      <c r="I238" s="6" t="inlineStr">
        <is>
          <t>Görevleri öyle dağıttın ki herkes kendi fikriymiş gibi çalıştı. Ödev bir gün erken bitti; grup bunu sana borçlu olduğunu bilmiyor.</t>
        </is>
      </c>
      <c r="J238" s="6" t="inlineStr">
        <is>
          <t>Görev dağıttın; üç kişi 'Tamam' yazdı ve bir daha hiçbir şey yazmadı.</t>
        </is>
      </c>
      <c r="K238" s="6" t="inlineStr">
        <is>
          <t>Görev dağıttın; biri sana 'Sen de mi öğretmensin?' yazdı. Grup ondan yana çıktı. Ödev yine sende.</t>
        </is>
      </c>
      <c r="L238" s="6" t="inlineStr"/>
      <c r="M238" s="5" t="inlineStr"/>
      <c r="N238" s="5" t="inlineStr"/>
      <c r="O238" s="6" t="inlineStr"/>
      <c r="P238" s="6" t="inlineStr"/>
      <c r="Q238" s="5" t="inlineStr"/>
      <c r="R238" s="5" t="inlineStr"/>
      <c r="S238" s="5" t="inlineStr"/>
      <c r="T238" s="5" t="inlineStr">
        <is>
          <t>Grup Diplomatı</t>
        </is>
      </c>
      <c r="U238" s="5" t="inlineStr"/>
      <c r="V238" s="5" t="inlineStr"/>
      <c r="W238" s="5" t="inlineStr"/>
      <c r="X238" s="5" t="inlineStr"/>
      <c r="Y238" s="5" t="inlineStr"/>
      <c r="Z238" s="6" t="inlineStr"/>
      <c r="AA238" s="5" t="inlineStr"/>
      <c r="AB238" s="5" t="inlineStr"/>
      <c r="AC238" s="5" t="inlineStr"/>
      <c r="AD238" s="5" t="inlineStr"/>
      <c r="AE238" s="5" t="inlineStr"/>
      <c r="AF238" s="5" t="inlineStr"/>
      <c r="AG238" s="5" t="inlineStr"/>
      <c r="AH238" s="5" t="inlineStr"/>
      <c r="AI238" s="5" t="inlineStr"/>
      <c r="AJ238" s="5" t="inlineStr"/>
    </row>
    <row r="239">
      <c r="A239" s="5" t="inlineStr">
        <is>
          <t>b4-grup-odevi</t>
        </is>
      </c>
      <c r="B239" s="5" t="n">
        <v>3</v>
      </c>
      <c r="C239" s="6" t="inlineStr">
        <is>
          <t>En sessiz olana alan aç</t>
        </is>
      </c>
      <c r="D239" s="5" t="inlineStr">
        <is>
          <t>Sosyal Radar</t>
        </is>
      </c>
      <c r="E239" s="5" t="inlineStr">
        <is>
          <t>Kolay</t>
        </is>
      </c>
      <c r="F239" s="5" t="inlineStr"/>
      <c r="G239" s="6" t="inlineStr"/>
      <c r="H239" s="6" t="inlineStr">
        <is>
          <t>Sessiz arkadaşa 'Sen başlar mısın?' dedin. Ertesi sabah ödev bitmişti. Kusursuz.</t>
        </is>
      </c>
      <c r="I239" s="6" t="inlineStr">
        <is>
          <t>Sessiz arkadaş ödevi bitirdi, sunumu da yaptı. Öğretmen 'Grup çalışması böyle olur' dedi. Hiç yoktu.</t>
        </is>
      </c>
      <c r="J239" s="6" t="inlineStr">
        <is>
          <t>Alan açtın; o da sessizce alanda bekledi.</t>
        </is>
      </c>
      <c r="K239" s="6" t="inlineStr">
        <is>
          <t>Alan açtın, o da ödevi yaptı ve kapağa sadece kendi adını yazdı. Haklıydı da.</t>
        </is>
      </c>
      <c r="L239" s="6" t="inlineStr"/>
      <c r="M239" s="5" t="inlineStr"/>
      <c r="N239" s="5" t="inlineStr"/>
      <c r="O239" s="6" t="inlineStr"/>
      <c r="P239" s="6" t="inlineStr"/>
      <c r="Q239" s="5" t="inlineStr"/>
      <c r="R239" s="5" t="inlineStr"/>
      <c r="S239" s="5" t="inlineStr">
        <is>
          <t>Sosyal Radar</t>
        </is>
      </c>
      <c r="T239" s="5" t="inlineStr"/>
      <c r="U239" s="5" t="inlineStr"/>
      <c r="V239" s="5" t="inlineStr"/>
      <c r="W239" s="5" t="inlineStr"/>
      <c r="X239" s="5" t="inlineStr"/>
      <c r="Y239" s="5" t="inlineStr"/>
      <c r="Z239" s="6" t="inlineStr"/>
      <c r="AA239" s="5" t="inlineStr"/>
      <c r="AB239" s="5" t="inlineStr"/>
      <c r="AC239" s="5" t="inlineStr"/>
      <c r="AD239" s="5" t="inlineStr"/>
      <c r="AE239" s="5" t="inlineStr"/>
      <c r="AF239" s="5" t="inlineStr"/>
      <c r="AG239" s="5" t="inlineStr"/>
      <c r="AH239" s="5" t="inlineStr"/>
      <c r="AI239" s="5" t="inlineStr"/>
      <c r="AJ239" s="5" t="inlineStr"/>
    </row>
    <row r="240">
      <c r="A240" s="5" t="inlineStr">
        <is>
          <t>b4-grup-odevi</t>
        </is>
      </c>
      <c r="B240" s="5" t="n">
        <v>4</v>
      </c>
      <c r="C240" s="6" t="inlineStr">
        <is>
          <t>Son gece ortaya çık</t>
        </is>
      </c>
      <c r="D240" s="5" t="inlineStr">
        <is>
          <t>Pişkinlik</t>
        </is>
      </c>
      <c r="E240" s="5" t="inlineStr">
        <is>
          <t>Orta</t>
        </is>
      </c>
      <c r="F240" s="5" t="inlineStr"/>
      <c r="G240" s="6" t="inlineStr"/>
      <c r="H240" s="6" t="inlineStr">
        <is>
          <t>Gece yarısı “Ben kapağı yaparım” yazdın. Kapak güzeldi; öğretmen ilk onu gördü ve “Emek var” dedi. Emek kapaktaydı.</t>
        </is>
      </c>
      <c r="I240" s="6" t="inlineStr">
        <is>
          <t>Kapağı öyle yaptın ki öğretmen sadece kapağa not verdi. En yüksek notu da sen aldın.</t>
        </is>
      </c>
      <c r="J240" s="6" t="inlineStr">
        <is>
          <t>Gece yarısı geldin; ödev çoktan bitmişti. Grup seni 'Kapak Sorumlusu' olarak kaydetti. Kapak da bitmişti.</t>
        </is>
      </c>
      <c r="K240" s="6" t="inlineStr">
        <is>
          <t>Gece yarısı geldin, yanlış klasörü yükledin. Öğretmen ödevi tahtaya yansıttı: babaannenin doğum günü videosu, sen pastanın başında “İyi ki doğdun”u detone söylüyorsun. Teneffüste bütün sınıf aynı detoneyle söyledi.</t>
        </is>
      </c>
      <c r="L240" s="6" t="inlineStr"/>
      <c r="M240" s="5" t="inlineStr"/>
      <c r="N240" s="5" t="inlineStr"/>
      <c r="O240" s="6" t="inlineStr"/>
      <c r="P240" s="6" t="inlineStr"/>
      <c r="Q240" s="5" t="inlineStr"/>
      <c r="R240" s="5" t="inlineStr"/>
      <c r="S240" s="5" t="inlineStr"/>
      <c r="T240" s="5" t="inlineStr"/>
      <c r="U240" s="5" t="inlineStr"/>
      <c r="V240" s="5" t="inlineStr"/>
      <c r="W240" s="5" t="inlineStr"/>
      <c r="X240" s="5" t="inlineStr"/>
      <c r="Y240" s="5" t="inlineStr"/>
      <c r="Z240" s="6" t="inlineStr"/>
      <c r="AA240" s="5" t="inlineStr"/>
      <c r="AB240" s="5" t="inlineStr"/>
      <c r="AC240" s="5" t="inlineStr"/>
      <c r="AD240" s="5" t="inlineStr"/>
      <c r="AE240" s="5" t="inlineStr"/>
      <c r="AF240" s="5" t="inlineStr"/>
      <c r="AG240" s="5" t="inlineStr"/>
      <c r="AH240" s="5" t="inlineStr"/>
      <c r="AI240" s="5" t="inlineStr"/>
      <c r="AJ240" s="5" t="inlineStr"/>
    </row>
    <row r="241">
      <c r="A241" s="5" t="inlineStr">
        <is>
          <t>b4-okul-gezisi</t>
        </is>
      </c>
      <c r="B241" s="5" t="n">
        <v>1</v>
      </c>
      <c r="C241" s="6" t="inlineStr">
        <is>
          <t>Öğretmenin yanına otur</t>
        </is>
      </c>
      <c r="D241" s="5" t="inlineStr"/>
      <c r="E241" s="5" t="inlineStr"/>
      <c r="F241" s="5" t="inlineStr">
        <is>
          <t>İtibar +1</t>
        </is>
      </c>
      <c r="G241" s="6" t="inlineStr">
        <is>
          <t>Öğretmenin yanında oturdun. Üç saat boyunca emeklilikte açacağı pansiyonu dinledin. Mola yerinde sana tost ısmarladı, ayranını da.</t>
        </is>
      </c>
      <c r="H241" s="6" t="inlineStr"/>
      <c r="I241" s="6" t="inlineStr"/>
      <c r="J241" s="6" t="inlineStr"/>
      <c r="K241" s="6" t="inlineStr"/>
      <c r="L241" s="6" t="inlineStr"/>
      <c r="M241" s="5" t="inlineStr"/>
      <c r="N241" s="5" t="inlineStr"/>
      <c r="O241" s="6" t="inlineStr"/>
      <c r="P241" s="6" t="inlineStr"/>
      <c r="Q241" s="5" t="inlineStr"/>
      <c r="R241" s="5" t="inlineStr"/>
      <c r="S241" s="5" t="inlineStr"/>
      <c r="T241" s="5" t="inlineStr"/>
      <c r="U241" s="5" t="inlineStr"/>
      <c r="V241" s="5" t="inlineStr"/>
      <c r="W241" s="5" t="inlineStr"/>
      <c r="X241" s="5" t="inlineStr"/>
      <c r="Y241" s="5" t="inlineStr"/>
      <c r="Z241" s="6" t="inlineStr"/>
      <c r="AA241" s="5" t="inlineStr"/>
      <c r="AB241" s="5" t="inlineStr"/>
      <c r="AC241" s="5" t="inlineStr"/>
      <c r="AD241" s="5" t="inlineStr"/>
      <c r="AE241" s="5" t="inlineStr"/>
      <c r="AF241" s="5" t="inlineStr"/>
      <c r="AG241" s="5" t="inlineStr"/>
      <c r="AH241" s="5" t="inlineStr"/>
      <c r="AI241" s="5" t="inlineStr"/>
      <c r="AJ241" s="5" t="inlineStr"/>
    </row>
    <row r="242">
      <c r="A242" s="5" t="inlineStr">
        <is>
          <t>b4-okul-gezisi</t>
        </is>
      </c>
      <c r="B242" s="5" t="n">
        <v>2</v>
      </c>
      <c r="C242" s="6" t="inlineStr">
        <is>
          <t>Arka koltuğu kap</t>
        </is>
      </c>
      <c r="D242" s="5" t="inlineStr">
        <is>
          <t>Kurnazlık</t>
        </is>
      </c>
      <c r="E242" s="5" t="inlineStr">
        <is>
          <t>Orta</t>
        </is>
      </c>
      <c r="F242" s="5" t="inlineStr"/>
      <c r="G242" s="6" t="inlineStr"/>
      <c r="H242" s="6" t="inlineStr">
        <is>
          <t>Arka koltuğa vardın, tam ortaya kuruldun. Öğretmen en öndeydi; o yolculukta kimse sana “Otur yerine” diyemedi.</t>
        </is>
      </c>
      <c r="I242" s="6" t="inlineStr">
        <is>
          <t>Arka koltuğun ortasını kaptın; otobüsün gayriresmî başkanı oldun. Şarkıları sen seçiyorsun.</t>
        </is>
      </c>
      <c r="J242" s="6" t="inlineStr">
        <is>
          <t>Arka koltuğa vardığında son yer bir çantaya verilmişti. Çanta daha popülerdi.</t>
        </is>
      </c>
      <c r="K242" s="6" t="inlineStr">
        <is>
          <t>Arka koltuğu kaptın, yol virajlıydı. Gezi fotoğraflarının hepsinde yeşilsin.</t>
        </is>
      </c>
      <c r="L242" s="6" t="inlineStr"/>
      <c r="M242" s="5" t="inlineStr"/>
      <c r="N242" s="5" t="inlineStr"/>
      <c r="O242" s="6" t="inlineStr"/>
      <c r="P242" s="6" t="inlineStr"/>
      <c r="Q242" s="5" t="inlineStr"/>
      <c r="R242" s="5" t="inlineStr"/>
      <c r="S242" s="5" t="inlineStr"/>
      <c r="T242" s="5" t="inlineStr"/>
      <c r="U242" s="5" t="inlineStr"/>
      <c r="V242" s="5" t="inlineStr"/>
      <c r="W242" s="5" t="inlineStr"/>
      <c r="X242" s="5" t="inlineStr"/>
      <c r="Y242" s="5" t="inlineStr"/>
      <c r="Z242" s="6" t="inlineStr"/>
      <c r="AA242" s="5" t="inlineStr"/>
      <c r="AB242" s="5" t="inlineStr"/>
      <c r="AC242" s="5" t="inlineStr"/>
      <c r="AD242" s="5" t="inlineStr"/>
      <c r="AE242" s="5" t="inlineStr"/>
      <c r="AF242" s="5" t="inlineStr"/>
      <c r="AG242" s="5" t="inlineStr"/>
      <c r="AH242" s="5" t="inlineStr"/>
      <c r="AI242" s="5" t="inlineStr"/>
      <c r="AJ242" s="5" t="inlineStr"/>
    </row>
    <row r="243">
      <c r="A243" s="5" t="inlineStr">
        <is>
          <t>b4-okul-gezisi</t>
        </is>
      </c>
      <c r="B243" s="5" t="n">
        <v>3</v>
      </c>
      <c r="C243" s="6" t="inlineStr">
        <is>
          <t>Otobüste şarkı başlat</t>
        </is>
      </c>
      <c r="D243" s="5" t="inlineStr">
        <is>
          <t>Çene</t>
        </is>
      </c>
      <c r="E243" s="5" t="inlineStr">
        <is>
          <t>Orta</t>
        </is>
      </c>
      <c r="F243" s="5" t="inlineStr"/>
      <c r="G243" s="6" t="inlineStr"/>
      <c r="H243" s="6" t="inlineStr">
        <is>
          <t>Başlattığın şarkıyı otobüsün yarısı söyledi. Yarısı çoğunluk sayılır.</t>
        </is>
      </c>
      <c r="I243" s="6" t="inlineStr">
        <is>
          <t>Şarkı dönüş yolunda da söylendi. Şoför bile katıldı.</t>
        </is>
      </c>
      <c r="J243" s="6" t="inlineStr">
        <is>
          <t>Şarkıyı başlattın; iki kişi katıldı. İkisi de sözleri bilmiyordu.</t>
        </is>
      </c>
      <c r="K243" s="6" t="inlineStr">
        <is>
          <t>Şarkıyı başlattın; kimse katılmadı. Şoför sessizce radyonun sesini açtı. Yolun daha ilk dört dakikasıydı.</t>
        </is>
      </c>
      <c r="L243" s="6" t="inlineStr"/>
      <c r="M243" s="5" t="inlineStr"/>
      <c r="N243" s="5" t="inlineStr"/>
      <c r="O243" s="6" t="inlineStr"/>
      <c r="P243" s="6" t="inlineStr"/>
      <c r="Q243" s="5" t="inlineStr"/>
      <c r="R243" s="5" t="inlineStr"/>
      <c r="S243" s="5" t="inlineStr"/>
      <c r="T243" s="5" t="inlineStr"/>
      <c r="U243" s="5" t="inlineStr"/>
      <c r="V243" s="5" t="inlineStr"/>
      <c r="W243" s="5" t="inlineStr"/>
      <c r="X243" s="5" t="inlineStr"/>
      <c r="Y243" s="5" t="inlineStr"/>
      <c r="Z243" s="6" t="inlineStr"/>
      <c r="AA243" s="5" t="inlineStr"/>
      <c r="AB243" s="5" t="inlineStr"/>
      <c r="AC243" s="5" t="inlineStr"/>
      <c r="AD243" s="5" t="inlineStr"/>
      <c r="AE243" s="5" t="inlineStr"/>
      <c r="AF243" s="5" t="inlineStr"/>
      <c r="AG243" s="5" t="inlineStr"/>
      <c r="AH243" s="5" t="inlineStr"/>
      <c r="AI243" s="5" t="inlineStr"/>
      <c r="AJ243" s="5" t="inlineStr"/>
    </row>
    <row r="244">
      <c r="A244" s="5" t="inlineStr">
        <is>
          <t>b4-okul-gezisi</t>
        </is>
      </c>
      <c r="B244" s="5" t="n">
        <v>4</v>
      </c>
      <c r="C244" s="6" t="inlineStr">
        <is>
          <t>Sayımı sen yap</t>
        </is>
      </c>
      <c r="D244" s="5" t="inlineStr">
        <is>
          <t>Akıl</t>
        </is>
      </c>
      <c r="E244" s="5" t="inlineStr">
        <is>
          <t>Kolay</t>
        </is>
      </c>
      <c r="F244" s="5" t="inlineStr"/>
      <c r="G244" s="6" t="inlineStr"/>
      <c r="H244" s="6" t="inlineStr">
        <is>
          <t>Sayımı yaptın, bir kişi eksikti. Tuvalette bulundu. Öğretmen seni yardımcı ilan etti.</t>
        </is>
      </c>
      <c r="I244" s="6" t="inlineStr">
        <is>
          <t>Sayım yaparken iki kişinin başka okulun otobüsüne bindiğini fark ettin. Öğretmen koşup onları getirdi; dönünce sana sarıldı ve dönüş yolunda ön koltuğu sana verdi.</t>
        </is>
      </c>
      <c r="J244" s="6" t="inlineStr">
        <is>
          <t>Sayımı yaptın, sayı yine tutmadı. Sorun metotta değilmiş.</t>
        </is>
      </c>
      <c r="K244" s="6" t="inlineStr">
        <is>
          <t>Sayımı yaptın, bir kişi eksik çıktı. Kendini saymamıştın.</t>
        </is>
      </c>
      <c r="L244" s="6" t="inlineStr"/>
      <c r="M244" s="5" t="inlineStr"/>
      <c r="N244" s="5" t="inlineStr"/>
      <c r="O244" s="6" t="inlineStr"/>
      <c r="P244" s="6" t="inlineStr"/>
      <c r="Q244" s="5" t="inlineStr">
        <is>
          <t>Kuralı Koyan</t>
        </is>
      </c>
      <c r="R244" s="5" t="inlineStr"/>
      <c r="S244" s="5" t="inlineStr"/>
      <c r="T244" s="5" t="inlineStr"/>
      <c r="U244" s="5" t="inlineStr"/>
      <c r="V244" s="5" t="inlineStr"/>
      <c r="W244" s="5" t="inlineStr"/>
      <c r="X244" s="5" t="inlineStr"/>
      <c r="Y244" s="5" t="inlineStr"/>
      <c r="Z244" s="6" t="inlineStr"/>
      <c r="AA244" s="5" t="inlineStr"/>
      <c r="AB244" s="5" t="inlineStr"/>
      <c r="AC244" s="5" t="inlineStr"/>
      <c r="AD244" s="5" t="inlineStr"/>
      <c r="AE244" s="5" t="inlineStr"/>
      <c r="AF244" s="5" t="inlineStr"/>
      <c r="AG244" s="5" t="inlineStr"/>
      <c r="AH244" s="5" t="inlineStr"/>
      <c r="AI244" s="5" t="inlineStr"/>
      <c r="AJ244" s="5" t="inlineStr"/>
    </row>
    <row r="245">
      <c r="A245" s="5" t="inlineStr">
        <is>
          <t>b4-ayna</t>
        </is>
      </c>
      <c r="B245" s="5" t="n">
        <v>1</v>
      </c>
      <c r="C245" s="6" t="inlineStr">
        <is>
          <t>Saçı bırak, çık</t>
        </is>
      </c>
      <c r="D245" s="5" t="inlineStr"/>
      <c r="E245" s="5" t="inlineStr"/>
      <c r="F245" s="5" t="inlineStr">
        <is>
          <t>Dayanıklılık +1</t>
        </is>
      </c>
      <c r="G245" s="6" t="inlineStr">
        <is>
          <t>Saçı olduğu gibi bırakıp çıktın. Kapıda bekleyen kuzenin sana tepeden tırnağa baktı: “Bu kadar zaman bunun için mi?”</t>
        </is>
      </c>
      <c r="H245" s="6" t="inlineStr"/>
      <c r="I245" s="6" t="inlineStr"/>
      <c r="J245" s="6" t="inlineStr"/>
      <c r="K245" s="6" t="inlineStr"/>
      <c r="L245" s="6" t="inlineStr"/>
      <c r="M245" s="5" t="inlineStr"/>
      <c r="N245" s="5" t="inlineStr"/>
      <c r="O245" s="6" t="inlineStr"/>
      <c r="P245" s="6" t="inlineStr"/>
      <c r="Q245" s="5" t="inlineStr"/>
      <c r="R245" s="5" t="inlineStr"/>
      <c r="S245" s="5" t="inlineStr"/>
      <c r="T245" s="5" t="inlineStr"/>
      <c r="U245" s="5" t="inlineStr"/>
      <c r="V245" s="5" t="inlineStr"/>
      <c r="W245" s="5" t="inlineStr"/>
      <c r="X245" s="5" t="inlineStr"/>
      <c r="Y245" s="5" t="inlineStr"/>
      <c r="Z245" s="6" t="inlineStr"/>
      <c r="AA245" s="5" t="inlineStr"/>
      <c r="AB245" s="5" t="inlineStr"/>
      <c r="AC245" s="5" t="inlineStr"/>
      <c r="AD245" s="5" t="inlineStr"/>
      <c r="AE245" s="5" t="inlineStr"/>
      <c r="AF245" s="5" t="inlineStr"/>
      <c r="AG245" s="5" t="inlineStr"/>
      <c r="AH245" s="5" t="inlineStr"/>
      <c r="AI245" s="5" t="inlineStr"/>
      <c r="AJ245" s="5" t="inlineStr"/>
    </row>
    <row r="246">
      <c r="A246" s="5" t="inlineStr">
        <is>
          <t>b4-ayna</t>
        </is>
      </c>
      <c r="B246" s="5" t="n">
        <v>2</v>
      </c>
      <c r="C246" s="6" t="inlineStr">
        <is>
          <t>Babanın jölesini kullan</t>
        </is>
      </c>
      <c r="D246" s="5" t="inlineStr">
        <is>
          <t>Kurnazlık</t>
        </is>
      </c>
      <c r="E246" s="5" t="inlineStr">
        <is>
          <t>Orta</t>
        </is>
      </c>
      <c r="F246" s="5" t="inlineStr"/>
      <c r="G246" s="6" t="inlineStr"/>
      <c r="H246" s="6" t="inlineStr">
        <is>
          <t>Saç yerinde, akşama kadar. Rüzgâr bile izin istiyor.</t>
        </is>
      </c>
      <c r="I246" s="6" t="inlineStr">
        <is>
          <t>Saç öyle oturdu ki sınıfta biri 'Nereye yaptırdın?' diye sordu. Cevabın: 'Babama.'</t>
        </is>
      </c>
      <c r="J246" s="6" t="inlineStr">
        <is>
          <t>Jöleyi fazla koydun. Saçın öğle arasına kadar tek parça hâlinde durdu.</t>
        </is>
      </c>
      <c r="K246" s="6" t="inlineStr">
        <is>
          <t>Jöle sandığın şey tıraş köpüğüydü. Okula bulut gibi gittin. 'Bulut' lakabı üç yıl sürdü.</t>
        </is>
      </c>
      <c r="L246" s="6" t="inlineStr"/>
      <c r="M246" s="5" t="inlineStr"/>
      <c r="N246" s="5" t="inlineStr"/>
      <c r="O246" s="6" t="inlineStr"/>
      <c r="P246" s="6" t="inlineStr"/>
      <c r="Q246" s="5" t="inlineStr"/>
      <c r="R246" s="5" t="inlineStr"/>
      <c r="S246" s="5" t="inlineStr"/>
      <c r="T246" s="5" t="inlineStr"/>
      <c r="U246" s="5" t="inlineStr"/>
      <c r="V246" s="5" t="inlineStr"/>
      <c r="W246" s="5" t="inlineStr">
        <is>
          <t>lakapli</t>
        </is>
      </c>
      <c r="X246" s="5" t="inlineStr"/>
      <c r="Y246" s="5" t="inlineStr"/>
      <c r="Z246" s="6" t="inlineStr"/>
      <c r="AA246" s="5" t="inlineStr"/>
      <c r="AB246" s="5" t="inlineStr"/>
      <c r="AC246" s="5" t="inlineStr"/>
      <c r="AD246" s="5" t="inlineStr"/>
      <c r="AE246" s="5" t="inlineStr"/>
      <c r="AF246" s="5" t="inlineStr"/>
      <c r="AG246" s="5" t="inlineStr"/>
      <c r="AH246" s="5" t="inlineStr"/>
      <c r="AI246" s="5" t="inlineStr">
        <is>
          <t>Bulut</t>
        </is>
      </c>
      <c r="AJ246" s="5" t="inlineStr"/>
    </row>
    <row r="247">
      <c r="A247" s="5" t="inlineStr">
        <is>
          <t>b4-ayna</t>
        </is>
      </c>
      <c r="B247" s="5" t="n">
        <v>3</v>
      </c>
      <c r="C247" s="6" t="inlineStr">
        <is>
          <t>Kuaförde yeni tarz iste</t>
        </is>
      </c>
      <c r="D247" s="5" t="inlineStr">
        <is>
          <t>Cesaret</t>
        </is>
      </c>
      <c r="E247" s="5" t="inlineStr">
        <is>
          <t>Orta</t>
        </is>
      </c>
      <c r="F247" s="5" t="inlineStr"/>
      <c r="G247" s="6" t="inlineStr"/>
      <c r="H247" s="6" t="inlineStr">
        <is>
          <t>Kuaföre fotoğraf gösterdin. Sonuç fotoğrafa benziyor. Uzaktan.</t>
        </is>
      </c>
      <c r="I247" s="6" t="inlineStr">
        <is>
          <t>Kuaför fotoğraftakinden daha iyisini yaptı. Pazartesi okulun koridoru yavaşladı.</t>
        </is>
      </c>
      <c r="J247" s="6" t="inlineStr">
        <is>
          <t>Kuaför gösterdiğin fotoğrafı yorumladı. Yorumu serbestti.</t>
        </is>
      </c>
      <c r="K247" s="6" t="inlineStr">
        <is>
          <t>Kuaför 'Güven bana' dedi. Güvendin. Sonuç, annenin gençlik fotoğrafındaki saç modeli.</t>
        </is>
      </c>
      <c r="L247" s="6" t="inlineStr"/>
      <c r="M247" s="5" t="inlineStr"/>
      <c r="N247" s="5" t="inlineStr"/>
      <c r="O247" s="6" t="inlineStr"/>
      <c r="P247" s="6" t="inlineStr"/>
      <c r="Q247" s="5" t="inlineStr"/>
      <c r="R247" s="5" t="inlineStr"/>
      <c r="S247" s="5" t="inlineStr"/>
      <c r="T247" s="5" t="inlineStr"/>
      <c r="U247" s="5" t="inlineStr"/>
      <c r="V247" s="5" t="inlineStr"/>
      <c r="W247" s="5" t="inlineStr"/>
      <c r="X247" s="5" t="inlineStr"/>
      <c r="Y247" s="5" t="inlineStr"/>
      <c r="Z247" s="6" t="inlineStr"/>
      <c r="AA247" s="5" t="inlineStr"/>
      <c r="AB247" s="5" t="inlineStr"/>
      <c r="AC247" s="5" t="inlineStr"/>
      <c r="AD247" s="5" t="inlineStr"/>
      <c r="AE247" s="5" t="inlineStr"/>
      <c r="AF247" s="5" t="inlineStr"/>
      <c r="AG247" s="5" t="inlineStr"/>
      <c r="AH247" s="5" t="inlineStr"/>
      <c r="AI247" s="5" t="inlineStr"/>
      <c r="AJ247" s="5" t="inlineStr"/>
    </row>
    <row r="248">
      <c r="A248" s="5" t="inlineStr">
        <is>
          <t>b4-ayna</t>
        </is>
      </c>
      <c r="B248" s="5" t="n">
        <v>4</v>
      </c>
      <c r="C248" s="6" t="inlineStr">
        <is>
          <t>Kuzenden ayna süresi satın al</t>
        </is>
      </c>
      <c r="D248" s="5" t="inlineStr">
        <is>
          <t>Çene</t>
        </is>
      </c>
      <c r="E248" s="5" t="inlineStr">
        <is>
          <t>Kolay</t>
        </is>
      </c>
      <c r="F248" s="5" t="inlineStr"/>
      <c r="G248" s="6" t="inlineStr"/>
      <c r="H248" s="6" t="inlineStr">
        <is>
          <t>Sıradaki kuzenine beş dakika için bir çikolata verdin. Ertesi sabah banyo kapısında el yazısıyla bir fiyat listesi vardı.</t>
        </is>
      </c>
      <c r="I248" s="6" t="inlineStr">
        <is>
          <t>Banyo sırasını bütün aileye saatlik olarak kiraladın. Sabahları trafik düzeldi.</t>
        </is>
      </c>
      <c r="J248" s="6" t="inlineStr">
        <is>
          <t>Kuzenin teklifi kabul etti, çikolatayı yedi, sırayı vermedi.</t>
        </is>
      </c>
      <c r="K248" s="6" t="inlineStr">
        <is>
          <t>Kuzenin fiyatı artırdı. Bayram tatili bitene kadar harçlığının yarısı banyo sırasına gitti.</t>
        </is>
      </c>
      <c r="L248" s="6" t="inlineStr"/>
      <c r="M248" s="5" t="inlineStr"/>
      <c r="N248" s="5" t="inlineStr"/>
      <c r="O248" s="6" t="inlineStr"/>
      <c r="P248" s="6" t="inlineStr"/>
      <c r="Q248" s="5" t="inlineStr">
        <is>
          <t>Küçük Tüccar</t>
        </is>
      </c>
      <c r="R248" s="5" t="inlineStr"/>
      <c r="S248" s="5" t="inlineStr"/>
      <c r="T248" s="5" t="inlineStr"/>
      <c r="U248" s="5" t="inlineStr"/>
      <c r="V248" s="5" t="inlineStr"/>
      <c r="W248" s="5" t="inlineStr"/>
      <c r="X248" s="5" t="inlineStr"/>
      <c r="Y248" s="5" t="inlineStr"/>
      <c r="Z248" s="6" t="inlineStr"/>
      <c r="AA248" s="5" t="inlineStr"/>
      <c r="AB248" s="5" t="inlineStr"/>
      <c r="AC248" s="5" t="inlineStr"/>
      <c r="AD248" s="5" t="inlineStr"/>
      <c r="AE248" s="5" t="inlineStr"/>
      <c r="AF248" s="5" t="inlineStr"/>
      <c r="AG248" s="5" t="inlineStr"/>
      <c r="AH248" s="5" t="inlineStr"/>
      <c r="AI248" s="5" t="inlineStr"/>
      <c r="AJ248" s="5" t="inlineStr"/>
    </row>
    <row r="249">
      <c r="A249" s="5" t="inlineStr">
        <is>
          <t>b4-bilim-fuari</t>
        </is>
      </c>
      <c r="B249" s="5" t="n">
        <v>1</v>
      </c>
      <c r="C249" s="6" t="inlineStr">
        <is>
          <t>Yanardağ yap</t>
        </is>
      </c>
      <c r="D249" s="5" t="inlineStr"/>
      <c r="E249" s="5" t="inlineStr"/>
      <c r="F249" s="5" t="inlineStr">
        <is>
          <t>Akıl +1</t>
        </is>
      </c>
      <c r="G249" s="6" t="inlineStr">
        <is>
          <t>Karbonatlı yanardağı sundun. Jüri on dördüncü kez etkilendi.</t>
        </is>
      </c>
      <c r="H249" s="6" t="inlineStr"/>
      <c r="I249" s="6" t="inlineStr"/>
      <c r="J249" s="6" t="inlineStr"/>
      <c r="K249" s="6" t="inlineStr"/>
      <c r="L249" s="6" t="inlineStr"/>
      <c r="M249" s="5" t="inlineStr"/>
      <c r="N249" s="5" t="inlineStr"/>
      <c r="O249" s="6" t="inlineStr"/>
      <c r="P249" s="6" t="inlineStr"/>
      <c r="Q249" s="5" t="inlineStr"/>
      <c r="R249" s="5" t="inlineStr"/>
      <c r="S249" s="5" t="inlineStr"/>
      <c r="T249" s="5" t="inlineStr"/>
      <c r="U249" s="5" t="inlineStr"/>
      <c r="V249" s="5" t="inlineStr"/>
      <c r="W249" s="5" t="inlineStr"/>
      <c r="X249" s="5" t="inlineStr"/>
      <c r="Y249" s="5" t="inlineStr"/>
      <c r="Z249" s="6" t="inlineStr"/>
      <c r="AA249" s="5" t="inlineStr"/>
      <c r="AB249" s="5" t="inlineStr"/>
      <c r="AC249" s="5" t="inlineStr"/>
      <c r="AD249" s="5" t="inlineStr"/>
      <c r="AE249" s="5" t="inlineStr"/>
      <c r="AF249" s="5" t="inlineStr"/>
      <c r="AG249" s="5" t="inlineStr"/>
      <c r="AH249" s="5" t="inlineStr"/>
      <c r="AI249" s="5" t="inlineStr"/>
      <c r="AJ249" s="5" t="inlineStr"/>
    </row>
    <row r="250">
      <c r="A250" s="5" t="inlineStr">
        <is>
          <t>b4-bilim-fuari</t>
        </is>
      </c>
      <c r="B250" s="5" t="n">
        <v>2</v>
      </c>
      <c r="C250" s="6" t="inlineStr">
        <is>
          <t>Kendi projeni yap</t>
        </is>
      </c>
      <c r="D250" s="5" t="inlineStr">
        <is>
          <t>Akıl</t>
        </is>
      </c>
      <c r="E250" s="5" t="inlineStr">
        <is>
          <t>Zor</t>
        </is>
      </c>
      <c r="F250" s="5" t="inlineStr"/>
      <c r="G250" s="6" t="inlineStr"/>
      <c r="H250" s="6" t="inlineStr">
        <is>
          <t>Bitkilere bir ay müzik dinlettin. Sonuç: tepki yok. Fizik öğretmeni güldü: “Dürüst bilim bu.” Bitkileri eve götürdün; babaannen onlara türkü açtı, iki hafta sonra çiçek verdiler.</t>
        </is>
      </c>
      <c r="I250" s="6" t="inlineStr">
        <is>
          <t>Apartmanda kimin aidatı geç ödediğini grafiğe döktün. Birinci oldun. Ödül töreninde üçüncü kattaki komşu seni alkışlamadı.</t>
        </is>
      </c>
      <c r="J250" s="6" t="inlineStr">
        <is>
          <t>Proje yetişmedi. Masada yalnızca başlık vardı: 'Hipotez'.</t>
        </is>
      </c>
      <c r="K250" s="6" t="inlineStr">
        <is>
          <t>Posterin bant tutmadı, yan masadaki yanardağın içine düştü. Yanardağ patladı, poster de. Jüri ikisine de puan vermedi.</t>
        </is>
      </c>
      <c r="L250" s="6" t="inlineStr"/>
      <c r="M250" s="5" t="inlineStr"/>
      <c r="N250" s="5" t="inlineStr"/>
      <c r="O250" s="6" t="inlineStr"/>
      <c r="P250" s="6" t="inlineStr"/>
      <c r="Q250" s="5" t="inlineStr"/>
      <c r="R250" s="5" t="inlineStr"/>
      <c r="S250" s="5" t="inlineStr"/>
      <c r="T250" s="5" t="inlineStr"/>
      <c r="U250" s="5" t="inlineStr"/>
      <c r="V250" s="5" t="inlineStr">
        <is>
          <t>fuar-birincisi</t>
        </is>
      </c>
      <c r="W250" s="5" t="inlineStr"/>
      <c r="X250" s="5" t="inlineStr"/>
      <c r="Y250" s="5" t="inlineStr"/>
      <c r="Z250" s="6" t="inlineStr"/>
      <c r="AA250" s="5" t="inlineStr"/>
      <c r="AB250" s="5" t="inlineStr"/>
      <c r="AC250" s="5" t="inlineStr"/>
      <c r="AD250" s="5" t="inlineStr"/>
      <c r="AE250" s="5" t="inlineStr"/>
      <c r="AF250" s="5" t="inlineStr"/>
      <c r="AG250" s="5" t="inlineStr"/>
      <c r="AH250" s="5" t="inlineStr"/>
      <c r="AI250" s="5" t="inlineStr"/>
      <c r="AJ250" s="5" t="inlineStr"/>
    </row>
    <row r="251">
      <c r="A251" s="5" t="inlineStr">
        <is>
          <t>b4-bilim-fuari</t>
        </is>
      </c>
      <c r="B251" s="5" t="n">
        <v>3</v>
      </c>
      <c r="C251" s="6" t="inlineStr">
        <is>
          <t>Jüriye soru sor</t>
        </is>
      </c>
      <c r="D251" s="5" t="inlineStr">
        <is>
          <t>Çene</t>
        </is>
      </c>
      <c r="E251" s="5" t="inlineStr">
        <is>
          <t>Kolay</t>
        </is>
      </c>
      <c r="F251" s="5" t="inlineStr"/>
      <c r="G251" s="6" t="inlineStr"/>
      <c r="H251" s="6" t="inlineStr">
        <is>
          <t>'Sizce neden hep yanardağ yapılıyor?' diye sordun. Jüri üyesi yirmi dakika konuştu, sonra sana puan verdi.</t>
        </is>
      </c>
      <c r="I251" s="6" t="inlineStr">
        <is>
          <t>Soru o kadar yerindeydi ki jüri üyesi seni gelecek yılın jürisine yazdı. Sen de birinci oldun.</t>
        </is>
      </c>
      <c r="J251" s="6" t="inlineStr">
        <is>
          <t>Soru sordun; jüri 'Önce senin projeni görelim' dedi. Projen yanardağdı.</t>
        </is>
      </c>
      <c r="K251" s="6" t="inlineStr">
        <is>
          <t>“Sizce neden hep yanardağ yapılıyor?” diye sordun. Jüri üyesi kıpkırmızı oldu; kendi çocuğu da üç masa ötede yanardağ yapmıştı. Yanardağ birinci oldu.</t>
        </is>
      </c>
      <c r="L251" s="6" t="inlineStr"/>
      <c r="M251" s="5" t="inlineStr"/>
      <c r="N251" s="5" t="inlineStr"/>
      <c r="O251" s="6" t="inlineStr"/>
      <c r="P251" s="6" t="inlineStr"/>
      <c r="Q251" s="5" t="inlineStr"/>
      <c r="R251" s="5" t="inlineStr"/>
      <c r="S251" s="5" t="inlineStr">
        <is>
          <t>Akıl</t>
        </is>
      </c>
      <c r="T251" s="5" t="inlineStr"/>
      <c r="U251" s="5" t="inlineStr"/>
      <c r="V251" s="5" t="inlineStr">
        <is>
          <t>fuar-birincisi</t>
        </is>
      </c>
      <c r="W251" s="5" t="inlineStr"/>
      <c r="X251" s="5" t="inlineStr"/>
      <c r="Y251" s="5" t="inlineStr"/>
      <c r="Z251" s="6" t="inlineStr"/>
      <c r="AA251" s="5" t="inlineStr"/>
      <c r="AB251" s="5" t="inlineStr"/>
      <c r="AC251" s="5" t="inlineStr"/>
      <c r="AD251" s="5" t="inlineStr"/>
      <c r="AE251" s="5" t="inlineStr"/>
      <c r="AF251" s="5" t="inlineStr"/>
      <c r="AG251" s="5" t="inlineStr"/>
      <c r="AH251" s="5" t="inlineStr"/>
      <c r="AI251" s="5" t="inlineStr"/>
      <c r="AJ251" s="5" t="inlineStr"/>
    </row>
    <row r="252">
      <c r="A252" s="5" t="inlineStr">
        <is>
          <t>b4-bilim-fuari</t>
        </is>
      </c>
      <c r="B252" s="5" t="n">
        <v>4</v>
      </c>
      <c r="C252" s="6" t="inlineStr">
        <is>
          <t>Başkasının projesine ortak ol</t>
        </is>
      </c>
      <c r="D252" s="5" t="inlineStr">
        <is>
          <t>Sosyal Radar</t>
        </is>
      </c>
      <c r="E252" s="5" t="inlineStr">
        <is>
          <t>Orta</t>
        </is>
      </c>
      <c r="F252" s="5" t="inlineStr"/>
      <c r="G252" s="6" t="inlineStr"/>
      <c r="H252" s="6" t="inlineStr">
        <is>
          <t>Ortaklık kurdun. Posterde adın küçük puntoyla var.</t>
        </is>
      </c>
      <c r="I252" s="6" t="inlineStr">
        <is>
          <t>Ortaklaşa birinci oldunuz. Madalyayı sen taşıdın.</t>
        </is>
      </c>
      <c r="J252" s="6" t="inlineStr">
        <is>
          <t>Ortak olduğun proje de yanardağmış.</t>
        </is>
      </c>
      <c r="K252" s="6" t="inlineStr">
        <is>
          <t>Ortak olduğun projeyi velisi yapmış. Jüri velinin adını sordu. Sen söyledin.</t>
        </is>
      </c>
      <c r="L252" s="6" t="inlineStr"/>
      <c r="M252" s="5" t="inlineStr"/>
      <c r="N252" s="5" t="inlineStr"/>
      <c r="O252" s="6" t="inlineStr"/>
      <c r="P252" s="6" t="inlineStr"/>
      <c r="Q252" s="5" t="inlineStr"/>
      <c r="R252" s="5" t="inlineStr"/>
      <c r="S252" s="5" t="inlineStr"/>
      <c r="T252" s="5" t="inlineStr"/>
      <c r="U252" s="5" t="inlineStr"/>
      <c r="V252" s="5" t="inlineStr"/>
      <c r="W252" s="5" t="inlineStr"/>
      <c r="X252" s="5" t="inlineStr"/>
      <c r="Y252" s="5" t="inlineStr"/>
      <c r="Z252" s="6" t="inlineStr"/>
      <c r="AA252" s="5" t="inlineStr"/>
      <c r="AB252" s="5" t="inlineStr"/>
      <c r="AC252" s="5" t="inlineStr"/>
      <c r="AD252" s="5" t="inlineStr"/>
      <c r="AE252" s="5" t="inlineStr"/>
      <c r="AF252" s="5" t="inlineStr"/>
      <c r="AG252" s="5" t="inlineStr"/>
      <c r="AH252" s="5" t="inlineStr"/>
      <c r="AI252" s="5" t="inlineStr"/>
      <c r="AJ252" s="5" t="inlineStr"/>
    </row>
    <row r="253">
      <c r="A253" s="5" t="inlineStr">
        <is>
          <t>b4-kotu-not</t>
        </is>
      </c>
      <c r="B253" s="5" t="n">
        <v>1</v>
      </c>
      <c r="C253" s="6" t="inlineStr">
        <is>
          <t>Kâğıdı masaya koy</t>
        </is>
      </c>
      <c r="D253" s="5" t="inlineStr"/>
      <c r="E253" s="5" t="inlineStr"/>
      <c r="F253" s="5" t="inlineStr">
        <is>
          <t>İtibar +2</t>
        </is>
      </c>
      <c r="G253" s="6" t="inlineStr">
        <is>
          <t>Kâğıdı masaya koydun. Sessizlik oldu. Sonra baban kendi ortaokul notlarından bahsetti; annen “Daha kötüydü” diye ekledi.</t>
        </is>
      </c>
      <c r="H253" s="6" t="inlineStr"/>
      <c r="I253" s="6" t="inlineStr"/>
      <c r="J253" s="6" t="inlineStr"/>
      <c r="K253" s="6" t="inlineStr"/>
      <c r="L253" s="6" t="inlineStr"/>
      <c r="M253" s="5" t="inlineStr"/>
      <c r="N253" s="5" t="inlineStr"/>
      <c r="O253" s="6" t="inlineStr"/>
      <c r="P253" s="6" t="inlineStr"/>
      <c r="Q253" s="5" t="inlineStr"/>
      <c r="R253" s="5" t="inlineStr"/>
      <c r="S253" s="5" t="inlineStr"/>
      <c r="T253" s="5" t="inlineStr"/>
      <c r="U253" s="5" t="inlineStr"/>
      <c r="V253" s="5" t="inlineStr"/>
      <c r="W253" s="5" t="inlineStr"/>
      <c r="X253" s="5" t="inlineStr"/>
      <c r="Y253" s="5" t="inlineStr"/>
      <c r="Z253" s="6" t="inlineStr"/>
      <c r="AA253" s="5" t="inlineStr"/>
      <c r="AB253" s="5" t="inlineStr"/>
      <c r="AC253" s="5" t="inlineStr"/>
      <c r="AD253" s="5" t="inlineStr"/>
      <c r="AE253" s="5" t="inlineStr"/>
      <c r="AF253" s="5" t="inlineStr"/>
      <c r="AG253" s="5" t="inlineStr"/>
      <c r="AH253" s="5" t="inlineStr"/>
      <c r="AI253" s="5" t="inlineStr"/>
      <c r="AJ253" s="5" t="inlineStr"/>
    </row>
    <row r="254">
      <c r="A254" s="5" t="inlineStr">
        <is>
          <t>b4-kotu-not</t>
        </is>
      </c>
      <c r="B254" s="5" t="n">
        <v>2</v>
      </c>
      <c r="C254" s="6" t="inlineStr">
        <is>
          <t>Poker yüzünü tak</t>
        </is>
      </c>
      <c r="D254" s="5" t="inlineStr">
        <is>
          <t>Pişkinlik</t>
        </is>
      </c>
      <c r="E254" s="5" t="inlineStr">
        <is>
          <t>Zor</t>
        </is>
      </c>
      <c r="F254" s="5" t="inlineStr"/>
      <c r="G254" s="6" t="inlineStr"/>
      <c r="H254" s="6" t="inlineStr">
        <is>
          <t>Yemeğin sonuna kadar kıpırdamadın. Kâğıt çantada, sır güvende, pilav bitti.</t>
        </is>
      </c>
      <c r="I254" s="6" t="inlineStr">
        <is>
          <t>O kadar sakindin ki annen 'Bu çocuk bir şey başarmış' dedi ve tatlı çıkardı. Tatlı suçluluk tadındaydı.</t>
        </is>
      </c>
      <c r="J254" s="6" t="inlineStr">
        <is>
          <t>'Çantanda ne var?' sorusunda gözün kaydı. Çanta masaya getirildi.</t>
        </is>
      </c>
      <c r="K254" s="6" t="inlineStr">
        <is>
          <t>'Bana bak bakayım' dendiğinde 'Matematik değil!' dedin. Kimse matematik sormamıştı.</t>
        </is>
      </c>
      <c r="L254" s="6" t="inlineStr">
        <is>
          <t>Yemeği kazasız bitirdin ama annen kalkarken “Yarın konuşuruz” dedi. O gece uyuyamadın.</t>
        </is>
      </c>
      <c r="M254" s="5" t="inlineStr">
        <is>
          <t>lie</t>
        </is>
      </c>
      <c r="N254" s="5" t="inlineStr">
        <is>
          <t>Akşam Yemeği Sorgusu</t>
        </is>
      </c>
      <c r="O254" s="6" t="inlineStr">
        <is>
          <t>Söylediklerini aklında tut; sorulara çelişmeden cevap ver.</t>
        </is>
      </c>
      <c r="P254" s="6" t="inlineStr">
        <is>
          <t>{"who": "Baban", "facts": ["Matematik sınavı kolaydı.", "Kâğıdı öğretmen daha vermedi.", "Akşamları ders çalışıyorum."], "qs": [{"q": "Sınav nasıl geçti?", "o": ["Kolay geçti, bakalım not.", "Zordu.", "Hiç girmedim."]}, {"q": "Kâğıt nerede?", "o": ["Öğretmen daha vermedi.", "Çantamda.", "Kaybettim."]}, {"q": "Akşamları ne yapıyorsun?", "o": ["Ders çalışıyorum.", "Oyun oynuyorum.", "Uyuyorum."]}]}</t>
        </is>
      </c>
      <c r="Q254" s="5" t="inlineStr"/>
      <c r="R254" s="5" t="inlineStr"/>
      <c r="S254" s="5" t="inlineStr"/>
      <c r="T254" s="5" t="inlineStr"/>
      <c r="U254" s="5" t="inlineStr"/>
      <c r="V254" s="5" t="inlineStr"/>
      <c r="W254" s="5" t="inlineStr">
        <is>
          <t>yalanci</t>
        </is>
      </c>
      <c r="X254" s="5" t="inlineStr"/>
      <c r="Y254" s="5" t="inlineStr"/>
      <c r="Z254" s="6" t="inlineStr"/>
      <c r="AA254" s="5" t="inlineStr"/>
      <c r="AB254" s="5" t="inlineStr"/>
      <c r="AC254" s="5" t="inlineStr"/>
      <c r="AD254" s="5" t="inlineStr"/>
      <c r="AE254" s="5" t="inlineStr"/>
      <c r="AF254" s="5" t="inlineStr"/>
      <c r="AG254" s="5" t="inlineStr"/>
      <c r="AH254" s="5" t="inlineStr"/>
      <c r="AI254" s="5" t="inlineStr"/>
      <c r="AJ254" s="5" t="inlineStr"/>
    </row>
    <row r="255">
      <c r="A255" s="5" t="inlineStr">
        <is>
          <t>b4-kotu-not</t>
        </is>
      </c>
      <c r="B255" s="5" t="n">
        <v>3</v>
      </c>
      <c r="C255" s="6" t="inlineStr">
        <is>
          <t>İmzayı taklit et</t>
        </is>
      </c>
      <c r="D255" s="5" t="inlineStr">
        <is>
          <t>Kurnazlık</t>
        </is>
      </c>
      <c r="E255" s="5" t="inlineStr">
        <is>
          <t>Zor</t>
        </is>
      </c>
      <c r="F255" s="5" t="inlineStr"/>
      <c r="G255" s="6" t="inlineStr"/>
      <c r="H255" s="6" t="inlineStr">
        <is>
          <t>İmza kusursuz. Kâğıt teslim edildi. Kalbin biraz ağır.</t>
        </is>
      </c>
      <c r="I255" s="6" t="inlineStr">
        <is>
          <t>İmza o kadar iyiydi ki bir akşam annen bir okul formunu sana uzattı: “Şunu benim yerime imzala, elim hamurlu.”</t>
        </is>
      </c>
      <c r="J255" s="6" t="inlineStr">
        <is>
          <t>İmza fazla düzgündü. Öğretmen 'Annen hiç böyle imza atmaz' dedi.</t>
        </is>
      </c>
      <c r="K255" s="6" t="inlineStr">
        <is>
          <t>Annenin değil, yanlışlıkla öğretmenin imzasını taklit ettin. Öğretmen kendi imzasını tanıdı ama ikna olmadı.</t>
        </is>
      </c>
      <c r="L255" s="6" t="inlineStr"/>
      <c r="M255" s="5" t="inlineStr"/>
      <c r="N255" s="5" t="inlineStr"/>
      <c r="O255" s="6" t="inlineStr"/>
      <c r="P255" s="6" t="inlineStr"/>
      <c r="Q255" s="5" t="inlineStr">
        <is>
          <t>Açık Bulur</t>
        </is>
      </c>
      <c r="R255" s="5" t="inlineStr"/>
      <c r="S255" s="5" t="inlineStr"/>
      <c r="T255" s="5" t="inlineStr"/>
      <c r="U255" s="5" t="inlineStr"/>
      <c r="V255" s="5" t="inlineStr"/>
      <c r="W255" s="5" t="inlineStr">
        <is>
          <t>yalanci</t>
        </is>
      </c>
      <c r="X255" s="5" t="inlineStr"/>
      <c r="Y255" s="5" t="inlineStr"/>
      <c r="Z255" s="6" t="inlineStr"/>
      <c r="AA255" s="5" t="inlineStr"/>
      <c r="AB255" s="5" t="inlineStr"/>
      <c r="AC255" s="5" t="inlineStr"/>
      <c r="AD255" s="5" t="inlineStr"/>
      <c r="AE255" s="5" t="inlineStr"/>
      <c r="AF255" s="5" t="inlineStr"/>
      <c r="AG255" s="5" t="inlineStr"/>
      <c r="AH255" s="5" t="inlineStr"/>
      <c r="AI255" s="5" t="inlineStr"/>
      <c r="AJ255" s="5" t="inlineStr"/>
    </row>
    <row r="256">
      <c r="A256" s="5" t="inlineStr">
        <is>
          <t>b4-kotu-not</t>
        </is>
      </c>
      <c r="B256" s="5" t="n">
        <v>4</v>
      </c>
      <c r="C256" s="6" t="inlineStr">
        <is>
          <t>Önce babaanneye göster</t>
        </is>
      </c>
      <c r="D256" s="5" t="inlineStr">
        <is>
          <t>Sosyal Radar</t>
        </is>
      </c>
      <c r="E256" s="5" t="inlineStr">
        <is>
          <t>Orta</t>
        </is>
      </c>
      <c r="F256" s="5" t="inlineStr"/>
      <c r="G256" s="6" t="inlineStr"/>
      <c r="H256" s="6" t="inlineStr">
        <is>
          <t>Babaanne kâğıda baktı: 'Babanın notlarını bir bilsen.' Kalkanın hazır.</t>
        </is>
      </c>
      <c r="I256" s="6" t="inlineStr">
        <is>
          <t>Babaannen akşam yemeğinde çantasından babanın ortaokul karnesini çıkardı. Bütün akşam babanın matematiği konuşuldu. Senin kâğıt çantada uyudu.</t>
        </is>
      </c>
      <c r="J256" s="6" t="inlineStr">
        <is>
          <t>Babaanne kâğıdı gördü ve doğrudan annene götürdü. Kalkan değil, kurye çıktı.</t>
        </is>
      </c>
      <c r="K256" s="6" t="inlineStr">
        <is>
          <t>Babaannen kâğıdı görünce sevindi: “Yarısını bilmiş!” Fotoğrafını çekip aile grubuna attı. Halan fotoğrafı büyütüp okudu ve sordu: “Öbür yarısı?”</t>
        </is>
      </c>
      <c r="L256" s="6" t="inlineStr"/>
      <c r="M256" s="5" t="inlineStr"/>
      <c r="N256" s="5" t="inlineStr"/>
      <c r="O256" s="6" t="inlineStr"/>
      <c r="P256" s="6" t="inlineStr"/>
      <c r="Q256" s="5" t="inlineStr"/>
      <c r="R256" s="5" t="inlineStr"/>
      <c r="S256" s="5" t="inlineStr"/>
      <c r="T256" s="5" t="inlineStr"/>
      <c r="U256" s="5" t="inlineStr"/>
      <c r="V256" s="5" t="inlineStr"/>
      <c r="W256" s="5" t="inlineStr"/>
      <c r="X256" s="5" t="inlineStr"/>
      <c r="Y256" s="5" t="inlineStr"/>
      <c r="Z256" s="6" t="inlineStr"/>
      <c r="AA256" s="5" t="inlineStr"/>
      <c r="AB256" s="5" t="inlineStr"/>
      <c r="AC256" s="5" t="inlineStr"/>
      <c r="AD256" s="5" t="inlineStr"/>
      <c r="AE256" s="5" t="inlineStr"/>
      <c r="AF256" s="5" t="inlineStr"/>
      <c r="AG256" s="5" t="inlineStr"/>
      <c r="AH256" s="5" t="inlineStr"/>
      <c r="AI256" s="5" t="inlineStr"/>
      <c r="AJ256" s="5" t="inlineStr"/>
    </row>
    <row r="257">
      <c r="A257" s="5" t="inlineStr">
        <is>
          <t>b4-kedinin-hesabi</t>
        </is>
      </c>
      <c r="B257" s="5" t="n">
        <v>1</v>
      </c>
      <c r="C257" s="6" t="inlineStr">
        <is>
          <t>Kediyi rahat bırak</t>
        </is>
      </c>
      <c r="D257" s="5" t="inlineStr"/>
      <c r="E257" s="5" t="inlineStr"/>
      <c r="F257" s="5" t="inlineStr">
        <is>
          <t>Gönül +1</t>
        </is>
      </c>
      <c r="G257" s="6" t="inlineStr">
        <is>
          <t>Hesabı kapattın. Kedi kariyerini bıraktı ve yeniden kalorifer peteğine döndü. Mutlu görünüyor.</t>
        </is>
      </c>
      <c r="H257" s="6" t="inlineStr"/>
      <c r="I257" s="6" t="inlineStr"/>
      <c r="J257" s="6" t="inlineStr"/>
      <c r="K257" s="6" t="inlineStr"/>
      <c r="L257" s="6" t="inlineStr"/>
      <c r="M257" s="5" t="inlineStr"/>
      <c r="N257" s="5" t="inlineStr"/>
      <c r="O257" s="6" t="inlineStr"/>
      <c r="P257" s="6" t="inlineStr"/>
      <c r="Q257" s="5" t="inlineStr"/>
      <c r="R257" s="5" t="inlineStr"/>
      <c r="S257" s="5" t="inlineStr"/>
      <c r="T257" s="5" t="inlineStr"/>
      <c r="U257" s="5" t="inlineStr"/>
      <c r="V257" s="5" t="inlineStr"/>
      <c r="W257" s="5" t="inlineStr"/>
      <c r="X257" s="5" t="inlineStr"/>
      <c r="Y257" s="5" t="inlineStr"/>
      <c r="Z257" s="6" t="inlineStr"/>
      <c r="AA257" s="5" t="inlineStr"/>
      <c r="AB257" s="5" t="inlineStr"/>
      <c r="AC257" s="5" t="inlineStr"/>
      <c r="AD257" s="5" t="inlineStr"/>
      <c r="AE257" s="5" t="inlineStr"/>
      <c r="AF257" s="5" t="inlineStr"/>
      <c r="AG257" s="5" t="inlineStr"/>
      <c r="AH257" s="5" t="inlineStr"/>
      <c r="AI257" s="5" t="inlineStr"/>
      <c r="AJ257" s="5" t="inlineStr"/>
    </row>
    <row r="258">
      <c r="A258" s="5" t="inlineStr">
        <is>
          <t>b4-kedinin-hesabi</t>
        </is>
      </c>
      <c r="B258" s="5" t="n">
        <v>2</v>
      </c>
      <c r="C258" s="6" t="inlineStr">
        <is>
          <t>Kedinin menajeri ol</t>
        </is>
      </c>
      <c r="D258" s="5" t="inlineStr">
        <is>
          <t>Çene</t>
        </is>
      </c>
      <c r="E258" s="5" t="inlineStr">
        <is>
          <t>Orta</t>
        </is>
      </c>
      <c r="F258" s="5" t="inlineStr"/>
      <c r="G258" s="6" t="inlineStr"/>
      <c r="H258" s="6" t="inlineStr">
        <is>
          <t>Bir mama firması iki koli mama gönderdi. Menajer payın: bir koli. Yemedin.</t>
        </is>
      </c>
      <c r="I258" s="6" t="inlineStr">
        <is>
          <t>Kedinin takvimi doldu: sabah çekim, öğlen uyku, akşam kutuya girme. Babaannen her videonun altına yazıyor: “Bu kedi bizim torunun.” Kedi sana bakıp esniyor.</t>
        </is>
      </c>
      <c r="J258" s="6" t="inlineStr">
        <is>
          <t>Kedi çekimlere gelmedi. Menajer olarak ilk krizin, oyuncunun kanepenin altında olması.</t>
        </is>
      </c>
      <c r="K258" s="6" t="inlineStr">
        <is>
          <t>Kedi çekim sırasında kamerayı masadan itti, sonra kenardan aşağı baktı. Video en çok izlenen videon oldu. Sen onu çatlak ekranından izledin.</t>
        </is>
      </c>
      <c r="L258" s="6" t="inlineStr"/>
      <c r="M258" s="5" t="inlineStr"/>
      <c r="N258" s="5" t="inlineStr"/>
      <c r="O258" s="6" t="inlineStr"/>
      <c r="P258" s="6" t="inlineStr"/>
      <c r="Q258" s="5" t="inlineStr"/>
      <c r="R258" s="5" t="inlineStr"/>
      <c r="S258" s="5" t="inlineStr"/>
      <c r="T258" s="5" t="inlineStr"/>
      <c r="U258" s="5" t="inlineStr"/>
      <c r="V258" s="5" t="inlineStr">
        <is>
          <t>fenomen</t>
        </is>
      </c>
      <c r="W258" s="5" t="inlineStr"/>
      <c r="X258" s="5" t="inlineStr"/>
      <c r="Y258" s="5" t="inlineStr"/>
      <c r="Z258" s="6" t="inlineStr"/>
      <c r="AA258" s="5" t="inlineStr"/>
      <c r="AB258" s="5" t="inlineStr"/>
      <c r="AC258" s="5" t="inlineStr"/>
      <c r="AD258" s="5" t="inlineStr"/>
      <c r="AE258" s="5" t="inlineStr"/>
      <c r="AF258" s="5" t="inlineStr"/>
      <c r="AG258" s="5" t="inlineStr"/>
      <c r="AH258" s="5" t="inlineStr"/>
      <c r="AI258" s="5" t="inlineStr"/>
      <c r="AJ258" s="5" t="inlineStr"/>
    </row>
    <row r="259">
      <c r="A259" s="5" t="inlineStr">
        <is>
          <t>b4-kedinin-hesabi</t>
        </is>
      </c>
      <c r="B259" s="5" t="n">
        <v>3</v>
      </c>
      <c r="C259" s="6" t="inlineStr">
        <is>
          <t>Kendin de kadraja gir</t>
        </is>
      </c>
      <c r="D259" s="5" t="inlineStr">
        <is>
          <t>Pişkinlik</t>
        </is>
      </c>
      <c r="E259" s="5" t="inlineStr">
        <is>
          <t>Zor</t>
        </is>
      </c>
      <c r="F259" s="5" t="inlineStr"/>
      <c r="G259" s="6" t="inlineStr"/>
      <c r="H259" s="6" t="inlineStr">
        <is>
          <t>Kediyle ortak içerik üretiyorsunuz. Yorumların yarısı sana. Yarısı iyi.</t>
        </is>
      </c>
      <c r="I259" s="6" t="inlineStr">
        <is>
          <t>Kedi ve sen: resmî ikili. Takipçiler ikinize ayrı ayrı doğum günü mesajı atıyor.</t>
        </is>
      </c>
      <c r="J259" s="6" t="inlineStr">
        <is>
          <t>Kadraja girdin; izlenmeler yarıya düştü. Kedi videonun sonunda kalkıp gitti; en çok o kısım izlendi.</t>
        </is>
      </c>
      <c r="K259" s="6" t="inlineStr">
        <is>
          <t>Yorumlar: 'Kediyi göster, arkadaki çocuk çekilsin.' Arkadaki çocuk sensin.</t>
        </is>
      </c>
      <c r="L259" s="6" t="inlineStr"/>
      <c r="M259" s="5" t="inlineStr"/>
      <c r="N259" s="5" t="inlineStr"/>
      <c r="O259" s="6" t="inlineStr"/>
      <c r="P259" s="6" t="inlineStr"/>
      <c r="Q259" s="5" t="inlineStr"/>
      <c r="R259" s="5" t="inlineStr"/>
      <c r="S259" s="5" t="inlineStr"/>
      <c r="T259" s="5" t="inlineStr"/>
      <c r="U259" s="5" t="inlineStr"/>
      <c r="V259" s="5" t="inlineStr">
        <is>
          <t>fenomen</t>
        </is>
      </c>
      <c r="W259" s="5" t="inlineStr"/>
      <c r="X259" s="5" t="inlineStr"/>
      <c r="Y259" s="5" t="inlineStr"/>
      <c r="Z259" s="6" t="inlineStr"/>
      <c r="AA259" s="5" t="inlineStr"/>
      <c r="AB259" s="5" t="inlineStr"/>
      <c r="AC259" s="5" t="inlineStr"/>
      <c r="AD259" s="5" t="inlineStr"/>
      <c r="AE259" s="5" t="inlineStr"/>
      <c r="AF259" s="5" t="inlineStr"/>
      <c r="AG259" s="5" t="inlineStr"/>
      <c r="AH259" s="5" t="inlineStr"/>
      <c r="AI259" s="5" t="inlineStr"/>
      <c r="AJ259" s="5" t="inlineStr"/>
    </row>
    <row r="260">
      <c r="A260" s="5" t="inlineStr">
        <is>
          <t>b4-dershane</t>
        </is>
      </c>
      <c r="B260" s="5" t="n">
        <v>1</v>
      </c>
      <c r="C260" s="6" t="inlineStr">
        <is>
          <t>Kabul et</t>
        </is>
      </c>
      <c r="D260" s="5" t="inlineStr"/>
      <c r="E260" s="5" t="inlineStr"/>
      <c r="F260" s="5" t="inlineStr">
        <is>
          <t>Dayanıklılık +1</t>
        </is>
      </c>
      <c r="G260" s="6" t="inlineStr">
        <is>
          <t>Kayıt yapıldı. Cumartesi sabahları artık çizgi film yok, servis var. İlk gün annen çantana börek koydu.</t>
        </is>
      </c>
      <c r="H260" s="6" t="inlineStr"/>
      <c r="I260" s="6" t="inlineStr"/>
      <c r="J260" s="6" t="inlineStr"/>
      <c r="K260" s="6" t="inlineStr"/>
      <c r="L260" s="6" t="inlineStr"/>
      <c r="M260" s="5" t="inlineStr"/>
      <c r="N260" s="5" t="inlineStr"/>
      <c r="O260" s="6" t="inlineStr"/>
      <c r="P260" s="6" t="inlineStr"/>
      <c r="Q260" s="5" t="inlineStr"/>
      <c r="R260" s="5" t="inlineStr"/>
      <c r="S260" s="5" t="inlineStr"/>
      <c r="T260" s="5" t="inlineStr"/>
      <c r="U260" s="5" t="inlineStr">
        <is>
          <t>dershaneli</t>
        </is>
      </c>
      <c r="V260" s="5" t="inlineStr"/>
      <c r="W260" s="5" t="inlineStr"/>
      <c r="X260" s="5" t="inlineStr"/>
      <c r="Y260" s="5" t="inlineStr"/>
      <c r="Z260" s="6" t="inlineStr"/>
      <c r="AA260" s="5" t="inlineStr"/>
      <c r="AB260" s="5" t="inlineStr"/>
      <c r="AC260" s="5" t="inlineStr"/>
      <c r="AD260" s="5" t="inlineStr"/>
      <c r="AE260" s="5" t="inlineStr"/>
      <c r="AF260" s="5" t="inlineStr"/>
      <c r="AG260" s="5" t="inlineStr"/>
      <c r="AH260" s="5" t="inlineStr"/>
      <c r="AI260" s="5" t="inlineStr"/>
      <c r="AJ260" s="5" t="inlineStr"/>
    </row>
    <row r="261">
      <c r="A261" s="5" t="inlineStr">
        <is>
          <t>b4-dershane</t>
        </is>
      </c>
      <c r="B261" s="5" t="n">
        <v>2</v>
      </c>
      <c r="C261" s="6" t="inlineStr">
        <is>
          <t>Özel öğretmen iste</t>
        </is>
      </c>
      <c r="D261" s="5" t="inlineStr">
        <is>
          <t>Çene</t>
        </is>
      </c>
      <c r="E261" s="5" t="inlineStr">
        <is>
          <t>Orta</t>
        </is>
      </c>
      <c r="F261" s="5" t="inlineStr"/>
      <c r="G261" s="6" t="inlineStr"/>
      <c r="H261" s="6" t="inlineStr">
        <is>
          <t>Özel öğretmen haftada iki gün geliyor ve her seferinde çayı övüyor.</t>
        </is>
      </c>
      <c r="I261" s="6" t="inlineStr">
        <is>
          <t>Özel öğretmen o kadar iyi çıktı ki teyzen duyup kuzenini de getirdi. Ders ikiye bölündü, para da. Annen telefonda teyzene üç kez “Bizim bulduğumuz hoca” dedi.</t>
        </is>
      </c>
      <c r="J261" s="6" t="inlineStr">
        <is>
          <t>Özel öğretmen geldi; senden çok babanla konuşuyor.</t>
        </is>
      </c>
      <c r="K261" s="6" t="inlineStr">
        <is>
          <t>Hem dershane hem özel ders geldi. Babanın akşam çayı o günden beri şekersiz. “Tasarruf” diyor, sana bakarak.</t>
        </is>
      </c>
      <c r="L261" s="6" t="inlineStr"/>
      <c r="M261" s="5" t="inlineStr"/>
      <c r="N261" s="5" t="inlineStr"/>
      <c r="O261" s="6" t="inlineStr"/>
      <c r="P261" s="6" t="inlineStr"/>
      <c r="Q261" s="5" t="inlineStr"/>
      <c r="R261" s="5" t="inlineStr"/>
      <c r="S261" s="5" t="inlineStr"/>
      <c r="T261" s="5" t="inlineStr"/>
      <c r="U261" s="5" t="inlineStr"/>
      <c r="V261" s="5" t="inlineStr"/>
      <c r="W261" s="5" t="inlineStr">
        <is>
          <t>dershaneli</t>
        </is>
      </c>
      <c r="X261" s="5" t="inlineStr"/>
      <c r="Y261" s="5" t="inlineStr"/>
      <c r="Z261" s="6" t="inlineStr"/>
      <c r="AA261" s="5" t="inlineStr"/>
      <c r="AB261" s="5" t="inlineStr"/>
      <c r="AC261" s="5" t="inlineStr"/>
      <c r="AD261" s="5" t="inlineStr"/>
      <c r="AE261" s="5" t="inlineStr"/>
      <c r="AF261" s="5" t="inlineStr"/>
      <c r="AG261" s="5" t="inlineStr"/>
      <c r="AH261" s="5" t="inlineStr"/>
      <c r="AI261" s="5" t="inlineStr"/>
      <c r="AJ261" s="5" t="inlineStr"/>
    </row>
    <row r="262">
      <c r="A262" s="5" t="inlineStr">
        <is>
          <t>b4-dershane</t>
        </is>
      </c>
      <c r="B262" s="5" t="n">
        <v>3</v>
      </c>
      <c r="C262" s="6" t="inlineStr">
        <is>
          <t>Kendi kendine çalışacağını söyle</t>
        </is>
      </c>
      <c r="D262" s="5" t="inlineStr">
        <is>
          <t>Pişkinlik</t>
        </is>
      </c>
      <c r="E262" s="5" t="inlineStr">
        <is>
          <t>Zor</t>
        </is>
      </c>
      <c r="F262" s="5" t="inlineStr"/>
      <c r="G262" s="6" t="inlineStr"/>
      <c r="H262" s="6" t="inlineStr">
        <is>
          <t>Ailen denemeye razı oldu. Üç ay süren var.</t>
        </is>
      </c>
      <c r="I262" s="6" t="inlineStr">
        <is>
          <t>Baban plana o kadar inandı ki dershane parasının bir kısmıyla sana bisiklet aldı: “Kütüphaneye gidip gelirsin.” Nereye gidip geldiğini kimse sormadı.</t>
        </is>
      </c>
      <c r="J262" s="6" t="inlineStr">
        <is>
          <t>Ailen seni takvime bağladı ve oda kapısına 'Açık Kalacak' kuralı getirdi.</t>
        </is>
      </c>
      <c r="K262" s="6" t="inlineStr">
        <is>
          <t>İlk deneme sonucunun ardından ailen dershaneye yıllık kayıt yaptırdı. Peşin.</t>
        </is>
      </c>
      <c r="L262" s="6" t="inlineStr"/>
      <c r="M262" s="5" t="inlineStr"/>
      <c r="N262" s="5" t="inlineStr"/>
      <c r="O262" s="6" t="inlineStr"/>
      <c r="P262" s="6" t="inlineStr"/>
      <c r="Q262" s="5" t="inlineStr"/>
      <c r="R262" s="5" t="inlineStr"/>
      <c r="S262" s="5" t="inlineStr"/>
      <c r="T262" s="5" t="inlineStr"/>
      <c r="U262" s="5" t="inlineStr"/>
      <c r="V262" s="5" t="inlineStr"/>
      <c r="W262" s="5" t="inlineStr">
        <is>
          <t>dershaneli</t>
        </is>
      </c>
      <c r="X262" s="5" t="inlineStr"/>
      <c r="Y262" s="5" t="inlineStr"/>
      <c r="Z262" s="6" t="inlineStr"/>
      <c r="AA262" s="5" t="inlineStr"/>
      <c r="AB262" s="5" t="inlineStr"/>
      <c r="AC262" s="5" t="inlineStr"/>
      <c r="AD262" s="5" t="inlineStr"/>
      <c r="AE262" s="5" t="inlineStr"/>
      <c r="AF262" s="5" t="inlineStr"/>
      <c r="AG262" s="5" t="inlineStr"/>
      <c r="AH262" s="5" t="inlineStr"/>
      <c r="AI262" s="5" t="inlineStr"/>
      <c r="AJ262" s="5" t="inlineStr"/>
    </row>
    <row r="263">
      <c r="A263" s="5" t="inlineStr">
        <is>
          <t>b4-dershane</t>
        </is>
      </c>
      <c r="B263" s="5" t="n">
        <v>4</v>
      </c>
      <c r="C263" s="6" t="inlineStr">
        <is>
          <t>Kuzen ve komşu indirimi araştır</t>
        </is>
      </c>
      <c r="D263" s="5" t="inlineStr">
        <is>
          <t>Akıl</t>
        </is>
      </c>
      <c r="E263" s="5" t="inlineStr">
        <is>
          <t>Kolay</t>
        </is>
      </c>
      <c r="F263" s="5" t="inlineStr"/>
      <c r="G263" s="6" t="inlineStr"/>
      <c r="H263" s="6" t="inlineStr">
        <is>
          <t>Kuzen, komşu çocuğu ve erken kayıt indirimini birleştirdin. Fiyat üçte bir düştü.</t>
        </is>
      </c>
      <c r="I263" s="6" t="inlineStr">
        <is>
          <t>İndirimleri öyle birleştirdin ki dershane müdürü babana “Bu çocuğu muhasebeye verelim” dedi. Fiyat yarıya indi.</t>
        </is>
      </c>
      <c r="J263" s="6" t="inlineStr">
        <is>
          <t>İndirimler birleşmiyormuş. Küçük puntoda yazıyordu.</t>
        </is>
      </c>
      <c r="K263" s="6" t="inlineStr">
        <is>
          <t>İndirim için kuzenini de kaydettirdin. Kuzen her denemede senden yüksek aldı.</t>
        </is>
      </c>
      <c r="L263" s="6" t="inlineStr"/>
      <c r="M263" s="5" t="inlineStr"/>
      <c r="N263" s="5" t="inlineStr"/>
      <c r="O263" s="6" t="inlineStr"/>
      <c r="P263" s="6" t="inlineStr"/>
      <c r="Q263" s="5" t="inlineStr">
        <is>
          <t>Kumbara Çocuğu</t>
        </is>
      </c>
      <c r="R263" s="5" t="inlineStr"/>
      <c r="S263" s="5" t="inlineStr"/>
      <c r="T263" s="5" t="inlineStr"/>
      <c r="U263" s="5" t="inlineStr">
        <is>
          <t>dershaneli</t>
        </is>
      </c>
      <c r="V263" s="5" t="inlineStr"/>
      <c r="W263" s="5" t="inlineStr"/>
      <c r="X263" s="5" t="inlineStr"/>
      <c r="Y263" s="5" t="inlineStr"/>
      <c r="Z263" s="6" t="inlineStr"/>
      <c r="AA263" s="5" t="inlineStr"/>
      <c r="AB263" s="5" t="inlineStr"/>
      <c r="AC263" s="5" t="inlineStr"/>
      <c r="AD263" s="5" t="inlineStr"/>
      <c r="AE263" s="5" t="inlineStr"/>
      <c r="AF263" s="5" t="inlineStr"/>
      <c r="AG263" s="5" t="inlineStr"/>
      <c r="AH263" s="5" t="inlineStr"/>
      <c r="AI263" s="5" t="inlineStr"/>
      <c r="AJ263" s="5" t="inlineStr"/>
    </row>
    <row r="264">
      <c r="A264" s="5" t="inlineStr">
        <is>
          <t>b4-yanlis-grup</t>
        </is>
      </c>
      <c r="B264" s="5" t="n">
        <v>1</v>
      </c>
      <c r="C264" s="6" t="inlineStr">
        <is>
          <t>Telefonu kapat, uyu</t>
        </is>
      </c>
      <c r="D264" s="5" t="inlineStr"/>
      <c r="E264" s="5" t="inlineStr"/>
      <c r="F264" s="5" t="inlineStr">
        <is>
          <t>Dayanıklılık +1</t>
        </is>
      </c>
      <c r="G264" s="6" t="inlineStr">
        <is>
          <t>Telefonu kapatıp uyudun. Sabah grup kararını vermişti: artık yemeği sen seçiyorsun. Her gün.</t>
        </is>
      </c>
      <c r="H264" s="6" t="inlineStr"/>
      <c r="I264" s="6" t="inlineStr"/>
      <c r="J264" s="6" t="inlineStr"/>
      <c r="K264" s="6" t="inlineStr"/>
      <c r="L264" s="6" t="inlineStr"/>
      <c r="M264" s="5" t="inlineStr"/>
      <c r="N264" s="5" t="inlineStr"/>
      <c r="O264" s="6" t="inlineStr"/>
      <c r="P264" s="6" t="inlineStr"/>
      <c r="Q264" s="5" t="inlineStr"/>
      <c r="R264" s="5" t="inlineStr"/>
      <c r="S264" s="5" t="inlineStr"/>
      <c r="T264" s="5" t="inlineStr"/>
      <c r="U264" s="5" t="inlineStr">
        <is>
          <t>yanlis-grup</t>
        </is>
      </c>
      <c r="V264" s="5" t="inlineStr"/>
      <c r="W264" s="5" t="inlineStr"/>
      <c r="X264" s="5" t="inlineStr"/>
      <c r="Y264" s="5" t="inlineStr"/>
      <c r="Z264" s="6" t="inlineStr"/>
      <c r="AA264" s="5" t="inlineStr"/>
      <c r="AB264" s="5" t="inlineStr"/>
      <c r="AC264" s="5" t="inlineStr"/>
      <c r="AD264" s="5" t="inlineStr"/>
      <c r="AE264" s="5" t="inlineStr"/>
      <c r="AF264" s="5" t="inlineStr"/>
      <c r="AG264" s="5" t="inlineStr"/>
      <c r="AH264" s="5" t="inlineStr"/>
      <c r="AI264" s="5" t="inlineStr"/>
      <c r="AJ264" s="5" t="inlineStr"/>
    </row>
    <row r="265">
      <c r="A265" s="5" t="inlineStr">
        <is>
          <t>b4-yanlis-grup</t>
        </is>
      </c>
      <c r="B265" s="5" t="n">
        <v>2</v>
      </c>
      <c r="C265" s="6" t="inlineStr">
        <is>
          <t>Herkesten sil</t>
        </is>
      </c>
      <c r="D265" s="5" t="inlineStr">
        <is>
          <t>Kurnazlık</t>
        </is>
      </c>
      <c r="E265" s="5" t="inlineStr">
        <is>
          <t>Orta</t>
        </is>
      </c>
      <c r="F265" s="5" t="inlineStr"/>
      <c r="G265" s="6" t="inlineStr"/>
      <c r="H265" s="6" t="inlineStr">
        <is>
          <t>Grupta yalnızca 'Bu mesaj silindi' kaldı. Aile üç gün boyunca neyin silindiğini tahmin etti.</t>
        </is>
      </c>
      <c r="I265" s="6" t="inlineStr">
        <is>
          <t>Sildin; kimse görmemişti. Tek iz, halanın 'Ne sildin?' sorusu. O da cevapsız kaldı.</t>
        </is>
      </c>
      <c r="J265" s="6" t="inlineStr">
        <is>
          <t>Sildin ama dayın çoktan ekran görüntüsü alıp altına 'Hahaha' yazmıştı.</t>
        </is>
      </c>
      <c r="K265" s="6" t="inlineStr">
        <is>
          <t>'Herkesten sil' yerine 'Benden sil'e bastın. Mesaj grupta duruyor. Sen artık göremiyorsun.</t>
        </is>
      </c>
      <c r="L265" s="6" t="inlineStr"/>
      <c r="M265" s="5" t="inlineStr"/>
      <c r="N265" s="5" t="inlineStr"/>
      <c r="O265" s="6" t="inlineStr"/>
      <c r="P265" s="6" t="inlineStr"/>
      <c r="Q265" s="5" t="inlineStr"/>
      <c r="R265" s="5" t="inlineStr"/>
      <c r="S265" s="5" t="inlineStr"/>
      <c r="T265" s="5" t="inlineStr"/>
      <c r="U265" s="5" t="inlineStr"/>
      <c r="V265" s="5" t="inlineStr"/>
      <c r="W265" s="5" t="inlineStr">
        <is>
          <t>yanlis-grup</t>
        </is>
      </c>
      <c r="X265" s="5" t="inlineStr"/>
      <c r="Y265" s="5" t="inlineStr"/>
      <c r="Z265" s="6" t="inlineStr"/>
      <c r="AA265" s="5" t="inlineStr"/>
      <c r="AB265" s="5" t="inlineStr"/>
      <c r="AC265" s="5" t="inlineStr"/>
      <c r="AD265" s="5" t="inlineStr"/>
      <c r="AE265" s="5" t="inlineStr"/>
      <c r="AF265" s="5" t="inlineStr"/>
      <c r="AG265" s="5" t="inlineStr"/>
      <c r="AH265" s="5" t="inlineStr"/>
      <c r="AI265" s="5" t="inlineStr"/>
      <c r="AJ265" s="5" t="inlineStr"/>
    </row>
    <row r="266">
      <c r="A266" s="5" t="inlineStr">
        <is>
          <t>b4-yanlis-grup</t>
        </is>
      </c>
      <c r="B266" s="5" t="n">
        <v>3</v>
      </c>
      <c r="C266" s="6" t="inlineStr">
        <is>
          <t>Arkasını topla</t>
        </is>
      </c>
      <c r="D266" s="5" t="inlineStr">
        <is>
          <t>Çene</t>
        </is>
      </c>
      <c r="E266" s="5" t="inlineStr">
        <is>
          <t>Orta</t>
        </is>
      </c>
      <c r="F266" s="5" t="inlineStr"/>
      <c r="G266" s="6" t="inlineStr"/>
      <c r="H266" s="6" t="inlineStr">
        <is>
          <t>'…ve çok seviyorum!' diye ekledin. Annen kalp bıraktı. Yemek bir hafta daha tekrarlandı.</t>
        </is>
      </c>
      <c r="I266" s="6" t="inlineStr">
        <is>
          <t>Devamını öyle getirdin ki mesaj annene bir methiyeye döndü. Annen tarifi gruba yazdı, teyzen de aynı yemeği yaptı. Artık iki evde aynı yemek var.</t>
        </is>
      </c>
      <c r="J266" s="6" t="inlineStr">
        <is>
          <t>'Şaka şaka' yazdın. Kimse gülmedi. Annen 'Görüşürüz' yazdı.</t>
        </is>
      </c>
      <c r="K266" s="6" t="inlineStr">
        <is>
          <t>Toplamaya çalışırken ikinci mesajı da yanlış gruba attın: 'Bizimkiler hiçbir şey anlamaz.'</t>
        </is>
      </c>
      <c r="L266" s="6" t="inlineStr"/>
      <c r="M266" s="5" t="inlineStr"/>
      <c r="N266" s="5" t="inlineStr"/>
      <c r="O266" s="6" t="inlineStr"/>
      <c r="P266" s="6" t="inlineStr"/>
      <c r="Q266" s="5" t="inlineStr"/>
      <c r="R266" s="5" t="inlineStr"/>
      <c r="S266" s="5" t="inlineStr"/>
      <c r="T266" s="5" t="inlineStr"/>
      <c r="U266" s="5" t="inlineStr"/>
      <c r="V266" s="5" t="inlineStr"/>
      <c r="W266" s="5" t="inlineStr">
        <is>
          <t>yanlis-grup</t>
        </is>
      </c>
      <c r="X266" s="5" t="inlineStr"/>
      <c r="Y266" s="5" t="inlineStr"/>
      <c r="Z266" s="6" t="inlineStr"/>
      <c r="AA266" s="5" t="inlineStr"/>
      <c r="AB266" s="5" t="inlineStr"/>
      <c r="AC266" s="5" t="inlineStr"/>
      <c r="AD266" s="5" t="inlineStr"/>
      <c r="AE266" s="5" t="inlineStr"/>
      <c r="AF266" s="5" t="inlineStr"/>
      <c r="AG266" s="5" t="inlineStr"/>
      <c r="AH266" s="5" t="inlineStr"/>
      <c r="AI266" s="5" t="inlineStr"/>
      <c r="AJ266" s="5" t="inlineStr"/>
    </row>
    <row r="267">
      <c r="A267" s="5" t="inlineStr">
        <is>
          <t>b4-yanlis-grup</t>
        </is>
      </c>
      <c r="B267" s="5" t="n">
        <v>4</v>
      </c>
      <c r="C267" s="6" t="inlineStr">
        <is>
          <t>Annenin telefonundan da sil</t>
        </is>
      </c>
      <c r="D267" s="5" t="inlineStr">
        <is>
          <t>Kurnazlık</t>
        </is>
      </c>
      <c r="E267" s="5" t="inlineStr">
        <is>
          <t>Kolay</t>
        </is>
      </c>
      <c r="F267" s="5" t="inlineStr"/>
      <c r="G267" s="6" t="inlineStr"/>
      <c r="H267" s="6" t="inlineStr">
        <is>
          <t>Tezgâha süzüldün, telefonu çevirdin, mesajı sildin. Annen soğan doğramaya devam etti.</t>
        </is>
      </c>
      <c r="I267" s="6" t="inlineStr">
        <is>
          <t>Mesajı sildin, bir de annenin sabah attığı çiçekli günaydını beğendin. Annen akşam “Ne tatlı çocuğum var” dedi. Yemek yine aynıydı.</t>
        </is>
      </c>
      <c r="J267" s="6" t="inlineStr">
        <is>
          <t>Telefonu çevirdiğinde annen dönüp 'Ne arıyorsun?' dedi. 'Saat kaç?' dedin. Duvarda saat var.</t>
        </is>
      </c>
      <c r="K267" s="6" t="inlineStr">
        <is>
          <t>Telefonu çevirdin, sesli mesaj kaydı başladı. Annenin 'Ne yapıyorsun?' sorusu ve senin cevabın aile grubuna gitti.</t>
        </is>
      </c>
      <c r="L267" s="6" t="inlineStr"/>
      <c r="M267" s="5" t="inlineStr"/>
      <c r="N267" s="5" t="inlineStr"/>
      <c r="O267" s="6" t="inlineStr"/>
      <c r="P267" s="6" t="inlineStr"/>
      <c r="Q267" s="5" t="inlineStr"/>
      <c r="R267" s="5" t="inlineStr"/>
      <c r="S267" s="5" t="inlineStr">
        <is>
          <t>Kurnazlık</t>
        </is>
      </c>
      <c r="T267" s="5" t="inlineStr"/>
      <c r="U267" s="5" t="inlineStr"/>
      <c r="V267" s="5" t="inlineStr"/>
      <c r="W267" s="5" t="inlineStr"/>
      <c r="X267" s="5" t="inlineStr"/>
      <c r="Y267" s="5" t="inlineStr"/>
      <c r="Z267" s="6" t="inlineStr"/>
      <c r="AA267" s="5" t="inlineStr"/>
      <c r="AB267" s="5" t="inlineStr"/>
      <c r="AC267" s="5" t="inlineStr"/>
      <c r="AD267" s="5" t="inlineStr"/>
      <c r="AE267" s="5" t="inlineStr"/>
      <c r="AF267" s="5" t="inlineStr"/>
      <c r="AG267" s="5" t="inlineStr"/>
      <c r="AH267" s="5" t="inlineStr"/>
      <c r="AI267" s="5" t="inlineStr"/>
      <c r="AJ267" s="5" t="inlineStr"/>
    </row>
    <row r="268">
      <c r="A268" s="5" t="inlineStr">
        <is>
          <t>b4-apartman-toplantisi</t>
        </is>
      </c>
      <c r="B268" s="5" t="n">
        <v>1</v>
      </c>
      <c r="C268" s="6" t="inlineStr">
        <is>
          <t>Zarfı ver, makbuzu al, çık</t>
        </is>
      </c>
      <c r="D268" s="5" t="inlineStr"/>
      <c r="E268" s="5" t="inlineStr"/>
      <c r="F268" s="5" t="inlineStr">
        <is>
          <t>İtibar +1</t>
        </is>
      </c>
      <c r="G268" s="6" t="inlineStr">
        <is>
          <t>Zarfı verdin, makbuzu aldın, çıktın. Kapı kapanırken salondan tek bir cümle duydun: “Çocuklar da artık bahçede top oynamasın.”</t>
        </is>
      </c>
      <c r="H268" s="6" t="inlineStr"/>
      <c r="I268" s="6" t="inlineStr"/>
      <c r="J268" s="6" t="inlineStr"/>
      <c r="K268" s="6" t="inlineStr"/>
      <c r="L268" s="6" t="inlineStr"/>
      <c r="M268" s="5" t="inlineStr"/>
      <c r="N268" s="5" t="inlineStr"/>
      <c r="O268" s="6" t="inlineStr"/>
      <c r="P268" s="6" t="inlineStr"/>
      <c r="Q268" s="5" t="inlineStr"/>
      <c r="R268" s="5" t="inlineStr"/>
      <c r="S268" s="5" t="inlineStr"/>
      <c r="T268" s="5" t="inlineStr"/>
      <c r="U268" s="5" t="inlineStr"/>
      <c r="V268" s="5" t="inlineStr"/>
      <c r="W268" s="5" t="inlineStr"/>
      <c r="X268" s="5" t="inlineStr"/>
      <c r="Y268" s="5" t="inlineStr"/>
      <c r="Z268" s="6" t="inlineStr"/>
      <c r="AA268" s="5" t="inlineStr"/>
      <c r="AB268" s="5" t="inlineStr"/>
      <c r="AC268" s="5" t="inlineStr"/>
      <c r="AD268" s="5" t="inlineStr"/>
      <c r="AE268" s="5" t="inlineStr"/>
      <c r="AF268" s="5" t="inlineStr"/>
      <c r="AG268" s="5" t="inlineStr"/>
      <c r="AH268" s="5" t="inlineStr"/>
      <c r="AI268" s="5" t="inlineStr"/>
      <c r="AJ268" s="5" t="inlineStr"/>
    </row>
    <row r="269">
      <c r="A269" s="5" t="inlineStr">
        <is>
          <t>b4-apartman-toplantisi</t>
        </is>
      </c>
      <c r="B269" s="5" t="n">
        <v>2</v>
      </c>
      <c r="C269" s="6" t="inlineStr">
        <is>
          <t>Kapıda kulak kabart</t>
        </is>
      </c>
      <c r="D269" s="5" t="inlineStr">
        <is>
          <t>Sosyal Radar</t>
        </is>
      </c>
      <c r="E269" s="5" t="inlineStr">
        <is>
          <t>Kolay</t>
        </is>
      </c>
      <c r="F269" s="5" t="inlineStr"/>
      <c r="G269" s="6" t="inlineStr"/>
      <c r="H269" s="6" t="inlineStr">
        <is>
          <t>Kapıda iki dakika durdun, apartmanın bütün siyasetini öğrendin: aidat artacak, asansör bozuk kalacak, suçlu çocuklar.</t>
        </is>
      </c>
      <c r="I269" s="6" t="inlineStr">
        <is>
          <t>Beş dakikada kimin kime kızgın, kimin kimin tarafında olduğunu çözdün. Akşam babana anlattın; baban çayını bıraktı: “Yirmi yıldır bu apartmandayım, bunları ben bilmiyordum.”</t>
        </is>
      </c>
      <c r="J269" s="6" t="inlineStr">
        <is>
          <t>Kulak verdin ama yönetici kapıyı suratına kapattı. Makbuzu almayı da unuttun.</t>
        </is>
      </c>
      <c r="K269" s="6" t="inlineStr">
        <is>
          <t>Dinlerken yakalandın. Yönetici kapıyı ardına kadar açtı: “Gel, sen de otur madem.” Gecenin sonunda adın karar defterine geçti: “Kapıdan dinleyen 4 numaranın çocuğu.”</t>
        </is>
      </c>
      <c r="L269" s="6" t="inlineStr"/>
      <c r="M269" s="5" t="inlineStr"/>
      <c r="N269" s="5" t="inlineStr"/>
      <c r="O269" s="6" t="inlineStr"/>
      <c r="P269" s="6" t="inlineStr"/>
      <c r="Q269" s="5" t="inlineStr"/>
      <c r="R269" s="5" t="inlineStr"/>
      <c r="S269" s="5" t="inlineStr"/>
      <c r="T269" s="5" t="inlineStr"/>
      <c r="U269" s="5" t="inlineStr"/>
      <c r="V269" s="5" t="inlineStr"/>
      <c r="W269" s="5" t="inlineStr"/>
      <c r="X269" s="5" t="inlineStr"/>
      <c r="Y269" s="5" t="inlineStr"/>
      <c r="Z269" s="6" t="inlineStr"/>
      <c r="AA269" s="5" t="inlineStr"/>
      <c r="AB269" s="5" t="inlineStr"/>
      <c r="AC269" s="5" t="inlineStr"/>
      <c r="AD269" s="5" t="inlineStr"/>
      <c r="AE269" s="5" t="inlineStr"/>
      <c r="AF269" s="5" t="inlineStr"/>
      <c r="AG269" s="5" t="inlineStr"/>
      <c r="AH269" s="5" t="inlineStr"/>
      <c r="AI269" s="5" t="inlineStr"/>
      <c r="AJ269" s="5" t="inlineStr"/>
    </row>
    <row r="270">
      <c r="A270" s="5" t="inlineStr">
        <is>
          <t>b4-apartman-toplantisi</t>
        </is>
      </c>
      <c r="B270" s="5" t="n">
        <v>3</v>
      </c>
      <c r="C270" s="6" t="inlineStr">
        <is>
          <t>Top meselesinde çocukları savun</t>
        </is>
      </c>
      <c r="D270" s="5" t="inlineStr">
        <is>
          <t>Pişkinlik</t>
        </is>
      </c>
      <c r="E270" s="5" t="inlineStr">
        <is>
          <t>Orta</t>
        </is>
      </c>
      <c r="F270" s="5" t="inlineStr"/>
      <c r="G270" s="6" t="inlineStr"/>
      <c r="H270" s="6" t="inlineStr">
        <is>
          <t>“Top oynamazsak nerede oynayalım?” dedin. Sekiz yetişkin cevap veremedi. Bahçeye saat sınırıyla izin çıktı.</t>
        </is>
      </c>
      <c r="I270" s="6" t="inlineStr">
        <is>
          <t>Savunman öyle iyiydi ki komşular bahçeye basket potası alınmasına el kaldırarak karar verdi. Üçüncü kattaki teyze bile kaldırdı.</t>
        </is>
      </c>
      <c r="J270" s="6" t="inlineStr">
        <is>
          <t>Savunmaya başladın; üçüncü kattaki teyze telefonundan kırık camın fotoğrafını açtı. Saklamış.</t>
        </is>
      </c>
      <c r="K270" s="6" t="inlineStr">
        <is>
          <t>Savunmanın ortasında aşağıdan top sesi geldi, ardından cam sesi. Sen değildin ama o gün sen oldun.</t>
        </is>
      </c>
      <c r="L270" s="6" t="inlineStr"/>
      <c r="M270" s="5" t="inlineStr"/>
      <c r="N270" s="5" t="inlineStr"/>
      <c r="O270" s="6" t="inlineStr"/>
      <c r="P270" s="6" t="inlineStr"/>
      <c r="Q270" s="5" t="inlineStr"/>
      <c r="R270" s="5" t="inlineStr"/>
      <c r="S270" s="5" t="inlineStr"/>
      <c r="T270" s="5" t="inlineStr"/>
      <c r="U270" s="5" t="inlineStr"/>
      <c r="V270" s="5" t="inlineStr"/>
      <c r="W270" s="5" t="inlineStr"/>
      <c r="X270" s="5" t="inlineStr"/>
      <c r="Y270" s="5" t="inlineStr"/>
      <c r="Z270" s="6" t="inlineStr"/>
      <c r="AA270" s="5" t="inlineStr"/>
      <c r="AB270" s="5" t="inlineStr"/>
      <c r="AC270" s="5" t="inlineStr"/>
      <c r="AD270" s="5" t="inlineStr"/>
      <c r="AE270" s="5" t="inlineStr"/>
      <c r="AF270" s="5" t="inlineStr"/>
      <c r="AG270" s="5" t="inlineStr"/>
      <c r="AH270" s="5" t="inlineStr"/>
      <c r="AI270" s="5" t="inlineStr"/>
      <c r="AJ270" s="5" t="inlineStr"/>
    </row>
    <row r="271">
      <c r="A271" s="5" t="inlineStr">
        <is>
          <t>b4-apartman-toplantisi</t>
        </is>
      </c>
      <c r="B271" s="5" t="n">
        <v>4</v>
      </c>
      <c r="C271" s="6" t="inlineStr">
        <is>
          <t>Zarftan bir miktar kendine ayır</t>
        </is>
      </c>
      <c r="D271" s="5" t="inlineStr">
        <is>
          <t>Kurnazlık</t>
        </is>
      </c>
      <c r="E271" s="5" t="inlineStr">
        <is>
          <t>Zor</t>
        </is>
      </c>
      <c r="F271" s="5" t="inlineStr"/>
      <c r="G271" s="6" t="inlineStr"/>
      <c r="H271" s="6" t="inlineStr">
        <is>
          <t>Makbuzla zarf arasındaki farkı kimse fark etmedi. Aylık bir “kurye ücreti”n oldu.</t>
        </is>
      </c>
      <c r="I271" s="6" t="inlineStr">
        <is>
          <t>Zarftan bir kâğıt para ayırdın. Yönetici saymadan makbuzu kesti, annen makbuza bakmadan buzdolabına astı. Para kumbarada; vicdanın kumbaradan ağır.</t>
        </is>
      </c>
      <c r="J271" s="6" t="inlineStr">
        <is>
          <t>Zarftan ayırdın, yönetici parayı saydı. Makbuzda eksik yazıyor; annen okuyacak.</t>
        </is>
      </c>
      <c r="K271" s="6" t="inlineStr">
        <is>
          <t>Zarftan ayırdın. Yönetici, annenin iş arkadaşının kocası çıktı; annen ertesi sabah işe girer girmez öğrendi. Akşam mutfakta zarfı yeniden saydınız: sen saydın, annen izledi.</t>
        </is>
      </c>
      <c r="L271" s="6" t="inlineStr"/>
      <c r="M271" s="5" t="inlineStr"/>
      <c r="N271" s="5" t="inlineStr"/>
      <c r="O271" s="6" t="inlineStr"/>
      <c r="P271" s="6" t="inlineStr"/>
      <c r="Q271" s="5" t="inlineStr"/>
      <c r="R271" s="5" t="inlineStr"/>
      <c r="S271" s="5" t="inlineStr"/>
      <c r="T271" s="5" t="inlineStr"/>
      <c r="U271" s="5" t="inlineStr"/>
      <c r="V271" s="5" t="inlineStr"/>
      <c r="W271" s="5" t="inlineStr">
        <is>
          <t>yalanci</t>
        </is>
      </c>
      <c r="X271" s="5" t="inlineStr"/>
      <c r="Y271" s="5" t="inlineStr"/>
      <c r="Z271" s="6" t="inlineStr"/>
      <c r="AA271" s="5" t="inlineStr"/>
      <c r="AB271" s="5" t="inlineStr"/>
      <c r="AC271" s="5" t="inlineStr"/>
      <c r="AD271" s="5" t="inlineStr"/>
      <c r="AE271" s="5" t="inlineStr"/>
      <c r="AF271" s="5" t="inlineStr"/>
      <c r="AG271" s="5" t="inlineStr"/>
      <c r="AH271" s="5" t="inlineStr"/>
      <c r="AI271" s="5" t="inlineStr"/>
      <c r="AJ271" s="5" t="inlineStr"/>
    </row>
    <row r="272">
      <c r="A272" s="5" t="inlineStr">
        <is>
          <t>b4-yz-odev</t>
        </is>
      </c>
      <c r="B272" s="5" t="n">
        <v>1</v>
      </c>
      <c r="C272" s="6" t="inlineStr">
        <is>
          <t>Kendin yaz</t>
        </is>
      </c>
      <c r="D272" s="5" t="inlineStr"/>
      <c r="E272" s="5" t="inlineStr"/>
      <c r="F272" s="5" t="inlineStr">
        <is>
          <t>İtibar +1</t>
        </is>
      </c>
      <c r="G272" s="6" t="inlineStr">
        <is>
          <t>Kendin yazdın. İki imla hatası, bir dürüst cümle: 'Tatil kısaydı.' Öğretmen o cümlenin altını çizdi.</t>
        </is>
      </c>
      <c r="H272" s="6" t="inlineStr"/>
      <c r="I272" s="6" t="inlineStr"/>
      <c r="J272" s="6" t="inlineStr"/>
      <c r="K272" s="6" t="inlineStr"/>
      <c r="L272" s="6" t="inlineStr"/>
      <c r="M272" s="5" t="inlineStr"/>
      <c r="N272" s="5" t="inlineStr"/>
      <c r="O272" s="6" t="inlineStr"/>
      <c r="P272" s="6" t="inlineStr"/>
      <c r="Q272" s="5" t="inlineStr"/>
      <c r="R272" s="5" t="inlineStr"/>
      <c r="S272" s="5" t="inlineStr"/>
      <c r="T272" s="5" t="inlineStr"/>
      <c r="U272" s="5" t="inlineStr"/>
      <c r="V272" s="5" t="inlineStr"/>
      <c r="W272" s="5" t="inlineStr"/>
      <c r="X272" s="5" t="inlineStr"/>
      <c r="Y272" s="5" t="inlineStr"/>
      <c r="Z272" s="6" t="inlineStr"/>
      <c r="AA272" s="5" t="inlineStr"/>
      <c r="AB272" s="5" t="inlineStr"/>
      <c r="AC272" s="5" t="inlineStr"/>
      <c r="AD272" s="5" t="inlineStr"/>
      <c r="AE272" s="5" t="inlineStr"/>
      <c r="AF272" s="5" t="inlineStr"/>
      <c r="AG272" s="5" t="inlineStr"/>
      <c r="AH272" s="5" t="inlineStr"/>
      <c r="AI272" s="5" t="inlineStr"/>
      <c r="AJ272" s="5" t="inlineStr"/>
    </row>
    <row r="273">
      <c r="A273" s="5" t="inlineStr">
        <is>
          <t>b4-yz-odev</t>
        </is>
      </c>
      <c r="B273" s="5" t="n">
        <v>2</v>
      </c>
      <c r="C273" s="6" t="inlineStr">
        <is>
          <t>Yapay zekâya yazdır</t>
        </is>
      </c>
      <c r="D273" s="5" t="inlineStr">
        <is>
          <t>Kurnazlık</t>
        </is>
      </c>
      <c r="E273" s="5" t="inlineStr">
        <is>
          <t>Orta</t>
        </is>
      </c>
      <c r="F273" s="5" t="inlineStr"/>
      <c r="G273" s="6" t="inlineStr"/>
      <c r="H273" s="6" t="inlineStr">
        <is>
          <t>Metin kusursuz. Öğretmen 'Çok gelişmişsin' dedi. İçinde bir şey sızladı, geçti.</t>
        </is>
      </c>
      <c r="I273" s="6" t="inlineStr">
        <is>
          <t>Yapay zekâya kendi imla hatalarını da ekletmeyi unutmadın. Öğretmen “İşte tam senin yazın” dedi. İçin sızladı; yazı senin değildi, hatalar senindi.</t>
        </is>
      </c>
      <c r="J273" s="6" t="inlineStr">
        <is>
          <t>Metne göre tatilini Öte Diyar'da, üç dil konuşarak geçirmişsin. Öğretmen aileni arayıp tatili tebrik etti. Annen “Hangi tatil?” dedi.</t>
        </is>
      </c>
      <c r="K273" s="6" t="inlineStr">
        <is>
          <t>Metnin son cümlesi: 'Başka bir konuda yardımcı olabilir miyim?' Öğretmen sınıfa sesli okudu.</t>
        </is>
      </c>
      <c r="L273" s="6" t="inlineStr"/>
      <c r="M273" s="5" t="inlineStr"/>
      <c r="N273" s="5" t="inlineStr"/>
      <c r="O273" s="6" t="inlineStr"/>
      <c r="P273" s="6" t="inlineStr"/>
      <c r="Q273" s="5" t="inlineStr"/>
      <c r="R273" s="5" t="inlineStr"/>
      <c r="S273" s="5" t="inlineStr"/>
      <c r="T273" s="5" t="inlineStr"/>
      <c r="U273" s="5" t="inlineStr">
        <is>
          <t>yz-odevci</t>
        </is>
      </c>
      <c r="V273" s="5" t="inlineStr"/>
      <c r="W273" s="5" t="inlineStr"/>
      <c r="X273" s="5" t="inlineStr"/>
      <c r="Y273" s="5" t="inlineStr"/>
      <c r="Z273" s="6" t="inlineStr"/>
      <c r="AA273" s="5" t="inlineStr"/>
      <c r="AB273" s="5" t="inlineStr"/>
      <c r="AC273" s="5" t="inlineStr"/>
      <c r="AD273" s="5" t="inlineStr"/>
      <c r="AE273" s="5" t="inlineStr"/>
      <c r="AF273" s="5" t="inlineStr"/>
      <c r="AG273" s="5" t="inlineStr"/>
      <c r="AH273" s="5" t="inlineStr"/>
      <c r="AI273" s="5" t="inlineStr"/>
      <c r="AJ273" s="5" t="inlineStr"/>
    </row>
    <row r="274">
      <c r="A274" s="5" t="inlineStr">
        <is>
          <t>b4-yz-odev</t>
        </is>
      </c>
      <c r="B274" s="5" t="n">
        <v>3</v>
      </c>
      <c r="C274" s="6" t="inlineStr">
        <is>
          <t>Yazdır, sonra bozarak yeniden yaz</t>
        </is>
      </c>
      <c r="D274" s="5" t="inlineStr">
        <is>
          <t>Akıl</t>
        </is>
      </c>
      <c r="E274" s="5" t="inlineStr">
        <is>
          <t>Kolay</t>
        </is>
      </c>
      <c r="F274" s="5" t="inlineStr"/>
      <c r="G274" s="6" t="inlineStr"/>
      <c r="H274" s="6" t="inlineStr">
        <is>
          <t>“Ayrıca”ları sildin, iki hata ekledin, bir de şu cümleyi: “Tatilde babam mangalı yaktı ama ateş almadı.” Öğretmen o cümlenin yanına gülen bir surat çizdi.</t>
        </is>
      </c>
      <c r="I274" s="6" t="inlineStr">
        <is>
          <t>Makinenin metnini bozup kendi tatilini yazdın: dedenin bahçesi, kuzeninle kırdığınız salıncak. Öğretmen sınıfa sesli okudu; salıncak kısmında herkes güldü. Makine o salıncağı bilemezdi.</t>
        </is>
      </c>
      <c r="J274" s="6" t="inlineStr">
        <is>
          <t>Bozarken bozdun. Metin artık ne sen, ne makine.</t>
        </is>
      </c>
      <c r="K274" s="6" t="inlineStr">
        <is>
          <t>'Ayrıca'ları sildin ama 'Bir yapay zekâ olarak ben de tatile gittim' cümlesini unuttun.</t>
        </is>
      </c>
      <c r="L274" s="6" t="inlineStr"/>
      <c r="M274" s="5" t="inlineStr"/>
      <c r="N274" s="5" t="inlineStr"/>
      <c r="O274" s="6" t="inlineStr"/>
      <c r="P274" s="6" t="inlineStr"/>
      <c r="Q274" s="5" t="inlineStr"/>
      <c r="R274" s="5" t="inlineStr"/>
      <c r="S274" s="5" t="inlineStr">
        <is>
          <t>Akıl</t>
        </is>
      </c>
      <c r="T274" s="5" t="inlineStr"/>
      <c r="U274" s="5" t="inlineStr">
        <is>
          <t>yz-odevci</t>
        </is>
      </c>
      <c r="V274" s="5" t="inlineStr"/>
      <c r="W274" s="5" t="inlineStr"/>
      <c r="X274" s="5" t="inlineStr"/>
      <c r="Y274" s="5" t="inlineStr"/>
      <c r="Z274" s="6" t="inlineStr"/>
      <c r="AA274" s="5" t="inlineStr"/>
      <c r="AB274" s="5" t="inlineStr"/>
      <c r="AC274" s="5" t="inlineStr"/>
      <c r="AD274" s="5" t="inlineStr"/>
      <c r="AE274" s="5" t="inlineStr"/>
      <c r="AF274" s="5" t="inlineStr"/>
      <c r="AG274" s="5" t="inlineStr"/>
      <c r="AH274" s="5" t="inlineStr"/>
      <c r="AI274" s="5" t="inlineStr"/>
      <c r="AJ274" s="5" t="inlineStr"/>
    </row>
    <row r="275">
      <c r="A275" s="5" t="inlineStr">
        <is>
          <t>b4-yz-odev</t>
        </is>
      </c>
      <c r="B275" s="5" t="n">
        <v>4</v>
      </c>
      <c r="C275" s="6" t="inlineStr">
        <is>
          <t>Kaynak göstererek birlikte yaz</t>
        </is>
      </c>
      <c r="D275" s="5" t="inlineStr">
        <is>
          <t>Akıl</t>
        </is>
      </c>
      <c r="E275" s="5" t="inlineStr">
        <is>
          <t>Orta</t>
        </is>
      </c>
      <c r="F275" s="5" t="inlineStr"/>
      <c r="G275" s="6" t="inlineStr"/>
      <c r="H275" s="6" t="inlineStr">
        <is>
          <t>Altına 'Yapay zekâ ile birlikte hazırlanmıştır' yazdın. Öğretmen ne yapacağını bilemedi, tam not verdi.</t>
        </is>
      </c>
      <c r="I275" s="6" t="inlineStr">
        <is>
          <t>Öğretmen ödevini öğretmenler odasında okuttu. Ertesi gün iki öğretmen gelip “Bunu bana da kurar mısın?” dedi.</t>
        </is>
      </c>
      <c r="J275" s="6" t="inlineStr">
        <is>
          <t>Kaynak gösterdin; öğretmen kaynağı 'kopya' diye okudu.</t>
        </is>
      </c>
      <c r="K275" s="6" t="inlineStr">
        <is>
          <t>Kaynak gösterdin. Ertesi hafta okul panosuna yeni bir kural asıldı: “Yapay zekâ ile ödev yasaktır.” Altına örnek olarak senin ödevin asılmıştı, adın kocaman.</t>
        </is>
      </c>
      <c r="L275" s="6" t="inlineStr"/>
      <c r="M275" s="5" t="inlineStr"/>
      <c r="N275" s="5" t="inlineStr"/>
      <c r="O275" s="6" t="inlineStr"/>
      <c r="P275" s="6" t="inlineStr"/>
      <c r="Q275" s="5" t="inlineStr">
        <is>
          <t>Ekran Yerlisi</t>
        </is>
      </c>
      <c r="R275" s="5" t="inlineStr"/>
      <c r="S275" s="5" t="inlineStr"/>
      <c r="T275" s="5" t="inlineStr"/>
      <c r="U275" s="5" t="inlineStr"/>
      <c r="V275" s="5" t="inlineStr"/>
      <c r="W275" s="5" t="inlineStr"/>
      <c r="X275" s="5" t="inlineStr"/>
      <c r="Y275" s="5" t="inlineStr"/>
      <c r="Z275" s="6" t="inlineStr"/>
      <c r="AA275" s="5" t="inlineStr"/>
      <c r="AB275" s="5" t="inlineStr"/>
      <c r="AC275" s="5" t="inlineStr"/>
      <c r="AD275" s="5" t="inlineStr"/>
      <c r="AE275" s="5" t="inlineStr"/>
      <c r="AF275" s="5" t="inlineStr"/>
      <c r="AG275" s="5" t="inlineStr"/>
      <c r="AH275" s="5" t="inlineStr"/>
      <c r="AI275" s="5" t="inlineStr"/>
      <c r="AJ275" s="5" t="inlineStr"/>
    </row>
    <row r="276">
      <c r="A276" s="5" t="inlineStr">
        <is>
          <t>b4-kisisel-oda</t>
        </is>
      </c>
      <c r="B276" s="5" t="n">
        <v>1</v>
      </c>
      <c r="C276" s="6" t="inlineStr">
        <is>
          <t>Paylaşmaya razı ol</t>
        </is>
      </c>
      <c r="D276" s="5" t="inlineStr"/>
      <c r="E276" s="5" t="inlineStr"/>
      <c r="F276" s="5" t="inlineStr">
        <is>
          <t>İtibar +1</t>
        </is>
      </c>
      <c r="G276" s="6" t="inlineStr">
        <is>
          <t>Odayı koşu bandıyla paylaştın. Kıyafetlerin bantta, sen yataktasın. Bir gece saat üçte bant kendi kendine çalıştı.</t>
        </is>
      </c>
      <c r="H276" s="6" t="inlineStr"/>
      <c r="I276" s="6" t="inlineStr"/>
      <c r="J276" s="6" t="inlineStr"/>
      <c r="K276" s="6" t="inlineStr"/>
      <c r="L276" s="6" t="inlineStr"/>
      <c r="M276" s="5" t="inlineStr"/>
      <c r="N276" s="5" t="inlineStr"/>
      <c r="O276" s="6" t="inlineStr"/>
      <c r="P276" s="6" t="inlineStr"/>
      <c r="Q276" s="5" t="inlineStr"/>
      <c r="R276" s="5" t="inlineStr"/>
      <c r="S276" s="5" t="inlineStr"/>
      <c r="T276" s="5" t="inlineStr"/>
      <c r="U276" s="5" t="inlineStr"/>
      <c r="V276" s="5" t="inlineStr"/>
      <c r="W276" s="5" t="inlineStr"/>
      <c r="X276" s="5" t="inlineStr"/>
      <c r="Y276" s="5" t="inlineStr"/>
      <c r="Z276" s="6" t="inlineStr"/>
      <c r="AA276" s="5" t="inlineStr"/>
      <c r="AB276" s="5" t="inlineStr"/>
      <c r="AC276" s="5" t="inlineStr"/>
      <c r="AD276" s="5" t="inlineStr"/>
      <c r="AE276" s="5" t="inlineStr"/>
      <c r="AF276" s="5" t="inlineStr"/>
      <c r="AG276" s="5" t="inlineStr"/>
      <c r="AH276" s="5" t="inlineStr"/>
      <c r="AI276" s="5" t="inlineStr"/>
      <c r="AJ276" s="5" t="inlineStr"/>
    </row>
    <row r="277">
      <c r="A277" s="5" t="inlineStr">
        <is>
          <t>b4-kisisel-oda</t>
        </is>
      </c>
      <c r="B277" s="5" t="n">
        <v>2</v>
      </c>
      <c r="C277" s="6" t="inlineStr">
        <is>
          <t>Resmî başvuru yap</t>
        </is>
      </c>
      <c r="D277" s="5" t="inlineStr">
        <is>
          <t>Akıl</t>
        </is>
      </c>
      <c r="E277" s="5" t="inlineStr">
        <is>
          <t>Orta</t>
        </is>
      </c>
      <c r="F277" s="5" t="inlineStr"/>
      <c r="G277" s="6" t="inlineStr"/>
      <c r="H277" s="6" t="inlineStr">
        <is>
          <t>“Sayın Annem ve Babam” diye başlayan bir dilekçe yazıp altını imzaladın. Baban okurken gülmemek için dudağını ısırdı, annen kâğıdı saklamak için çekmeceye koydu. Oda senin.</t>
        </is>
      </c>
      <c r="I277" s="6" t="inlineStr">
        <is>
          <t>Dilekçene kat planı ekledin. Oda senin; kapıya kilit, sana anahtar verildi.</t>
        </is>
      </c>
      <c r="J277" s="6" t="inlineStr">
        <is>
          <t>Dilekçe değerlendirmeye alındı. Hâlâ değerlendiriliyor.</t>
        </is>
      </c>
      <c r="K277" s="6" t="inlineStr">
        <is>
          <t>Dilekçeyi koşu bandının üstüne bıraktın. Hâlâ orada; kimse bandı kullanmıyor.</t>
        </is>
      </c>
      <c r="L277" s="6" t="inlineStr"/>
      <c r="M277" s="5" t="inlineStr"/>
      <c r="N277" s="5" t="inlineStr"/>
      <c r="O277" s="6" t="inlineStr"/>
      <c r="P277" s="6" t="inlineStr"/>
      <c r="Q277" s="5" t="inlineStr"/>
      <c r="R277" s="5" t="inlineStr"/>
      <c r="S277" s="5" t="inlineStr"/>
      <c r="T277" s="5" t="inlineStr"/>
      <c r="U277" s="5" t="inlineStr"/>
      <c r="V277" s="5" t="inlineStr">
        <is>
          <t>kendi-odasi</t>
        </is>
      </c>
      <c r="W277" s="5" t="inlineStr"/>
      <c r="X277" s="5" t="inlineStr"/>
      <c r="Y277" s="5" t="inlineStr"/>
      <c r="Z277" s="6" t="inlineStr"/>
      <c r="AA277" s="5" t="inlineStr"/>
      <c r="AB277" s="5" t="inlineStr"/>
      <c r="AC277" s="5" t="inlineStr"/>
      <c r="AD277" s="5" t="inlineStr"/>
      <c r="AE277" s="5" t="inlineStr"/>
      <c r="AF277" s="5" t="inlineStr"/>
      <c r="AG277" s="5" t="inlineStr"/>
      <c r="AH277" s="5" t="inlineStr"/>
      <c r="AI277" s="5" t="inlineStr"/>
      <c r="AJ277" s="5" t="inlineStr"/>
    </row>
    <row r="278">
      <c r="A278" s="5" t="inlineStr">
        <is>
          <t>b4-kisisel-oda</t>
        </is>
      </c>
      <c r="B278" s="5" t="n">
        <v>3</v>
      </c>
      <c r="C278" s="6" t="inlineStr">
        <is>
          <t>Koşu bandını delil olarak sun</t>
        </is>
      </c>
      <c r="D278" s="5" t="inlineStr">
        <is>
          <t>Çene</t>
        </is>
      </c>
      <c r="E278" s="5" t="inlineStr">
        <is>
          <t>Kolay</t>
        </is>
      </c>
      <c r="F278" s="5" t="inlineStr"/>
      <c r="G278" s="6" t="inlineStr"/>
      <c r="H278" s="6" t="inlineStr">
        <is>
          <t>'Bant iki yıldır askılık' dedin. Baban itiraz edemedi. Bant balkona sürgün edildi.</t>
        </is>
      </c>
      <c r="I278" s="6" t="inlineStr">
        <is>
          <t>Bandın üstündeki kıyafetlerin fotoğrafını aile grubuna attın. Babaannen “Bu çocuğa oda lazım” yazdı; konu orada kapandı.</t>
        </is>
      </c>
      <c r="J278" s="6" t="inlineStr">
        <is>
          <t>Baban o akşam bantta yürüdü. Göstermelik ama yürüdü.</t>
        </is>
      </c>
      <c r="K278" s="6" t="inlineStr">
        <is>
          <t>Baban itiraz etti, sonra spora başladı. Oda artık ev spor salonu ve sen üye değilsin.</t>
        </is>
      </c>
      <c r="L278" s="6" t="inlineStr"/>
      <c r="M278" s="5" t="inlineStr"/>
      <c r="N278" s="5" t="inlineStr"/>
      <c r="O278" s="6" t="inlineStr"/>
      <c r="P278" s="6" t="inlineStr"/>
      <c r="Q278" s="5" t="inlineStr"/>
      <c r="R278" s="5" t="inlineStr"/>
      <c r="S278" s="5" t="inlineStr">
        <is>
          <t>Çene</t>
        </is>
      </c>
      <c r="T278" s="5" t="inlineStr"/>
      <c r="U278" s="5" t="inlineStr"/>
      <c r="V278" s="5" t="inlineStr">
        <is>
          <t>kendi-odasi</t>
        </is>
      </c>
      <c r="W278" s="5" t="inlineStr"/>
      <c r="X278" s="5" t="inlineStr"/>
      <c r="Y278" s="5" t="inlineStr"/>
      <c r="Z278" s="6" t="inlineStr"/>
      <c r="AA278" s="5" t="inlineStr"/>
      <c r="AB278" s="5" t="inlineStr"/>
      <c r="AC278" s="5" t="inlineStr"/>
      <c r="AD278" s="5" t="inlineStr"/>
      <c r="AE278" s="5" t="inlineStr"/>
      <c r="AF278" s="5" t="inlineStr"/>
      <c r="AG278" s="5" t="inlineStr"/>
      <c r="AH278" s="5" t="inlineStr"/>
      <c r="AI278" s="5" t="inlineStr"/>
      <c r="AJ278" s="5" t="inlineStr"/>
    </row>
    <row r="279">
      <c r="A279" s="5" t="inlineStr">
        <is>
          <t>b4-kisisel-oda</t>
        </is>
      </c>
      <c r="B279" s="5" t="n">
        <v>4</v>
      </c>
      <c r="C279" s="6" t="inlineStr">
        <is>
          <t>Kediyi odaya yerleştir</t>
        </is>
      </c>
      <c r="D279" s="5" t="inlineStr">
        <is>
          <t>Kurnazlık</t>
        </is>
      </c>
      <c r="E279" s="5" t="inlineStr">
        <is>
          <t>Orta</t>
        </is>
      </c>
      <c r="F279" s="5" t="inlineStr"/>
      <c r="G279" s="6" t="inlineStr"/>
      <c r="H279" s="6" t="inlineStr">
        <is>
          <t>Kedi odayı sahiplendi, sen de kediyi. Oda fiilen ikinizin.</t>
        </is>
      </c>
      <c r="I279" s="6" t="inlineStr">
        <is>
          <t>Kedi odadan çıkmayınca ailen odayı ikinize tapuladı. Kediye de bir yastık düştü.</t>
        </is>
      </c>
      <c r="J279" s="6" t="inlineStr">
        <is>
          <t>Kedi odayı beğenmedi, salona döndü. Seni de götürdü.</t>
        </is>
      </c>
      <c r="K279" s="6" t="inlineStr">
        <is>
          <t>Kedi odayı sahiplendi. Yalnızca kedi. Artık kapıyı ondan izin alarak açıyorsun.</t>
        </is>
      </c>
      <c r="L279" s="6" t="inlineStr"/>
      <c r="M279" s="5" t="inlineStr"/>
      <c r="N279" s="5" t="inlineStr"/>
      <c r="O279" s="6" t="inlineStr"/>
      <c r="P279" s="6" t="inlineStr"/>
      <c r="Q279" s="5" t="inlineStr"/>
      <c r="R279" s="5" t="inlineStr">
        <is>
          <t>kediGeldi</t>
        </is>
      </c>
      <c r="S279" s="5" t="inlineStr"/>
      <c r="T279" s="5" t="inlineStr"/>
      <c r="U279" s="5" t="inlineStr"/>
      <c r="V279" s="5" t="inlineStr">
        <is>
          <t>kendi-odasi</t>
        </is>
      </c>
      <c r="W279" s="5" t="inlineStr"/>
      <c r="X279" s="5" t="inlineStr"/>
      <c r="Y279" s="5" t="inlineStr"/>
      <c r="Z279" s="6" t="inlineStr"/>
      <c r="AA279" s="5" t="inlineStr"/>
      <c r="AB279" s="5" t="inlineStr"/>
      <c r="AC279" s="5" t="inlineStr"/>
      <c r="AD279" s="5" t="inlineStr"/>
      <c r="AE279" s="5" t="inlineStr"/>
      <c r="AF279" s="5" t="inlineStr"/>
      <c r="AG279" s="5" t="inlineStr"/>
      <c r="AH279" s="5" t="inlineStr"/>
      <c r="AI279" s="5" t="inlineStr"/>
      <c r="AJ279" s="5" t="inlineStr"/>
    </row>
    <row r="280">
      <c r="A280" s="5" t="inlineStr">
        <is>
          <t>b4-fenomen-denemesi</t>
        </is>
      </c>
      <c r="B280" s="5" t="n">
        <v>1</v>
      </c>
      <c r="C280" s="6" t="inlineStr">
        <is>
          <t>Hesabı gizliye al</t>
        </is>
      </c>
      <c r="D280" s="5" t="inlineStr"/>
      <c r="E280" s="5" t="inlineStr"/>
      <c r="F280" s="5" t="inlineStr">
        <is>
          <t>Kurnazlık +1</t>
        </is>
      </c>
      <c r="G280" s="6" t="inlineStr">
        <is>
          <t>Hesabı gizliye aldın. Ertesi gün kırk sekizinci kişi takip isteği gönderdi: babaannenin yeni telefonu. Kabul etmedin; babaannen akşam bunu bütün sofraya anlattı.</t>
        </is>
      </c>
      <c r="H280" s="6" t="inlineStr"/>
      <c r="I280" s="6" t="inlineStr"/>
      <c r="J280" s="6" t="inlineStr"/>
      <c r="K280" s="6" t="inlineStr"/>
      <c r="L280" s="6" t="inlineStr"/>
      <c r="M280" s="5" t="inlineStr"/>
      <c r="N280" s="5" t="inlineStr"/>
      <c r="O280" s="6" t="inlineStr"/>
      <c r="P280" s="6" t="inlineStr"/>
      <c r="Q280" s="5" t="inlineStr"/>
      <c r="R280" s="5" t="inlineStr"/>
      <c r="S280" s="5" t="inlineStr"/>
      <c r="T280" s="5" t="inlineStr"/>
      <c r="U280" s="5" t="inlineStr"/>
      <c r="V280" s="5" t="inlineStr"/>
      <c r="W280" s="5" t="inlineStr"/>
      <c r="X280" s="5" t="inlineStr"/>
      <c r="Y280" s="5" t="inlineStr"/>
      <c r="Z280" s="6" t="inlineStr"/>
      <c r="AA280" s="5" t="inlineStr"/>
      <c r="AB280" s="5" t="inlineStr"/>
      <c r="AC280" s="5" t="inlineStr"/>
      <c r="AD280" s="5" t="inlineStr"/>
      <c r="AE280" s="5" t="inlineStr"/>
      <c r="AF280" s="5" t="inlineStr"/>
      <c r="AG280" s="5" t="inlineStr"/>
      <c r="AH280" s="5" t="inlineStr"/>
      <c r="AI280" s="5" t="inlineStr"/>
      <c r="AJ280" s="5" t="inlineStr"/>
    </row>
    <row r="281">
      <c r="A281" s="5" t="inlineStr">
        <is>
          <t>b4-fenomen-denemesi</t>
        </is>
      </c>
      <c r="B281" s="5" t="n">
        <v>2</v>
      </c>
      <c r="C281" s="6" t="inlineStr">
        <is>
          <t>Her gün video çek</t>
        </is>
      </c>
      <c r="D281" s="5" t="inlineStr">
        <is>
          <t>Dayanıklılık</t>
        </is>
      </c>
      <c r="E281" s="5" t="inlineStr">
        <is>
          <t>Zor</t>
        </is>
      </c>
      <c r="F281" s="5" t="inlineStr"/>
      <c r="G281" s="6" t="inlineStr"/>
      <c r="H281" s="6" t="inlineStr">
        <is>
          <t>Yüz gün aralıksız paylaştın. Takipçi dört haneye çıktı. Okulda imza isteyen oldu.</t>
        </is>
      </c>
      <c r="I281" s="6" t="inlineStr">
        <is>
          <t>Bir videon patladı. Mahalle kafesi sana 'iş birliği' için bedava tost teklif etti. İlk sponsorluğun.</t>
        </is>
      </c>
      <c r="J281" s="6" t="inlineStr">
        <is>
          <t>Kırk gün paylaştın, kırk birinci gün şifreyi unuttun. İnternette şu an iki sen var.</t>
        </is>
      </c>
      <c r="K281" s="6" t="inlineStr">
        <is>
          <t>En çok izlenen videon, annenin arkadan 'Yemek soğudu!' diye bağırdığı video. Takipçiler annenin hesabını istiyor.</t>
        </is>
      </c>
      <c r="L281" s="6" t="inlineStr"/>
      <c r="M281" s="5" t="inlineStr"/>
      <c r="N281" s="5" t="inlineStr"/>
      <c r="O281" s="6" t="inlineStr"/>
      <c r="P281" s="6" t="inlineStr"/>
      <c r="Q281" s="5" t="inlineStr"/>
      <c r="R281" s="5" t="inlineStr"/>
      <c r="S281" s="5" t="inlineStr"/>
      <c r="T281" s="5" t="inlineStr"/>
      <c r="U281" s="5" t="inlineStr"/>
      <c r="V281" s="5" t="inlineStr">
        <is>
          <t>fenomen</t>
        </is>
      </c>
      <c r="W281" s="5" t="inlineStr"/>
      <c r="X281" s="5" t="inlineStr"/>
      <c r="Y281" s="5" t="inlineStr"/>
      <c r="Z281" s="6" t="inlineStr"/>
      <c r="AA281" s="5" t="inlineStr"/>
      <c r="AB281" s="5" t="inlineStr"/>
      <c r="AC281" s="5" t="inlineStr"/>
      <c r="AD281" s="5" t="inlineStr"/>
      <c r="AE281" s="5" t="inlineStr"/>
      <c r="AF281" s="5" t="inlineStr"/>
      <c r="AG281" s="5" t="inlineStr"/>
      <c r="AH281" s="5" t="inlineStr"/>
      <c r="AI281" s="5" t="inlineStr"/>
      <c r="AJ281" s="5" t="inlineStr"/>
    </row>
    <row r="282">
      <c r="A282" s="5" t="inlineStr">
        <is>
          <t>b4-fenomen-denemesi</t>
        </is>
      </c>
      <c r="B282" s="5" t="n">
        <v>3</v>
      </c>
      <c r="C282" s="6" t="inlineStr">
        <is>
          <t>Tartışmalı bir görüş paylaş</t>
        </is>
      </c>
      <c r="D282" s="5" t="inlineStr">
        <is>
          <t>Pişkinlik</t>
        </is>
      </c>
      <c r="E282" s="5" t="inlineStr">
        <is>
          <t>Orta</t>
        </is>
      </c>
      <c r="F282" s="5" t="inlineStr"/>
      <c r="G282" s="6" t="inlineStr"/>
      <c r="H282" s="6" t="inlineStr">
        <is>
          <t>'Pilav, makarnanın yanında olmaz' dedin. Yorumlar savaş alanı. Takipçi üç katına çıktı.</t>
        </is>
      </c>
      <c r="I282" s="6" t="inlineStr">
        <is>
          <t>Bir yemek sayfası seni alıntıladı. Artık bir 'duruşun' var.</t>
        </is>
      </c>
      <c r="J282" s="6" t="inlineStr">
        <is>
          <t>Görüşün kimseyi kızdırmadı. Herkes zaten aynı fikirdeymiş.</t>
        </is>
      </c>
      <c r="K282" s="6" t="inlineStr">
        <is>
          <t>Görüşün teyzeni kızdırdı. Aile grubunda üç gün pilav tartışıldı; adın hiç geçmeden.</t>
        </is>
      </c>
      <c r="L282" s="6" t="inlineStr"/>
      <c r="M282" s="5" t="inlineStr"/>
      <c r="N282" s="5" t="inlineStr"/>
      <c r="O282" s="6" t="inlineStr"/>
      <c r="P282" s="6" t="inlineStr"/>
      <c r="Q282" s="5" t="inlineStr"/>
      <c r="R282" s="5" t="inlineStr"/>
      <c r="S282" s="5" t="inlineStr"/>
      <c r="T282" s="5" t="inlineStr"/>
      <c r="U282" s="5" t="inlineStr"/>
      <c r="V282" s="5" t="inlineStr">
        <is>
          <t>fenomen</t>
        </is>
      </c>
      <c r="W282" s="5" t="inlineStr"/>
      <c r="X282" s="5" t="inlineStr"/>
      <c r="Y282" s="5" t="inlineStr"/>
      <c r="Z282" s="6" t="inlineStr"/>
      <c r="AA282" s="5" t="inlineStr"/>
      <c r="AB282" s="5" t="inlineStr"/>
      <c r="AC282" s="5" t="inlineStr"/>
      <c r="AD282" s="5" t="inlineStr"/>
      <c r="AE282" s="5" t="inlineStr"/>
      <c r="AF282" s="5" t="inlineStr"/>
      <c r="AG282" s="5" t="inlineStr"/>
      <c r="AH282" s="5" t="inlineStr"/>
      <c r="AI282" s="5" t="inlineStr"/>
      <c r="AJ282" s="5" t="inlineStr"/>
    </row>
    <row r="283">
      <c r="A283" s="5" t="inlineStr">
        <is>
          <t>b4-fenomen-denemesi</t>
        </is>
      </c>
      <c r="B283" s="5" t="n">
        <v>4</v>
      </c>
      <c r="C283" s="6" t="inlineStr">
        <is>
          <t>Canlı yayın aç</t>
        </is>
      </c>
      <c r="D283" s="5" t="inlineStr">
        <is>
          <t>Pişkinlik</t>
        </is>
      </c>
      <c r="E283" s="5" t="inlineStr">
        <is>
          <t>Kolay</t>
        </is>
      </c>
      <c r="F283" s="5" t="inlineStr"/>
      <c r="G283" s="6" t="inlineStr"/>
      <c r="H283" s="6" t="inlineStr">
        <is>
          <t>Canlı yayında 38 kişiyle soru-cevap yaptın. 37'si soru sordu. Bir tanesi babaannendi.</t>
        </is>
      </c>
      <c r="I283" s="6" t="inlineStr">
        <is>
          <t>Canlı yayın okul dışına taştı; sonunda 'Yarın aynı saatte' dedin ve gerçekten 400 kişi geldi.</t>
        </is>
      </c>
      <c r="J283" s="6" t="inlineStr">
        <is>
          <t>Yayın açtın, sinyal gitti. 38 kişi donmuş yüzüne baktı.</t>
        </is>
      </c>
      <c r="K283" s="6" t="inlineStr">
        <is>
          <t>Canlı yayında 'Şu an çok kişi var' dedin; baban içeri girip 'Kimle konuşuyorsun?' diye sordu. Kesit ayrıca yayıldı.</t>
        </is>
      </c>
      <c r="L283" s="6" t="inlineStr"/>
      <c r="M283" s="5" t="inlineStr"/>
      <c r="N283" s="5" t="inlineStr"/>
      <c r="O283" s="6" t="inlineStr"/>
      <c r="P283" s="6" t="inlineStr"/>
      <c r="Q283" s="5" t="inlineStr"/>
      <c r="R283" s="5" t="inlineStr"/>
      <c r="S283" s="5" t="inlineStr">
        <is>
          <t>Pişkinlik</t>
        </is>
      </c>
      <c r="T283" s="5" t="inlineStr"/>
      <c r="U283" s="5" t="inlineStr"/>
      <c r="V283" s="5" t="inlineStr">
        <is>
          <t>fenomen</t>
        </is>
      </c>
      <c r="W283" s="5" t="inlineStr"/>
      <c r="X283" s="5" t="inlineStr"/>
      <c r="Y283" s="5" t="inlineStr"/>
      <c r="Z283" s="6" t="inlineStr"/>
      <c r="AA283" s="5" t="inlineStr"/>
      <c r="AB283" s="5" t="inlineStr"/>
      <c r="AC283" s="5" t="inlineStr"/>
      <c r="AD283" s="5" t="inlineStr"/>
      <c r="AE283" s="5" t="inlineStr"/>
      <c r="AF283" s="5" t="inlineStr"/>
      <c r="AG283" s="5" t="inlineStr"/>
      <c r="AH283" s="5" t="inlineStr"/>
      <c r="AI283" s="5" t="inlineStr"/>
      <c r="AJ283" s="5" t="inlineStr"/>
    </row>
    <row r="284">
      <c r="A284" s="5" t="inlineStr">
        <is>
          <t>b4-haracci-rovans</t>
        </is>
      </c>
      <c r="B284" s="5" t="n">
        <v>1</v>
      </c>
      <c r="C284" s="6" t="inlineStr">
        <is>
          <t>Yolunu değiştir</t>
        </is>
      </c>
      <c r="D284" s="5" t="inlineStr"/>
      <c r="E284" s="5" t="inlineStr"/>
      <c r="F284" s="5" t="inlineStr">
        <is>
          <t>Dayanıklılık +1</t>
        </is>
      </c>
      <c r="G284" s="6" t="inlineStr">
        <is>
          <t>Başka sokaktan döndün. O sokak artık haritanda gri. Okul yolun ömür boyu dört dakika uzun.</t>
        </is>
      </c>
      <c r="H284" s="6" t="inlineStr"/>
      <c r="I284" s="6" t="inlineStr"/>
      <c r="J284" s="6" t="inlineStr"/>
      <c r="K284" s="6" t="inlineStr"/>
      <c r="L284" s="6" t="inlineStr"/>
      <c r="M284" s="5" t="inlineStr"/>
      <c r="N284" s="5" t="inlineStr"/>
      <c r="O284" s="6" t="inlineStr"/>
      <c r="P284" s="6" t="inlineStr"/>
      <c r="Q284" s="5" t="inlineStr"/>
      <c r="R284" s="5" t="inlineStr"/>
      <c r="S284" s="5" t="inlineStr"/>
      <c r="T284" s="5" t="inlineStr"/>
      <c r="U284" s="5" t="inlineStr">
        <is>
          <t>sokak-yasagi</t>
        </is>
      </c>
      <c r="V284" s="5" t="inlineStr"/>
      <c r="W284" s="5" t="inlineStr"/>
      <c r="X284" s="5" t="inlineStr"/>
      <c r="Y284" s="5" t="inlineStr"/>
      <c r="Z284" s="6" t="inlineStr"/>
      <c r="AA284" s="5" t="inlineStr"/>
      <c r="AB284" s="5" t="inlineStr"/>
      <c r="AC284" s="5" t="inlineStr"/>
      <c r="AD284" s="5" t="inlineStr"/>
      <c r="AE284" s="5" t="inlineStr"/>
      <c r="AF284" s="5" t="inlineStr"/>
      <c r="AG284" s="5" t="inlineStr"/>
      <c r="AH284" s="5" t="inlineStr"/>
      <c r="AI284" s="5" t="inlineStr"/>
      <c r="AJ284" s="5" t="inlineStr"/>
    </row>
    <row r="285">
      <c r="A285" s="5" t="inlineStr">
        <is>
          <t>b4-haracci-rovans</t>
        </is>
      </c>
      <c r="B285" s="5" t="n">
        <v>2</v>
      </c>
      <c r="C285" s="6" t="inlineStr">
        <is>
          <t>Maç teklif et</t>
        </is>
      </c>
      <c r="D285" s="5" t="inlineStr">
        <is>
          <t>Cesaret</t>
        </is>
      </c>
      <c r="E285" s="5" t="inlineStr">
        <is>
          <t>Zor</t>
        </is>
      </c>
      <c r="F285" s="5" t="inlineStr"/>
      <c r="G285" s="6" t="inlineStr"/>
      <c r="H285" s="6" t="inlineStr">
        <is>
          <t>Kaybettin ama son golü sen attın. Ertesi gün köşeden geçerken ortadaki başıyla selam verdi. Annen görse inanmazdı.</t>
        </is>
      </c>
      <c r="I285" s="6" t="inlineStr">
        <is>
          <t>Maçı kazandın. Seni takıma aldılar. Artık o köşede sen de duruyorsun; sadece harçlık istemiyorsun.</t>
        </is>
      </c>
      <c r="J285" s="6" t="inlineStr">
        <is>
          <t>'Biz iddiasına oynarız' dediler. İddia bütçen yoktu.</t>
        </is>
      </c>
      <c r="K285" s="6" t="inlineStr">
        <is>
          <t>İlk vuruşta topu bakkalın camına gönderdin. Artık yalnızca haraççılar değil, bakkal da seni tanıyor.</t>
        </is>
      </c>
      <c r="L285" s="6" t="inlineStr"/>
      <c r="M285" s="5" t="inlineStr"/>
      <c r="N285" s="5" t="inlineStr"/>
      <c r="O285" s="6" t="inlineStr"/>
      <c r="P285" s="6" t="inlineStr"/>
      <c r="Q285" s="5" t="inlineStr"/>
      <c r="R285" s="5" t="inlineStr"/>
      <c r="S285" s="5" t="inlineStr"/>
      <c r="T285" s="5" t="inlineStr"/>
      <c r="U285" s="5" t="inlineStr"/>
      <c r="V285" s="5" t="inlineStr"/>
      <c r="W285" s="5" t="inlineStr">
        <is>
          <t>sokak-yasagi</t>
        </is>
      </c>
      <c r="X285" s="5" t="inlineStr"/>
      <c r="Y285" s="5" t="inlineStr"/>
      <c r="Z285" s="6" t="inlineStr"/>
      <c r="AA285" s="5" t="inlineStr"/>
      <c r="AB285" s="5" t="inlineStr"/>
      <c r="AC285" s="5" t="inlineStr"/>
      <c r="AD285" s="5" t="inlineStr"/>
      <c r="AE285" s="5" t="inlineStr"/>
      <c r="AF285" s="5" t="inlineStr"/>
      <c r="AG285" s="5" t="inlineStr"/>
      <c r="AH285" s="5" t="inlineStr"/>
      <c r="AI285" s="5" t="inlineStr"/>
      <c r="AJ285" s="5" t="inlineStr"/>
    </row>
    <row r="286">
      <c r="A286" s="5" t="inlineStr">
        <is>
          <t>b4-haracci-rovans</t>
        </is>
      </c>
      <c r="B286" s="5" t="n">
        <v>3</v>
      </c>
      <c r="C286" s="6" t="inlineStr">
        <is>
          <t>Karşılarında dik dur</t>
        </is>
      </c>
      <c r="D286" s="5" t="inlineStr">
        <is>
          <t>Cesaret</t>
        </is>
      </c>
      <c r="E286" s="5" t="inlineStr">
        <is>
          <t>Kolay</t>
        </is>
      </c>
      <c r="F286" s="5" t="inlineStr"/>
      <c r="G286" s="6" t="inlineStr"/>
      <c r="H286" s="6" t="inlineStr">
        <is>
          <t>Durdun, baktın. Onlar da baktı. Sonra ortadaki topu sana attı, sen de geri attın. Kimse bir şey demedi; geçtin.</t>
        </is>
      </c>
      <c r="I286" s="6" t="inlineStr">
        <is>
          <t>İçlerinden biri 'Bu bizim eski müşteri' dedi, gülüştüler, geçtin. Mezuniyet gibi bir şey.</t>
        </is>
      </c>
      <c r="J286" s="6" t="inlineStr">
        <is>
          <t>Dik durdun; biri 'Ne bakıyorsun?' dedi. Cevabın yoktu. Yürümeye devam ettin, biraz hızlı.</t>
        </is>
      </c>
      <c r="K286" s="6" t="inlineStr">
        <is>
          <t>Dik durdun ama sesin çatladı. O günden beri köşeden geçerken arkandan ıslık çalıyorlar.</t>
        </is>
      </c>
      <c r="L286" s="6" t="inlineStr"/>
      <c r="M286" s="5" t="inlineStr"/>
      <c r="N286" s="5" t="inlineStr"/>
      <c r="O286" s="6" t="inlineStr"/>
      <c r="P286" s="6" t="inlineStr"/>
      <c r="Q286" s="5" t="inlineStr"/>
      <c r="R286" s="5" t="inlineStr"/>
      <c r="S286" s="5" t="inlineStr">
        <is>
          <t>Cesaret</t>
        </is>
      </c>
      <c r="T286" s="5" t="inlineStr"/>
      <c r="U286" s="5" t="inlineStr"/>
      <c r="V286" s="5" t="inlineStr"/>
      <c r="W286" s="5" t="inlineStr"/>
      <c r="X286" s="5" t="inlineStr"/>
      <c r="Y286" s="5" t="inlineStr"/>
      <c r="Z286" s="6" t="inlineStr"/>
      <c r="AA286" s="5" t="inlineStr"/>
      <c r="AB286" s="5" t="inlineStr"/>
      <c r="AC286" s="5" t="inlineStr"/>
      <c r="AD286" s="5" t="inlineStr"/>
      <c r="AE286" s="5" t="inlineStr"/>
      <c r="AF286" s="5" t="inlineStr"/>
      <c r="AG286" s="5" t="inlineStr"/>
      <c r="AH286" s="5" t="inlineStr"/>
      <c r="AI286" s="5" t="inlineStr"/>
      <c r="AJ286" s="5" t="inlineStr"/>
    </row>
    <row r="287">
      <c r="A287" s="5" t="inlineStr">
        <is>
          <t>b4-haracci-rovans</t>
        </is>
      </c>
      <c r="B287" s="5" t="n">
        <v>4</v>
      </c>
      <c r="C287" s="6" t="inlineStr">
        <is>
          <t>Onlara iş teklif et</t>
        </is>
      </c>
      <c r="D287" s="5" t="inlineStr">
        <is>
          <t>Cesaret</t>
        </is>
      </c>
      <c r="E287" s="5" t="inlineStr">
        <is>
          <t>Orta</t>
        </is>
      </c>
      <c r="F287" s="5" t="inlineStr"/>
      <c r="G287" s="6" t="inlineStr"/>
      <c r="H287" s="6" t="inlineStr">
        <is>
          <t>Kantin sipariş servisine dağıtıcı olarak aldın. Haraç bitti, maaş başladı.</t>
        </is>
      </c>
      <c r="I287" s="6" t="inlineStr">
        <is>
          <t>Üçü de artık senin için kantin siparişi taşıyor. Ortadaki sana “Patron” diyor. Bakkal bunu duyunca annene telefon açtı.</t>
        </is>
      </c>
      <c r="J287" s="6" t="inlineStr">
        <is>
          <t>'Biz çalışmayız' dediler. Bu, haraç işinin temel prensibiymiş.</t>
        </is>
      </c>
      <c r="K287" s="6" t="inlineStr">
        <is>
          <t>Kabul ettiler. İlk gün on iki tostun parasını alıp köşeye döndüler. Ertesi gün kantin kuyruğunda on iki kişi sana bakıyordu.</t>
        </is>
      </c>
      <c r="L287" s="6" t="inlineStr"/>
      <c r="M287" s="5" t="inlineStr"/>
      <c r="N287" s="5" t="inlineStr"/>
      <c r="O287" s="6" t="inlineStr"/>
      <c r="P287" s="6" t="inlineStr"/>
      <c r="Q287" s="5" t="inlineStr">
        <is>
          <t>Kantin Ekonomisti</t>
        </is>
      </c>
      <c r="R287" s="5" t="inlineStr"/>
      <c r="S287" s="5" t="inlineStr"/>
      <c r="T287" s="5" t="inlineStr"/>
      <c r="U287" s="5" t="inlineStr"/>
      <c r="V287" s="5" t="inlineStr"/>
      <c r="W287" s="5" t="inlineStr"/>
      <c r="X287" s="5" t="inlineStr"/>
      <c r="Y287" s="5" t="inlineStr"/>
      <c r="Z287" s="6" t="inlineStr"/>
      <c r="AA287" s="5" t="inlineStr"/>
      <c r="AB287" s="5" t="inlineStr"/>
      <c r="AC287" s="5" t="inlineStr"/>
      <c r="AD287" s="5" t="inlineStr"/>
      <c r="AE287" s="5" t="inlineStr"/>
      <c r="AF287" s="5" t="inlineStr"/>
      <c r="AG287" s="5" t="inlineStr"/>
      <c r="AH287" s="5" t="inlineStr"/>
      <c r="AI287" s="5" t="inlineStr"/>
      <c r="AJ287" s="5" t="inlineStr"/>
    </row>
    <row r="288">
      <c r="A288" s="5" t="inlineStr">
        <is>
          <t>b4-kantin-ekonomisi</t>
        </is>
      </c>
      <c r="B288" s="5" t="n">
        <v>1</v>
      </c>
      <c r="C288" s="6" t="inlineStr">
        <is>
          <t>Sandviçini evden hazırla</t>
        </is>
      </c>
      <c r="D288" s="5" t="inlineStr"/>
      <c r="E288" s="5" t="inlineStr"/>
      <c r="F288" s="5" t="inlineStr">
        <is>
          <t>Dayanıklılık +1</t>
        </is>
      </c>
      <c r="G288" s="6" t="inlineStr">
        <is>
          <t>Evden sandviç getirdin. Kâğıt havluya sarılı, kaşarı dağılmış ama bedava.</t>
        </is>
      </c>
      <c r="H288" s="6" t="inlineStr"/>
      <c r="I288" s="6" t="inlineStr"/>
      <c r="J288" s="6" t="inlineStr"/>
      <c r="K288" s="6" t="inlineStr"/>
      <c r="L288" s="6" t="inlineStr"/>
      <c r="M288" s="5" t="inlineStr"/>
      <c r="N288" s="5" t="inlineStr"/>
      <c r="O288" s="6" t="inlineStr"/>
      <c r="P288" s="6" t="inlineStr"/>
      <c r="Q288" s="5" t="inlineStr"/>
      <c r="R288" s="5" t="inlineStr"/>
      <c r="S288" s="5" t="inlineStr"/>
      <c r="T288" s="5" t="inlineStr"/>
      <c r="U288" s="5" t="inlineStr"/>
      <c r="V288" s="5" t="inlineStr"/>
      <c r="W288" s="5" t="inlineStr"/>
      <c r="X288" s="5" t="inlineStr"/>
      <c r="Y288" s="5" t="inlineStr"/>
      <c r="Z288" s="6" t="inlineStr"/>
      <c r="AA288" s="5" t="inlineStr"/>
      <c r="AB288" s="5" t="inlineStr"/>
      <c r="AC288" s="5" t="inlineStr"/>
      <c r="AD288" s="5" t="inlineStr"/>
      <c r="AE288" s="5" t="inlineStr"/>
      <c r="AF288" s="5" t="inlineStr"/>
      <c r="AG288" s="5" t="inlineStr"/>
      <c r="AH288" s="5" t="inlineStr"/>
      <c r="AI288" s="5" t="inlineStr"/>
      <c r="AJ288" s="5" t="inlineStr"/>
    </row>
    <row r="289">
      <c r="A289" s="5" t="inlineStr">
        <is>
          <t>b4-kantin-ekonomisi</t>
        </is>
      </c>
      <c r="B289" s="5" t="n">
        <v>2</v>
      </c>
      <c r="C289" s="6" t="inlineStr">
        <is>
          <t>Sipariş servisi kur</t>
        </is>
      </c>
      <c r="D289" s="5" t="inlineStr">
        <is>
          <t>Kurnazlık</t>
        </is>
      </c>
      <c r="E289" s="5" t="inlineStr">
        <is>
          <t>Zor</t>
        </is>
      </c>
      <c r="F289" s="5" t="inlineStr"/>
      <c r="G289" s="6" t="inlineStr"/>
      <c r="H289" s="6" t="inlineStr">
        <is>
          <t>Kuyruğun önündekine toplu sipariş verdin, arkadakilere tost başına bir bozuklukla dağıttın. Teneffüs bitmeden cebin şıngırdıyordu.</t>
        </is>
      </c>
      <c r="I289" s="6" t="inlineStr">
        <is>
          <t>Teneffüs başlamadan siparişler hazırdı. Kantinci tezgâhın ucunu sana ayırdı: “Burası senin köşen.” Müdür yardımcısı bile tostunu senden istedi.</t>
        </is>
      </c>
      <c r="J289" s="6" t="inlineStr">
        <is>
          <t>Tostlar karıştı: kaşarlı isteyen sucukluyu aldı, sucuklu isteyen ayranı. Ayranı isteyen hiç gelmedi. Teneffüs boyunca para iade ettin.</t>
        </is>
      </c>
      <c r="K289" s="6" t="inlineStr">
        <is>
          <t>Kantinci servisini fark etti. Tezgâha 'Aracı yasak' yazısı asıldı. Altında senin fotoğrafın.</t>
        </is>
      </c>
      <c r="L289" s="6" t="inlineStr"/>
      <c r="M289" s="5" t="inlineStr"/>
      <c r="N289" s="5" t="inlineStr"/>
      <c r="O289" s="6" t="inlineStr"/>
      <c r="P289" s="6" t="inlineStr"/>
      <c r="Q289" s="5" t="inlineStr"/>
      <c r="R289" s="5" t="inlineStr"/>
      <c r="S289" s="5" t="inlineStr"/>
      <c r="T289" s="5" t="inlineStr">
        <is>
          <t>Kantin Ekonomisti</t>
        </is>
      </c>
      <c r="U289" s="5" t="inlineStr"/>
      <c r="V289" s="5" t="inlineStr"/>
      <c r="W289" s="5" t="inlineStr"/>
      <c r="X289" s="5" t="inlineStr"/>
      <c r="Y289" s="5" t="inlineStr"/>
      <c r="Z289" s="6" t="inlineStr"/>
      <c r="AA289" s="5" t="inlineStr"/>
      <c r="AB289" s="5" t="inlineStr"/>
      <c r="AC289" s="5" t="inlineStr"/>
      <c r="AD289" s="5" t="inlineStr"/>
      <c r="AE289" s="5" t="inlineStr"/>
      <c r="AF289" s="5" t="inlineStr"/>
      <c r="AG289" s="5" t="inlineStr"/>
      <c r="AH289" s="5" t="inlineStr"/>
      <c r="AI289" s="5" t="inlineStr"/>
      <c r="AJ289" s="5" t="inlineStr"/>
    </row>
    <row r="290">
      <c r="A290" s="5" t="inlineStr">
        <is>
          <t>b4-kantin-ekonomisi</t>
        </is>
      </c>
      <c r="B290" s="5" t="n">
        <v>3</v>
      </c>
      <c r="C290" s="6" t="inlineStr">
        <is>
          <t>Kek yap, teneffüste sat</t>
        </is>
      </c>
      <c r="D290" s="5" t="inlineStr">
        <is>
          <t>Çene</t>
        </is>
      </c>
      <c r="E290" s="5" t="inlineStr">
        <is>
          <t>Orta</t>
        </is>
      </c>
      <c r="F290" s="5" t="inlineStr"/>
      <c r="G290" s="6" t="inlineStr"/>
      <c r="H290" s="6" t="inlineStr">
        <is>
          <t>Kekler ikinci teneffüste bitti. Akşam annen “Nasıl gitti?” diye sordu; “Senin tarifin” dedin. Ertesi sabah annen iki kalıp yapmıştı.</t>
        </is>
      </c>
      <c r="I290" s="6" t="inlineStr">
        <is>
          <t>Kekler ilk teneffüste bitti. Ertesi gün kantinci tost fiyatını indirdi ve sana “Annene selam söyle” dedi.</t>
        </is>
      </c>
      <c r="J290" s="6" t="inlineStr">
        <is>
          <t>Kekleri kimse almadı. Hepsini sen yedin. Kâr yok, kalori var.</t>
        </is>
      </c>
      <c r="K290" s="6" t="inlineStr">
        <is>
          <t>Müdür yardımcısı bir dilim aldı, beğendi, bir dilim daha aldı. Sonra ağzı doluyken sordu: “Bu satışa kim izin verdi?” Keklerin kalanı öğretmenler odasına gitti ve geri gelmedi.</t>
        </is>
      </c>
      <c r="L290" s="6" t="inlineStr"/>
      <c r="M290" s="5" t="inlineStr"/>
      <c r="N290" s="5" t="inlineStr"/>
      <c r="O290" s="6" t="inlineStr"/>
      <c r="P290" s="6" t="inlineStr"/>
      <c r="Q290" s="5" t="inlineStr">
        <is>
          <t>Küçük Tüccar</t>
        </is>
      </c>
      <c r="R290" s="5" t="inlineStr"/>
      <c r="S290" s="5" t="inlineStr"/>
      <c r="T290" s="5" t="inlineStr"/>
      <c r="U290" s="5" t="inlineStr"/>
      <c r="V290" s="5" t="inlineStr"/>
      <c r="W290" s="5" t="inlineStr"/>
      <c r="X290" s="5" t="inlineStr"/>
      <c r="Y290" s="5" t="inlineStr"/>
      <c r="Z290" s="6" t="inlineStr"/>
      <c r="AA290" s="5" t="inlineStr"/>
      <c r="AB290" s="5" t="inlineStr"/>
      <c r="AC290" s="5" t="inlineStr"/>
      <c r="AD290" s="5" t="inlineStr"/>
      <c r="AE290" s="5" t="inlineStr"/>
      <c r="AF290" s="5" t="inlineStr"/>
      <c r="AG290" s="5" t="inlineStr"/>
      <c r="AH290" s="5" t="inlineStr"/>
      <c r="AI290" s="5" t="inlineStr"/>
      <c r="AJ290" s="5" t="inlineStr"/>
    </row>
    <row r="291">
      <c r="A291" s="5" t="inlineStr">
        <is>
          <t>b4-kantin-ekonomisi</t>
        </is>
      </c>
      <c r="B291" s="5" t="n">
        <v>4</v>
      </c>
      <c r="C291" s="6" t="inlineStr">
        <is>
          <t>Kuyrukta yer sat</t>
        </is>
      </c>
      <c r="D291" s="5" t="inlineStr">
        <is>
          <t>Kurnazlık</t>
        </is>
      </c>
      <c r="E291" s="5" t="inlineStr">
        <is>
          <t>Zor</t>
        </is>
      </c>
      <c r="F291" s="5" t="inlineStr"/>
      <c r="G291" s="6" t="inlineStr"/>
      <c r="H291" s="6" t="inlineStr">
        <is>
          <t>Yerini sattın, yeniden girdin, yine sattın. Üç teneffüste bir haftalık harçlık.</t>
        </is>
      </c>
      <c r="I291" s="6" t="inlineStr">
        <is>
          <t>Kuyrukta yer satmak için iki arkadaşını da işe aldın. Zil çalınca kuyruğun ilk üç yeri sizin.</t>
        </is>
      </c>
      <c r="J291" s="6" t="inlineStr">
        <is>
          <t>Yerini sattın; yeniden girdiğinde kantin kapanmıştı.</t>
        </is>
      </c>
      <c r="K291" s="6" t="inlineStr">
        <is>
          <t>Yer satarken zil çaldı; kuyrukta kimse tost alamadı. Nöbetçi öğretmen “Bu işi kim yapıyor?” diye sordu, on iki parmak seni gösterdi.</t>
        </is>
      </c>
      <c r="L291" s="6" t="inlineStr"/>
      <c r="M291" s="5" t="inlineStr"/>
      <c r="N291" s="5" t="inlineStr"/>
      <c r="O291" s="6" t="inlineStr"/>
      <c r="P291" s="6" t="inlineStr"/>
      <c r="Q291" s="5" t="inlineStr"/>
      <c r="R291" s="5" t="inlineStr">
        <is>
          <t>tepsiTekeli</t>
        </is>
      </c>
      <c r="S291" s="5" t="inlineStr"/>
      <c r="T291" s="5" t="inlineStr"/>
      <c r="U291" s="5" t="inlineStr"/>
      <c r="V291" s="5" t="inlineStr"/>
      <c r="W291" s="5" t="inlineStr"/>
      <c r="X291" s="5" t="inlineStr"/>
      <c r="Y291" s="5" t="inlineStr"/>
      <c r="Z291" s="6" t="inlineStr"/>
      <c r="AA291" s="5" t="inlineStr"/>
      <c r="AB291" s="5" t="inlineStr"/>
      <c r="AC291" s="5" t="inlineStr"/>
      <c r="AD291" s="5" t="inlineStr"/>
      <c r="AE291" s="5" t="inlineStr"/>
      <c r="AF291" s="5" t="inlineStr"/>
      <c r="AG291" s="5" t="inlineStr"/>
      <c r="AH291" s="5" t="inlineStr"/>
      <c r="AI291" s="5" t="inlineStr"/>
      <c r="AJ291" s="5" t="inlineStr"/>
    </row>
    <row r="292">
      <c r="A292" s="5" t="inlineStr">
        <is>
          <t>b4-kantin-ekonomisi</t>
        </is>
      </c>
      <c r="B292" s="5" t="n">
        <v>5</v>
      </c>
      <c r="C292" s="6" t="inlineStr">
        <is>
          <t>Kantinciyle kaynaş</t>
        </is>
      </c>
      <c r="D292" s="5" t="inlineStr">
        <is>
          <t>Sosyal Radar</t>
        </is>
      </c>
      <c r="E292" s="5" t="inlineStr">
        <is>
          <t>Kolay</t>
        </is>
      </c>
      <c r="F292" s="5" t="inlineStr"/>
      <c r="G292" s="6" t="inlineStr"/>
      <c r="H292" s="6" t="inlineStr">
        <is>
          <t>Kantinciye adıyla selam verdin. Tostun hep bir tık daha kaşarlı geliyor.</t>
        </is>
      </c>
      <c r="I292" s="6" t="inlineStr">
        <is>
          <t>Kantinci seni kuyruktan önce alıyor. Yalnız sen biliyorsun, herkes seziyor.</t>
        </is>
      </c>
      <c r="J292" s="6" t="inlineStr">
        <is>
          <t>Kantinci selamını aldı, fiyatı aynen aldı.</t>
        </is>
      </c>
      <c r="K292" s="6" t="inlineStr">
        <is>
          <t>Kaynaştın; artık her teneffüs dert anlatıyor. Tostu soğuk yiyorsun.</t>
        </is>
      </c>
      <c r="L292" s="6" t="inlineStr"/>
      <c r="M292" s="5" t="inlineStr"/>
      <c r="N292" s="5" t="inlineStr"/>
      <c r="O292" s="6" t="inlineStr"/>
      <c r="P292" s="6" t="inlineStr"/>
      <c r="Q292" s="5" t="inlineStr"/>
      <c r="R292" s="5" t="inlineStr"/>
      <c r="S292" s="5" t="inlineStr"/>
      <c r="T292" s="5" t="inlineStr"/>
      <c r="U292" s="5" t="inlineStr"/>
      <c r="V292" s="5" t="inlineStr"/>
      <c r="W292" s="5" t="inlineStr"/>
      <c r="X292" s="5" t="inlineStr"/>
      <c r="Y292" s="5" t="inlineStr"/>
      <c r="Z292" s="6" t="inlineStr"/>
      <c r="AA292" s="5" t="inlineStr"/>
      <c r="AB292" s="5" t="inlineStr"/>
      <c r="AC292" s="5" t="inlineStr"/>
      <c r="AD292" s="5" t="inlineStr"/>
      <c r="AE292" s="5" t="inlineStr"/>
      <c r="AF292" s="5" t="inlineStr"/>
      <c r="AG292" s="5" t="inlineStr"/>
      <c r="AH292" s="5" t="inlineStr"/>
      <c r="AI292" s="5" t="inlineStr"/>
      <c r="AJ292" s="5" t="inlineStr"/>
    </row>
    <row r="293">
      <c r="A293" s="5" t="inlineStr">
        <is>
          <t>b4-bayram-yatirim</t>
        </is>
      </c>
      <c r="B293" s="5" t="n">
        <v>1</v>
      </c>
      <c r="C293" s="6" t="inlineStr">
        <is>
          <t>Ailene teslim et</t>
        </is>
      </c>
      <c r="D293" s="5" t="inlineStr"/>
      <c r="E293" s="5" t="inlineStr"/>
      <c r="F293" s="5" t="inlineStr">
        <is>
          <t>İtibar +1</t>
        </is>
      </c>
      <c r="G293" s="6" t="inlineStr">
        <is>
          <t>Para “senin adına” bir yere konuldu. Nereye olduğunu her sorduğunda cevap aynı: “Büyüyünce.”</t>
        </is>
      </c>
      <c r="H293" s="6" t="inlineStr"/>
      <c r="I293" s="6" t="inlineStr"/>
      <c r="J293" s="6" t="inlineStr"/>
      <c r="K293" s="6" t="inlineStr"/>
      <c r="L293" s="6" t="inlineStr"/>
      <c r="M293" s="5" t="inlineStr"/>
      <c r="N293" s="5" t="inlineStr"/>
      <c r="O293" s="6" t="inlineStr"/>
      <c r="P293" s="6" t="inlineStr"/>
      <c r="Q293" s="5" t="inlineStr"/>
      <c r="R293" s="5" t="inlineStr"/>
      <c r="S293" s="5" t="inlineStr"/>
      <c r="T293" s="5" t="inlineStr"/>
      <c r="U293" s="5" t="inlineStr"/>
      <c r="V293" s="5" t="inlineStr"/>
      <c r="W293" s="5" t="inlineStr"/>
      <c r="X293" s="5" t="inlineStr"/>
      <c r="Y293" s="5" t="inlineStr"/>
      <c r="Z293" s="6" t="inlineStr"/>
      <c r="AA293" s="5" t="inlineStr"/>
      <c r="AB293" s="5" t="inlineStr"/>
      <c r="AC293" s="5" t="inlineStr"/>
      <c r="AD293" s="5" t="inlineStr"/>
      <c r="AE293" s="5" t="inlineStr"/>
      <c r="AF293" s="5" t="inlineStr"/>
      <c r="AG293" s="5" t="inlineStr"/>
      <c r="AH293" s="5" t="inlineStr"/>
      <c r="AI293" s="5" t="inlineStr"/>
      <c r="AJ293" s="5" t="inlineStr"/>
    </row>
    <row r="294">
      <c r="A294" s="5" t="inlineStr">
        <is>
          <t>b4-bayram-yatirim</t>
        </is>
      </c>
      <c r="B294" s="5" t="n">
        <v>2</v>
      </c>
      <c r="C294" s="6" t="inlineStr">
        <is>
          <t>Dijital paraya yatır</t>
        </is>
      </c>
      <c r="D294" s="5" t="inlineStr">
        <is>
          <t>Kurnazlık</t>
        </is>
      </c>
      <c r="E294" s="5" t="inlineStr">
        <is>
          <t>Zor</t>
        </is>
      </c>
      <c r="F294" s="5" t="inlineStr"/>
      <c r="G294" s="6" t="inlineStr"/>
      <c r="H294" s="6" t="inlineStr">
        <is>
          <t>İki hafta sonra paran yüzde otuz artmıştı ve çıktın. Abi “Daha bekle” dedi; beklemedin. Babaannen duyunca “Bu çocuk bana çekmiş” dedi.</t>
        </is>
      </c>
      <c r="I294" s="6" t="inlineStr">
        <is>
          <t>Tepede sattın. Arkadaşının abisi sana tavsiye sormaya başladı.</t>
        </is>
      </c>
      <c r="J294" s="6" t="inlineStr">
        <is>
          <t>Değer düştü. Arkadaşının abisinden 'Uzun vadeli düşün' mesajı geldi.</t>
        </is>
      </c>
      <c r="K294" s="6" t="inlineStr">
        <is>
          <t>Dijital paranın adı 'Mahalle Coin'di. Kurucusu arkadaşının abisiydi. Abi yeni bir telefon kullanıyor.</t>
        </is>
      </c>
      <c r="L294" s="6" t="inlineStr"/>
      <c r="M294" s="5" t="inlineStr"/>
      <c r="N294" s="5" t="inlineStr"/>
      <c r="O294" s="6" t="inlineStr"/>
      <c r="P294" s="6" t="inlineStr"/>
      <c r="Q294" s="5" t="inlineStr"/>
      <c r="R294" s="5" t="inlineStr"/>
      <c r="S294" s="5" t="inlineStr"/>
      <c r="T294" s="5" t="inlineStr"/>
      <c r="U294" s="5" t="inlineStr"/>
      <c r="V294" s="5" t="inlineStr"/>
      <c r="W294" s="5" t="inlineStr"/>
      <c r="X294" s="5" t="inlineStr"/>
      <c r="Y294" s="5" t="inlineStr"/>
      <c r="Z294" s="6" t="inlineStr"/>
      <c r="AA294" s="5" t="inlineStr"/>
      <c r="AB294" s="5" t="inlineStr"/>
      <c r="AC294" s="5" t="inlineStr"/>
      <c r="AD294" s="5" t="inlineStr"/>
      <c r="AE294" s="5" t="inlineStr"/>
      <c r="AF294" s="5" t="inlineStr"/>
      <c r="AG294" s="5" t="inlineStr"/>
      <c r="AH294" s="5" t="inlineStr"/>
      <c r="AI294" s="5" t="inlineStr"/>
      <c r="AJ294" s="5" t="inlineStr"/>
    </row>
    <row r="295">
      <c r="A295" s="5" t="inlineStr">
        <is>
          <t>b4-bayram-yatirim</t>
        </is>
      </c>
      <c r="B295" s="5" t="n">
        <v>3</v>
      </c>
      <c r="C295" s="6" t="inlineStr">
        <is>
          <t>Kumbarada tut</t>
        </is>
      </c>
      <c r="D295" s="5" t="inlineStr">
        <is>
          <t>Akıl</t>
        </is>
      </c>
      <c r="E295" s="5" t="inlineStr">
        <is>
          <t>Kolay</t>
        </is>
      </c>
      <c r="F295" s="5" t="inlineStr"/>
      <c r="G295" s="6" t="inlineStr"/>
      <c r="H295" s="6" t="inlineStr">
        <is>
          <t>Kumbara ağırlaştı. Getiri yok ama kayıp da yok. Klasik yastık altı.</t>
        </is>
      </c>
      <c r="I295" s="6" t="inlineStr">
        <is>
          <t>Babaannen seni kuyumcuya götürdü, harçlığa bir çeyrek altın aldınız. Babaannen kuyumcuyla senden iyi pazarlık etti.</t>
        </is>
      </c>
      <c r="J295" s="6" t="inlineStr">
        <is>
          <t>Kumbarada tuttun. Bir yıl sonra aynı para bir tost daha az ediyordu.</t>
        </is>
      </c>
      <c r="K295" s="6" t="inlineStr">
        <is>
          <t>Kumbarayı bu kez dolabın üstüne, kışlık yorganların arasına sakladın. Kuzenin yine buldu. Bu sefer kimseye söylemedi; sen bayramdan sonra kumbarayı kaldırınca anladın.</t>
        </is>
      </c>
      <c r="L295" s="6" t="inlineStr"/>
      <c r="M295" s="5" t="inlineStr"/>
      <c r="N295" s="5" t="inlineStr"/>
      <c r="O295" s="6" t="inlineStr"/>
      <c r="P295" s="6" t="inlineStr"/>
      <c r="Q295" s="5" t="inlineStr">
        <is>
          <t>Yastık Altı Ekonomisti</t>
        </is>
      </c>
      <c r="R295" s="5" t="inlineStr"/>
      <c r="S295" s="5" t="inlineStr"/>
      <c r="T295" s="5" t="inlineStr"/>
      <c r="U295" s="5" t="inlineStr"/>
      <c r="V295" s="5" t="inlineStr"/>
      <c r="W295" s="5" t="inlineStr"/>
      <c r="X295" s="5" t="inlineStr"/>
      <c r="Y295" s="5" t="inlineStr"/>
      <c r="Z295" s="6" t="inlineStr"/>
      <c r="AA295" s="5" t="inlineStr"/>
      <c r="AB295" s="5" t="inlineStr"/>
      <c r="AC295" s="5" t="inlineStr"/>
      <c r="AD295" s="5" t="inlineStr"/>
      <c r="AE295" s="5" t="inlineStr"/>
      <c r="AF295" s="5" t="inlineStr"/>
      <c r="AG295" s="5" t="inlineStr"/>
      <c r="AH295" s="5" t="inlineStr"/>
      <c r="AI295" s="5" t="inlineStr"/>
      <c r="AJ295" s="5" t="inlineStr"/>
    </row>
    <row r="296">
      <c r="A296" s="5" t="inlineStr">
        <is>
          <t>b4-bayram-yatirim</t>
        </is>
      </c>
      <c r="B296" s="5" t="n">
        <v>4</v>
      </c>
      <c r="C296" s="6" t="inlineStr">
        <is>
          <t>Ailene faizle borç ver</t>
        </is>
      </c>
      <c r="D296" s="5" t="inlineStr">
        <is>
          <t>Çene</t>
        </is>
      </c>
      <c r="E296" s="5" t="inlineStr">
        <is>
          <t>Orta</t>
        </is>
      </c>
      <c r="F296" s="5" t="inlineStr"/>
      <c r="G296" s="6" t="inlineStr"/>
      <c r="H296" s="6" t="inlineStr">
        <is>
          <t>Baban senet imzaladı, gülerek. Senet dolapta. Sen ciddisin.</t>
        </is>
      </c>
      <c r="I296" s="6" t="inlineStr">
        <is>
          <t>Babana borç verdin, faizini pazarlıkla belirledin. Baban her ay sonu kapını çalıp taksidini ödüyor; annen mutfaktan her seferinde sesleniyor: “Rezalet!”</t>
        </is>
      </c>
      <c r="J296" s="6" t="inlineStr">
        <is>
          <t>Geri ödeme 'ileride' olarak planlandı. İleridenin ne zaman olduğu belirtilmedi.</t>
        </is>
      </c>
      <c r="K296" s="6" t="inlineStr">
        <is>
          <t>Babana borç verdin. Ay sonunda baban dershane makbuzunu getirdi: “Paranı buraya yatırdık, eğitimine.” Faizini de sınav sonucundan alacakmışsın.</t>
        </is>
      </c>
      <c r="L296" s="6" t="inlineStr"/>
      <c r="M296" s="5" t="inlineStr"/>
      <c r="N296" s="5" t="inlineStr"/>
      <c r="O296" s="6" t="inlineStr"/>
      <c r="P296" s="6" t="inlineStr"/>
      <c r="Q296" s="5" t="inlineStr"/>
      <c r="R296" s="5" t="inlineStr">
        <is>
          <t>ilkKelimePara</t>
        </is>
      </c>
      <c r="S296" s="5" t="inlineStr"/>
      <c r="T296" s="5" t="inlineStr"/>
      <c r="U296" s="5" t="inlineStr"/>
      <c r="V296" s="5" t="inlineStr"/>
      <c r="W296" s="5" t="inlineStr"/>
      <c r="X296" s="5" t="inlineStr"/>
      <c r="Y296" s="5" t="inlineStr"/>
      <c r="Z296" s="6" t="inlineStr"/>
      <c r="AA296" s="5" t="inlineStr"/>
      <c r="AB296" s="5" t="inlineStr"/>
      <c r="AC296" s="5" t="inlineStr"/>
      <c r="AD296" s="5" t="inlineStr"/>
      <c r="AE296" s="5" t="inlineStr"/>
      <c r="AF296" s="5" t="inlineStr"/>
      <c r="AG296" s="5" t="inlineStr"/>
      <c r="AH296" s="5" t="inlineStr"/>
      <c r="AI296" s="5" t="inlineStr"/>
      <c r="AJ296" s="5" t="inlineStr"/>
    </row>
    <row r="297">
      <c r="A297" s="5" t="inlineStr">
        <is>
          <t>b4-ilk-bulusma</t>
        </is>
      </c>
      <c r="B297" s="5" t="n">
        <v>1</v>
      </c>
      <c r="C297" s="6" t="inlineStr">
        <is>
          <t>Grupla git</t>
        </is>
      </c>
      <c r="D297" s="5" t="inlineStr"/>
      <c r="E297" s="5" t="inlineStr"/>
      <c r="F297" s="5" t="inlineStr">
        <is>
          <t>Sosyal Radar +1</t>
        </is>
      </c>
      <c r="G297" s="6" t="inlineStr">
        <is>
          <t>Sekiz kişi gittiniz. Yan yana oturmayı başardınız. Sohbet diğer altı kişi arasında geçti.</t>
        </is>
      </c>
      <c r="H297" s="6" t="inlineStr"/>
      <c r="I297" s="6" t="inlineStr"/>
      <c r="J297" s="6" t="inlineStr"/>
      <c r="K297" s="6" t="inlineStr"/>
      <c r="L297" s="6" t="inlineStr"/>
      <c r="M297" s="5" t="inlineStr"/>
      <c r="N297" s="5" t="inlineStr"/>
      <c r="O297" s="6" t="inlineStr"/>
      <c r="P297" s="6" t="inlineStr"/>
      <c r="Q297" s="5" t="inlineStr"/>
      <c r="R297" s="5" t="inlineStr"/>
      <c r="S297" s="5" t="inlineStr"/>
      <c r="T297" s="5" t="inlineStr"/>
      <c r="U297" s="5" t="inlineStr">
        <is>
          <t>ilk-bulusma-oldu</t>
        </is>
      </c>
      <c r="V297" s="5" t="inlineStr"/>
      <c r="W297" s="5" t="inlineStr"/>
      <c r="X297" s="5" t="inlineStr"/>
      <c r="Y297" s="5" t="inlineStr"/>
      <c r="Z297" s="6" t="inlineStr"/>
      <c r="AA297" s="5" t="inlineStr"/>
      <c r="AB297" s="5" t="inlineStr"/>
      <c r="AC297" s="5" t="inlineStr"/>
      <c r="AD297" s="5" t="inlineStr"/>
      <c r="AE297" s="5" t="inlineStr"/>
      <c r="AF297" s="5" t="inlineStr"/>
      <c r="AG297" s="5" t="inlineStr"/>
      <c r="AH297" s="5" t="inlineStr"/>
      <c r="AI297" s="5" t="inlineStr"/>
      <c r="AJ297" s="5" t="inlineStr"/>
    </row>
    <row r="298">
      <c r="A298" s="5" t="inlineStr">
        <is>
          <t>b4-ilk-bulusma</t>
        </is>
      </c>
      <c r="B298" s="5" t="n">
        <v>2</v>
      </c>
      <c r="C298" s="6" t="inlineStr">
        <is>
          <t>Baş başa buluş</t>
        </is>
      </c>
      <c r="D298" s="5" t="inlineStr">
        <is>
          <t>Gönül</t>
        </is>
      </c>
      <c r="E298" s="5" t="inlineStr">
        <is>
          <t>Zor</t>
        </is>
      </c>
      <c r="F298" s="5" t="inlineStr"/>
      <c r="G298" s="6" t="inlineStr"/>
      <c r="H298" s="6" t="inlineStr">
        <is>
          <t>Çarşıda dondurma yediniz: kırk dakika, üç sessizlik, bir gülüş. Dondurmanın çubuğunu atmadın; hâlâ çekmecende.</t>
        </is>
      </c>
      <c r="I298" s="6" t="inlineStr">
        <is>
          <t>El ele tutuştunuz. Üç saniye. Sonra ikiniz de ellerinizi cebe soktunuz ve bu konu bir daha hiç konuşulmadı.</t>
        </is>
      </c>
      <c r="J298" s="6" t="inlineStr">
        <is>
          <t>Buluştunuz. Annen tesadüfen aynı çarşıda alışveriş yapıyordu. Tesadüfen.</t>
        </is>
      </c>
      <c r="K298" s="6" t="inlineStr">
        <is>
          <t>Annen seni arabayla bıraktı, camı indirdi ve buluştuğun kişiye 'Merhaba canım, ne yiyeceksiniz?' diye sordu.</t>
        </is>
      </c>
      <c r="L298" s="6" t="inlineStr"/>
      <c r="M298" s="5" t="inlineStr"/>
      <c r="N298" s="5" t="inlineStr"/>
      <c r="O298" s="6" t="inlineStr"/>
      <c r="P298" s="6" t="inlineStr"/>
      <c r="Q298" s="5" t="inlineStr"/>
      <c r="R298" s="5" t="inlineStr"/>
      <c r="S298" s="5" t="inlineStr"/>
      <c r="T298" s="5" t="inlineStr"/>
      <c r="U298" s="5" t="inlineStr">
        <is>
          <t>ilk-bulusma-oldu</t>
        </is>
      </c>
      <c r="V298" s="5" t="inlineStr"/>
      <c r="W298" s="5" t="inlineStr"/>
      <c r="X298" s="5" t="inlineStr"/>
      <c r="Y298" s="5" t="inlineStr"/>
      <c r="Z298" s="6" t="inlineStr"/>
      <c r="AA298" s="5" t="inlineStr"/>
      <c r="AB298" s="5" t="inlineStr"/>
      <c r="AC298" s="5" t="inlineStr"/>
      <c r="AD298" s="5" t="inlineStr"/>
      <c r="AE298" s="5" t="inlineStr"/>
      <c r="AF298" s="5" t="inlineStr"/>
      <c r="AG298" s="5" t="inlineStr"/>
      <c r="AH298" s="5" t="inlineStr"/>
      <c r="AI298" s="5" t="inlineStr"/>
      <c r="AJ298" s="5" t="inlineStr"/>
    </row>
    <row r="299">
      <c r="A299" s="5" t="inlineStr">
        <is>
          <t>b4-ilk-bulusma</t>
        </is>
      </c>
      <c r="B299" s="5" t="n">
        <v>3</v>
      </c>
      <c r="C299" s="6" t="inlineStr">
        <is>
          <t>Mazeret uydur, ertele</t>
        </is>
      </c>
      <c r="D299" s="5" t="inlineStr">
        <is>
          <t>Kurnazlık</t>
        </is>
      </c>
      <c r="E299" s="5" t="inlineStr">
        <is>
          <t>Kolay</t>
        </is>
      </c>
      <c r="F299" s="5" t="inlineStr"/>
      <c r="G299" s="6" t="inlineStr"/>
      <c r="H299" s="6" t="inlineStr">
        <is>
          <t>'Dershane var' dedin. 'Olsun, sonra' dedi. Randevu korunuyor.</t>
        </is>
      </c>
      <c r="I299" s="6" t="inlineStr">
        <is>
          <t>“Bu hafta olmaz, ama gelecek hafta sinemaya gidelim mi?” yazdın. Cevap üç saniyede geldi: “Olur!” Erteledin ve büyüttün.</t>
        </is>
      </c>
      <c r="J299" s="6" t="inlineStr">
        <is>
          <t>'Dershane var' dedin. O da aynı dershaneye gidiyormuş.</t>
        </is>
      </c>
      <c r="K299" s="6" t="inlineStr">
        <is>
          <t>Mazeret uydurdun; o saatte kısa video uygulamasında canlı yayındaydın. İzleyicilerden biri oydu.</t>
        </is>
      </c>
      <c r="L299" s="6" t="inlineStr"/>
      <c r="M299" s="5" t="inlineStr"/>
      <c r="N299" s="5" t="inlineStr"/>
      <c r="O299" s="6" t="inlineStr"/>
      <c r="P299" s="6" t="inlineStr"/>
      <c r="Q299" s="5" t="inlineStr"/>
      <c r="R299" s="5" t="inlineStr"/>
      <c r="S299" s="5" t="inlineStr"/>
      <c r="T299" s="5" t="inlineStr"/>
      <c r="U299" s="5" t="inlineStr">
        <is>
          <t>ilk-bulusma-oldu</t>
        </is>
      </c>
      <c r="V299" s="5" t="inlineStr"/>
      <c r="W299" s="5" t="inlineStr"/>
      <c r="X299" s="5" t="inlineStr"/>
      <c r="Y299" s="5" t="inlineStr"/>
      <c r="Z299" s="6" t="inlineStr"/>
      <c r="AA299" s="5" t="inlineStr"/>
      <c r="AB299" s="5" t="inlineStr"/>
      <c r="AC299" s="5" t="inlineStr"/>
      <c r="AD299" s="5" t="inlineStr"/>
      <c r="AE299" s="5" t="inlineStr"/>
      <c r="AF299" s="5" t="inlineStr"/>
      <c r="AG299" s="5" t="inlineStr"/>
      <c r="AH299" s="5" t="inlineStr"/>
      <c r="AI299" s="5" t="inlineStr"/>
      <c r="AJ299" s="5" t="inlineStr"/>
    </row>
    <row r="300">
      <c r="A300" s="5" t="inlineStr">
        <is>
          <t>b4-spor-secmeleri</t>
        </is>
      </c>
      <c r="B300" s="5" t="n">
        <v>1</v>
      </c>
      <c r="C300" s="6" t="inlineStr">
        <is>
          <t>Tribünden izle</t>
        </is>
      </c>
      <c r="D300" s="5" t="inlineStr"/>
      <c r="E300" s="5" t="inlineStr"/>
      <c r="F300" s="5" t="inlineStr">
        <is>
          <t>Sosyal Radar +1</t>
        </is>
      </c>
      <c r="G300" s="6" t="inlineStr">
        <is>
          <t>Kimin seçildiğini, kimin ağladığını, kimin annesinin öğretmenle konuştuğunu gördün. Akşam annene anlatınca annen “Kimin annesi?” diye üç kez sordu.</t>
        </is>
      </c>
      <c r="H300" s="6" t="inlineStr"/>
      <c r="I300" s="6" t="inlineStr"/>
      <c r="J300" s="6" t="inlineStr"/>
      <c r="K300" s="6" t="inlineStr"/>
      <c r="L300" s="6" t="inlineStr"/>
      <c r="M300" s="5" t="inlineStr"/>
      <c r="N300" s="5" t="inlineStr"/>
      <c r="O300" s="6" t="inlineStr"/>
      <c r="P300" s="6" t="inlineStr"/>
      <c r="Q300" s="5" t="inlineStr"/>
      <c r="R300" s="5" t="inlineStr"/>
      <c r="S300" s="5" t="inlineStr"/>
      <c r="T300" s="5" t="inlineStr"/>
      <c r="U300" s="5" t="inlineStr"/>
      <c r="V300" s="5" t="inlineStr"/>
      <c r="W300" s="5" t="inlineStr"/>
      <c r="X300" s="5" t="inlineStr"/>
      <c r="Y300" s="5" t="inlineStr"/>
      <c r="Z300" s="6" t="inlineStr"/>
      <c r="AA300" s="5" t="inlineStr"/>
      <c r="AB300" s="5" t="inlineStr"/>
      <c r="AC300" s="5" t="inlineStr"/>
      <c r="AD300" s="5" t="inlineStr"/>
      <c r="AE300" s="5" t="inlineStr"/>
      <c r="AF300" s="5" t="inlineStr"/>
      <c r="AG300" s="5" t="inlineStr"/>
      <c r="AH300" s="5" t="inlineStr"/>
      <c r="AI300" s="5" t="inlineStr"/>
      <c r="AJ300" s="5" t="inlineStr"/>
    </row>
    <row r="301">
      <c r="A301" s="5" t="inlineStr">
        <is>
          <t>b4-spor-secmeleri</t>
        </is>
      </c>
      <c r="B301" s="5" t="n">
        <v>2</v>
      </c>
      <c r="C301" s="6" t="inlineStr">
        <is>
          <t>Seçmelere katıl</t>
        </is>
      </c>
      <c r="D301" s="5" t="inlineStr">
        <is>
          <t>Dayanıklılık</t>
        </is>
      </c>
      <c r="E301" s="5" t="inlineStr">
        <is>
          <t>Zor</t>
        </is>
      </c>
      <c r="F301" s="5" t="inlineStr"/>
      <c r="G301" s="6" t="inlineStr"/>
      <c r="H301" s="6" t="inlineStr">
        <is>
          <t>Seçmeleri geçtin. Forma büyük geldi; annen akşam kollarını kısalttı, iç yakasına adını işledi.</t>
        </is>
      </c>
      <c r="I301" s="6" t="inlineStr">
        <is>
          <t>İlk on bire seçildin. Öğretmenin yeğeni yedeğe düştü. Ailede kriz çıktı; senin ailende değil.</t>
        </is>
      </c>
      <c r="J301" s="6" t="inlineStr">
        <is>
          <t>Koştun, terledin, listeye giremedin. Öğretmen 'Karakterin iyi' dedi. Karakter takıma alınmıyor.</t>
        </is>
      </c>
      <c r="K301" s="6" t="inlineStr">
        <is>
          <t>Top kafana geldi, sen yere, düdük öğretmenin ağzından. Takıma değil, okulun yıl sonu videosuna seçildin.</t>
        </is>
      </c>
      <c r="L301" s="6" t="inlineStr"/>
      <c r="M301" s="5" t="inlineStr"/>
      <c r="N301" s="5" t="inlineStr"/>
      <c r="O301" s="6" t="inlineStr"/>
      <c r="P301" s="6" t="inlineStr"/>
      <c r="Q301" s="5" t="inlineStr"/>
      <c r="R301" s="5" t="inlineStr"/>
      <c r="S301" s="5" t="inlineStr"/>
      <c r="T301" s="5" t="inlineStr"/>
      <c r="U301" s="5" t="inlineStr"/>
      <c r="V301" s="5" t="inlineStr">
        <is>
          <t>takim-oyuncusu</t>
        </is>
      </c>
      <c r="W301" s="5" t="inlineStr"/>
      <c r="X301" s="5" t="inlineStr"/>
      <c r="Y301" s="5" t="inlineStr"/>
      <c r="Z301" s="6" t="inlineStr"/>
      <c r="AA301" s="5" t="inlineStr"/>
      <c r="AB301" s="5" t="inlineStr"/>
      <c r="AC301" s="5" t="inlineStr"/>
      <c r="AD301" s="5" t="inlineStr"/>
      <c r="AE301" s="5" t="inlineStr"/>
      <c r="AF301" s="5" t="inlineStr"/>
      <c r="AG301" s="5" t="inlineStr"/>
      <c r="AH301" s="5" t="inlineStr"/>
      <c r="AI301" s="5" t="inlineStr"/>
      <c r="AJ301" s="5" t="inlineStr"/>
    </row>
    <row r="302">
      <c r="A302" s="5" t="inlineStr">
        <is>
          <t>b4-spor-secmeleri</t>
        </is>
      </c>
      <c r="B302" s="5" t="n">
        <v>3</v>
      </c>
      <c r="C302" s="6" t="inlineStr">
        <is>
          <t>Pas yeteneğini göster</t>
        </is>
      </c>
      <c r="D302" s="5" t="inlineStr">
        <is>
          <t>Sosyal Radar</t>
        </is>
      </c>
      <c r="E302" s="5" t="inlineStr">
        <is>
          <t>Orta</t>
        </is>
      </c>
      <c r="F302" s="5" t="inlineStr"/>
      <c r="G302" s="6" t="inlineStr"/>
      <c r="H302" s="6" t="inlineStr">
        <is>
          <t>Her pasın gol oldu. Öğretmen yeğenine 'Bak, böyle' dedi. Takımdasın.</t>
        </is>
      </c>
      <c r="I302" s="6" t="inlineStr">
        <is>
          <t>Yeğene üç asist yaptın. Öğretmen ikinizi de aldı, seni kaptan yardımcısı yaptı. Yeğen o günden beri topu önce sana atıyor.</t>
        </is>
      </c>
      <c r="J302" s="6" t="inlineStr">
        <is>
          <t>Pasların güzeldi ama topu verdiğin herkes ayağının altından kaçırdı. Öğretmen düdüğü ağzından çıkardı: “Pas güzel. Ama kime?”</t>
        </is>
      </c>
      <c r="K302" s="6" t="inlineStr">
        <is>
          <t>Asist yaptığın top kaleciye değil, kenarda çay içen öğretmenin bardağına gitti. İnce belli bardak gitti, öğretmenin keyfi de.</t>
        </is>
      </c>
      <c r="L302" s="6" t="inlineStr"/>
      <c r="M302" s="5" t="inlineStr"/>
      <c r="N302" s="5" t="inlineStr"/>
      <c r="O302" s="6" t="inlineStr"/>
      <c r="P302" s="6" t="inlineStr"/>
      <c r="Q302" s="5" t="inlineStr">
        <is>
          <t>Asist Ustası</t>
        </is>
      </c>
      <c r="R302" s="5" t="inlineStr"/>
      <c r="S302" s="5" t="inlineStr"/>
      <c r="T302" s="5" t="inlineStr"/>
      <c r="U302" s="5" t="inlineStr"/>
      <c r="V302" s="5" t="inlineStr">
        <is>
          <t>takim-oyuncusu</t>
        </is>
      </c>
      <c r="W302" s="5" t="inlineStr"/>
      <c r="X302" s="5" t="inlineStr"/>
      <c r="Y302" s="5" t="inlineStr"/>
      <c r="Z302" s="6" t="inlineStr"/>
      <c r="AA302" s="5" t="inlineStr"/>
      <c r="AB302" s="5" t="inlineStr"/>
      <c r="AC302" s="5" t="inlineStr"/>
      <c r="AD302" s="5" t="inlineStr"/>
      <c r="AE302" s="5" t="inlineStr"/>
      <c r="AF302" s="5" t="inlineStr"/>
      <c r="AG302" s="5" t="inlineStr"/>
      <c r="AH302" s="5" t="inlineStr"/>
      <c r="AI302" s="5" t="inlineStr"/>
      <c r="AJ302" s="5" t="inlineStr"/>
    </row>
    <row r="303">
      <c r="A303" s="5" t="inlineStr">
        <is>
          <t>b4-spor-secmeleri</t>
        </is>
      </c>
      <c r="B303" s="5" t="n">
        <v>4</v>
      </c>
      <c r="C303" s="6" t="inlineStr">
        <is>
          <t>Takım menajeri ol</t>
        </is>
      </c>
      <c r="D303" s="5" t="inlineStr">
        <is>
          <t>Çene</t>
        </is>
      </c>
      <c r="E303" s="5" t="inlineStr">
        <is>
          <t>Kolay</t>
        </is>
      </c>
      <c r="F303" s="5" t="inlineStr"/>
      <c r="G303" s="6" t="inlineStr"/>
      <c r="H303" s="6" t="inlineStr">
        <is>
          <t>Oynamıyorsun ama formaları sen dağıtıyorsun. Öğretmenin yeğeni bile en büyük formayı sana sormadan alamıyor.</t>
        </is>
      </c>
      <c r="I303" s="6" t="inlineStr">
        <is>
          <t>Menajerliğin öyle iyi gitti ki öğretmen kadroyu sana danışıyor. Yeğen senin onayından geçti.</t>
        </is>
      </c>
      <c r="J303" s="6" t="inlineStr">
        <is>
          <t>Menajer oldun; kimse ne iş yaptığını bilmiyor. Sen de.</t>
        </is>
      </c>
      <c r="K303" s="6" t="inlineStr">
        <is>
          <t>Menajer oldun. İlk görevin su şişelerini taşımak. Son görevin de.</t>
        </is>
      </c>
      <c r="L303" s="6" t="inlineStr"/>
      <c r="M303" s="5" t="inlineStr"/>
      <c r="N303" s="5" t="inlineStr"/>
      <c r="O303" s="6" t="inlineStr"/>
      <c r="P303" s="6" t="inlineStr"/>
      <c r="Q303" s="5" t="inlineStr"/>
      <c r="R303" s="5" t="inlineStr"/>
      <c r="S303" s="5" t="inlineStr"/>
      <c r="T303" s="5" t="inlineStr"/>
      <c r="U303" s="5" t="inlineStr"/>
      <c r="V303" s="5" t="inlineStr"/>
      <c r="W303" s="5" t="inlineStr"/>
      <c r="X303" s="5" t="inlineStr"/>
      <c r="Y303" s="5" t="inlineStr"/>
      <c r="Z303" s="6" t="inlineStr"/>
      <c r="AA303" s="5" t="inlineStr"/>
      <c r="AB303" s="5" t="inlineStr"/>
      <c r="AC303" s="5" t="inlineStr"/>
      <c r="AD303" s="5" t="inlineStr"/>
      <c r="AE303" s="5" t="inlineStr"/>
      <c r="AF303" s="5" t="inlineStr"/>
      <c r="AG303" s="5" t="inlineStr"/>
      <c r="AH303" s="5" t="inlineStr"/>
      <c r="AI303" s="5" t="inlineStr"/>
      <c r="AJ303" s="5" t="inlineStr"/>
    </row>
    <row r="304">
      <c r="A304" s="5" t="inlineStr">
        <is>
          <t>b4-eski-telefon</t>
        </is>
      </c>
      <c r="B304" s="5" t="n">
        <v>1</v>
      </c>
      <c r="C304" s="6" t="inlineStr">
        <is>
          <t>Kuzenine hediye et</t>
        </is>
      </c>
      <c r="D304" s="5" t="inlineStr"/>
      <c r="E304" s="5" t="inlineStr"/>
      <c r="F304" s="5" t="inlineStr">
        <is>
          <t>Gönül +1</t>
        </is>
      </c>
      <c r="G304" s="6" t="inlineStr">
        <is>
          <t>Eski telefonu kuzenine verdin. Kuzen onu senden daha iyi kullanıyor. Bunu kimse söylemedi ama herkes biliyor.</t>
        </is>
      </c>
      <c r="H304" s="6" t="inlineStr"/>
      <c r="I304" s="6" t="inlineStr"/>
      <c r="J304" s="6" t="inlineStr"/>
      <c r="K304" s="6" t="inlineStr"/>
      <c r="L304" s="6" t="inlineStr"/>
      <c r="M304" s="5" t="inlineStr"/>
      <c r="N304" s="5" t="inlineStr"/>
      <c r="O304" s="6" t="inlineStr"/>
      <c r="P304" s="6" t="inlineStr"/>
      <c r="Q304" s="5" t="inlineStr"/>
      <c r="R304" s="5" t="inlineStr"/>
      <c r="S304" s="5" t="inlineStr"/>
      <c r="T304" s="5" t="inlineStr"/>
      <c r="U304" s="5" t="inlineStr"/>
      <c r="V304" s="5" t="inlineStr"/>
      <c r="W304" s="5" t="inlineStr"/>
      <c r="X304" s="5" t="inlineStr"/>
      <c r="Y304" s="5" t="inlineStr"/>
      <c r="Z304" s="6" t="inlineStr"/>
      <c r="AA304" s="5" t="inlineStr"/>
      <c r="AB304" s="5" t="inlineStr"/>
      <c r="AC304" s="5" t="inlineStr"/>
      <c r="AD304" s="5" t="inlineStr"/>
      <c r="AE304" s="5" t="inlineStr"/>
      <c r="AF304" s="5" t="inlineStr"/>
      <c r="AG304" s="5" t="inlineStr"/>
      <c r="AH304" s="5" t="inlineStr"/>
      <c r="AI304" s="5" t="inlineStr"/>
      <c r="AJ304" s="5" t="inlineStr"/>
    </row>
    <row r="305">
      <c r="A305" s="5" t="inlineStr">
        <is>
          <t>b4-eski-telefon</t>
        </is>
      </c>
      <c r="B305" s="5" t="n">
        <v>2</v>
      </c>
      <c r="C305" s="6" t="inlineStr">
        <is>
          <t>Pazarlığa gir</t>
        </is>
      </c>
      <c r="D305" s="5" t="inlineStr">
        <is>
          <t>Çene</t>
        </is>
      </c>
      <c r="E305" s="5" t="inlineStr">
        <is>
          <t>Orta</t>
        </is>
      </c>
      <c r="F305" s="5" t="inlineStr"/>
      <c r="G305" s="6" t="inlineStr"/>
      <c r="H305" s="6" t="inlineStr">
        <is>
          <t>İlan fiyatının biraz altında sattın. Alıcı memnun, sen memnun. Annen yine de “Ucuza verdin” dedi; her zamanki gibi.</t>
        </is>
      </c>
      <c r="I305" s="6" t="inlineStr">
        <is>
          <t>Üç alıcıyı birbirine karşı oynattın. Telefon ilan fiyatının üstünde satıldı.</t>
        </is>
      </c>
      <c r="J305" s="6" t="inlineStr">
        <is>
          <t>'Son fiyat' dedin. Alıcı 'Tamam, düşüneyim' dedi. Hâlâ düşünüyor.</t>
        </is>
      </c>
      <c r="K305" s="6" t="inlineStr">
        <is>
          <t>Alıcı telefonu aldı, ertesi gün aynı telefonu iki katına ilana koydu. Fotoğraflar seninkiler.</t>
        </is>
      </c>
      <c r="L305" s="6" t="inlineStr">
        <is>
          <t>Telefonu sattın ama alıcı son anda kılıfı da istedi, şarj aletini de. Kutu bile gitti.</t>
        </is>
      </c>
      <c r="M305" s="5" t="inlineStr">
        <is>
          <t>duel</t>
        </is>
      </c>
      <c r="N305" s="5" t="inlineStr">
        <is>
          <t>Son Fiyat?</t>
        </is>
      </c>
      <c r="O305" s="6" t="inlineStr">
        <is>
          <t>Karşındakinin sabrı bitmeden en iyi cevabı seç.</t>
        </is>
      </c>
      <c r="P305" s="6" t="inlineStr">
        <is>
          <t>{"who": "Alıcı", "item": "eski telefon", "mode": "sell"}</t>
        </is>
      </c>
      <c r="Q305" s="5" t="inlineStr"/>
      <c r="R305" s="5" t="inlineStr"/>
      <c r="S305" s="5" t="inlineStr"/>
      <c r="T305" s="5" t="inlineStr"/>
      <c r="U305" s="5" t="inlineStr"/>
      <c r="V305" s="5" t="inlineStr"/>
      <c r="W305" s="5" t="inlineStr"/>
      <c r="X305" s="5" t="inlineStr"/>
      <c r="Y305" s="5" t="inlineStr"/>
      <c r="Z305" s="6" t="inlineStr"/>
      <c r="AA305" s="5" t="inlineStr"/>
      <c r="AB305" s="5" t="inlineStr"/>
      <c r="AC305" s="5" t="inlineStr"/>
      <c r="AD305" s="5" t="inlineStr"/>
      <c r="AE305" s="5" t="inlineStr"/>
      <c r="AF305" s="5" t="inlineStr"/>
      <c r="AG305" s="5" t="inlineStr"/>
      <c r="AH305" s="5" t="inlineStr"/>
      <c r="AI305" s="5" t="inlineStr"/>
      <c r="AJ305" s="5" t="inlineStr"/>
    </row>
    <row r="306">
      <c r="A306" s="5" t="inlineStr">
        <is>
          <t>b4-eski-telefon</t>
        </is>
      </c>
      <c r="B306" s="5" t="n">
        <v>3</v>
      </c>
      <c r="C306" s="6" t="inlineStr">
        <is>
          <t>Ekran çiziğini dürüstçe yaz</t>
        </is>
      </c>
      <c r="D306" s="5" t="inlineStr">
        <is>
          <t>İtibar</t>
        </is>
      </c>
      <c r="E306" s="5" t="inlineStr">
        <is>
          <t>Kolay</t>
        </is>
      </c>
      <c r="F306" s="5" t="inlineStr"/>
      <c r="G306" s="6" t="inlineStr"/>
      <c r="H306" s="6" t="inlineStr">
        <is>
          <t>İlana 'Ekranda çizik var' yazdın. Alıcı teşekkür etti ve fiyatı kırmadı.</t>
        </is>
      </c>
      <c r="I306" s="6" t="inlineStr">
        <is>
          <t>Dürüstlüğün alıcıyı öyle etkiledi ki sana kılıf hediye etti. Satıcı puanın tavan.</t>
        </is>
      </c>
      <c r="J306" s="6" t="inlineStr">
        <is>
          <t>Dürüst yazdın; herkes çiziğin fotoğrafını istedi. Kimse telefonun fotoğrafını istemedi.</t>
        </is>
      </c>
      <c r="K306" s="6" t="inlineStr">
        <is>
          <t>Çiziği yazdın. Alıcı 'Başka çizik var mı?' diye sordu. Saydın. Yedi tane çıktı.</t>
        </is>
      </c>
      <c r="L306" s="6" t="inlineStr"/>
      <c r="M306" s="5" t="inlineStr"/>
      <c r="N306" s="5" t="inlineStr"/>
      <c r="O306" s="6" t="inlineStr"/>
      <c r="P306" s="6" t="inlineStr"/>
      <c r="Q306" s="5" t="inlineStr"/>
      <c r="R306" s="5" t="inlineStr"/>
      <c r="S306" s="5" t="inlineStr"/>
      <c r="T306" s="5" t="inlineStr"/>
      <c r="U306" s="5" t="inlineStr"/>
      <c r="V306" s="5" t="inlineStr"/>
      <c r="W306" s="5" t="inlineStr"/>
      <c r="X306" s="5" t="inlineStr"/>
      <c r="Y306" s="5" t="inlineStr"/>
      <c r="Z306" s="6" t="inlineStr"/>
      <c r="AA306" s="5" t="inlineStr"/>
      <c r="AB306" s="5" t="inlineStr"/>
      <c r="AC306" s="5" t="inlineStr"/>
      <c r="AD306" s="5" t="inlineStr"/>
      <c r="AE306" s="5" t="inlineStr"/>
      <c r="AF306" s="5" t="inlineStr"/>
      <c r="AG306" s="5" t="inlineStr"/>
      <c r="AH306" s="5" t="inlineStr"/>
      <c r="AI306" s="5" t="inlineStr"/>
      <c r="AJ306" s="5" t="inlineStr"/>
    </row>
    <row r="307">
      <c r="A307" s="5" t="inlineStr">
        <is>
          <t>b4-eski-telefon</t>
        </is>
      </c>
      <c r="B307" s="5" t="n">
        <v>4</v>
      </c>
      <c r="C307" s="6" t="inlineStr">
        <is>
          <t>Takas zinciri başlat</t>
        </is>
      </c>
      <c r="D307" s="5" t="inlineStr">
        <is>
          <t>Kurnazlık</t>
        </is>
      </c>
      <c r="E307" s="5" t="inlineStr">
        <is>
          <t>Zor</t>
        </is>
      </c>
      <c r="F307" s="5" t="inlineStr"/>
      <c r="G307" s="6" t="inlineStr"/>
      <c r="H307" s="6" t="inlineStr">
        <is>
          <t>Telefonu bisiklete, bisikleti kaykaya çevirdin. Kaykay güzel.</t>
        </is>
      </c>
      <c r="I307" s="6" t="inlineStr">
        <is>
          <t>Telefon bisiklete, bisiklet kaykaya, kaykay daha iyi bir telefona döndü. Baban telefonu evirip çevirdi: “Bunu nereden buldun?” “Takasla” dedin. Baban kendi telefonunu da sana uzattı.</t>
        </is>
      </c>
      <c r="J307" s="6" t="inlineStr">
        <is>
          <t>Telefonu bisiklete çevirdin. Bisikletin zinciri yok.</t>
        </is>
      </c>
      <c r="K307" s="6" t="inlineStr">
        <is>
          <t>Takas zinciri tersine işledi: telefon bisiklete, bisiklet bir pul albümüne, albüm bir kutu eski kartpostala döndü. Babaannen kutuyu açtı, içinden kendi gençlik kartpostalını çıkardı ve ağladı. Telefon yok ama babaannen çok mutlu.</t>
        </is>
      </c>
      <c r="L307" s="6" t="inlineStr"/>
      <c r="M307" s="5" t="inlineStr"/>
      <c r="N307" s="5" t="inlineStr"/>
      <c r="O307" s="6" t="inlineStr"/>
      <c r="P307" s="6" t="inlineStr"/>
      <c r="Q307" s="5" t="inlineStr">
        <is>
          <t>Kantin Ekonomisti</t>
        </is>
      </c>
      <c r="R307" s="5" t="inlineStr"/>
      <c r="S307" s="5" t="inlineStr"/>
      <c r="T307" s="5" t="inlineStr"/>
      <c r="U307" s="5" t="inlineStr"/>
      <c r="V307" s="5" t="inlineStr"/>
      <c r="W307" s="5" t="inlineStr"/>
      <c r="X307" s="5" t="inlineStr"/>
      <c r="Y307" s="5" t="inlineStr"/>
      <c r="Z307" s="6" t="inlineStr"/>
      <c r="AA307" s="5" t="inlineStr"/>
      <c r="AB307" s="5" t="inlineStr"/>
      <c r="AC307" s="5" t="inlineStr"/>
      <c r="AD307" s="5" t="inlineStr"/>
      <c r="AE307" s="5" t="inlineStr"/>
      <c r="AF307" s="5" t="inlineStr"/>
      <c r="AG307" s="5" t="inlineStr"/>
      <c r="AH307" s="5" t="inlineStr"/>
      <c r="AI307" s="5" t="inlineStr"/>
      <c r="AJ307" s="5" t="inlineStr"/>
    </row>
    <row r="308">
      <c r="A308" s="5" t="inlineStr">
        <is>
          <t>b4-yaz-tatili</t>
        </is>
      </c>
      <c r="B308" s="5" t="n">
        <v>1</v>
      </c>
      <c r="C308" s="6" t="inlineStr">
        <is>
          <t>İnternetsiz yaşa</t>
        </is>
      </c>
      <c r="D308" s="5" t="inlineStr"/>
      <c r="E308" s="5" t="inlineStr"/>
      <c r="F308" s="5" t="inlineStr">
        <is>
          <t>Dayanıklılık +1</t>
        </is>
      </c>
      <c r="G308" s="6" t="inlineStr">
        <is>
          <t>On beş gün internetsiz kaldın. Denizi, kumu ve babanın dört farklı mangal tekniğini keşfettin.</t>
        </is>
      </c>
      <c r="H308" s="6" t="inlineStr"/>
      <c r="I308" s="6" t="inlineStr"/>
      <c r="J308" s="6" t="inlineStr"/>
      <c r="K308" s="6" t="inlineStr"/>
      <c r="L308" s="6" t="inlineStr"/>
      <c r="M308" s="5" t="inlineStr"/>
      <c r="N308" s="5" t="inlineStr"/>
      <c r="O308" s="6" t="inlineStr"/>
      <c r="P308" s="6" t="inlineStr"/>
      <c r="Q308" s="5" t="inlineStr"/>
      <c r="R308" s="5" t="inlineStr"/>
      <c r="S308" s="5" t="inlineStr"/>
      <c r="T308" s="5" t="inlineStr"/>
      <c r="U308" s="5" t="inlineStr"/>
      <c r="V308" s="5" t="inlineStr"/>
      <c r="W308" s="5" t="inlineStr"/>
      <c r="X308" s="5" t="inlineStr"/>
      <c r="Y308" s="5" t="inlineStr"/>
      <c r="Z308" s="6" t="inlineStr"/>
      <c r="AA308" s="5" t="inlineStr"/>
      <c r="AB308" s="5" t="inlineStr"/>
      <c r="AC308" s="5" t="inlineStr"/>
      <c r="AD308" s="5" t="inlineStr"/>
      <c r="AE308" s="5" t="inlineStr"/>
      <c r="AF308" s="5" t="inlineStr"/>
      <c r="AG308" s="5" t="inlineStr"/>
      <c r="AH308" s="5" t="inlineStr"/>
      <c r="AI308" s="5" t="inlineStr"/>
      <c r="AJ308" s="5" t="inlineStr"/>
    </row>
    <row r="309">
      <c r="A309" s="5" t="inlineStr">
        <is>
          <t>b4-yaz-tatili</t>
        </is>
      </c>
      <c r="B309" s="5" t="n">
        <v>2</v>
      </c>
      <c r="C309" s="6" t="inlineStr">
        <is>
          <t>Sinyal noktasını bul</t>
        </is>
      </c>
      <c r="D309" s="5" t="inlineStr">
        <is>
          <t>Kurnazlık</t>
        </is>
      </c>
      <c r="E309" s="5" t="inlineStr">
        <is>
          <t>Orta</t>
        </is>
      </c>
      <c r="F309" s="5" t="inlineStr"/>
      <c r="G309" s="6" t="inlineStr"/>
      <c r="H309" s="6" t="inlineStr">
        <is>
          <t>Merdiven sahanlığının tam ortasında iki çizgi buldun. Tatilin geri kalanı sahanlıkta geçti.</t>
        </is>
      </c>
      <c r="I309" s="6" t="inlineStr">
        <is>
          <t>Sitenin sinyal haritasını çıkardın. Komşu çocuklara nokta başı ücretle kiralıyorsun.</t>
        </is>
      </c>
      <c r="J309" s="6" t="inlineStr">
        <is>
          <t>Sinyali buldun: tek çizgi. Mesajın gittiğinde tatil bitmişti.</t>
        </is>
      </c>
      <c r="K309" s="6" t="inlineStr">
        <is>
          <t>Tam sinyali komşunun modemine yaslanınca buldun. Komşu şifreyi 'SinyalHirsizi' yaptı ve kapıya astı.</t>
        </is>
      </c>
      <c r="L309" s="6" t="inlineStr">
        <is>
          <t>İki çizgiyi yakaladın, mesaj yarım gitti: “Burada internet y”</t>
        </is>
      </c>
      <c r="M309" s="5" t="inlineStr">
        <is>
          <t>hidden</t>
        </is>
      </c>
      <c r="N309" s="5" t="inlineStr">
        <is>
          <t>Sinyal Avı</t>
        </is>
      </c>
      <c r="O309" s="6" t="inlineStr">
        <is>
          <t>Sinyal çubuğunu (📶) kumsalda bul.</t>
        </is>
      </c>
      <c r="P309" s="6" t="inlineStr">
        <is>
          <t>{"target": "📶", "decoys": ["🌴", "🏖️", "🐚", "☀️", "⛱️"]}</t>
        </is>
      </c>
      <c r="Q309" s="5" t="inlineStr"/>
      <c r="R309" s="5" t="inlineStr"/>
      <c r="S309" s="5" t="inlineStr"/>
      <c r="T309" s="5" t="inlineStr"/>
      <c r="U309" s="5" t="inlineStr"/>
      <c r="V309" s="5" t="inlineStr"/>
      <c r="W309" s="5" t="inlineStr"/>
      <c r="X309" s="5" t="inlineStr"/>
      <c r="Y309" s="5" t="inlineStr"/>
      <c r="Z309" s="6" t="inlineStr"/>
      <c r="AA309" s="5" t="inlineStr"/>
      <c r="AB309" s="5" t="inlineStr"/>
      <c r="AC309" s="5" t="inlineStr"/>
      <c r="AD309" s="5" t="inlineStr"/>
      <c r="AE309" s="5" t="inlineStr"/>
      <c r="AF309" s="5" t="inlineStr"/>
      <c r="AG309" s="5" t="inlineStr"/>
      <c r="AH309" s="5" t="inlineStr"/>
      <c r="AI309" s="5" t="inlineStr"/>
      <c r="AJ309" s="5" t="inlineStr"/>
    </row>
    <row r="310">
      <c r="A310" s="5" t="inlineStr">
        <is>
          <t>b4-yaz-tatili</t>
        </is>
      </c>
      <c r="B310" s="5" t="n">
        <v>3</v>
      </c>
      <c r="C310" s="6" t="inlineStr">
        <is>
          <t>Yan yazlıktakilerle tanış</t>
        </is>
      </c>
      <c r="D310" s="5" t="inlineStr">
        <is>
          <t>Sosyal Radar</t>
        </is>
      </c>
      <c r="E310" s="5" t="inlineStr">
        <is>
          <t>Kolay</t>
        </is>
      </c>
      <c r="F310" s="5" t="inlineStr"/>
      <c r="G310" s="6" t="inlineStr"/>
      <c r="H310" s="6" t="inlineStr">
        <is>
          <t>Tek ayak üstünde bir yaz arkadaşlığı kurdun. Eylülde “Kesin yazarız” diye ayrıldınız. Ertesi yaz yine balkonda, yine tek ayak üstünde karşılaştınız.</t>
        </is>
      </c>
      <c r="I310" s="6" t="inlineStr">
        <is>
          <t>Yan yazlıktakilerle ortak bir sinyal kulesi kurdunuz: balkonlar arası çamaşır ipi ve bir teneke kutu. İşe yaramadı ama efsaneydi.</t>
        </is>
      </c>
      <c r="J310" s="6" t="inlineStr">
        <is>
          <t>Göz göze geldiniz, el salladınız, sinyal gitti. İkiniz de telefona döndünüz.</t>
        </is>
      </c>
      <c r="K310" s="6" t="inlineStr">
        <is>
          <t>Tanıştınız; onların ailesi sizinkini akşam yemeğine çağırdı. Tatilin geri kalanı aileler arası sohbetle geçti.</t>
        </is>
      </c>
      <c r="L310" s="6" t="inlineStr"/>
      <c r="M310" s="5" t="inlineStr"/>
      <c r="N310" s="5" t="inlineStr"/>
      <c r="O310" s="6" t="inlineStr"/>
      <c r="P310" s="6" t="inlineStr"/>
      <c r="Q310" s="5" t="inlineStr"/>
      <c r="R310" s="5" t="inlineStr"/>
      <c r="S310" s="5" t="inlineStr">
        <is>
          <t>Sosyal Radar</t>
        </is>
      </c>
      <c r="T310" s="5" t="inlineStr"/>
      <c r="U310" s="5" t="inlineStr"/>
      <c r="V310" s="5" t="inlineStr"/>
      <c r="W310" s="5" t="inlineStr"/>
      <c r="X310" s="5" t="inlineStr"/>
      <c r="Y310" s="5" t="inlineStr"/>
      <c r="Z310" s="6" t="inlineStr"/>
      <c r="AA310" s="5" t="inlineStr"/>
      <c r="AB310" s="5" t="inlineStr"/>
      <c r="AC310" s="5" t="inlineStr"/>
      <c r="AD310" s="5" t="inlineStr"/>
      <c r="AE310" s="5" t="inlineStr"/>
      <c r="AF310" s="5" t="inlineStr"/>
      <c r="AG310" s="5" t="inlineStr"/>
      <c r="AH310" s="5" t="inlineStr"/>
      <c r="AI310" s="5" t="inlineStr"/>
      <c r="AJ310" s="5" t="inlineStr"/>
    </row>
    <row r="311">
      <c r="A311" s="5" t="inlineStr">
        <is>
          <t>b4-yaz-tatili</t>
        </is>
      </c>
      <c r="B311" s="5" t="n">
        <v>4</v>
      </c>
      <c r="C311" s="6" t="inlineStr">
        <is>
          <t>Ailenden kafe internet parası iste</t>
        </is>
      </c>
      <c r="D311" s="5" t="inlineStr">
        <is>
          <t>Çene</t>
        </is>
      </c>
      <c r="E311" s="5" t="inlineStr">
        <is>
          <t>Orta</t>
        </is>
      </c>
      <c r="F311" s="5" t="inlineStr"/>
      <c r="G311" s="6" t="inlineStr"/>
      <c r="H311" s="6" t="inlineStr">
        <is>
          <t>Sahildeki kafenin internetine erişim onaylandı. Günde bir saat, bir gazoz karşılığında.</t>
        </is>
      </c>
      <c r="I311" s="6" t="inlineStr">
        <is>
          <t>Ailen kafeyi o kadar sevdi ki tatilin geri kalanını orada geçirdiniz. Aile yeniden bağlandı. İnternete.</t>
        </is>
      </c>
      <c r="J311" s="6" t="inlineStr">
        <is>
          <t>'Deniz var, kum var' denildi. İkisinde de sinyal yok.</t>
        </is>
      </c>
      <c r="K311" s="6" t="inlineStr">
        <is>
          <t>Kafeye gittin; kafenin şifresi yalnızca aile boyu menü alanlara veriliyordu. Baban menüyü aldı, şifreyi o kullandı.</t>
        </is>
      </c>
      <c r="L311" s="6" t="inlineStr"/>
      <c r="M311" s="5" t="inlineStr"/>
      <c r="N311" s="5" t="inlineStr"/>
      <c r="O311" s="6" t="inlineStr"/>
      <c r="P311" s="6" t="inlineStr"/>
      <c r="Q311" s="5" t="inlineStr"/>
      <c r="R311" s="5" t="inlineStr"/>
      <c r="S311" s="5" t="inlineStr"/>
      <c r="T311" s="5" t="inlineStr"/>
      <c r="U311" s="5" t="inlineStr"/>
      <c r="V311" s="5" t="inlineStr"/>
      <c r="W311" s="5" t="inlineStr"/>
      <c r="X311" s="5" t="inlineStr"/>
      <c r="Y311" s="5" t="inlineStr"/>
      <c r="Z311" s="6" t="inlineStr"/>
      <c r="AA311" s="5" t="inlineStr"/>
      <c r="AB311" s="5" t="inlineStr"/>
      <c r="AC311" s="5" t="inlineStr"/>
      <c r="AD311" s="5" t="inlineStr"/>
      <c r="AE311" s="5" t="inlineStr"/>
      <c r="AF311" s="5" t="inlineStr"/>
      <c r="AG311" s="5" t="inlineStr"/>
      <c r="AH311" s="5" t="inlineStr"/>
      <c r="AI311" s="5" t="inlineStr"/>
      <c r="AJ311" s="5" t="inlineStr"/>
    </row>
    <row r="312">
      <c r="A312" s="5" t="inlineStr">
        <is>
          <t>b4-dershane-denemesi</t>
        </is>
      </c>
      <c r="B312" s="5" t="n">
        <v>1</v>
      </c>
      <c r="C312" s="6" t="inlineStr">
        <is>
          <t>Sıranı kabul et</t>
        </is>
      </c>
      <c r="D312" s="5" t="inlineStr"/>
      <c r="E312" s="5" t="inlineStr"/>
      <c r="F312" s="5" t="inlineStr">
        <is>
          <t>Dayanıklılık +1</t>
        </is>
      </c>
      <c r="G312" s="6" t="inlineStr">
        <is>
          <t>Sırana baktın, not aldın. Eve gelince annen sordu, söyledin. Annen “Tamam, bir dahakine” dedi ve önüne bir tabak meyve koydu. Bir dahaki bir hafta sonra.</t>
        </is>
      </c>
      <c r="H312" s="6" t="inlineStr"/>
      <c r="I312" s="6" t="inlineStr"/>
      <c r="J312" s="6" t="inlineStr"/>
      <c r="K312" s="6" t="inlineStr"/>
      <c r="L312" s="6" t="inlineStr"/>
      <c r="M312" s="5" t="inlineStr"/>
      <c r="N312" s="5" t="inlineStr"/>
      <c r="O312" s="6" t="inlineStr"/>
      <c r="P312" s="6" t="inlineStr"/>
      <c r="Q312" s="5" t="inlineStr"/>
      <c r="R312" s="5" t="inlineStr"/>
      <c r="S312" s="5" t="inlineStr"/>
      <c r="T312" s="5" t="inlineStr"/>
      <c r="U312" s="5" t="inlineStr"/>
      <c r="V312" s="5" t="inlineStr"/>
      <c r="W312" s="5" t="inlineStr"/>
      <c r="X312" s="5" t="inlineStr"/>
      <c r="Y312" s="5" t="inlineStr"/>
      <c r="Z312" s="6" t="inlineStr"/>
      <c r="AA312" s="5" t="inlineStr"/>
      <c r="AB312" s="5" t="inlineStr"/>
      <c r="AC312" s="5" t="inlineStr"/>
      <c r="AD312" s="5" t="inlineStr"/>
      <c r="AE312" s="5" t="inlineStr"/>
      <c r="AF312" s="5" t="inlineStr"/>
      <c r="AG312" s="5" t="inlineStr"/>
      <c r="AH312" s="5" t="inlineStr"/>
      <c r="AI312" s="5" t="inlineStr"/>
      <c r="AJ312" s="5" t="inlineStr"/>
    </row>
    <row r="313">
      <c r="A313" s="5" t="inlineStr">
        <is>
          <t>b4-dershane-denemesi</t>
        </is>
      </c>
      <c r="B313" s="5" t="n">
        <v>2</v>
      </c>
      <c r="C313" s="6" t="inlineStr">
        <is>
          <t>Listeyi fotoğrafla, kırp, ailene at</t>
        </is>
      </c>
      <c r="D313" s="5" t="inlineStr">
        <is>
          <t>Kurnazlık</t>
        </is>
      </c>
      <c r="E313" s="5" t="inlineStr">
        <is>
          <t>Orta</t>
        </is>
      </c>
      <c r="F313" s="5" t="inlineStr"/>
      <c r="G313" s="6" t="inlineStr"/>
      <c r="H313" s="6" t="inlineStr">
        <is>
          <t>Fotoğrafı kırptın; üstündeki yirmi kişi kadraj dışında kaldı. Ailen seni ilk sırada sandı.</t>
        </is>
      </c>
      <c r="I313" s="6" t="inlineStr">
        <is>
          <t>Kırptığın fotoğraf aile grubunda dolaştı. Teyzen 'Bizimki de o dershaneye gitsin' dedi. Kuzen artık rakibin.</t>
        </is>
      </c>
      <c r="J313" s="6" t="inlineStr">
        <is>
          <t>Kırptın; üstteki satırdan yarım bir isim göründü. Ailen 'Bu kim?' diye sordu.</t>
        </is>
      </c>
      <c r="K313" s="6" t="inlineStr">
        <is>
          <t>Fazla kırptın. Fotoğrafta yalnızca adın ve altında 'Telafi Programı' yazısı kaldı.</t>
        </is>
      </c>
      <c r="L313" s="6" t="inlineStr"/>
      <c r="M313" s="5" t="inlineStr"/>
      <c r="N313" s="5" t="inlineStr"/>
      <c r="O313" s="6" t="inlineStr"/>
      <c r="P313" s="6" t="inlineStr"/>
      <c r="Q313" s="5" t="inlineStr"/>
      <c r="R313" s="5" t="inlineStr"/>
      <c r="S313" s="5" t="inlineStr"/>
      <c r="T313" s="5" t="inlineStr"/>
      <c r="U313" s="5" t="inlineStr"/>
      <c r="V313" s="5" t="inlineStr"/>
      <c r="W313" s="5" t="inlineStr"/>
      <c r="X313" s="5" t="inlineStr"/>
      <c r="Y313" s="5" t="inlineStr"/>
      <c r="Z313" s="6" t="inlineStr"/>
      <c r="AA313" s="5" t="inlineStr"/>
      <c r="AB313" s="5" t="inlineStr"/>
      <c r="AC313" s="5" t="inlineStr"/>
      <c r="AD313" s="5" t="inlineStr"/>
      <c r="AE313" s="5" t="inlineStr"/>
      <c r="AF313" s="5" t="inlineStr"/>
      <c r="AG313" s="5" t="inlineStr"/>
      <c r="AH313" s="5" t="inlineStr"/>
      <c r="AI313" s="5" t="inlineStr"/>
      <c r="AJ313" s="5" t="inlineStr"/>
    </row>
    <row r="314">
      <c r="A314" s="5" t="inlineStr">
        <is>
          <t>b4-dershane-denemesi</t>
        </is>
      </c>
      <c r="B314" s="5" t="n">
        <v>3</v>
      </c>
      <c r="C314" s="6" t="inlineStr">
        <is>
          <t>Rehber öğretmenle konuş</t>
        </is>
      </c>
      <c r="D314" s="5" t="inlineStr">
        <is>
          <t>Çene</t>
        </is>
      </c>
      <c r="E314" s="5" t="inlineStr">
        <is>
          <t>Kolay</t>
        </is>
      </c>
      <c r="F314" s="5" t="inlineStr"/>
      <c r="G314" s="6" t="inlineStr"/>
      <c r="H314" s="6" t="inlineStr">
        <is>
          <t>Rehber öğretmen eksiklerini listeledi. Liste uzundu ama çizilebilir.</t>
        </is>
      </c>
      <c r="I314" s="6" t="inlineStr">
        <is>
          <t>Rehber öğretmen sana bir çalışma planı yaptı ve ailene 'Potansiyeli var' dedi. Potansiyel, her ailenin sevdiği kelime.</t>
        </is>
      </c>
      <c r="J314" s="6" t="inlineStr">
        <is>
          <t>Rehber öğretmen 'Daha çok çalışmalısın' dedi. Bu, ücretli bir bilgiydi.</t>
        </is>
      </c>
      <c r="K314" s="6" t="inlineStr">
        <is>
          <t>Rehber öğretmen konuşurken “Sen yeni mi geldin?” diye sordu. On beş aydır her cumartesi en ön sıradasın.</t>
        </is>
      </c>
      <c r="L314" s="6" t="inlineStr"/>
      <c r="M314" s="5" t="inlineStr"/>
      <c r="N314" s="5" t="inlineStr"/>
      <c r="O314" s="6" t="inlineStr"/>
      <c r="P314" s="6" t="inlineStr"/>
      <c r="Q314" s="5" t="inlineStr"/>
      <c r="R314" s="5" t="inlineStr"/>
      <c r="S314" s="5" t="inlineStr"/>
      <c r="T314" s="5" t="inlineStr"/>
      <c r="U314" s="5" t="inlineStr"/>
      <c r="V314" s="5" t="inlineStr"/>
      <c r="W314" s="5" t="inlineStr"/>
      <c r="X314" s="5" t="inlineStr"/>
      <c r="Y314" s="5" t="inlineStr"/>
      <c r="Z314" s="6" t="inlineStr"/>
      <c r="AA314" s="5" t="inlineStr"/>
      <c r="AB314" s="5" t="inlineStr"/>
      <c r="AC314" s="5" t="inlineStr"/>
      <c r="AD314" s="5" t="inlineStr"/>
      <c r="AE314" s="5" t="inlineStr"/>
      <c r="AF314" s="5" t="inlineStr"/>
      <c r="AG314" s="5" t="inlineStr"/>
      <c r="AH314" s="5" t="inlineStr"/>
      <c r="AI314" s="5" t="inlineStr"/>
      <c r="AJ314" s="5" t="inlineStr"/>
    </row>
    <row r="315">
      <c r="A315" s="5" t="inlineStr">
        <is>
          <t>b4-lise-sinavi</t>
        </is>
      </c>
      <c r="B315" s="5" t="n">
        <v>1</v>
      </c>
      <c r="C315" s="6" t="inlineStr">
        <is>
          <t>Meslek lisesini yaz</t>
        </is>
      </c>
      <c r="D315" s="5" t="inlineStr"/>
      <c r="E315" s="5" t="inlineStr"/>
      <c r="F315" s="5" t="inlineStr">
        <is>
          <t>Kurnazlık +1</t>
        </is>
      </c>
      <c r="G315" s="6" t="inlineStr">
        <is>
          <t>Sınav formuna meslek lisesini yazdın. On beşinde priz takabilen, on altısında dükkân açabilen tek kişi olacaksın. Kuzenin “Yazık” dedi; kuzen hâlâ priz takamıyor.</t>
        </is>
      </c>
      <c r="H315" s="6" t="inlineStr"/>
      <c r="I315" s="6" t="inlineStr"/>
      <c r="J315" s="6" t="inlineStr"/>
      <c r="K315" s="6" t="inlineStr"/>
      <c r="L315" s="6" t="inlineStr"/>
      <c r="M315" s="5" t="inlineStr"/>
      <c r="N315" s="5" t="inlineStr"/>
      <c r="O315" s="6" t="inlineStr"/>
      <c r="P315" s="6" t="inlineStr"/>
      <c r="Q315" s="5" t="inlineStr"/>
      <c r="R315" s="5" t="inlineStr"/>
      <c r="S315" s="5" t="inlineStr"/>
      <c r="T315" s="5" t="inlineStr"/>
      <c r="U315" s="5" t="inlineStr">
        <is>
          <t>meslek-lisesi</t>
        </is>
      </c>
      <c r="V315" s="5" t="inlineStr"/>
      <c r="W315" s="5" t="inlineStr"/>
      <c r="X315" s="5" t="inlineStr"/>
      <c r="Y315" s="5" t="inlineStr"/>
      <c r="Z315" s="6" t="inlineStr"/>
      <c r="AA315" s="5" t="inlineStr">
        <is>
          <t>Keskin +1, Yalçın +1, Tan -1, Erdem -1, Varlı -1</t>
        </is>
      </c>
      <c r="AB315" s="5" t="inlineStr"/>
      <c r="AC315" s="5" t="inlineStr"/>
      <c r="AD315" s="5" t="inlineStr"/>
      <c r="AE315" s="5" t="inlineStr"/>
      <c r="AF315" s="5" t="inlineStr"/>
      <c r="AG315" s="5" t="inlineStr"/>
      <c r="AH315" s="5" t="inlineStr"/>
      <c r="AI315" s="5" t="inlineStr"/>
      <c r="AJ315" s="5" t="inlineStr"/>
    </row>
    <row r="316">
      <c r="A316" s="5" t="inlineStr">
        <is>
          <t>b4-lise-sinavi</t>
        </is>
      </c>
      <c r="B316" s="5" t="n">
        <v>2</v>
      </c>
      <c r="C316" s="6" t="inlineStr">
        <is>
          <t>Hepsini çözmeye çalış</t>
        </is>
      </c>
      <c r="D316" s="5" t="inlineStr">
        <is>
          <t>Akıl</t>
        </is>
      </c>
      <c r="E316" s="5" t="inlineStr">
        <is>
          <t>Zor</t>
        </is>
      </c>
      <c r="F316" s="5" t="inlineStr"/>
      <c r="G316" s="6" t="inlineStr"/>
      <c r="H316" s="6" t="inlineStr">
        <is>
          <t>Sonuç geldi: iyi bir lise. Ailen sonucu, karne fotoğrafından bile hızlı aile grubuna attı.</t>
        </is>
      </c>
      <c r="I316" s="6" t="inlineStr">
        <is>
          <t>Derece yaptın. Okulun girişine pankartın asıldı; fotoğraf okul fotoğrafı gününden, saçın o gün hiç iyi değildi. Babaannen pankartın fotoğrafını çekip çerçeveletti.</t>
        </is>
      </c>
      <c r="J316" s="6" t="inlineStr">
        <is>
          <t>Son on soruda süre bitti. Mahalle lisesi seni kucakladı. En azından yakın.</t>
        </is>
      </c>
      <c r="K316" s="6" t="inlineStr">
        <is>
          <t>Optik formu bir satır kaydırarak doldurdun. Bütün cevaplar bir aşağıda. Annen sonucu aile grubuna atmadı; bu, her şeyi anlattı.</t>
        </is>
      </c>
      <c r="L316" s="6" t="inlineStr"/>
      <c r="M316" s="5" t="inlineStr"/>
      <c r="N316" s="5" t="inlineStr"/>
      <c r="O316" s="6" t="inlineStr"/>
      <c r="P316" s="6" t="inlineStr"/>
      <c r="Q316" s="5" t="inlineStr"/>
      <c r="R316" s="5" t="inlineStr"/>
      <c r="S316" s="5" t="inlineStr"/>
      <c r="T316" s="5" t="inlineStr"/>
      <c r="U316" s="5" t="inlineStr"/>
      <c r="V316" s="5" t="inlineStr">
        <is>
          <t>iyi-lise</t>
        </is>
      </c>
      <c r="W316" s="5" t="inlineStr"/>
      <c r="X316" s="5" t="inlineStr"/>
      <c r="Y316" s="5" t="inlineStr"/>
      <c r="Z316" s="6" t="inlineStr"/>
      <c r="AA316" s="5" t="inlineStr"/>
      <c r="AB316" s="5" t="inlineStr">
        <is>
          <t>duz-lise</t>
        </is>
      </c>
      <c r="AC316" s="5" t="inlineStr"/>
      <c r="AD316" s="5" t="inlineStr"/>
      <c r="AE316" s="5" t="inlineStr"/>
      <c r="AF316" s="5" t="inlineStr"/>
      <c r="AG316" s="5" t="inlineStr"/>
      <c r="AH316" s="5" t="inlineStr"/>
      <c r="AI316" s="5" t="inlineStr"/>
      <c r="AJ316" s="5" t="inlineStr"/>
    </row>
    <row r="317">
      <c r="A317" s="5" t="inlineStr">
        <is>
          <t>b4-lise-sinavi</t>
        </is>
      </c>
      <c r="B317" s="5" t="n">
        <v>3</v>
      </c>
      <c r="C317" s="6" t="inlineStr">
        <is>
          <t>Zorları atla, kolayları topla</t>
        </is>
      </c>
      <c r="D317" s="5" t="inlineStr">
        <is>
          <t>Kurnazlık</t>
        </is>
      </c>
      <c r="E317" s="5" t="inlineStr">
        <is>
          <t>Orta</t>
        </is>
      </c>
      <c r="F317" s="5" t="inlineStr"/>
      <c r="G317" s="6" t="inlineStr"/>
      <c r="H317" s="6" t="inlineStr">
        <is>
          <t>Zorları atladın, kolayları topladın. İyi bir lise geldi. Baban “Akıllıca” dedi, annen “Şanslı”; ikisi de haklı.</t>
        </is>
      </c>
      <c r="I317" s="6" t="inlineStr">
        <is>
          <t>Atladığın sorulara dönmeye vaktin kaldı ve hepsini yaptın. Çıkışta annen termosu açtı; çay hâlâ sıcaktı. Sonuç da öyle geldi: derece.</t>
        </is>
      </c>
      <c r="J317" s="6" t="inlineStr">
        <is>
          <t>Atladığın sorulara dönemedin. Atladıkların kolaymış.</t>
        </is>
      </c>
      <c r="K317" s="6" t="inlineStr">
        <is>
          <t>Kolayların hepsi aynı şık çıkınca şüphelendin ve değiştirdin. Hepsi gerçekten aynı şıktı.</t>
        </is>
      </c>
      <c r="L317" s="6" t="inlineStr"/>
      <c r="M317" s="5" t="inlineStr"/>
      <c r="N317" s="5" t="inlineStr"/>
      <c r="O317" s="6" t="inlineStr"/>
      <c r="P317" s="6" t="inlineStr"/>
      <c r="Q317" s="5" t="inlineStr"/>
      <c r="R317" s="5" t="inlineStr"/>
      <c r="S317" s="5" t="inlineStr"/>
      <c r="T317" s="5" t="inlineStr"/>
      <c r="U317" s="5" t="inlineStr"/>
      <c r="V317" s="5" t="inlineStr">
        <is>
          <t>iyi-lise</t>
        </is>
      </c>
      <c r="W317" s="5" t="inlineStr"/>
      <c r="X317" s="5" t="inlineStr"/>
      <c r="Y317" s="5" t="inlineStr"/>
      <c r="Z317" s="6" t="inlineStr"/>
      <c r="AA317" s="5" t="inlineStr"/>
      <c r="AB317" s="5" t="inlineStr">
        <is>
          <t>duz-lise</t>
        </is>
      </c>
      <c r="AC317" s="5" t="inlineStr"/>
      <c r="AD317" s="5" t="inlineStr"/>
      <c r="AE317" s="5" t="inlineStr"/>
      <c r="AF317" s="5" t="inlineStr"/>
      <c r="AG317" s="5" t="inlineStr"/>
      <c r="AH317" s="5" t="inlineStr"/>
      <c r="AI317" s="5" t="inlineStr"/>
      <c r="AJ317" s="5" t="inlineStr"/>
    </row>
    <row r="318">
      <c r="A318" s="5" t="inlineStr">
        <is>
          <t>b4-lise-sinavi</t>
        </is>
      </c>
      <c r="B318" s="5" t="n">
        <v>4</v>
      </c>
      <c r="C318" s="6" t="inlineStr">
        <is>
          <t>Dershane taktiklerini uygula</t>
        </is>
      </c>
      <c r="D318" s="5" t="inlineStr">
        <is>
          <t>Akıl</t>
        </is>
      </c>
      <c r="E318" s="5" t="inlineStr">
        <is>
          <t>Orta</t>
        </is>
      </c>
      <c r="F318" s="5" t="inlineStr"/>
      <c r="G318" s="6" t="inlineStr"/>
      <c r="H318" s="6" t="inlineStr">
        <is>
          <t>Soru tiplerini tanıdın. Dershanenin cumartesileri karşılığını verdi. İyi bir lise.</t>
        </is>
      </c>
      <c r="I318" s="6" t="inlineStr">
        <is>
          <t>Soruların yarısı dershanede çözdüğün sorulara ikiz çıktı. Derece yaptın; dershane seni broşüre koydu. Küçük puntolu değil.</t>
        </is>
      </c>
      <c r="J318" s="6" t="inlineStr">
        <is>
          <t>Taktikler işledi ama süre yetmedi. Çıkışta telefonuna dershaneden mesaj düştü: “Yaz kampımız başlıyor, erken kayda indirim!”</t>
        </is>
      </c>
      <c r="K318" s="6" t="inlineStr">
        <is>
          <t>Dershanenin 'Bu tip hiç çıkmaz' dediği soru tipi, sınavın yarısıydı.</t>
        </is>
      </c>
      <c r="L318" s="6" t="inlineStr"/>
      <c r="M318" s="5" t="inlineStr"/>
      <c r="N318" s="5" t="inlineStr"/>
      <c r="O318" s="6" t="inlineStr"/>
      <c r="P318" s="6" t="inlineStr"/>
      <c r="Q318" s="5" t="inlineStr"/>
      <c r="R318" s="5" t="inlineStr">
        <is>
          <t>dershaneli</t>
        </is>
      </c>
      <c r="S318" s="5" t="inlineStr"/>
      <c r="T318" s="5" t="inlineStr"/>
      <c r="U318" s="5" t="inlineStr"/>
      <c r="V318" s="5" t="inlineStr">
        <is>
          <t>iyi-lise</t>
        </is>
      </c>
      <c r="W318" s="5" t="inlineStr"/>
      <c r="X318" s="5" t="inlineStr"/>
      <c r="Y318" s="5" t="inlineStr"/>
      <c r="Z318" s="6" t="inlineStr"/>
      <c r="AA318" s="5" t="inlineStr"/>
      <c r="AB318" s="5" t="inlineStr">
        <is>
          <t>duz-lise</t>
        </is>
      </c>
      <c r="AC318" s="5" t="inlineStr"/>
      <c r="AD318" s="5" t="inlineStr"/>
      <c r="AE318" s="5" t="inlineStr"/>
      <c r="AF318" s="5" t="inlineStr"/>
      <c r="AG318" s="5" t="inlineStr"/>
      <c r="AH318" s="5" t="inlineStr"/>
      <c r="AI318" s="5" t="inlineStr"/>
      <c r="AJ318" s="5" t="inlineStr"/>
    </row>
    <row r="319">
      <c r="A319" s="5" t="inlineStr">
        <is>
          <t>b4-lise-sinavi</t>
        </is>
      </c>
      <c r="B319" s="5" t="n">
        <v>5</v>
      </c>
      <c r="C319" s="6" t="inlineStr">
        <is>
          <t>Nefes al, sırayla ilerle</t>
        </is>
      </c>
      <c r="D319" s="5" t="inlineStr">
        <is>
          <t>Dayanıklılık</t>
        </is>
      </c>
      <c r="E319" s="5" t="inlineStr">
        <is>
          <t>Orta</t>
        </is>
      </c>
      <c r="F319" s="5" t="inlineStr"/>
      <c r="G319" s="6" t="inlineStr"/>
      <c r="H319" s="6" t="inlineStr">
        <is>
          <t>Paniklemedin, soru soru ilerledin. Çıkışta annen “Nasıldı?” diye sordu; “Normal” dedin. Annen o “normal”i bir ay boyunca herkese anlattı. Sonuç geldi: iyi bir lise.</t>
        </is>
      </c>
      <c r="I319" s="6" t="inlineStr">
        <is>
          <t>Salondaki herkes terlerken sen sakindin. Gözetmen bile sana bakıp rahatladı. Derece geldi.</t>
        </is>
      </c>
      <c r="J319" s="6" t="inlineStr">
        <is>
          <t>Sakindin, ama biraz fazla. Son sayfayı çevirmeye vakit kalmadı.</t>
        </is>
      </c>
      <c r="K319" s="6" t="inlineStr">
        <is>
          <t>Öyle sakindin ki bir ara uyuyakaldın. Gözetmen seni 'Süre bitti' anonsuyla uyandırdı.</t>
        </is>
      </c>
      <c r="L319" s="6" t="inlineStr"/>
      <c r="M319" s="5" t="inlineStr"/>
      <c r="N319" s="5" t="inlineStr"/>
      <c r="O319" s="6" t="inlineStr"/>
      <c r="P319" s="6" t="inlineStr"/>
      <c r="Q319" s="5" t="inlineStr">
        <is>
          <t>Kolay Dağılmaz</t>
        </is>
      </c>
      <c r="R319" s="5" t="inlineStr"/>
      <c r="S319" s="5" t="inlineStr"/>
      <c r="T319" s="5" t="inlineStr"/>
      <c r="U319" s="5" t="inlineStr"/>
      <c r="V319" s="5" t="inlineStr">
        <is>
          <t>iyi-lise</t>
        </is>
      </c>
      <c r="W319" s="5" t="inlineStr"/>
      <c r="X319" s="5" t="inlineStr"/>
      <c r="Y319" s="5" t="inlineStr"/>
      <c r="Z319" s="6" t="inlineStr"/>
      <c r="AA319" s="5" t="inlineStr"/>
      <c r="AB319" s="5" t="inlineStr">
        <is>
          <t>duz-lise</t>
        </is>
      </c>
      <c r="AC319" s="5" t="inlineStr"/>
      <c r="AD319" s="5" t="inlineStr"/>
      <c r="AE319" s="5" t="inlineStr"/>
      <c r="AF319" s="5" t="inlineStr"/>
      <c r="AG319" s="5" t="inlineStr"/>
      <c r="AH319" s="5" t="inlineStr"/>
      <c r="AI319" s="5" t="inlineStr"/>
      <c r="AJ319" s="5" t="inlineStr"/>
    </row>
    <row r="320">
      <c r="A320" s="5" t="inlineStr">
        <is>
          <t>b4-lise-sinavi</t>
        </is>
      </c>
      <c r="B320" s="5" t="n">
        <v>6</v>
      </c>
      <c r="C320" s="6" t="inlineStr">
        <is>
          <t>Sınava girme, okulu bırak</t>
        </is>
      </c>
      <c r="D320" s="5" t="inlineStr"/>
      <c r="E320" s="5" t="inlineStr"/>
      <c r="F320" s="5" t="inlineStr">
        <is>
          <t>Cesaret +1</t>
        </is>
      </c>
      <c r="G320" s="6" t="inlineStr">
        <is>
          <t>Sınav sabahı köşedeki çay ocağına gittin. Abiler “Asıl okul burası” dedi, önüne çay koydu. Akşam annen sofrayı kurdu, senin tabağını da koydu ve hiç konuşmadı. Baban da.</t>
        </is>
      </c>
      <c r="H320" s="6" t="inlineStr"/>
      <c r="I320" s="6" t="inlineStr"/>
      <c r="J320" s="6" t="inlineStr"/>
      <c r="K320" s="6" t="inlineStr"/>
      <c r="L320" s="6" t="inlineStr"/>
      <c r="M320" s="5" t="inlineStr"/>
      <c r="N320" s="5" t="inlineStr"/>
      <c r="O320" s="6" t="inlineStr"/>
      <c r="P320" s="6" t="inlineStr"/>
      <c r="Q320" s="5" t="inlineStr"/>
      <c r="R320" s="5" t="inlineStr">
        <is>
          <t>mahalle-abileri</t>
        </is>
      </c>
      <c r="S320" s="5" t="inlineStr"/>
      <c r="T320" s="5" t="inlineStr"/>
      <c r="U320" s="5" t="inlineStr">
        <is>
          <t>okulu-birakti</t>
        </is>
      </c>
      <c r="V320" s="5" t="inlineStr"/>
      <c r="W320" s="5" t="inlineStr"/>
      <c r="X320" s="5" t="inlineStr"/>
      <c r="Y320" s="5" t="inlineStr"/>
      <c r="Z320" s="6" t="inlineStr"/>
      <c r="AA320" s="5" t="inlineStr">
        <is>
          <t>hepsi -1</t>
        </is>
      </c>
      <c r="AB320" s="5" t="inlineStr"/>
      <c r="AC320" s="5" t="inlineStr"/>
      <c r="AD320" s="5" t="inlineStr"/>
      <c r="AE320" s="5" t="inlineStr"/>
      <c r="AF320" s="5" t="inlineStr"/>
      <c r="AG320" s="5" t="inlineStr"/>
      <c r="AH320" s="5" t="inlineStr"/>
      <c r="AI320" s="5" t="inlineStr"/>
      <c r="AJ320" s="5" t="inlineStr"/>
    </row>
    <row r="321">
      <c r="A321" s="5" t="inlineStr">
        <is>
          <t>b5-lise-ilk-gun</t>
        </is>
      </c>
      <c r="B321" s="5" t="n">
        <v>1</v>
      </c>
      <c r="C321" s="6" t="inlineStr">
        <is>
          <t>Arka sıraya otur</t>
        </is>
      </c>
      <c r="D321" s="5" t="inlineStr"/>
      <c r="E321" s="5" t="inlineStr"/>
      <c r="F321" s="5" t="inlineStr">
        <is>
          <t>Pişkinlik +1</t>
        </is>
      </c>
      <c r="G321" s="6" t="inlineStr">
        <is>
          <t>Arka sıraya yerleştin. Pencere kenarı, kalorifer dibi. Öğretmen adını ancak ikinci dönem öğrendi.</t>
        </is>
      </c>
      <c r="H321" s="6" t="inlineStr"/>
      <c r="I321" s="6" t="inlineStr"/>
      <c r="J321" s="6" t="inlineStr"/>
      <c r="K321" s="6" t="inlineStr"/>
      <c r="L321" s="6" t="inlineStr"/>
      <c r="M321" s="5" t="inlineStr"/>
      <c r="N321" s="5" t="inlineStr"/>
      <c r="O321" s="6" t="inlineStr"/>
      <c r="P321" s="6" t="inlineStr"/>
      <c r="Q321" s="5" t="inlineStr"/>
      <c r="R321" s="5" t="inlineStr"/>
      <c r="S321" s="5" t="inlineStr"/>
      <c r="T321" s="5" t="inlineStr"/>
      <c r="U321" s="5" t="inlineStr"/>
      <c r="V321" s="5" t="inlineStr"/>
      <c r="W321" s="5" t="inlineStr"/>
      <c r="X321" s="5" t="inlineStr"/>
      <c r="Y321" s="5" t="inlineStr"/>
      <c r="Z321" s="6" t="inlineStr"/>
      <c r="AA321" s="5" t="inlineStr"/>
      <c r="AB321" s="5" t="inlineStr"/>
      <c r="AC321" s="5" t="inlineStr"/>
      <c r="AD321" s="5" t="inlineStr"/>
      <c r="AE321" s="5" t="inlineStr"/>
      <c r="AF321" s="5" t="inlineStr"/>
      <c r="AG321" s="5" t="inlineStr"/>
      <c r="AH321" s="5" t="inlineStr"/>
      <c r="AI321" s="5" t="inlineStr"/>
      <c r="AJ321" s="5" t="inlineStr"/>
    </row>
    <row r="322">
      <c r="A322" s="5" t="inlineStr">
        <is>
          <t>b5-lise-ilk-gun</t>
        </is>
      </c>
      <c r="B322" s="5" t="n">
        <v>2</v>
      </c>
      <c r="C322" s="6" t="inlineStr">
        <is>
          <t>Ön sıraya otur</t>
        </is>
      </c>
      <c r="D322" s="5" t="inlineStr"/>
      <c r="E322" s="5" t="inlineStr"/>
      <c r="F322" s="5" t="inlineStr">
        <is>
          <t>Akıl +1</t>
        </is>
      </c>
      <c r="G322" s="6" t="inlineStr">
        <is>
          <t>Ön sıraya oturdun. Tahtayı net görüyorsun. Öğretmen heyecanlanınca defterine de yağmur yağıyor.</t>
        </is>
      </c>
      <c r="H322" s="6" t="inlineStr"/>
      <c r="I322" s="6" t="inlineStr"/>
      <c r="J322" s="6" t="inlineStr"/>
      <c r="K322" s="6" t="inlineStr"/>
      <c r="L322" s="6" t="inlineStr"/>
      <c r="M322" s="5" t="inlineStr"/>
      <c r="N322" s="5" t="inlineStr"/>
      <c r="O322" s="6" t="inlineStr"/>
      <c r="P322" s="6" t="inlineStr"/>
      <c r="Q322" s="5" t="inlineStr"/>
      <c r="R322" s="5" t="inlineStr"/>
      <c r="S322" s="5" t="inlineStr"/>
      <c r="T322" s="5" t="inlineStr"/>
      <c r="U322" s="5" t="inlineStr"/>
      <c r="V322" s="5" t="inlineStr"/>
      <c r="W322" s="5" t="inlineStr"/>
      <c r="X322" s="5" t="inlineStr"/>
      <c r="Y322" s="5" t="inlineStr"/>
      <c r="Z322" s="6" t="inlineStr"/>
      <c r="AA322" s="5" t="inlineStr"/>
      <c r="AB322" s="5" t="inlineStr"/>
      <c r="AC322" s="5" t="inlineStr"/>
      <c r="AD322" s="5" t="inlineStr"/>
      <c r="AE322" s="5" t="inlineStr"/>
      <c r="AF322" s="5" t="inlineStr"/>
      <c r="AG322" s="5" t="inlineStr"/>
      <c r="AH322" s="5" t="inlineStr"/>
      <c r="AI322" s="5" t="inlineStr"/>
      <c r="AJ322" s="5" t="inlineStr"/>
    </row>
    <row r="323">
      <c r="A323" s="5" t="inlineStr">
        <is>
          <t>b5-lise-ilk-gun</t>
        </is>
      </c>
      <c r="B323" s="5" t="n">
        <v>3</v>
      </c>
      <c r="C323" s="6" t="inlineStr">
        <is>
          <t>İlk teneffüste kendini tanıt</t>
        </is>
      </c>
      <c r="D323" s="5" t="inlineStr">
        <is>
          <t>Çene</t>
        </is>
      </c>
      <c r="E323" s="5" t="inlineStr">
        <is>
          <t>Orta</t>
        </is>
      </c>
      <c r="F323" s="5" t="inlineStr"/>
      <c r="G323" s="6" t="inlineStr"/>
      <c r="H323" s="6" t="inlineStr">
        <is>
          <t>Kendini tanıttın. Öğle arasında üç kişinin adını, iki kişinin sırrını biliyordun.</t>
        </is>
      </c>
      <c r="I323" s="6" t="inlineStr">
        <is>
          <t>İlk teneffüste kendini tanıttın, ikincisinde başkalarını birbirine tanıtıyordun. Hafta bitmeden kantinci tostunu sormadan hazırlıyordu.</t>
        </is>
      </c>
      <c r="J323" s="6" t="inlineStr">
        <is>
          <t>Kendini tanıttın. Karşındakiler seni rehbere 'şu çok konuşan' diye kaydetti.</t>
        </is>
      </c>
      <c r="K323" s="6" t="inlineStr">
        <is>
          <t>Heyecanla herkese el salladın. Karşılık veren tek kişi müdür yardımcısıydı; seni yanına çağırdı, adını sordu, bir deftere yazdı. Neden yazdığını dört yıl boyunca öğrenemedin.</t>
        </is>
      </c>
      <c r="L323" s="6" t="inlineStr"/>
      <c r="M323" s="5" t="inlineStr"/>
      <c r="N323" s="5" t="inlineStr"/>
      <c r="O323" s="6" t="inlineStr"/>
      <c r="P323" s="6" t="inlineStr"/>
      <c r="Q323" s="5" t="inlineStr"/>
      <c r="R323" s="5" t="inlineStr"/>
      <c r="S323" s="5" t="inlineStr"/>
      <c r="T323" s="5" t="inlineStr"/>
      <c r="U323" s="5" t="inlineStr"/>
      <c r="V323" s="5" t="inlineStr"/>
      <c r="W323" s="5" t="inlineStr"/>
      <c r="X323" s="5" t="inlineStr"/>
      <c r="Y323" s="5" t="inlineStr"/>
      <c r="Z323" s="6" t="inlineStr"/>
      <c r="AA323" s="5" t="inlineStr"/>
      <c r="AB323" s="5" t="inlineStr"/>
      <c r="AC323" s="5" t="inlineStr"/>
      <c r="AD323" s="5" t="inlineStr"/>
      <c r="AE323" s="5" t="inlineStr"/>
      <c r="AF323" s="5" t="inlineStr"/>
      <c r="AG323" s="5" t="inlineStr"/>
      <c r="AH323" s="5" t="inlineStr"/>
      <c r="AI323" s="5" t="inlineStr"/>
      <c r="AJ323" s="5" t="inlineStr"/>
    </row>
    <row r="324">
      <c r="A324" s="5" t="inlineStr">
        <is>
          <t>b5-lise-ilk-gun</t>
        </is>
      </c>
      <c r="B324" s="5" t="n">
        <v>4</v>
      </c>
      <c r="C324" s="6" t="inlineStr">
        <is>
          <t>Doğru sıra arkadaşını seç</t>
        </is>
      </c>
      <c r="D324" s="5" t="inlineStr">
        <is>
          <t>Sosyal Radar</t>
        </is>
      </c>
      <c r="E324" s="5" t="inlineStr">
        <is>
          <t>Kolay</t>
        </is>
      </c>
      <c r="F324" s="5" t="inlineStr"/>
      <c r="G324" s="6" t="inlineStr"/>
      <c r="H324" s="6" t="inlineStr">
        <is>
          <t>Doğru kişinin yanına oturdun. Silgi, ödev ve dedikodu artık ortak.</t>
        </is>
      </c>
      <c r="I324" s="6" t="inlineStr">
        <is>
          <t>Sıra arkadaşın ilk teneffüste simidini seninle böldü, ikinci gün ödevini. Hafta bitmeden teneffüsler sizin sıranın etrafında geçiyordu.</t>
        </is>
      </c>
      <c r="J324" s="6" t="inlineStr">
        <is>
          <t>Doğru kişinin yanına oturdun. Ertesi sabah öğretmen herkesi boy sırasına dizdi; arkadaşın öne, sen en arkaya.</t>
        </is>
      </c>
      <c r="K324" s="6" t="inlineStr">
        <is>
          <t>En havalı görünen sırayı seçtin. Yanındaki müdürün oğlu çıktı. Sınıf o gün senin yanında da fısıldamayı bıraktı; dört yıl boyunca dedikodunun en son ulaştığı sıra sizinkiydi.</t>
        </is>
      </c>
      <c r="L324" s="6" t="inlineStr"/>
      <c r="M324" s="5" t="inlineStr"/>
      <c r="N324" s="5" t="inlineStr"/>
      <c r="O324" s="6" t="inlineStr"/>
      <c r="P324" s="6" t="inlineStr"/>
      <c r="Q324" s="5" t="inlineStr"/>
      <c r="R324" s="5" t="inlineStr"/>
      <c r="S324" s="5" t="inlineStr">
        <is>
          <t>Sosyal Radar</t>
        </is>
      </c>
      <c r="T324" s="5" t="inlineStr"/>
      <c r="U324" s="5" t="inlineStr"/>
      <c r="V324" s="5" t="inlineStr"/>
      <c r="W324" s="5" t="inlineStr"/>
      <c r="X324" s="5" t="inlineStr"/>
      <c r="Y324" s="5" t="inlineStr"/>
      <c r="Z324" s="6" t="inlineStr"/>
      <c r="AA324" s="5" t="inlineStr"/>
      <c r="AB324" s="5" t="inlineStr"/>
      <c r="AC324" s="5" t="inlineStr"/>
      <c r="AD324" s="5" t="inlineStr"/>
      <c r="AE324" s="5" t="inlineStr"/>
      <c r="AF324" s="5" t="inlineStr"/>
      <c r="AG324" s="5" t="inlineStr"/>
      <c r="AH324" s="5" t="inlineStr"/>
      <c r="AI324" s="5" t="inlineStr"/>
      <c r="AJ324" s="5" t="inlineStr"/>
    </row>
    <row r="325">
      <c r="A325" s="5" t="inlineStr">
        <is>
          <t>b5-sac-devrimi</t>
        </is>
      </c>
      <c r="B325" s="5" t="n">
        <v>1</v>
      </c>
      <c r="C325" s="6" t="inlineStr">
        <is>
          <t>Her zamanki gibi kestir</t>
        </is>
      </c>
      <c r="D325" s="5" t="inlineStr"/>
      <c r="E325" s="5" t="inlineStr"/>
      <c r="F325" s="5" t="inlineStr">
        <is>
          <t>Dayanıklılık +1</t>
        </is>
      </c>
      <c r="G325" s="6" t="inlineStr">
        <is>
          <t>Berber “Her zamanki gibi mi?” dedi, başını salladın; fotoğraf cebinde kaldı. Akşam annen “Ne güzel olmuş, tertemiz” dedi. On beş yaşında duyulabilecek en kötü iltifat buydu.</t>
        </is>
      </c>
      <c r="H325" s="6" t="inlineStr"/>
      <c r="I325" s="6" t="inlineStr"/>
      <c r="J325" s="6" t="inlineStr"/>
      <c r="K325" s="6" t="inlineStr"/>
      <c r="L325" s="6" t="inlineStr"/>
      <c r="M325" s="5" t="inlineStr"/>
      <c r="N325" s="5" t="inlineStr"/>
      <c r="O325" s="6" t="inlineStr"/>
      <c r="P325" s="6" t="inlineStr"/>
      <c r="Q325" s="5" t="inlineStr"/>
      <c r="R325" s="5" t="inlineStr"/>
      <c r="S325" s="5" t="inlineStr"/>
      <c r="T325" s="5" t="inlineStr"/>
      <c r="U325" s="5" t="inlineStr"/>
      <c r="V325" s="5" t="inlineStr"/>
      <c r="W325" s="5" t="inlineStr"/>
      <c r="X325" s="5" t="inlineStr"/>
      <c r="Y325" s="5" t="inlineStr"/>
      <c r="Z325" s="6" t="inlineStr"/>
      <c r="AA325" s="5" t="inlineStr"/>
      <c r="AB325" s="5" t="inlineStr"/>
      <c r="AC325" s="5" t="inlineStr"/>
      <c r="AD325" s="5" t="inlineStr"/>
      <c r="AE325" s="5" t="inlineStr"/>
      <c r="AF325" s="5" t="inlineStr"/>
      <c r="AG325" s="5" t="inlineStr"/>
      <c r="AH325" s="5" t="inlineStr"/>
      <c r="AI325" s="5" t="inlineStr"/>
      <c r="AJ325" s="5" t="inlineStr"/>
    </row>
    <row r="326">
      <c r="A326" s="5" t="inlineStr">
        <is>
          <t>b5-sac-devrimi</t>
        </is>
      </c>
      <c r="B326" s="5" t="n">
        <v>2</v>
      </c>
      <c r="C326" s="6" t="inlineStr">
        <is>
          <t>Fotoğraftakini iste</t>
        </is>
      </c>
      <c r="D326" s="5" t="inlineStr">
        <is>
          <t>Pişkinlik</t>
        </is>
      </c>
      <c r="E326" s="5" t="inlineStr">
        <is>
          <t>Zor</t>
        </is>
      </c>
      <c r="F326" s="5" t="inlineStr"/>
      <c r="G326" s="6" t="inlineStr"/>
      <c r="H326" s="6" t="inlineStr">
        <is>
          <t>Fotoğraftaki olmadı ama yakıştı. Annen “Kim kesti bunu?” diye sordu; ilk kez kızgın değil, meraklıydı.</t>
        </is>
      </c>
      <c r="I326" s="6" t="inlineStr">
        <is>
          <t>Saçın koridorda akım başlattı. Berbere artık 'o öğrencinin saçı' diye sipariş geliyor.</t>
        </is>
      </c>
      <c r="J326" s="6" t="inlineStr">
        <is>
          <t>Sonuç fotoğrafa benzemedi; babanın gençlik fotoğrafına benzedi. Baban albümü çıkarıp herkese gösterdi, çok mutluydu. Bir tek o.</t>
        </is>
      </c>
      <c r="K326" s="6" t="inlineStr">
        <is>
          <t>Berber “Biraz alalım” dedi ve makineyi açtı. Biraz, sıfır numaraymış. Akşam babaannen kapıyı açtı, gözlüğünü taktı, bir daha baktı: “Bu çocuğu kim bu hâle getirdi?”</t>
        </is>
      </c>
      <c r="L326" s="6" t="inlineStr"/>
      <c r="M326" s="5" t="inlineStr"/>
      <c r="N326" s="5" t="inlineStr"/>
      <c r="O326" s="6" t="inlineStr"/>
      <c r="P326" s="6" t="inlineStr"/>
      <c r="Q326" s="5" t="inlineStr"/>
      <c r="R326" s="5" t="inlineStr"/>
      <c r="S326" s="5" t="inlineStr"/>
      <c r="T326" s="5" t="inlineStr"/>
      <c r="U326" s="5" t="inlineStr"/>
      <c r="V326" s="5" t="inlineStr"/>
      <c r="W326" s="5" t="inlineStr"/>
      <c r="X326" s="5" t="inlineStr"/>
      <c r="Y326" s="5" t="inlineStr"/>
      <c r="Z326" s="6" t="inlineStr"/>
      <c r="AA326" s="5" t="inlineStr"/>
      <c r="AB326" s="5" t="inlineStr"/>
      <c r="AC326" s="5" t="inlineStr"/>
      <c r="AD326" s="5" t="inlineStr"/>
      <c r="AE326" s="5" t="inlineStr"/>
      <c r="AF326" s="5" t="inlineStr"/>
      <c r="AG326" s="5" t="inlineStr"/>
      <c r="AH326" s="5" t="inlineStr"/>
      <c r="AI326" s="5" t="inlineStr"/>
      <c r="AJ326" s="5" t="inlineStr"/>
    </row>
    <row r="327">
      <c r="A327" s="5" t="inlineStr">
        <is>
          <t>b5-sac-devrimi</t>
        </is>
      </c>
      <c r="B327" s="5" t="n">
        <v>3</v>
      </c>
      <c r="C327" s="6" t="inlineStr">
        <is>
          <t>Evde kendin kes</t>
        </is>
      </c>
      <c r="D327" s="5" t="inlineStr">
        <is>
          <t>Cesaret</t>
        </is>
      </c>
      <c r="E327" s="5" t="inlineStr">
        <is>
          <t>Orta</t>
        </is>
      </c>
      <c r="F327" s="5" t="inlineStr"/>
      <c r="G327" s="6" t="inlineStr"/>
      <c r="H327" s="6" t="inlineStr">
        <is>
          <t>Kendin kestin. Sonuç cesur ve simetrik değil. Ama cesur.</t>
        </is>
      </c>
      <c r="I327" s="6" t="inlineStr">
        <is>
          <t>Kimse berbere gitmediğini anlamadı. Berber bile sordu: “Nerede kestirdin, kim bu usta?”</t>
        </is>
      </c>
      <c r="J327" s="6" t="inlineStr">
        <is>
          <t>Kendin kestin. Sağ taraf, sol taraftan bir hafta ileride.</t>
        </is>
      </c>
      <c r="K327" s="6" t="inlineStr">
        <is>
          <t>Arka tarafı aynasız kestin; ensen merdivene döndü. Annen sabah ilk iş seni berbere götürdü. Berber uzun uzun sustu, sonra makineyi en kısaya aldı.</t>
        </is>
      </c>
      <c r="L327" s="6" t="inlineStr"/>
      <c r="M327" s="5" t="inlineStr"/>
      <c r="N327" s="5" t="inlineStr"/>
      <c r="O327" s="6" t="inlineStr"/>
      <c r="P327" s="6" t="inlineStr"/>
      <c r="Q327" s="5" t="inlineStr"/>
      <c r="R327" s="5" t="inlineStr"/>
      <c r="S327" s="5" t="inlineStr"/>
      <c r="T327" s="5" t="inlineStr"/>
      <c r="U327" s="5" t="inlineStr"/>
      <c r="V327" s="5" t="inlineStr"/>
      <c r="W327" s="5" t="inlineStr"/>
      <c r="X327" s="5" t="inlineStr"/>
      <c r="Y327" s="5" t="inlineStr"/>
      <c r="Z327" s="6" t="inlineStr"/>
      <c r="AA327" s="5" t="inlineStr"/>
      <c r="AB327" s="5" t="inlineStr"/>
      <c r="AC327" s="5" t="inlineStr"/>
      <c r="AD327" s="5" t="inlineStr"/>
      <c r="AE327" s="5" t="inlineStr"/>
      <c r="AF327" s="5" t="inlineStr"/>
      <c r="AG327" s="5" t="inlineStr"/>
      <c r="AH327" s="5" t="inlineStr"/>
      <c r="AI327" s="5" t="inlineStr"/>
      <c r="AJ327" s="5" t="inlineStr"/>
    </row>
    <row r="328">
      <c r="A328" s="5" t="inlineStr">
        <is>
          <t>b5-sac-devrimi</t>
        </is>
      </c>
      <c r="B328" s="5" t="n">
        <v>4</v>
      </c>
      <c r="C328" s="6" t="inlineStr">
        <is>
          <t>Sonucu 'bilerek yaptım' diye sahiplen</t>
        </is>
      </c>
      <c r="D328" s="5" t="inlineStr">
        <is>
          <t>Pişkinlik</t>
        </is>
      </c>
      <c r="E328" s="5" t="inlineStr">
        <is>
          <t>Kolay</t>
        </is>
      </c>
      <c r="F328" s="5" t="inlineStr"/>
      <c r="G328" s="6" t="inlineStr"/>
      <c r="H328" s="6" t="inlineStr">
        <is>
          <t>Saç kötü oldu, sen 'bilerek yaptım' dedin. Herkes inandı.</t>
        </is>
      </c>
      <c r="I328" s="6" t="inlineStr">
        <is>
          <t>“Bu bir tarz” dedin. İkinci hafta sınıfta üç kişi aynı yamuk kesimle geldi; berber hâlâ ne istediklerini anlamıyor.</t>
        </is>
      </c>
      <c r="J328" s="6" t="inlineStr">
        <is>
          <t>'Bilerek yaptım' dedin. Kimse sormamıştı.</t>
        </is>
      </c>
      <c r="K328" s="6" t="inlineStr">
        <is>
          <t>'Bilerek yaptım' dedin. Berber yan koltuktan 'Hayır' dedi.</t>
        </is>
      </c>
      <c r="L328" s="6" t="inlineStr"/>
      <c r="M328" s="5" t="inlineStr"/>
      <c r="N328" s="5" t="inlineStr"/>
      <c r="O328" s="6" t="inlineStr"/>
      <c r="P328" s="6" t="inlineStr"/>
      <c r="Q328" s="5" t="inlineStr">
        <is>
          <t>Kendine Gülebilir</t>
        </is>
      </c>
      <c r="R328" s="5" t="inlineStr"/>
      <c r="S328" s="5" t="inlineStr"/>
      <c r="T328" s="5" t="inlineStr"/>
      <c r="U328" s="5" t="inlineStr"/>
      <c r="V328" s="5" t="inlineStr"/>
      <c r="W328" s="5" t="inlineStr"/>
      <c r="X328" s="5" t="inlineStr"/>
      <c r="Y328" s="5" t="inlineStr"/>
      <c r="Z328" s="6" t="inlineStr"/>
      <c r="AA328" s="5" t="inlineStr"/>
      <c r="AB328" s="5" t="inlineStr"/>
      <c r="AC328" s="5" t="inlineStr"/>
      <c r="AD328" s="5" t="inlineStr"/>
      <c r="AE328" s="5" t="inlineStr"/>
      <c r="AF328" s="5" t="inlineStr"/>
      <c r="AG328" s="5" t="inlineStr"/>
      <c r="AH328" s="5" t="inlineStr"/>
      <c r="AI328" s="5" t="inlineStr"/>
      <c r="AJ328" s="5" t="inlineStr"/>
    </row>
    <row r="329">
      <c r="A329" s="5" t="inlineStr">
        <is>
          <t>b5-kulup-secimi</t>
        </is>
      </c>
      <c r="B329" s="5" t="n">
        <v>1</v>
      </c>
      <c r="C329" s="6" t="inlineStr">
        <is>
          <t>Formu vermeyi unut</t>
        </is>
      </c>
      <c r="D329" s="5" t="inlineStr"/>
      <c r="E329" s="5" t="inlineStr"/>
      <c r="F329" s="5" t="inlineStr">
        <is>
          <t>Dayanıklılık +1</t>
        </is>
      </c>
      <c r="G329" s="6" t="inlineStr">
        <is>
          <t>Formu vermeyi unuttun. Rehber öğretmen boşta kalanları Çevre ve Geri Dönüşüm Kulübü'ne yazdı. Dört yıl teneffüslerde kâğıt topladın; annen evdeki eski gazeteleri artık sana saklıyor.</t>
        </is>
      </c>
      <c r="H329" s="6" t="inlineStr"/>
      <c r="I329" s="6" t="inlineStr"/>
      <c r="J329" s="6" t="inlineStr"/>
      <c r="K329" s="6" t="inlineStr"/>
      <c r="L329" s="6" t="inlineStr"/>
      <c r="M329" s="5" t="inlineStr"/>
      <c r="N329" s="5" t="inlineStr"/>
      <c r="O329" s="6" t="inlineStr"/>
      <c r="P329" s="6" t="inlineStr"/>
      <c r="Q329" s="5" t="inlineStr"/>
      <c r="R329" s="5" t="inlineStr"/>
      <c r="S329" s="5" t="inlineStr"/>
      <c r="T329" s="5" t="inlineStr"/>
      <c r="U329" s="5" t="inlineStr"/>
      <c r="V329" s="5" t="inlineStr"/>
      <c r="W329" s="5" t="inlineStr"/>
      <c r="X329" s="5" t="inlineStr"/>
      <c r="Y329" s="5" t="inlineStr"/>
      <c r="Z329" s="6" t="inlineStr"/>
      <c r="AA329" s="5" t="inlineStr"/>
      <c r="AB329" s="5" t="inlineStr"/>
      <c r="AC329" s="5" t="inlineStr"/>
      <c r="AD329" s="5" t="inlineStr"/>
      <c r="AE329" s="5" t="inlineStr"/>
      <c r="AF329" s="5" t="inlineStr"/>
      <c r="AG329" s="5" t="inlineStr"/>
      <c r="AH329" s="5" t="inlineStr"/>
      <c r="AI329" s="5" t="inlineStr"/>
      <c r="AJ329" s="5" t="inlineStr"/>
    </row>
    <row r="330">
      <c r="A330" s="5" t="inlineStr">
        <is>
          <t>b5-kulup-secimi</t>
        </is>
      </c>
      <c r="B330" s="5" t="n">
        <v>2</v>
      </c>
      <c r="C330" s="6" t="inlineStr">
        <is>
          <t>Münazaraya yazıl</t>
        </is>
      </c>
      <c r="D330" s="5" t="inlineStr">
        <is>
          <t>Çene</t>
        </is>
      </c>
      <c r="E330" s="5" t="inlineStr">
        <is>
          <t>Orta</t>
        </is>
      </c>
      <c r="F330" s="5" t="inlineStr"/>
      <c r="G330" s="6" t="inlineStr"/>
      <c r="H330" s="6" t="inlineStr">
        <is>
          <t>İlk münazarada rakibini ikna ettin. Rakibin hâlâ neye ikna olduğunu bilmiyor.</t>
        </is>
      </c>
      <c r="I330" s="6" t="inlineStr">
        <is>
          <t>Taraflar kurayla değişti, yine kazandın. Akşam bulaşık sırası tartışmasında annen durup babana döndü: “Bunu o kulübe kim yazdırdı?”</t>
        </is>
      </c>
      <c r="J330" s="6" t="inlineStr">
        <is>
          <t>İlk münazarada rakibin tek kelime söyledi: 'Kaynak?' Kaynağın yoktu.</t>
        </is>
      </c>
      <c r="K330" s="6" t="inlineStr">
        <is>
          <t>Münazarada heyecandan rakip takımın tezini savundun. Çok ikna ediciydin.</t>
        </is>
      </c>
      <c r="L330" s="6" t="inlineStr"/>
      <c r="M330" s="5" t="inlineStr"/>
      <c r="N330" s="5" t="inlineStr"/>
      <c r="O330" s="6" t="inlineStr"/>
      <c r="P330" s="6" t="inlineStr"/>
      <c r="Q330" s="5" t="inlineStr"/>
      <c r="R330" s="5" t="inlineStr"/>
      <c r="S330" s="5" t="inlineStr"/>
      <c r="T330" s="5" t="inlineStr"/>
      <c r="U330" s="5" t="inlineStr"/>
      <c r="V330" s="5" t="inlineStr"/>
      <c r="W330" s="5" t="inlineStr"/>
      <c r="X330" s="5" t="inlineStr"/>
      <c r="Y330" s="5" t="inlineStr"/>
      <c r="Z330" s="6" t="inlineStr"/>
      <c r="AA330" s="5" t="inlineStr"/>
      <c r="AB330" s="5" t="inlineStr"/>
      <c r="AC330" s="5" t="inlineStr"/>
      <c r="AD330" s="5" t="inlineStr"/>
      <c r="AE330" s="5" t="inlineStr"/>
      <c r="AF330" s="5" t="inlineStr"/>
      <c r="AG330" s="5" t="inlineStr"/>
      <c r="AH330" s="5" t="inlineStr"/>
      <c r="AI330" s="5" t="inlineStr"/>
      <c r="AJ330" s="5" t="inlineStr"/>
    </row>
    <row r="331">
      <c r="A331" s="5" t="inlineStr">
        <is>
          <t>b5-kulup-secimi</t>
        </is>
      </c>
      <c r="B331" s="5" t="n">
        <v>3</v>
      </c>
      <c r="C331" s="6" t="inlineStr">
        <is>
          <t>Tiyatro kulübüne gir</t>
        </is>
      </c>
      <c r="D331" s="5" t="inlineStr">
        <is>
          <t>Pişkinlik</t>
        </is>
      </c>
      <c r="E331" s="5" t="inlineStr">
        <is>
          <t>Kolay</t>
        </is>
      </c>
      <c r="F331" s="5" t="inlineStr"/>
      <c r="G331" s="6" t="inlineStr"/>
      <c r="H331" s="6" t="inlineStr">
        <is>
          <t>Başrolü aldın. Gösteri günü veliler ayağa kalktı; biri sadece çıkmak için.</t>
        </is>
      </c>
      <c r="I331" s="6" t="inlineStr">
        <is>
          <t>Gösteriden sonra bir öğretmen annene “Bu çocuk ileride bir şey olur” dedi. Annen “Ne olur?” diye sordu. Öğretmen biraz düşündü: “Bir şey işte.”</t>
        </is>
      </c>
      <c r="J331" s="6" t="inlineStr">
        <is>
          <t>Rolün 'Ağaç 2'. Repliğin yok ama iyi bir ağaçtın.</t>
        </is>
      </c>
      <c r="K331" s="6" t="inlineStr">
        <is>
          <t>Rolün 'Ağaç 2'. Gösterinin en duygusal anında ağaç olarak hapşırdın. Başrol repliğini unuttu, ön sıradaki bir dede “Çok yaşa!” dedi. Salon hâlâ hatırlıyor.</t>
        </is>
      </c>
      <c r="L331" s="6" t="inlineStr"/>
      <c r="M331" s="5" t="inlineStr"/>
      <c r="N331" s="5" t="inlineStr"/>
      <c r="O331" s="6" t="inlineStr"/>
      <c r="P331" s="6" t="inlineStr"/>
      <c r="Q331" s="5" t="inlineStr">
        <is>
          <t>Sahne Sever</t>
        </is>
      </c>
      <c r="R331" s="5" t="inlineStr"/>
      <c r="S331" s="5" t="inlineStr"/>
      <c r="T331" s="5" t="inlineStr"/>
      <c r="U331" s="5" t="inlineStr"/>
      <c r="V331" s="5" t="inlineStr"/>
      <c r="W331" s="5" t="inlineStr"/>
      <c r="X331" s="5" t="inlineStr"/>
      <c r="Y331" s="5" t="inlineStr"/>
      <c r="Z331" s="6" t="inlineStr"/>
      <c r="AA331" s="5" t="inlineStr"/>
      <c r="AB331" s="5" t="inlineStr"/>
      <c r="AC331" s="5" t="inlineStr"/>
      <c r="AD331" s="5" t="inlineStr"/>
      <c r="AE331" s="5" t="inlineStr"/>
      <c r="AF331" s="5" t="inlineStr"/>
      <c r="AG331" s="5" t="inlineStr"/>
      <c r="AH331" s="5" t="inlineStr"/>
      <c r="AI331" s="5" t="inlineStr">
        <is>
          <t>Hapşıran Ağaç</t>
        </is>
      </c>
      <c r="AJ331" s="5" t="inlineStr"/>
    </row>
    <row r="332">
      <c r="A332" s="5" t="inlineStr">
        <is>
          <t>b5-kulup-secimi</t>
        </is>
      </c>
      <c r="B332" s="5" t="n">
        <v>4</v>
      </c>
      <c r="C332" s="6" t="inlineStr">
        <is>
          <t>Kendi kulübünü kur</t>
        </is>
      </c>
      <c r="D332" s="5" t="inlineStr">
        <is>
          <t>Çene</t>
        </is>
      </c>
      <c r="E332" s="5" t="inlineStr">
        <is>
          <t>Orta</t>
        </is>
      </c>
      <c r="F332" s="5" t="inlineStr"/>
      <c r="G332" s="6" t="inlineStr"/>
      <c r="H332" s="6" t="inlineStr">
        <is>
          <t>Kantin Ekonomisi Kulübü'nü kurdun. Üç üye, bir başkan, sınırsız tost.</t>
        </is>
      </c>
      <c r="I332" s="6" t="inlineStr">
        <is>
          <t>Kulübün ikinci dönem okulun en kalabalık kulübü oldu. Satranç kulübünün iki üyesi sana geçti. Satranç kulübünün iki üyesi vardı.</t>
        </is>
      </c>
      <c r="J332" s="6" t="inlineStr">
        <is>
          <t>Kulübü kurdun. Tek üye sensin. Toplantılar hep oy birliğiyle bitiyor.</t>
        </is>
      </c>
      <c r="K332" s="6" t="inlineStr">
        <is>
          <t>Kulübü kurdun; ilk buluşmada kantinin tost makinesini yaktın. Kantin bir hafta kapalı kaldı. Bütün okul aç ve hepsi seni tanıyor.</t>
        </is>
      </c>
      <c r="L332" s="6" t="inlineStr"/>
      <c r="M332" s="5" t="inlineStr"/>
      <c r="N332" s="5" t="inlineStr"/>
      <c r="O332" s="6" t="inlineStr"/>
      <c r="P332" s="6" t="inlineStr"/>
      <c r="Q332" s="5" t="inlineStr">
        <is>
          <t>Kuralı Koyan</t>
        </is>
      </c>
      <c r="R332" s="5" t="inlineStr"/>
      <c r="S332" s="5" t="inlineStr"/>
      <c r="T332" s="5" t="inlineStr"/>
      <c r="U332" s="5" t="inlineStr"/>
      <c r="V332" s="5" t="inlineStr"/>
      <c r="W332" s="5" t="inlineStr"/>
      <c r="X332" s="5" t="inlineStr"/>
      <c r="Y332" s="5" t="inlineStr"/>
      <c r="Z332" s="6" t="inlineStr"/>
      <c r="AA332" s="5" t="inlineStr"/>
      <c r="AB332" s="5" t="inlineStr"/>
      <c r="AC332" s="5" t="inlineStr"/>
      <c r="AD332" s="5" t="inlineStr"/>
      <c r="AE332" s="5" t="inlineStr"/>
      <c r="AF332" s="5" t="inlineStr"/>
      <c r="AG332" s="5" t="inlineStr"/>
      <c r="AH332" s="5" t="inlineStr"/>
      <c r="AI332" s="5" t="inlineStr"/>
      <c r="AJ332" s="5" t="inlineStr"/>
    </row>
    <row r="333">
      <c r="A333" s="5" t="inlineStr">
        <is>
          <t>b5-dershane-kaydi</t>
        </is>
      </c>
      <c r="B333" s="5" t="n">
        <v>1</v>
      </c>
      <c r="C333" s="6" t="inlineStr">
        <is>
          <t>Önerilen paketi imzala</t>
        </is>
      </c>
      <c r="D333" s="5" t="inlineStr"/>
      <c r="E333" s="5" t="inlineStr"/>
      <c r="F333" s="5" t="inlineStr">
        <is>
          <t>Akıl +1</t>
        </is>
      </c>
      <c r="G333" s="6" t="inlineStr">
        <is>
          <t>En kapsamlı paket imzalandı: denemeler, ek dersler, hafta sonu etütleri. Baban imzayı atarken iki kez yutkundu. Hediye kalemi sana verdiler; yazmıyordu.</t>
        </is>
      </c>
      <c r="H333" s="6" t="inlineStr"/>
      <c r="I333" s="6" t="inlineStr"/>
      <c r="J333" s="6" t="inlineStr"/>
      <c r="K333" s="6" t="inlineStr"/>
      <c r="L333" s="6" t="inlineStr"/>
      <c r="M333" s="5" t="inlineStr"/>
      <c r="N333" s="5" t="inlineStr"/>
      <c r="O333" s="6" t="inlineStr"/>
      <c r="P333" s="6" t="inlineStr"/>
      <c r="Q333" s="5" t="inlineStr"/>
      <c r="R333" s="5" t="inlineStr"/>
      <c r="S333" s="5" t="inlineStr"/>
      <c r="T333" s="5" t="inlineStr"/>
      <c r="U333" s="5" t="inlineStr"/>
      <c r="V333" s="5" t="inlineStr"/>
      <c r="W333" s="5" t="inlineStr"/>
      <c r="X333" s="5" t="inlineStr"/>
      <c r="Y333" s="5" t="inlineStr"/>
      <c r="Z333" s="6" t="inlineStr"/>
      <c r="AA333" s="5" t="inlineStr"/>
      <c r="AB333" s="5" t="inlineStr"/>
      <c r="AC333" s="5" t="inlineStr"/>
      <c r="AD333" s="5" t="inlineStr"/>
      <c r="AE333" s="5" t="inlineStr"/>
      <c r="AF333" s="5" t="inlineStr"/>
      <c r="AG333" s="5" t="inlineStr"/>
      <c r="AH333" s="5" t="inlineStr"/>
      <c r="AI333" s="5" t="inlineStr"/>
      <c r="AJ333" s="5" t="inlineStr"/>
    </row>
    <row r="334">
      <c r="A334" s="5" t="inlineStr">
        <is>
          <t>b5-dershane-kaydi</t>
        </is>
      </c>
      <c r="B334" s="5" t="n">
        <v>2</v>
      </c>
      <c r="C334" s="6" t="inlineStr">
        <is>
          <t>İndirim koparmaya çalış</t>
        </is>
      </c>
      <c r="D334" s="5" t="inlineStr">
        <is>
          <t>Çene</t>
        </is>
      </c>
      <c r="E334" s="5" t="inlineStr">
        <is>
          <t>Orta</t>
        </is>
      </c>
      <c r="F334" s="5" t="inlineStr"/>
      <c r="G334" s="6" t="inlineStr"/>
      <c r="H334" s="6" t="inlineStr">
        <is>
          <t>İndirimi aldın. Danışman müdürü aradı, müdür 'bir kereliğine' dedi. Her kayıtta bir kereliğine diyor.</t>
        </is>
      </c>
      <c r="I334" s="6" t="inlineStr">
        <is>
          <t>Kardeş indirimi, erken kayıt indirimi ve komşu tavsiyesi indirimini birleştirdin. Kardeşin yok.</t>
        </is>
      </c>
      <c r="J334" s="6" t="inlineStr">
        <is>
          <t>İndirim istedin. Danışman 'Kalemi hediye edebiliriz' dedi.</t>
        </is>
      </c>
      <c r="K334" s="6" t="inlineStr">
        <is>
          <t>Pazarlık uzadı. Danışman “Madem bu kadar istekli, hafta sonu grubuna da yazalım” dedi; baban imzaladı. Cumartesilerin gitti.</t>
        </is>
      </c>
      <c r="L334" s="6" t="inlineStr">
        <is>
          <t>Küçük bir indirim kopardın. Karşılığında hediye kalemden vazgeçtin.</t>
        </is>
      </c>
      <c r="M334" s="5" t="inlineStr">
        <is>
          <t>duel</t>
        </is>
      </c>
      <c r="N334" s="5" t="inlineStr">
        <is>
          <t>Kayıt Masası Pazarlığı</t>
        </is>
      </c>
      <c r="O334" s="6" t="inlineStr">
        <is>
          <t>Karşındakinin sabrı bitmeden en iyi cevabı seç.</t>
        </is>
      </c>
      <c r="P334" s="6" t="inlineStr">
        <is>
          <t>{"who": "Danışman", "item": "dershane kaydı", "mode": "buy"}</t>
        </is>
      </c>
      <c r="Q334" s="5" t="inlineStr"/>
      <c r="R334" s="5" t="inlineStr"/>
      <c r="S334" s="5" t="inlineStr"/>
      <c r="T334" s="5" t="inlineStr"/>
      <c r="U334" s="5" t="inlineStr"/>
      <c r="V334" s="5" t="inlineStr"/>
      <c r="W334" s="5" t="inlineStr"/>
      <c r="X334" s="5" t="inlineStr"/>
      <c r="Y334" s="5" t="inlineStr"/>
      <c r="Z334" s="6" t="inlineStr"/>
      <c r="AA334" s="5" t="inlineStr"/>
      <c r="AB334" s="5" t="inlineStr"/>
      <c r="AC334" s="5" t="inlineStr"/>
      <c r="AD334" s="5" t="inlineStr"/>
      <c r="AE334" s="5" t="inlineStr"/>
      <c r="AF334" s="5" t="inlineStr"/>
      <c r="AG334" s="5" t="inlineStr"/>
      <c r="AH334" s="5" t="inlineStr"/>
      <c r="AI334" s="5" t="inlineStr"/>
      <c r="AJ334" s="5" t="inlineStr"/>
    </row>
    <row r="335">
      <c r="A335" s="5" t="inlineStr">
        <is>
          <t>b5-dershane-kaydi</t>
        </is>
      </c>
      <c r="B335" s="5" t="n">
        <v>3</v>
      </c>
      <c r="C335" s="6" t="inlineStr">
        <is>
          <t>'Ben evde çalışırım' de</t>
        </is>
      </c>
      <c r="D335" s="5" t="inlineStr">
        <is>
          <t>Pişkinlik</t>
        </is>
      </c>
      <c r="E335" s="5" t="inlineStr">
        <is>
          <t>Zor</t>
        </is>
      </c>
      <c r="F335" s="5" t="inlineStr"/>
      <c r="G335" s="6" t="inlineStr"/>
      <c r="H335" s="6" t="inlineStr">
        <is>
          <t>Aileni ikna ettin. Artık her akşam yemekten sonra baban kapını aralıyor: “Çalışıyor musun?” Çalışıyorsun. Genelde.</t>
        </is>
      </c>
      <c r="I335" s="6" t="inlineStr">
        <is>
          <t>Aileni ikna ettin. Evin en sessiz odası sana verildi, misafir yatağı salona taşındı. Annen yine de iki saatte bir meyve tabağıyla giriyor.</t>
        </is>
      </c>
      <c r="J335" s="6" t="inlineStr">
        <is>
          <t>“Evde çalışırım” dedin. Annen babana baktı, baban annene. İkisi aynı anda güldü.</t>
        </is>
      </c>
      <c r="K335" s="6" t="inlineStr">
        <is>
          <t>“Evde çalışırım” dedin. Baban bunu meydan okuma saydı ve seni hem dershaneye hem akşam etüdüne yazdırdı: “Evde de çalışırsın.”</t>
        </is>
      </c>
      <c r="L335" s="6" t="inlineStr"/>
      <c r="M335" s="5" t="inlineStr"/>
      <c r="N335" s="5" t="inlineStr"/>
      <c r="O335" s="6" t="inlineStr"/>
      <c r="P335" s="6" t="inlineStr"/>
      <c r="Q335" s="5" t="inlineStr"/>
      <c r="R335" s="5" t="inlineStr"/>
      <c r="S335" s="5" t="inlineStr"/>
      <c r="T335" s="5" t="inlineStr"/>
      <c r="U335" s="5" t="inlineStr"/>
      <c r="V335" s="5" t="inlineStr"/>
      <c r="W335" s="5" t="inlineStr"/>
      <c r="X335" s="5" t="inlineStr"/>
      <c r="Y335" s="5" t="inlineStr"/>
      <c r="Z335" s="6" t="inlineStr"/>
      <c r="AA335" s="5" t="inlineStr"/>
      <c r="AB335" s="5" t="inlineStr"/>
      <c r="AC335" s="5" t="inlineStr"/>
      <c r="AD335" s="5" t="inlineStr"/>
      <c r="AE335" s="5" t="inlineStr"/>
      <c r="AF335" s="5" t="inlineStr"/>
      <c r="AG335" s="5" t="inlineStr"/>
      <c r="AH335" s="5" t="inlineStr"/>
      <c r="AI335" s="5" t="inlineStr"/>
      <c r="AJ335" s="5" t="inlineStr"/>
    </row>
    <row r="336">
      <c r="A336" s="5" t="inlineStr">
        <is>
          <t>b5-dershane-kaydi</t>
        </is>
      </c>
      <c r="B336" s="5" t="n">
        <v>4</v>
      </c>
      <c r="C336" s="6" t="inlineStr">
        <is>
          <t>Maliyet-fayda tablosu sun</t>
        </is>
      </c>
      <c r="D336" s="5" t="inlineStr">
        <is>
          <t>Akıl</t>
        </is>
      </c>
      <c r="E336" s="5" t="inlineStr">
        <is>
          <t>Kolay</t>
        </is>
      </c>
      <c r="F336" s="5" t="inlineStr"/>
      <c r="G336" s="6" t="inlineStr"/>
      <c r="H336" s="6" t="inlineStr">
        <is>
          <t>Baban tablonu gözlüğünü takıp iki kez okudu: “Aferin, mantıklı.” Yine de yazdırıldın, ama taksitle. Taksit planını senin tablonla yaptı.</t>
        </is>
      </c>
      <c r="I336" s="6" t="inlineStr">
        <is>
          <t>Tablon sayesinde çevrim içi kursa geçildi. Artan para senin adına ayrıldı. Hesap annende.</t>
        </is>
      </c>
      <c r="J336" s="6" t="inlineStr">
        <is>
          <t>Tabloyu sofrada açtın. Baban gözlüğünü taktı, okudu, katladı: “Bunları dershanede öğrenirsin.”</t>
        </is>
      </c>
      <c r="K336" s="6" t="inlineStr">
        <is>
          <t>Tablonun son satırında dershane kârlı çıktı. Baban tabloyu buzdolabına astı, altına “Kendi hesabı” yazdı. Kayıt ertesi sabah yapıldı.</t>
        </is>
      </c>
      <c r="L336" s="6" t="inlineStr"/>
      <c r="M336" s="5" t="inlineStr"/>
      <c r="N336" s="5" t="inlineStr"/>
      <c r="O336" s="6" t="inlineStr"/>
      <c r="P336" s="6" t="inlineStr"/>
      <c r="Q336" s="5" t="inlineStr">
        <is>
          <t>Kumbara Çocuğu</t>
        </is>
      </c>
      <c r="R336" s="5" t="inlineStr"/>
      <c r="S336" s="5" t="inlineStr"/>
      <c r="T336" s="5" t="inlineStr"/>
      <c r="U336" s="5" t="inlineStr"/>
      <c r="V336" s="5" t="inlineStr"/>
      <c r="W336" s="5" t="inlineStr"/>
      <c r="X336" s="5" t="inlineStr"/>
      <c r="Y336" s="5" t="inlineStr"/>
      <c r="Z336" s="6" t="inlineStr"/>
      <c r="AA336" s="5" t="inlineStr"/>
      <c r="AB336" s="5" t="inlineStr"/>
      <c r="AC336" s="5" t="inlineStr"/>
      <c r="AD336" s="5" t="inlineStr"/>
      <c r="AE336" s="5" t="inlineStr"/>
      <c r="AF336" s="5" t="inlineStr"/>
      <c r="AG336" s="5" t="inlineStr"/>
      <c r="AH336" s="5" t="inlineStr"/>
      <c r="AI336" s="5" t="inlineStr"/>
      <c r="AJ336" s="5" t="inlineStr"/>
    </row>
    <row r="337">
      <c r="A337" s="5" t="inlineStr">
        <is>
          <t>b5-sigara-teklifi</t>
        </is>
      </c>
      <c r="B337" s="5" t="n">
        <v>1</v>
      </c>
      <c r="C337" s="6" t="inlineStr">
        <is>
          <t>'Yok' de, yürü</t>
        </is>
      </c>
      <c r="D337" s="5" t="inlineStr"/>
      <c r="E337" s="5" t="inlineStr"/>
      <c r="F337" s="5" t="inlineStr">
        <is>
          <t>Cesaret +1</t>
        </is>
      </c>
      <c r="G337" s="6" t="inlineStr">
        <is>
          <t>“Yok” dedin ve yürüdün. Arkandan biri “Ana kuzusu!” diye seslendi; dönmedin. Merdivende o çocuk seni öksürmekten geçemedi.</t>
        </is>
      </c>
      <c r="H337" s="6" t="inlineStr"/>
      <c r="I337" s="6" t="inlineStr"/>
      <c r="J337" s="6" t="inlineStr"/>
      <c r="K337" s="6" t="inlineStr"/>
      <c r="L337" s="6" t="inlineStr"/>
      <c r="M337" s="5" t="inlineStr"/>
      <c r="N337" s="5" t="inlineStr"/>
      <c r="O337" s="6" t="inlineStr"/>
      <c r="P337" s="6" t="inlineStr"/>
      <c r="Q337" s="5" t="inlineStr"/>
      <c r="R337" s="5" t="inlineStr"/>
      <c r="S337" s="5" t="inlineStr"/>
      <c r="T337" s="5" t="inlineStr"/>
      <c r="U337" s="5" t="inlineStr"/>
      <c r="V337" s="5" t="inlineStr"/>
      <c r="W337" s="5" t="inlineStr"/>
      <c r="X337" s="5" t="inlineStr"/>
      <c r="Y337" s="5" t="inlineStr"/>
      <c r="Z337" s="6" t="inlineStr"/>
      <c r="AA337" s="5" t="inlineStr"/>
      <c r="AB337" s="5" t="inlineStr"/>
      <c r="AC337" s="5" t="inlineStr"/>
      <c r="AD337" s="5" t="inlineStr"/>
      <c r="AE337" s="5" t="inlineStr"/>
      <c r="AF337" s="5" t="inlineStr"/>
      <c r="AG337" s="5" t="inlineStr"/>
      <c r="AH337" s="5" t="inlineStr"/>
      <c r="AI337" s="5" t="inlineStr"/>
      <c r="AJ337" s="5" t="inlineStr"/>
    </row>
    <row r="338">
      <c r="A338" s="5" t="inlineStr">
        <is>
          <t>b5-sigara-teklifi</t>
        </is>
      </c>
      <c r="B338" s="5" t="n">
        <v>2</v>
      </c>
      <c r="C338" s="6" t="inlineStr">
        <is>
          <t>Al</t>
        </is>
      </c>
      <c r="D338" s="5" t="inlineStr"/>
      <c r="E338" s="5" t="inlineStr"/>
      <c r="F338" s="5" t="inlineStr">
        <is>
          <t>Pişkinlik +1</t>
        </is>
      </c>
      <c r="G338" s="6" t="inlineStr">
        <is>
          <t>Aldın ve öksürdün. Herkes görmemiş gibi yaptı. Akşam annen montunu kokladı ve hiçbir şey demedi; o sessizlik öksürükten uzun sürdü.</t>
        </is>
      </c>
      <c r="H338" s="6" t="inlineStr"/>
      <c r="I338" s="6" t="inlineStr"/>
      <c r="J338" s="6" t="inlineStr"/>
      <c r="K338" s="6" t="inlineStr"/>
      <c r="L338" s="6" t="inlineStr"/>
      <c r="M338" s="5" t="inlineStr"/>
      <c r="N338" s="5" t="inlineStr"/>
      <c r="O338" s="6" t="inlineStr"/>
      <c r="P338" s="6" t="inlineStr"/>
      <c r="Q338" s="5" t="inlineStr"/>
      <c r="R338" s="5" t="inlineStr"/>
      <c r="S338" s="5" t="inlineStr"/>
      <c r="T338" s="5" t="inlineStr"/>
      <c r="U338" s="5" t="inlineStr">
        <is>
          <t>sigara</t>
        </is>
      </c>
      <c r="V338" s="5" t="inlineStr"/>
      <c r="W338" s="5" t="inlineStr"/>
      <c r="X338" s="5" t="inlineStr"/>
      <c r="Y338" s="5" t="inlineStr"/>
      <c r="Z338" s="6" t="inlineStr"/>
      <c r="AA338" s="5" t="inlineStr"/>
      <c r="AB338" s="5" t="inlineStr"/>
      <c r="AC338" s="5" t="inlineStr"/>
      <c r="AD338" s="5" t="inlineStr"/>
      <c r="AE338" s="5" t="inlineStr"/>
      <c r="AF338" s="5" t="inlineStr"/>
      <c r="AG338" s="5" t="inlineStr"/>
      <c r="AH338" s="5" t="inlineStr"/>
      <c r="AI338" s="5" t="inlineStr"/>
      <c r="AJ338" s="5" t="inlineStr"/>
    </row>
    <row r="339">
      <c r="A339" s="5" t="inlineStr">
        <is>
          <t>b5-sigara-teklifi</t>
        </is>
      </c>
      <c r="B339" s="5" t="n">
        <v>3</v>
      </c>
      <c r="C339" s="6" t="inlineStr">
        <is>
          <t>Esprili bir bahane bul</t>
        </is>
      </c>
      <c r="D339" s="5" t="inlineStr">
        <is>
          <t>Çene</t>
        </is>
      </c>
      <c r="E339" s="5" t="inlineStr">
        <is>
          <t>Orta</t>
        </is>
      </c>
      <c r="F339" s="5" t="inlineStr"/>
      <c r="G339" s="6" t="inlineStr"/>
      <c r="H339" s="6" t="inlineStr">
        <is>
          <t>'Nefesimi sınava saklıyorum' dedin. Güldüler, paket cebe geri girdi.</t>
        </is>
      </c>
      <c r="I339" s="6" t="inlineStr">
        <is>
          <t>Bahanen o kadar iyiydi ki gruptan ikisi de bıraktı. Duvarın dibi yarı yarıya boşaldı.</t>
        </is>
      </c>
      <c r="J339" s="6" t="inlineStr">
        <is>
          <t>Bahaneni söyledin; kimse dinlemedi. Paket elden ele dolaştı, sana gelmeden zil çaldı.</t>
        </is>
      </c>
      <c r="K339" s="6" t="inlineStr">
        <is>
          <t>“Annem kokuyu alır” dedin. Kimse gülmedi; biri cümleyi gruba yazdı. Ertesi sabah koridorda herkes seni bu cümleyle selamladı.</t>
        </is>
      </c>
      <c r="L339" s="6" t="inlineStr"/>
      <c r="M339" s="5" t="inlineStr"/>
      <c r="N339" s="5" t="inlineStr"/>
      <c r="O339" s="6" t="inlineStr"/>
      <c r="P339" s="6" t="inlineStr"/>
      <c r="Q339" s="5" t="inlineStr"/>
      <c r="R339" s="5" t="inlineStr"/>
      <c r="S339" s="5" t="inlineStr"/>
      <c r="T339" s="5" t="inlineStr"/>
      <c r="U339" s="5" t="inlineStr"/>
      <c r="V339" s="5" t="inlineStr"/>
      <c r="W339" s="5" t="inlineStr"/>
      <c r="X339" s="5" t="inlineStr"/>
      <c r="Y339" s="5" t="inlineStr"/>
      <c r="Z339" s="6" t="inlineStr"/>
      <c r="AA339" s="5" t="inlineStr"/>
      <c r="AB339" s="5" t="inlineStr"/>
      <c r="AC339" s="5" t="inlineStr"/>
      <c r="AD339" s="5" t="inlineStr"/>
      <c r="AE339" s="5" t="inlineStr"/>
      <c r="AF339" s="5" t="inlineStr"/>
      <c r="AG339" s="5" t="inlineStr"/>
      <c r="AH339" s="5" t="inlineStr"/>
      <c r="AI339" s="5" t="inlineStr">
        <is>
          <t>Annem Kokuyu Alır</t>
        </is>
      </c>
      <c r="AJ339" s="5" t="inlineStr"/>
    </row>
    <row r="340">
      <c r="A340" s="5" t="inlineStr">
        <is>
          <t>b5-sigara-teklifi</t>
        </is>
      </c>
      <c r="B340" s="5" t="n">
        <v>4</v>
      </c>
      <c r="C340" s="6" t="inlineStr">
        <is>
          <t>Konuyu değiştir</t>
        </is>
      </c>
      <c r="D340" s="5" t="inlineStr">
        <is>
          <t>Sosyal Radar</t>
        </is>
      </c>
      <c r="E340" s="5" t="inlineStr">
        <is>
          <t>Kolay</t>
        </is>
      </c>
      <c r="F340" s="5" t="inlineStr"/>
      <c r="G340" s="6" t="inlineStr"/>
      <c r="H340" s="6" t="inlineStr">
        <is>
          <t>'Dünkü maç kaç kaç bitti?' diye sordun. On dakika tartışıldı, paket unutuldu.</t>
        </is>
      </c>
      <c r="I340" s="6" t="inlineStr">
        <is>
          <t>Konuyu değiştirdin; grup duvar dibinden kantine taşındı. Tost daha iyi bir alışkanlıktı.</t>
        </is>
      </c>
      <c r="J340" s="6" t="inlineStr">
        <is>
          <t>Konuyu değiştirdin. Paket yine sana uzatıldı. Konu değişmedi.</t>
        </is>
      </c>
      <c r="K340" s="6" t="inlineStr">
        <is>
          <t>Konuyu değiştirmek için “Müdür yardımcısı geliyor!” dedin. Geldi. Ertesi sabah bütün velilerin önünde seni övdü: “Bu çocuk içmiyordu, haber veriyordu.” Duvarın dibi seninle bir daha konuşmadı.</t>
        </is>
      </c>
      <c r="L340" s="6" t="inlineStr"/>
      <c r="M340" s="5" t="inlineStr"/>
      <c r="N340" s="5" t="inlineStr"/>
      <c r="O340" s="6" t="inlineStr"/>
      <c r="P340" s="6" t="inlineStr"/>
      <c r="Q340" s="5" t="inlineStr"/>
      <c r="R340" s="5" t="inlineStr"/>
      <c r="S340" s="5" t="inlineStr">
        <is>
          <t>Sosyal Radar</t>
        </is>
      </c>
      <c r="T340" s="5" t="inlineStr"/>
      <c r="U340" s="5" t="inlineStr"/>
      <c r="V340" s="5" t="inlineStr"/>
      <c r="W340" s="5" t="inlineStr"/>
      <c r="X340" s="5" t="inlineStr"/>
      <c r="Y340" s="5" t="inlineStr"/>
      <c r="Z340" s="6" t="inlineStr"/>
      <c r="AA340" s="5" t="inlineStr"/>
      <c r="AB340" s="5" t="inlineStr"/>
      <c r="AC340" s="5" t="inlineStr"/>
      <c r="AD340" s="5" t="inlineStr"/>
      <c r="AE340" s="5" t="inlineStr"/>
      <c r="AF340" s="5" t="inlineStr"/>
      <c r="AG340" s="5" t="inlineStr"/>
      <c r="AH340" s="5" t="inlineStr"/>
      <c r="AI340" s="5" t="inlineStr"/>
      <c r="AJ340" s="5" t="inlineStr"/>
    </row>
    <row r="341">
      <c r="A341" s="5" t="inlineStr">
        <is>
          <t>b5-mesaj-grubu</t>
        </is>
      </c>
      <c r="B341" s="5" t="n">
        <v>1</v>
      </c>
      <c r="C341" s="6" t="inlineStr">
        <is>
          <t>Hiçbir şey olmamış gibi davran</t>
        </is>
      </c>
      <c r="D341" s="5" t="inlineStr"/>
      <c r="E341" s="5" t="inlineStr"/>
      <c r="F341" s="5" t="inlineStr">
        <is>
          <t>Dayanıklılık +1</t>
        </is>
      </c>
      <c r="G341" s="6" t="inlineStr">
        <is>
          <t>Hiçbir şey demedin. Bir ay sonra seni asıl gruba eklediler. Aynı gün grubu sen sessize aldın.</t>
        </is>
      </c>
      <c r="H341" s="6" t="inlineStr"/>
      <c r="I341" s="6" t="inlineStr"/>
      <c r="J341" s="6" t="inlineStr"/>
      <c r="K341" s="6" t="inlineStr"/>
      <c r="L341" s="6" t="inlineStr"/>
      <c r="M341" s="5" t="inlineStr"/>
      <c r="N341" s="5" t="inlineStr"/>
      <c r="O341" s="6" t="inlineStr"/>
      <c r="P341" s="6" t="inlineStr"/>
      <c r="Q341" s="5" t="inlineStr"/>
      <c r="R341" s="5" t="inlineStr"/>
      <c r="S341" s="5" t="inlineStr"/>
      <c r="T341" s="5" t="inlineStr"/>
      <c r="U341" s="5" t="inlineStr"/>
      <c r="V341" s="5" t="inlineStr"/>
      <c r="W341" s="5" t="inlineStr"/>
      <c r="X341" s="5" t="inlineStr"/>
      <c r="Y341" s="5" t="inlineStr"/>
      <c r="Z341" s="6" t="inlineStr"/>
      <c r="AA341" s="5" t="inlineStr"/>
      <c r="AB341" s="5" t="inlineStr"/>
      <c r="AC341" s="5" t="inlineStr"/>
      <c r="AD341" s="5" t="inlineStr"/>
      <c r="AE341" s="5" t="inlineStr"/>
      <c r="AF341" s="5" t="inlineStr"/>
      <c r="AG341" s="5" t="inlineStr"/>
      <c r="AH341" s="5" t="inlineStr"/>
      <c r="AI341" s="5" t="inlineStr"/>
      <c r="AJ341" s="5" t="inlineStr"/>
    </row>
    <row r="342">
      <c r="A342" s="5" t="inlineStr">
        <is>
          <t>b5-mesaj-grubu</t>
        </is>
      </c>
      <c r="B342" s="5" t="n">
        <v>2</v>
      </c>
      <c r="C342" s="6" t="inlineStr">
        <is>
          <t>Kendi grubunu kur</t>
        </is>
      </c>
      <c r="D342" s="5" t="inlineStr">
        <is>
          <t>Sosyal Radar</t>
        </is>
      </c>
      <c r="E342" s="5" t="inlineStr">
        <is>
          <t>Zor</t>
        </is>
      </c>
      <c r="F342" s="5" t="inlineStr"/>
      <c r="G342" s="6" t="inlineStr"/>
      <c r="H342" s="6" t="inlineStr">
        <is>
          <t>Kendi grubunu kurdun. Asıl grubun yarısı sana geçti.</t>
        </is>
      </c>
      <c r="I342" s="6" t="inlineStr">
        <is>
          <t>Grubun sınıfın yeni asıl grubu oldu. Bir hafta sonra eski asıl grubun kurucusu sana yazdı: “Beni de ekler misin?”</t>
        </is>
      </c>
      <c r="J342" s="6" t="inlineStr">
        <is>
          <t>Grubu kurdun. İki kişi katıldı, biri yanlışlıkla.</t>
        </is>
      </c>
      <c r="K342" s="6" t="inlineStr">
        <is>
          <t>Yeni grubun ilk mesajı asıl gruptaki biri hakkındaydı. Grubu kurarken onu da eklemiştin. Mesajın altında tek bir cevap belirdi: “Ben de buradayım.”</t>
        </is>
      </c>
      <c r="L342" s="6" t="inlineStr"/>
      <c r="M342" s="5" t="inlineStr"/>
      <c r="N342" s="5" t="inlineStr"/>
      <c r="O342" s="6" t="inlineStr"/>
      <c r="P342" s="6" t="inlineStr"/>
      <c r="Q342" s="5" t="inlineStr"/>
      <c r="R342" s="5" t="inlineStr"/>
      <c r="S342" s="5" t="inlineStr"/>
      <c r="T342" s="5" t="inlineStr">
        <is>
          <t>Grup Yöneticisi</t>
        </is>
      </c>
      <c r="U342" s="5" t="inlineStr"/>
      <c r="V342" s="5" t="inlineStr"/>
      <c r="W342" s="5" t="inlineStr"/>
      <c r="X342" s="5" t="inlineStr"/>
      <c r="Y342" s="5" t="inlineStr"/>
      <c r="Z342" s="6" t="inlineStr"/>
      <c r="AA342" s="5" t="inlineStr"/>
      <c r="AB342" s="5" t="inlineStr"/>
      <c r="AC342" s="5" t="inlineStr"/>
      <c r="AD342" s="5" t="inlineStr"/>
      <c r="AE342" s="5" t="inlineStr"/>
      <c r="AF342" s="5" t="inlineStr"/>
      <c r="AG342" s="5" t="inlineStr"/>
      <c r="AH342" s="5" t="inlineStr"/>
      <c r="AI342" s="5" t="inlineStr"/>
      <c r="AJ342" s="5" t="inlineStr"/>
    </row>
    <row r="343">
      <c r="A343" s="5" t="inlineStr">
        <is>
          <t>b5-mesaj-grubu</t>
        </is>
      </c>
      <c r="B343" s="5" t="n">
        <v>3</v>
      </c>
      <c r="C343" s="6" t="inlineStr">
        <is>
          <t>Birinden ekran görüntüsü iste</t>
        </is>
      </c>
      <c r="D343" s="5" t="inlineStr">
        <is>
          <t>Kurnazlık</t>
        </is>
      </c>
      <c r="E343" s="5" t="inlineStr">
        <is>
          <t>Orta</t>
        </is>
      </c>
      <c r="F343" s="5" t="inlineStr"/>
      <c r="G343" s="6" t="inlineStr"/>
      <c r="H343" s="6" t="inlineStr">
        <is>
          <t>Görüntüleri aldın. Asıl grupta iki haftadır konuşulan tek şey: “Ödev ne?” Kimse bilmiyordu. Sen biliyordun ama içeride değildin.</t>
        </is>
      </c>
      <c r="I343" s="6" t="inlineStr">
        <is>
          <t>Asıl gruptan biri her akşam sana ekran görüntüsü atıyor; karşılığında matematik ödevini istiyor. Asıl gruptakilerden önce sen haberdar oluyorsun.</t>
        </is>
      </c>
      <c r="J343" s="6" t="inlineStr">
        <is>
          <t>Görüntü istediğin kişi 'Hangi grup?' dedi. O da yokmuş.</t>
        </is>
      </c>
      <c r="K343" s="6" t="inlineStr">
        <is>
          <t>Ekran görüntüsü talebini yanlışlıkla asıl grubun kendisine gönderdin. Artık orada konuşuluyorsun.</t>
        </is>
      </c>
      <c r="L343" s="6" t="inlineStr"/>
      <c r="M343" s="5" t="inlineStr"/>
      <c r="N343" s="5" t="inlineStr"/>
      <c r="O343" s="6" t="inlineStr"/>
      <c r="P343" s="6" t="inlineStr"/>
      <c r="Q343" s="5" t="inlineStr"/>
      <c r="R343" s="5" t="inlineStr"/>
      <c r="S343" s="5" t="inlineStr"/>
      <c r="T343" s="5" t="inlineStr"/>
      <c r="U343" s="5" t="inlineStr"/>
      <c r="V343" s="5" t="inlineStr"/>
      <c r="W343" s="5" t="inlineStr"/>
      <c r="X343" s="5" t="inlineStr"/>
      <c r="Y343" s="5" t="inlineStr"/>
      <c r="Z343" s="6" t="inlineStr"/>
      <c r="AA343" s="5" t="inlineStr"/>
      <c r="AB343" s="5" t="inlineStr"/>
      <c r="AC343" s="5" t="inlineStr"/>
      <c r="AD343" s="5" t="inlineStr"/>
      <c r="AE343" s="5" t="inlineStr"/>
      <c r="AF343" s="5" t="inlineStr"/>
      <c r="AG343" s="5" t="inlineStr"/>
      <c r="AH343" s="5" t="inlineStr"/>
      <c r="AI343" s="5" t="inlineStr"/>
      <c r="AJ343" s="5" t="inlineStr"/>
    </row>
    <row r="344">
      <c r="A344" s="5" t="inlineStr">
        <is>
          <t>b5-mesaj-grubu</t>
        </is>
      </c>
      <c r="B344" s="5" t="n">
        <v>4</v>
      </c>
      <c r="C344" s="6" t="inlineStr">
        <is>
          <t>'Beni de ekleyin' yaz</t>
        </is>
      </c>
      <c r="D344" s="5" t="inlineStr">
        <is>
          <t>Pişkinlik</t>
        </is>
      </c>
      <c r="E344" s="5" t="inlineStr">
        <is>
          <t>Kolay</t>
        </is>
      </c>
      <c r="F344" s="5" t="inlineStr"/>
      <c r="G344" s="6" t="inlineStr"/>
      <c r="H344" s="6" t="inlineStr">
        <is>
          <t>Açıkça istedin, eklediler. Kimse zaten neden eklemediğini hatırlamıyordu.</t>
        </is>
      </c>
      <c r="I344" s="6" t="inlineStr">
        <is>
          <t>Eklendin. Bir hafta sonra yönetici sensin; seni eklemeyenleri şimdi sen ekliyorsun.</t>
        </is>
      </c>
      <c r="J344" s="6" t="inlineStr">
        <is>
          <t>Eklediler. Ertesi gün grubun adı 'Asıl Asıl Grup' oldu.</t>
        </is>
      </c>
      <c r="K344" s="6" t="inlineStr">
        <is>
          <t>'Beni de ekleyin' yazdın. Genel gruba. Bütün sınıf bir asıl grup olduğunu öğrendi.</t>
        </is>
      </c>
      <c r="L344" s="6" t="inlineStr"/>
      <c r="M344" s="5" t="inlineStr"/>
      <c r="N344" s="5" t="inlineStr"/>
      <c r="O344" s="6" t="inlineStr"/>
      <c r="P344" s="6" t="inlineStr"/>
      <c r="Q344" s="5" t="inlineStr"/>
      <c r="R344" s="5" t="inlineStr"/>
      <c r="S344" s="5" t="inlineStr">
        <is>
          <t>Pişkinlik</t>
        </is>
      </c>
      <c r="T344" s="5" t="inlineStr"/>
      <c r="U344" s="5" t="inlineStr"/>
      <c r="V344" s="5" t="inlineStr"/>
      <c r="W344" s="5" t="inlineStr"/>
      <c r="X344" s="5" t="inlineStr"/>
      <c r="Y344" s="5" t="inlineStr"/>
      <c r="Z344" s="6" t="inlineStr"/>
      <c r="AA344" s="5" t="inlineStr"/>
      <c r="AB344" s="5" t="inlineStr"/>
      <c r="AC344" s="5" t="inlineStr"/>
      <c r="AD344" s="5" t="inlineStr"/>
      <c r="AE344" s="5" t="inlineStr"/>
      <c r="AF344" s="5" t="inlineStr"/>
      <c r="AG344" s="5" t="inlineStr"/>
      <c r="AH344" s="5" t="inlineStr"/>
      <c r="AI344" s="5" t="inlineStr"/>
      <c r="AJ344" s="5" t="inlineStr"/>
    </row>
    <row r="345">
      <c r="A345" s="5" t="inlineStr">
        <is>
          <t>b5-kantin-vergisi</t>
        </is>
      </c>
      <c r="B345" s="5" t="n">
        <v>1</v>
      </c>
      <c r="C345" s="6" t="inlineStr">
        <is>
          <t>Öde</t>
        </is>
      </c>
      <c r="D345" s="5" t="inlineStr"/>
      <c r="E345" s="5" t="inlineStr"/>
      <c r="F345" s="5" t="inlineStr">
        <is>
          <t>Dayanıklılık +1</t>
        </is>
      </c>
      <c r="G345" s="6" t="inlineStr">
        <is>
          <t>Ödedin. Her pazartesi tost paran kapıda kalıyor. Kantinci “Zayıflamışsın” diyor; doğru.</t>
        </is>
      </c>
      <c r="H345" s="6" t="inlineStr"/>
      <c r="I345" s="6" t="inlineStr"/>
      <c r="J345" s="6" t="inlineStr"/>
      <c r="K345" s="6" t="inlineStr"/>
      <c r="L345" s="6" t="inlineStr"/>
      <c r="M345" s="5" t="inlineStr"/>
      <c r="N345" s="5" t="inlineStr"/>
      <c r="O345" s="6" t="inlineStr"/>
      <c r="P345" s="6" t="inlineStr"/>
      <c r="Q345" s="5" t="inlineStr"/>
      <c r="R345" s="5" t="inlineStr"/>
      <c r="S345" s="5" t="inlineStr"/>
      <c r="T345" s="5" t="inlineStr"/>
      <c r="U345" s="5" t="inlineStr"/>
      <c r="V345" s="5" t="inlineStr"/>
      <c r="W345" s="5" t="inlineStr"/>
      <c r="X345" s="5" t="inlineStr"/>
      <c r="Y345" s="5" t="inlineStr"/>
      <c r="Z345" s="6" t="inlineStr"/>
      <c r="AA345" s="5" t="inlineStr"/>
      <c r="AB345" s="5" t="inlineStr"/>
      <c r="AC345" s="5" t="inlineStr"/>
      <c r="AD345" s="5" t="inlineStr"/>
      <c r="AE345" s="5" t="inlineStr"/>
      <c r="AF345" s="5" t="inlineStr"/>
      <c r="AG345" s="5" t="inlineStr"/>
      <c r="AH345" s="5" t="inlineStr"/>
      <c r="AI345" s="5" t="inlineStr"/>
      <c r="AJ345" s="5" t="inlineStr"/>
    </row>
    <row r="346">
      <c r="A346" s="5" t="inlineStr">
        <is>
          <t>b5-kantin-vergisi</t>
        </is>
      </c>
      <c r="B346" s="5" t="n">
        <v>2</v>
      </c>
      <c r="C346" s="6" t="inlineStr">
        <is>
          <t>Arka kapıyı kullan</t>
        </is>
      </c>
      <c r="D346" s="5" t="inlineStr">
        <is>
          <t>Kurnazlık</t>
        </is>
      </c>
      <c r="E346" s="5" t="inlineStr">
        <is>
          <t>Kolay</t>
        </is>
      </c>
      <c r="F346" s="5" t="inlineStr"/>
      <c r="G346" s="6" t="inlineStr"/>
      <c r="H346" s="6" t="inlineStr">
        <is>
          <t>Arka kapıyı keşfettin. Yol iki dakika uzadı, tost bütçen korundu.</t>
        </is>
      </c>
      <c r="I346" s="6" t="inlineStr">
        <is>
          <t>Arka kapıyı buldun, sınıfa da gösterdin. Bir hafta sonra ön kapıda üç tahsildar ve tek bir müşteri kaldı: simitçi.</t>
        </is>
      </c>
      <c r="J346" s="6" t="inlineStr">
        <is>
          <t>Arka kapıyı buldun. Onlar da buldu. Arka kapı tarifesi ön kapıdan pahalı.</t>
        </is>
      </c>
      <c r="K346" s="6" t="inlineStr">
        <is>
          <t>Arka kapı kilitliydi. Ön kapıya döndüğünde tarifeye 'geç kalma bedeli' eklenmişti.</t>
        </is>
      </c>
      <c r="L346" s="6" t="inlineStr"/>
      <c r="M346" s="5" t="inlineStr"/>
      <c r="N346" s="5" t="inlineStr"/>
      <c r="O346" s="6" t="inlineStr"/>
      <c r="P346" s="6" t="inlineStr"/>
      <c r="Q346" s="5" t="inlineStr"/>
      <c r="R346" s="5" t="inlineStr"/>
      <c r="S346" s="5" t="inlineStr"/>
      <c r="T346" s="5" t="inlineStr"/>
      <c r="U346" s="5" t="inlineStr"/>
      <c r="V346" s="5" t="inlineStr"/>
      <c r="W346" s="5" t="inlineStr"/>
      <c r="X346" s="5" t="inlineStr"/>
      <c r="Y346" s="5" t="inlineStr"/>
      <c r="Z346" s="6" t="inlineStr"/>
      <c r="AA346" s="5" t="inlineStr"/>
      <c r="AB346" s="5" t="inlineStr"/>
      <c r="AC346" s="5" t="inlineStr"/>
      <c r="AD346" s="5" t="inlineStr"/>
      <c r="AE346" s="5" t="inlineStr"/>
      <c r="AF346" s="5" t="inlineStr"/>
      <c r="AG346" s="5" t="inlineStr"/>
      <c r="AH346" s="5" t="inlineStr"/>
      <c r="AI346" s="5" t="inlineStr"/>
      <c r="AJ346" s="5" t="inlineStr"/>
    </row>
    <row r="347">
      <c r="A347" s="5" t="inlineStr">
        <is>
          <t>b5-kantin-vergisi</t>
        </is>
      </c>
      <c r="B347" s="5" t="n">
        <v>3</v>
      </c>
      <c r="C347" s="6" t="inlineStr">
        <is>
          <t>Açıkça reddet</t>
        </is>
      </c>
      <c r="D347" s="5" t="inlineStr">
        <is>
          <t>Cesaret</t>
        </is>
      </c>
      <c r="E347" s="5" t="inlineStr">
        <is>
          <t>Zor</t>
        </is>
      </c>
      <c r="F347" s="5" t="inlineStr"/>
      <c r="G347" s="6" t="inlineStr"/>
      <c r="H347" s="6" t="inlineStr">
        <is>
          <t>Reddettin. Üçü birbirine baktı; en kısası “Bu hafta pas” dedi. Ertesi pazartesi seni görünce üçü birden başka tarafa baktı.</t>
        </is>
      </c>
      <c r="I347" s="6" t="inlineStr">
        <is>
          <t>Sen reddettin, arkandaki beş kişi de reddetti. Üçü altı kişiye baktı ve dağıldı. Ertesi hafta kapıda yalnızca simitçi vardı.</t>
        </is>
      </c>
      <c r="J347" s="6" t="inlineStr">
        <is>
          <t>Reddettin. Hiçbir şey olmadı. Sadece adın bir deftere yazıldı.</t>
        </is>
      </c>
      <c r="K347" s="6" t="inlineStr">
        <is>
          <t>Reddettin. Ertesi sabah bisikletinin selesi yoktu. Bir ay okula ayakta pedal çevirerek geldin; bütün mahalle seni böyle tanıdı.</t>
        </is>
      </c>
      <c r="L347" s="6" t="inlineStr"/>
      <c r="M347" s="5" t="inlineStr"/>
      <c r="N347" s="5" t="inlineStr"/>
      <c r="O347" s="6" t="inlineStr"/>
      <c r="P347" s="6" t="inlineStr"/>
      <c r="Q347" s="5" t="inlineStr"/>
      <c r="R347" s="5" t="inlineStr"/>
      <c r="S347" s="5" t="inlineStr"/>
      <c r="T347" s="5" t="inlineStr"/>
      <c r="U347" s="5" t="inlineStr"/>
      <c r="V347" s="5" t="inlineStr"/>
      <c r="W347" s="5" t="inlineStr">
        <is>
          <t>haracci-dusmani</t>
        </is>
      </c>
      <c r="X347" s="5" t="inlineStr"/>
      <c r="Y347" s="5" t="inlineStr"/>
      <c r="Z347" s="6" t="inlineStr"/>
      <c r="AA347" s="5" t="inlineStr"/>
      <c r="AB347" s="5" t="inlineStr"/>
      <c r="AC347" s="5" t="inlineStr"/>
      <c r="AD347" s="5" t="inlineStr"/>
      <c r="AE347" s="5" t="inlineStr"/>
      <c r="AF347" s="5" t="inlineStr"/>
      <c r="AG347" s="5" t="inlineStr"/>
      <c r="AH347" s="5" t="inlineStr"/>
      <c r="AI347" s="5" t="inlineStr"/>
      <c r="AJ347" s="5" t="inlineStr"/>
    </row>
    <row r="348">
      <c r="A348" s="5" t="inlineStr">
        <is>
          <t>b5-kantin-vergisi</t>
        </is>
      </c>
      <c r="B348" s="5" t="n">
        <v>4</v>
      </c>
      <c r="C348" s="6" t="inlineStr">
        <is>
          <t>'Abinizle ben görüşürüm' de</t>
        </is>
      </c>
      <c r="D348" s="5" t="inlineStr">
        <is>
          <t>Pişkinlik</t>
        </is>
      </c>
      <c r="E348" s="5" t="inlineStr">
        <is>
          <t>Orta</t>
        </is>
      </c>
      <c r="F348" s="5" t="inlineStr"/>
      <c r="G348" s="6" t="inlineStr"/>
      <c r="H348" s="6" t="inlineStr">
        <is>
          <t>Abiyi aramak için telefonu çıkardın. Üçü birbirine baktı: “Tamam tamam, geç.” Abinin numarası sende bile yoktu.</t>
        </is>
      </c>
      <c r="I348" s="6" t="inlineStr">
        <is>
          <t>Abiyle görüştün. Abi üçüne tek cümle söyledi: “O bizim mahallenin çocuğu.” O günden beri kapıdan selamla geçiyorsun.</t>
        </is>
      </c>
      <c r="J348" s="6" t="inlineStr">
        <is>
          <t>Abiyi aradın. Abi 'Tarifede indirim yok' dedi.</t>
        </is>
      </c>
      <c r="K348" s="6" t="inlineStr">
        <is>
          <t>Abiyi aradın. Abi seni hatırladı; geçen seferki kafa tutmanı da. Geçiş ücretin iki tost oldu, bir de ayran.</t>
        </is>
      </c>
      <c r="L348" s="6" t="inlineStr"/>
      <c r="M348" s="5" t="inlineStr"/>
      <c r="N348" s="5" t="inlineStr"/>
      <c r="O348" s="6" t="inlineStr"/>
      <c r="P348" s="6" t="inlineStr"/>
      <c r="Q348" s="5" t="inlineStr"/>
      <c r="R348" s="5" t="inlineStr">
        <is>
          <t>haracci-dusmani</t>
        </is>
      </c>
      <c r="S348" s="5" t="inlineStr"/>
      <c r="T348" s="5" t="inlineStr"/>
      <c r="U348" s="5" t="inlineStr"/>
      <c r="V348" s="5" t="inlineStr"/>
      <c r="W348" s="5" t="inlineStr"/>
      <c r="X348" s="5" t="inlineStr"/>
      <c r="Y348" s="5" t="inlineStr"/>
      <c r="Z348" s="6" t="inlineStr"/>
      <c r="AA348" s="5" t="inlineStr"/>
      <c r="AB348" s="5" t="inlineStr"/>
      <c r="AC348" s="5" t="inlineStr"/>
      <c r="AD348" s="5" t="inlineStr"/>
      <c r="AE348" s="5" t="inlineStr"/>
      <c r="AF348" s="5" t="inlineStr"/>
      <c r="AG348" s="5" t="inlineStr"/>
      <c r="AH348" s="5" t="inlineStr"/>
      <c r="AI348" s="5" t="inlineStr"/>
      <c r="AJ348" s="5" t="inlineStr"/>
    </row>
    <row r="349">
      <c r="A349" s="5" t="inlineStr">
        <is>
          <t>b5-ilk-sevgili</t>
        </is>
      </c>
      <c r="B349" s="5" t="n">
        <v>1</v>
      </c>
      <c r="C349" s="6" t="inlineStr">
        <is>
          <t>Hava durumundan konuş</t>
        </is>
      </c>
      <c r="D349" s="5" t="inlineStr"/>
      <c r="E349" s="5" t="inlineStr"/>
      <c r="F349" s="5" t="inlineStr">
        <is>
          <t>Çene +1</t>
        </is>
      </c>
      <c r="G349" s="6" t="inlineStr">
        <is>
          <t>Bir saat boyunca hava durumunu konuştunuz. İkiniz de yarın yağmur yağacağını artık çok iyi biliyorsunuz.</t>
        </is>
      </c>
      <c r="H349" s="6" t="inlineStr"/>
      <c r="I349" s="6" t="inlineStr"/>
      <c r="J349" s="6" t="inlineStr"/>
      <c r="K349" s="6" t="inlineStr"/>
      <c r="L349" s="6" t="inlineStr"/>
      <c r="M349" s="5" t="inlineStr"/>
      <c r="N349" s="5" t="inlineStr"/>
      <c r="O349" s="6" t="inlineStr"/>
      <c r="P349" s="6" t="inlineStr"/>
      <c r="Q349" s="5" t="inlineStr"/>
      <c r="R349" s="5" t="inlineStr"/>
      <c r="S349" s="5" t="inlineStr"/>
      <c r="T349" s="5" t="inlineStr"/>
      <c r="U349" s="5" t="inlineStr"/>
      <c r="V349" s="5" t="inlineStr"/>
      <c r="W349" s="5" t="inlineStr"/>
      <c r="X349" s="5" t="inlineStr"/>
      <c r="Y349" s="5" t="inlineStr"/>
      <c r="Z349" s="6" t="inlineStr"/>
      <c r="AA349" s="5" t="inlineStr"/>
      <c r="AB349" s="5" t="inlineStr"/>
      <c r="AC349" s="5" t="inlineStr"/>
      <c r="AD349" s="5" t="inlineStr"/>
      <c r="AE349" s="5" t="inlineStr"/>
      <c r="AF349" s="5" t="inlineStr"/>
      <c r="AG349" s="5" t="inlineStr"/>
      <c r="AH349" s="5" t="inlineStr"/>
      <c r="AI349" s="5" t="inlineStr"/>
      <c r="AJ349" s="5" t="inlineStr"/>
    </row>
    <row r="350">
      <c r="A350" s="5" t="inlineStr">
        <is>
          <t>b5-ilk-sevgili</t>
        </is>
      </c>
      <c r="B350" s="5" t="n">
        <v>2</v>
      </c>
      <c r="C350" s="6" t="inlineStr">
        <is>
          <t>Elini tut</t>
        </is>
      </c>
      <c r="D350" s="5" t="inlineStr">
        <is>
          <t>Gönül</t>
        </is>
      </c>
      <c r="E350" s="5" t="inlineStr">
        <is>
          <t>Zor</t>
        </is>
      </c>
      <c r="F350" s="5" t="inlineStr"/>
      <c r="G350" s="6" t="inlineStr"/>
      <c r="H350" s="6" t="inlineStr">
        <is>
          <t>Elini tuttun. İki avuç da terliydi; ikiniz de bırakmadınız. Eve vardığında annen her şeyi biliyordu: karşı apartmandaki teyze görmüş.</t>
        </is>
      </c>
      <c r="I350" s="6" t="inlineStr">
        <is>
          <t>Elini tuttun ve eve kadar bırakmadınız. Kapının önünde ikiniz de “Önce sen bırak” dediniz. Balkondan annen seslendi: “Hadi artık, çay soğudu!”</t>
        </is>
      </c>
      <c r="J350" s="6" t="inlineStr">
        <is>
          <t>Tam uzanacakken karşındaki “Dondurma alalım mı?” diye kalktı. Elin havada kaldı; enseni kaşıyormuş gibi yaptın.</t>
        </is>
      </c>
      <c r="K350" s="6" t="inlineStr">
        <is>
          <t>Elini tuttuğunu sandın. Tuttuğun, banktaki poşetmiş. Poşet yandaki teyzeninmiş; teyze “Hırsız var!” diye bağırdı, bütün park döndü baktı.</t>
        </is>
      </c>
      <c r="L350" s="6" t="inlineStr"/>
      <c r="M350" s="5" t="inlineStr"/>
      <c r="N350" s="5" t="inlineStr"/>
      <c r="O350" s="6" t="inlineStr"/>
      <c r="P350" s="6" t="inlineStr"/>
      <c r="Q350" s="5" t="inlineStr"/>
      <c r="R350" s="5" t="inlineStr"/>
      <c r="S350" s="5" t="inlineStr"/>
      <c r="T350" s="5" t="inlineStr"/>
      <c r="U350" s="5" t="inlineStr"/>
      <c r="V350" s="5" t="inlineStr">
        <is>
          <t>ilk-sevgili</t>
        </is>
      </c>
      <c r="W350" s="5" t="inlineStr"/>
      <c r="X350" s="5" t="inlineStr"/>
      <c r="Y350" s="5" t="inlineStr"/>
      <c r="Z350" s="6" t="inlineStr"/>
      <c r="AA350" s="5" t="inlineStr"/>
      <c r="AB350" s="5" t="inlineStr">
        <is>
          <t>utangac</t>
        </is>
      </c>
      <c r="AC350" s="5" t="inlineStr"/>
      <c r="AD350" s="5" t="inlineStr"/>
      <c r="AE350" s="5" t="inlineStr"/>
      <c r="AF350" s="5" t="inlineStr"/>
      <c r="AG350" s="5" t="inlineStr"/>
      <c r="AH350" s="5" t="inlineStr"/>
      <c r="AI350" s="5" t="inlineStr">
        <is>
          <t>Poşet Hırsızı</t>
        </is>
      </c>
      <c r="AJ350" s="5" t="inlineStr"/>
    </row>
    <row r="351">
      <c r="A351" s="5" t="inlineStr">
        <is>
          <t>b5-ilk-sevgili</t>
        </is>
      </c>
      <c r="B351" s="5" t="n">
        <v>3</v>
      </c>
      <c r="C351" s="6" t="inlineStr">
        <is>
          <t>'Ben de heyecanlıyım' de</t>
        </is>
      </c>
      <c r="D351" s="5" t="inlineStr">
        <is>
          <t>Gönül</t>
        </is>
      </c>
      <c r="E351" s="5" t="inlineStr">
        <is>
          <t>Kolay</t>
        </is>
      </c>
      <c r="F351" s="5" t="inlineStr"/>
      <c r="G351" s="6" t="inlineStr"/>
      <c r="H351" s="6" t="inlineStr">
        <is>
          <t>“Ben de heyecanlıyım” dedin. Güldü: “Ben de üç kere üstümü değiştirdim.” Aradaki bir karış o an kapandı.</t>
        </is>
      </c>
      <c r="I351" s="6" t="inlineStr">
        <is>
          <t>İkiniz aynı anda “Ben de” dediniz. Tam o an yan banktaki amcanın telefonu çaldı; zil sesi eski bir aşk şarkısıydı. Amca açmadı, size bıraktı.</t>
        </is>
      </c>
      <c r="J351" s="6" t="inlineStr">
        <is>
          <t>'Ben de heyecanlıyım' dedin. 'Neden?' diye sordu. Anlatamadın.</t>
        </is>
      </c>
      <c r="K351" s="6" t="inlineStr">
        <is>
          <t>“Ben de heyecanlıyım” derken sesin çatallandı, horoz gibi öttü. Yan bankta simit yiyen amca güldü. Sonra karşındaki de güldü; seninle değil.</t>
        </is>
      </c>
      <c r="L351" s="6" t="inlineStr"/>
      <c r="M351" s="5" t="inlineStr"/>
      <c r="N351" s="5" t="inlineStr"/>
      <c r="O351" s="6" t="inlineStr"/>
      <c r="P351" s="6" t="inlineStr"/>
      <c r="Q351" s="5" t="inlineStr"/>
      <c r="R351" s="5" t="inlineStr"/>
      <c r="S351" s="5" t="inlineStr">
        <is>
          <t>Sosyal Radar</t>
        </is>
      </c>
      <c r="T351" s="5" t="inlineStr"/>
      <c r="U351" s="5" t="inlineStr"/>
      <c r="V351" s="5" t="inlineStr">
        <is>
          <t>ilk-sevgili</t>
        </is>
      </c>
      <c r="W351" s="5" t="inlineStr"/>
      <c r="X351" s="5" t="inlineStr"/>
      <c r="Y351" s="5" t="inlineStr"/>
      <c r="Z351" s="6" t="inlineStr"/>
      <c r="AA351" s="5" t="inlineStr"/>
      <c r="AB351" s="5" t="inlineStr">
        <is>
          <t>utangac</t>
        </is>
      </c>
      <c r="AC351" s="5" t="inlineStr"/>
      <c r="AD351" s="5" t="inlineStr"/>
      <c r="AE351" s="5" t="inlineStr"/>
      <c r="AF351" s="5" t="inlineStr"/>
      <c r="AG351" s="5" t="inlineStr"/>
      <c r="AH351" s="5" t="inlineStr"/>
      <c r="AI351" s="5" t="inlineStr"/>
      <c r="AJ351" s="5" t="inlineStr"/>
    </row>
    <row r="352">
      <c r="A352" s="5" t="inlineStr">
        <is>
          <t>b5-ilk-sevgili</t>
        </is>
      </c>
      <c r="B352" s="5" t="n">
        <v>4</v>
      </c>
      <c r="C352" s="6" t="inlineStr">
        <is>
          <t>Önceden hazırladığın espriyi yap</t>
        </is>
      </c>
      <c r="D352" s="5" t="inlineStr">
        <is>
          <t>Pişkinlik</t>
        </is>
      </c>
      <c r="E352" s="5" t="inlineStr">
        <is>
          <t>Orta</t>
        </is>
      </c>
      <c r="F352" s="5" t="inlineStr"/>
      <c r="G352" s="6" t="inlineStr"/>
      <c r="H352" s="6" t="inlineStr">
        <is>
          <t>Espri tuttu. Gülerken omzuna yaslandı. Aynanın karşısında üç gün prova ettiğini hiçbir zaman öğrenmeyecek.</t>
        </is>
      </c>
      <c r="I352" s="6" t="inlineStr">
        <is>
          <t>Espri tuttu, bir tane daha istedi. Üçüncüsünde el ele eve yürüyordunuz.</t>
        </is>
      </c>
      <c r="J352" s="6" t="inlineStr">
        <is>
          <t>Espriyi yaptın; nazikçe güldü. Sonra yine hava durumunu konuştunuz.</t>
        </is>
      </c>
      <c r="K352" s="6" t="inlineStr">
        <is>
          <t>Espriyi yaptın; anlamadı. Açıkladın; yine anlamadı. Üçüncü açıklamada sen de anlamadın. Dondurmalar elinizde eridi.</t>
        </is>
      </c>
      <c r="L352" s="6" t="inlineStr"/>
      <c r="M352" s="5" t="inlineStr"/>
      <c r="N352" s="5" t="inlineStr"/>
      <c r="O352" s="6" t="inlineStr"/>
      <c r="P352" s="6" t="inlineStr"/>
      <c r="Q352" s="5" t="inlineStr"/>
      <c r="R352" s="5" t="inlineStr"/>
      <c r="S352" s="5" t="inlineStr"/>
      <c r="T352" s="5" t="inlineStr"/>
      <c r="U352" s="5" t="inlineStr"/>
      <c r="V352" s="5" t="inlineStr">
        <is>
          <t>ilk-sevgili</t>
        </is>
      </c>
      <c r="W352" s="5" t="inlineStr"/>
      <c r="X352" s="5" t="inlineStr"/>
      <c r="Y352" s="5" t="inlineStr"/>
      <c r="Z352" s="6" t="inlineStr"/>
      <c r="AA352" s="5" t="inlineStr"/>
      <c r="AB352" s="5" t="inlineStr">
        <is>
          <t>utangac</t>
        </is>
      </c>
      <c r="AC352" s="5" t="inlineStr"/>
      <c r="AD352" s="5" t="inlineStr"/>
      <c r="AE352" s="5" t="inlineStr"/>
      <c r="AF352" s="5" t="inlineStr"/>
      <c r="AG352" s="5" t="inlineStr"/>
      <c r="AH352" s="5" t="inlineStr"/>
      <c r="AI352" s="5" t="inlineStr"/>
      <c r="AJ352" s="5" t="inlineStr"/>
    </row>
    <row r="353">
      <c r="A353" s="5" t="inlineStr">
        <is>
          <t>b5-veli-bilgilendirme</t>
        </is>
      </c>
      <c r="B353" s="5" t="n">
        <v>1</v>
      </c>
      <c r="C353" s="6" t="inlineStr">
        <is>
          <t>Bildirimden önce eve yetiş</t>
        </is>
      </c>
      <c r="D353" s="5" t="inlineStr">
        <is>
          <t>Dayanıklılık</t>
        </is>
      </c>
      <c r="E353" s="5" t="inlineStr">
        <is>
          <t>Orta</t>
        </is>
      </c>
      <c r="F353" s="5" t="inlineStr"/>
      <c r="G353" s="6" t="inlineStr"/>
      <c r="H353" s="6" t="inlineStr">
        <is>
          <t>Eve koştun, haberi kendin verdin. Telefon üç saniye sonra titredi. Annen bildirime baktı, sana baktı: “Bari koşmasaydın, terlemişsin.”</t>
        </is>
      </c>
      <c r="I353" s="6" t="inlineStr">
        <is>
          <t>Eve koştun, haberi kendin verdin, üstüne bir de çay demledin. Bildirim düştüğünde annen telefona bakmadı bile: “Biliyorum, anlattı.”</t>
        </is>
      </c>
      <c r="J353" s="6" t="inlineStr">
        <is>
          <t>Eve vardın. Annen kapıda, telefon elinde bekliyordu.</t>
        </is>
      </c>
      <c r="K353" s="6" t="inlineStr">
        <is>
          <t>Sen yoldayken ikinci not da girildi. Kapıyı baban açtı; elinde telefon, arkasında babaannen. Akşam yemeği tek kelime konuşulmadan yendi.</t>
        </is>
      </c>
      <c r="L353" s="6" t="inlineStr">
        <is>
          <t>Kapıya bildirimle aynı anda vardın. Annen telefona mı, sana mı bakacağını bilemedi.</t>
        </is>
      </c>
      <c r="M353" s="5" t="inlineStr">
        <is>
          <t>timing</t>
        </is>
      </c>
      <c r="N353" s="5" t="inlineStr">
        <is>
          <t>Bildirimden Önce</t>
        </is>
      </c>
      <c r="O353" s="6" t="inlineStr">
        <is>
          <t>İbre yeşil alandayken DURDUR'a bas. Art arda tutturdukça kombo kazanırsın.</t>
        </is>
      </c>
      <c r="P353" s="6" t="n"/>
      <c r="Q353" s="5" t="inlineStr"/>
      <c r="R353" s="5" t="inlineStr"/>
      <c r="S353" s="5" t="inlineStr"/>
      <c r="T353" s="5" t="inlineStr"/>
      <c r="U353" s="5" t="inlineStr"/>
      <c r="V353" s="5" t="inlineStr"/>
      <c r="W353" s="5" t="inlineStr"/>
      <c r="X353" s="5" t="inlineStr"/>
      <c r="Y353" s="5" t="inlineStr"/>
      <c r="Z353" s="6" t="inlineStr"/>
      <c r="AA353" s="5" t="inlineStr"/>
      <c r="AB353" s="5" t="inlineStr"/>
      <c r="AC353" s="5" t="inlineStr"/>
      <c r="AD353" s="5" t="inlineStr"/>
      <c r="AE353" s="5" t="inlineStr"/>
      <c r="AF353" s="5" t="inlineStr"/>
      <c r="AG353" s="5" t="inlineStr"/>
      <c r="AH353" s="5" t="inlineStr"/>
      <c r="AI353" s="5" t="inlineStr"/>
      <c r="AJ353" s="5" t="inlineStr"/>
    </row>
    <row r="354">
      <c r="A354" s="5" t="inlineStr">
        <is>
          <t>b5-veli-bilgilendirme</t>
        </is>
      </c>
      <c r="B354" s="5" t="n">
        <v>2</v>
      </c>
      <c r="C354" s="6" t="inlineStr">
        <is>
          <t>Bildirimlere razı ol</t>
        </is>
      </c>
      <c r="D354" s="5" t="inlineStr"/>
      <c r="E354" s="5" t="inlineStr"/>
      <c r="F354" s="5" t="inlineStr">
        <is>
          <t>İtibar +1</t>
        </is>
      </c>
      <c r="G354" s="6" t="inlineStr">
        <is>
          <t>Bildirimlere razı oldun. Annen artık her notu aile grubuna atıyor, altına tek bir soru işareti bırakıyor. Teyzen her seferinde “Ne oldu?” yazıyor.</t>
        </is>
      </c>
      <c r="H354" s="6" t="inlineStr"/>
      <c r="I354" s="6" t="inlineStr"/>
      <c r="J354" s="6" t="inlineStr"/>
      <c r="K354" s="6" t="inlineStr"/>
      <c r="L354" s="6" t="inlineStr"/>
      <c r="M354" s="5" t="inlineStr"/>
      <c r="N354" s="5" t="inlineStr"/>
      <c r="O354" s="6" t="inlineStr"/>
      <c r="P354" s="6" t="inlineStr"/>
      <c r="Q354" s="5" t="inlineStr"/>
      <c r="R354" s="5" t="inlineStr"/>
      <c r="S354" s="5" t="inlineStr"/>
      <c r="T354" s="5" t="inlineStr"/>
      <c r="U354" s="5" t="inlineStr"/>
      <c r="V354" s="5" t="inlineStr"/>
      <c r="W354" s="5" t="inlineStr"/>
      <c r="X354" s="5" t="inlineStr"/>
      <c r="Y354" s="5" t="inlineStr"/>
      <c r="Z354" s="6" t="inlineStr"/>
      <c r="AA354" s="5" t="inlineStr"/>
      <c r="AB354" s="5" t="inlineStr"/>
      <c r="AC354" s="5" t="inlineStr"/>
      <c r="AD354" s="5" t="inlineStr"/>
      <c r="AE354" s="5" t="inlineStr"/>
      <c r="AF354" s="5" t="inlineStr"/>
      <c r="AG354" s="5" t="inlineStr"/>
      <c r="AH354" s="5" t="inlineStr"/>
      <c r="AI354" s="5" t="inlineStr"/>
      <c r="AJ354" s="5" t="inlineStr"/>
    </row>
    <row r="355">
      <c r="A355" s="5" t="inlineStr">
        <is>
          <t>b5-veli-bilgilendirme</t>
        </is>
      </c>
      <c r="B355" s="5" t="n">
        <v>3</v>
      </c>
      <c r="C355" s="6" t="inlineStr">
        <is>
          <t>Formdaki numarayı 'güncelle'</t>
        </is>
      </c>
      <c r="D355" s="5" t="inlineStr">
        <is>
          <t>Kurnazlık</t>
        </is>
      </c>
      <c r="E355" s="5" t="inlineStr">
        <is>
          <t>Orta</t>
        </is>
      </c>
      <c r="F355" s="5" t="inlineStr"/>
      <c r="G355" s="6" t="inlineStr"/>
      <c r="H355" s="6" t="inlineStr">
        <is>
          <t>Numara güncellendi. Notlar artık önce sana geliyor. Kötü haberleri annene tatlıdan sonra veriyorsun.</t>
        </is>
      </c>
      <c r="I355" s="6" t="inlineStr">
        <is>
          <t>Numara artık senin. Annenin telefonuna her cuma tek bir mesaj düşüyor: “Bu hafta her şey yolunda.” Annen komşulara gösteriyor: “Bak, okul ne güzel yazıyor.”</t>
        </is>
      </c>
      <c r="J355" s="6" t="inlineStr">
        <is>
          <t>Numarayı değiştirdin. Uygulama notu ikinci veliye de gönderiyormuş. Babana.</t>
        </is>
      </c>
      <c r="K355" s="6" t="inlineStr">
        <is>
          <t>Kendi numaranı yazdın ama bir rakamı yanlış. Notların artık bir yabancıya gidiyor. O da seninle gurur duyuyor.</t>
        </is>
      </c>
      <c r="L355" s="6" t="inlineStr"/>
      <c r="M355" s="5" t="inlineStr"/>
      <c r="N355" s="5" t="inlineStr"/>
      <c r="O355" s="6" t="inlineStr"/>
      <c r="P355" s="6" t="inlineStr"/>
      <c r="Q355" s="5" t="inlineStr"/>
      <c r="R355" s="5" t="inlineStr"/>
      <c r="S355" s="5" t="inlineStr">
        <is>
          <t>Kurnazlık</t>
        </is>
      </c>
      <c r="T355" s="5" t="inlineStr"/>
      <c r="U355" s="5" t="inlineStr"/>
      <c r="V355" s="5" t="inlineStr"/>
      <c r="W355" s="5" t="inlineStr"/>
      <c r="X355" s="5" t="inlineStr"/>
      <c r="Y355" s="5" t="inlineStr"/>
      <c r="Z355" s="6" t="inlineStr"/>
      <c r="AA355" s="5" t="inlineStr"/>
      <c r="AB355" s="5" t="inlineStr"/>
      <c r="AC355" s="5" t="inlineStr"/>
      <c r="AD355" s="5" t="inlineStr"/>
      <c r="AE355" s="5" t="inlineStr"/>
      <c r="AF355" s="5" t="inlineStr"/>
      <c r="AG355" s="5" t="inlineStr"/>
      <c r="AH355" s="5" t="inlineStr"/>
      <c r="AI355" s="5" t="inlineStr"/>
      <c r="AJ355" s="5" t="inlineStr"/>
    </row>
    <row r="356">
      <c r="A356" s="5" t="inlineStr">
        <is>
          <t>b5-okul-temsilcisi</t>
        </is>
      </c>
      <c r="B356" s="5" t="n">
        <v>1</v>
      </c>
      <c r="C356" s="6" t="inlineStr">
        <is>
          <t>Oy ver, geç</t>
        </is>
      </c>
      <c r="D356" s="5" t="inlineStr"/>
      <c r="E356" s="5" t="inlineStr"/>
      <c r="F356" s="5" t="inlineStr">
        <is>
          <t>İtibar +1</t>
        </is>
      </c>
      <c r="G356" s="6" t="inlineStr">
        <is>
          <t>Oyunu kullandın. Kazanan aday ilk icraat olarak ikinci tost makinesi için bir komisyon kurdu.</t>
        </is>
      </c>
      <c r="H356" s="6" t="inlineStr"/>
      <c r="I356" s="6" t="inlineStr"/>
      <c r="J356" s="6" t="inlineStr"/>
      <c r="K356" s="6" t="inlineStr"/>
      <c r="L356" s="6" t="inlineStr"/>
      <c r="M356" s="5" t="inlineStr"/>
      <c r="N356" s="5" t="inlineStr"/>
      <c r="O356" s="6" t="inlineStr"/>
      <c r="P356" s="6" t="inlineStr"/>
      <c r="Q356" s="5" t="inlineStr"/>
      <c r="R356" s="5" t="inlineStr"/>
      <c r="S356" s="5" t="inlineStr"/>
      <c r="T356" s="5" t="inlineStr"/>
      <c r="U356" s="5" t="inlineStr"/>
      <c r="V356" s="5" t="inlineStr"/>
      <c r="W356" s="5" t="inlineStr"/>
      <c r="X356" s="5" t="inlineStr"/>
      <c r="Y356" s="5" t="inlineStr"/>
      <c r="Z356" s="6" t="inlineStr"/>
      <c r="AA356" s="5" t="inlineStr"/>
      <c r="AB356" s="5" t="inlineStr"/>
      <c r="AC356" s="5" t="inlineStr"/>
      <c r="AD356" s="5" t="inlineStr"/>
      <c r="AE356" s="5" t="inlineStr"/>
      <c r="AF356" s="5" t="inlineStr"/>
      <c r="AG356" s="5" t="inlineStr"/>
      <c r="AH356" s="5" t="inlineStr"/>
      <c r="AI356" s="5" t="inlineStr"/>
      <c r="AJ356" s="5" t="inlineStr"/>
    </row>
    <row r="357">
      <c r="A357" s="5" t="inlineStr">
        <is>
          <t>b5-okul-temsilcisi</t>
        </is>
      </c>
      <c r="B357" s="5" t="n">
        <v>2</v>
      </c>
      <c r="C357" s="6" t="inlineStr">
        <is>
          <t>Aday ol</t>
        </is>
      </c>
      <c r="D357" s="5" t="inlineStr">
        <is>
          <t>İtibar</t>
        </is>
      </c>
      <c r="E357" s="5" t="inlineStr">
        <is>
          <t>Zor</t>
        </is>
      </c>
      <c r="F357" s="5" t="inlineStr"/>
      <c r="G357" s="6" t="inlineStr"/>
      <c r="H357" s="6" t="inlineStr">
        <is>
          <t>Seçildin. İlk hafta müdürün odasında çay içtin. İkinci hafta müdür seni koridorda görünce telefonla konuşuyormuş gibi yaptı.</t>
        </is>
      </c>
      <c r="I357" s="6" t="inlineStr">
        <is>
          <t>Açık farkla seçildin; ikinci tost makinesi dönem bitmeden geldi. Adın kantin duvarında.</t>
        </is>
      </c>
      <c r="J357" s="6" t="inlineStr">
        <is>
          <t>Kaybettin. Rakibin tek vaadi “Derse az girelim”di. Öğretmenlerden bile oy aldı.</t>
        </is>
      </c>
      <c r="K357" s="6" t="inlineStr">
        <is>
          <t>Konuşmanda “Teneffüsleri uzatacağım” dedin; okul ayağa kalktı. Müdür yardımcısı mikrofonu aldı ve o günün teneffüsünü beş dakika kısalttı. Seni kimse affetmedi.</t>
        </is>
      </c>
      <c r="L357" s="6" t="inlineStr"/>
      <c r="M357" s="5" t="inlineStr"/>
      <c r="N357" s="5" t="inlineStr"/>
      <c r="O357" s="6" t="inlineStr"/>
      <c r="P357" s="6" t="inlineStr"/>
      <c r="Q357" s="5" t="inlineStr"/>
      <c r="R357" s="5" t="inlineStr"/>
      <c r="S357" s="5" t="inlineStr"/>
      <c r="T357" s="5" t="inlineStr"/>
      <c r="U357" s="5" t="inlineStr"/>
      <c r="V357" s="5" t="inlineStr">
        <is>
          <t>okul-temsilcisi</t>
        </is>
      </c>
      <c r="W357" s="5" t="inlineStr"/>
      <c r="X357" s="5" t="inlineStr"/>
      <c r="Y357" s="5" t="inlineStr"/>
      <c r="Z357" s="6" t="inlineStr"/>
      <c r="AA357" s="5" t="inlineStr"/>
      <c r="AB357" s="5" t="inlineStr"/>
      <c r="AC357" s="5" t="inlineStr"/>
      <c r="AD357" s="5" t="inlineStr"/>
      <c r="AE357" s="5" t="inlineStr"/>
      <c r="AF357" s="5" t="inlineStr"/>
      <c r="AG357" s="5" t="inlineStr"/>
      <c r="AH357" s="5" t="inlineStr"/>
      <c r="AI357" s="5" t="inlineStr"/>
      <c r="AJ357" s="5" t="inlineStr"/>
    </row>
    <row r="358">
      <c r="A358" s="5" t="inlineStr">
        <is>
          <t>b5-okul-temsilcisi</t>
        </is>
      </c>
      <c r="B358" s="5" t="n">
        <v>3</v>
      </c>
      <c r="C358" s="6" t="inlineStr">
        <is>
          <t>Deneyimini öne çıkar</t>
        </is>
      </c>
      <c r="D358" s="5" t="inlineStr">
        <is>
          <t>Pişkinlik</t>
        </is>
      </c>
      <c r="E358" s="5" t="inlineStr">
        <is>
          <t>Kolay</t>
        </is>
      </c>
      <c r="F358" s="5" t="inlineStr"/>
      <c r="G358" s="6" t="inlineStr"/>
      <c r="H358" s="6" t="inlineStr">
        <is>
          <t>'Daha önce de yönettim' dedin. Kimse neyi yönettiğini sormadı. Seçildin.</t>
        </is>
      </c>
      <c r="I358" s="6" t="inlineStr">
        <is>
          <t>İlkokul başkanlığını öyle anlattın ki dinleyenler sınıfı değil ülkeyi yönettiğini sandı. Seçildin. Afişin altına çizilen balığa sen de bir akvaryum çizdin.</t>
        </is>
      </c>
      <c r="J358" s="6" t="inlineStr">
        <is>
          <t>Deneyimini anlattın. Biri 'Akvaryum ne oldu?' diye sordu. Kampanya orada bitti.</t>
        </is>
      </c>
      <c r="K358" s="6" t="inlineStr">
        <is>
          <t>İlkokuldan sınıf arkadaşın söz aldı ve akvaryum vaadini ayrıntılarıyla anlattı. Ertesi sabah sıranın üstünde bir kavanoz su ve içinde kâğıttan bir balık vardı. Mezuniyete kadar her seçimde biri o kavanozu getirdi.</t>
        </is>
      </c>
      <c r="L358" s="6" t="inlineStr"/>
      <c r="M358" s="5" t="inlineStr"/>
      <c r="N358" s="5" t="inlineStr"/>
      <c r="O358" s="6" t="inlineStr"/>
      <c r="P358" s="6" t="inlineStr"/>
      <c r="Q358" s="5" t="inlineStr"/>
      <c r="R358" s="5" t="inlineStr">
        <is>
          <t>baskan</t>
        </is>
      </c>
      <c r="S358" s="5" t="inlineStr"/>
      <c r="T358" s="5" t="inlineStr"/>
      <c r="U358" s="5" t="inlineStr"/>
      <c r="V358" s="5" t="inlineStr">
        <is>
          <t>okul-temsilcisi</t>
        </is>
      </c>
      <c r="W358" s="5" t="inlineStr"/>
      <c r="X358" s="5" t="inlineStr"/>
      <c r="Y358" s="5" t="inlineStr"/>
      <c r="Z358" s="6" t="inlineStr"/>
      <c r="AA358" s="5" t="inlineStr"/>
      <c r="AB358" s="5" t="inlineStr"/>
      <c r="AC358" s="5" t="inlineStr"/>
      <c r="AD358" s="5" t="inlineStr"/>
      <c r="AE358" s="5" t="inlineStr"/>
      <c r="AF358" s="5" t="inlineStr"/>
      <c r="AG358" s="5" t="inlineStr"/>
      <c r="AH358" s="5" t="inlineStr"/>
      <c r="AI358" s="5" t="inlineStr"/>
      <c r="AJ358" s="5" t="inlineStr"/>
    </row>
    <row r="359">
      <c r="A359" s="5" t="inlineStr">
        <is>
          <t>b5-okul-temsilcisi</t>
        </is>
      </c>
      <c r="B359" s="5" t="n">
        <v>4</v>
      </c>
      <c r="C359" s="6" t="inlineStr">
        <is>
          <t>Arkadaşının kampanyasını yönet</t>
        </is>
      </c>
      <c r="D359" s="5" t="inlineStr">
        <is>
          <t>Sosyal Radar</t>
        </is>
      </c>
      <c r="E359" s="5" t="inlineStr">
        <is>
          <t>Orta</t>
        </is>
      </c>
      <c r="F359" s="5" t="inlineStr"/>
      <c r="G359" s="6" t="inlineStr"/>
      <c r="H359" s="6" t="inlineStr">
        <is>
          <t>Adayın kazandı. Gölge temsilci olarak bir dönemin daha var.</t>
        </is>
      </c>
      <c r="I359" s="6" t="inlineStr">
        <is>
          <t>Adayın kazandı. İlk icraatı ikinci tost makinesi oldu. Kantinci makinenin üstüne bir kâğıt yapıştırdı; üstünde adayın değil, senin adın yazıyor.</t>
        </is>
      </c>
      <c r="J359" s="6" t="inlineStr">
        <is>
          <t>Kampanya iyiydi. Adayın 'Geçen yıl ne yaptın?' sorusunu cevaplayamadı.</t>
        </is>
      </c>
      <c r="K359" s="6" t="inlineStr">
        <is>
          <t>Afişleri köşedeki fotokopiciye bastırdın: yüz afiş, hepsinde adayın adı bir harf eksik. Adayın afişin önünde uzun uzun durdu: “Dört yıldır sıra arkadaşıyız.” Seçim boyunca bütün okul ona afişteki adla seslendi; yıllığa da öyle geçti.</t>
        </is>
      </c>
      <c r="L359" s="6" t="inlineStr"/>
      <c r="M359" s="5" t="inlineStr"/>
      <c r="N359" s="5" t="inlineStr"/>
      <c r="O359" s="6" t="inlineStr"/>
      <c r="P359" s="6" t="inlineStr"/>
      <c r="Q359" s="5" t="inlineStr">
        <is>
          <t>Teneffüs Başkanı</t>
        </is>
      </c>
      <c r="R359" s="5" t="inlineStr"/>
      <c r="S359" s="5" t="inlineStr"/>
      <c r="T359" s="5" t="inlineStr"/>
      <c r="U359" s="5" t="inlineStr"/>
      <c r="V359" s="5" t="inlineStr"/>
      <c r="W359" s="5" t="inlineStr"/>
      <c r="X359" s="5" t="inlineStr"/>
      <c r="Y359" s="5" t="inlineStr"/>
      <c r="Z359" s="6" t="inlineStr"/>
      <c r="AA359" s="5" t="inlineStr"/>
      <c r="AB359" s="5" t="inlineStr"/>
      <c r="AC359" s="5" t="inlineStr"/>
      <c r="AD359" s="5" t="inlineStr"/>
      <c r="AE359" s="5" t="inlineStr"/>
      <c r="AF359" s="5" t="inlineStr"/>
      <c r="AG359" s="5" t="inlineStr"/>
      <c r="AH359" s="5" t="inlineStr"/>
      <c r="AI359" s="5" t="inlineStr"/>
      <c r="AJ359" s="5" t="inlineStr"/>
    </row>
    <row r="360">
      <c r="A360" s="5" t="inlineStr">
        <is>
          <t>b5-yapay-zeka-odev</t>
        </is>
      </c>
      <c r="B360" s="5" t="n">
        <v>1</v>
      </c>
      <c r="C360" s="6" t="inlineStr">
        <is>
          <t>Kendin yaz</t>
        </is>
      </c>
      <c r="D360" s="5" t="inlineStr"/>
      <c r="E360" s="5" t="inlineStr"/>
      <c r="F360" s="5" t="inlineStr">
        <is>
          <t>Akıl +1, İtibar +1</t>
        </is>
      </c>
      <c r="G360" s="6" t="inlineStr">
        <is>
          <t>Kendin yazdın ve ortalama bir not aldın. Sınıfın geri kalanı da aynı notu aynı cümlelerle almıştı.</t>
        </is>
      </c>
      <c r="H360" s="6" t="inlineStr"/>
      <c r="I360" s="6" t="inlineStr"/>
      <c r="J360" s="6" t="inlineStr"/>
      <c r="K360" s="6" t="inlineStr"/>
      <c r="L360" s="6" t="inlineStr"/>
      <c r="M360" s="5" t="inlineStr"/>
      <c r="N360" s="5" t="inlineStr"/>
      <c r="O360" s="6" t="inlineStr"/>
      <c r="P360" s="6" t="inlineStr"/>
      <c r="Q360" s="5" t="inlineStr"/>
      <c r="R360" s="5" t="inlineStr"/>
      <c r="S360" s="5" t="inlineStr"/>
      <c r="T360" s="5" t="inlineStr"/>
      <c r="U360" s="5" t="inlineStr"/>
      <c r="V360" s="5" t="inlineStr"/>
      <c r="W360" s="5" t="inlineStr"/>
      <c r="X360" s="5" t="inlineStr"/>
      <c r="Y360" s="5" t="inlineStr"/>
      <c r="Z360" s="6" t="inlineStr"/>
      <c r="AA360" s="5" t="inlineStr"/>
      <c r="AB360" s="5" t="inlineStr"/>
      <c r="AC360" s="5" t="inlineStr"/>
      <c r="AD360" s="5" t="inlineStr"/>
      <c r="AE360" s="5" t="inlineStr"/>
      <c r="AF360" s="5" t="inlineStr"/>
      <c r="AG360" s="5" t="inlineStr"/>
      <c r="AH360" s="5" t="inlineStr"/>
      <c r="AI360" s="5" t="inlineStr"/>
      <c r="AJ360" s="5" t="inlineStr"/>
    </row>
    <row r="361">
      <c r="A361" s="5" t="inlineStr">
        <is>
          <t>b5-yapay-zeka-odev</t>
        </is>
      </c>
      <c r="B361" s="5" t="n">
        <v>2</v>
      </c>
      <c r="C361" s="6" t="inlineStr">
        <is>
          <t>Asistana yazdır, biraz boz</t>
        </is>
      </c>
      <c r="D361" s="5" t="inlineStr">
        <is>
          <t>Kurnazlık</t>
        </is>
      </c>
      <c r="E361" s="5" t="inlineStr">
        <is>
          <t>Orta</t>
        </is>
      </c>
      <c r="F361" s="5" t="inlineStr"/>
      <c r="G361" s="6" t="inlineStr"/>
      <c r="H361" s="6" t="inlineStr">
        <is>
          <t>Asistana yazdırdın, üç yazım hatası ekledin. Öğretmen 'Daha özenli ol' dedi. İnsan olduğuna ikna oldu.</t>
        </is>
      </c>
      <c r="I361" s="6" t="inlineStr">
        <is>
          <t>Ödev o kadar insanca bozuldu ki öğretmen örnek ödev olarak sınıfa okudu.</t>
        </is>
      </c>
      <c r="J361" s="6" t="inlineStr">
        <is>
          <t>Öğretmen 'Bu paragrafı bir yerden hatırlıyorum' dedi. Kendi ödevinden.</t>
        </is>
      </c>
      <c r="K361" s="6" t="inlineStr">
        <is>
          <t>Ödevin son cümlesini silmeyi unuttun: “Başka bir konuda yardımcı olabilir miyim?” Öğretmen kâğıdı sınıfa yüksek sesle okudu, altına kırmızı kalemle yazdı: “Evet. Ödevini kendin yaz.”</t>
        </is>
      </c>
      <c r="L361" s="6" t="inlineStr"/>
      <c r="M361" s="5" t="inlineStr"/>
      <c r="N361" s="5" t="inlineStr"/>
      <c r="O361" s="6" t="inlineStr"/>
      <c r="P361" s="6" t="inlineStr"/>
      <c r="Q361" s="5" t="inlineStr"/>
      <c r="R361" s="5" t="inlineStr"/>
      <c r="S361" s="5" t="inlineStr"/>
      <c r="T361" s="5" t="inlineStr"/>
      <c r="U361" s="5" t="inlineStr">
        <is>
          <t>ai-kopyaci</t>
        </is>
      </c>
      <c r="V361" s="5" t="inlineStr"/>
      <c r="W361" s="5" t="inlineStr"/>
      <c r="X361" s="5" t="inlineStr"/>
      <c r="Y361" s="5" t="inlineStr"/>
      <c r="Z361" s="6" t="inlineStr"/>
      <c r="AA361" s="5" t="inlineStr"/>
      <c r="AB361" s="5" t="inlineStr"/>
      <c r="AC361" s="5" t="inlineStr"/>
      <c r="AD361" s="5" t="inlineStr"/>
      <c r="AE361" s="5" t="inlineStr"/>
      <c r="AF361" s="5" t="inlineStr"/>
      <c r="AG361" s="5" t="inlineStr"/>
      <c r="AH361" s="5" t="inlineStr"/>
      <c r="AI361" s="5" t="inlineStr">
        <is>
          <t>Yardımcı Olabilir miyim</t>
        </is>
      </c>
      <c r="AJ361" s="5" t="inlineStr"/>
    </row>
    <row r="362">
      <c r="A362" s="5" t="inlineStr">
        <is>
          <t>b5-yapay-zeka-odev</t>
        </is>
      </c>
      <c r="B362" s="5" t="n">
        <v>3</v>
      </c>
      <c r="C362" s="6" t="inlineStr">
        <is>
          <t>Yazdır, sözlü savunma hazırla</t>
        </is>
      </c>
      <c r="D362" s="5" t="inlineStr">
        <is>
          <t>Pişkinlik</t>
        </is>
      </c>
      <c r="E362" s="5" t="inlineStr">
        <is>
          <t>Kolay</t>
        </is>
      </c>
      <c r="F362" s="5" t="inlineStr"/>
      <c r="G362" s="6" t="inlineStr"/>
      <c r="H362" s="6" t="inlineStr">
        <is>
          <t>Öğretmen sorguya çekti. Savunman ödevden daha özgündü. Tam not.</t>
        </is>
      </c>
      <c r="I362" s="6" t="inlineStr">
        <is>
          <t>Yirmi dakikalık bir sözlü savunma yaptın. Ödev değil, savunma sınıfa örnek gösterildi.</t>
        </is>
      </c>
      <c r="J362" s="6" t="inlineStr">
        <is>
          <t>Savunman hazırdı. Öğretmen hiçbir şey sormadı. Sadece sıfır verdi.</t>
        </is>
      </c>
      <c r="K362" s="6" t="inlineStr">
        <is>
          <t>Savunmanın ortasında 'Bu harika bir soru!' dedin. Asistanın cümlesiydi. Öğretmen anladı.</t>
        </is>
      </c>
      <c r="L362" s="6" t="inlineStr"/>
      <c r="M362" s="5" t="inlineStr"/>
      <c r="N362" s="5" t="inlineStr"/>
      <c r="O362" s="6" t="inlineStr"/>
      <c r="P362" s="6" t="inlineStr"/>
      <c r="Q362" s="5" t="inlineStr"/>
      <c r="R362" s="5" t="inlineStr">
        <is>
          <t>yalanci</t>
        </is>
      </c>
      <c r="S362" s="5" t="inlineStr"/>
      <c r="T362" s="5" t="inlineStr"/>
      <c r="U362" s="5" t="inlineStr">
        <is>
          <t>ai-kopyaci</t>
        </is>
      </c>
      <c r="V362" s="5" t="inlineStr"/>
      <c r="W362" s="5" t="inlineStr"/>
      <c r="X362" s="5" t="inlineStr"/>
      <c r="Y362" s="5" t="inlineStr"/>
      <c r="Z362" s="6" t="inlineStr"/>
      <c r="AA362" s="5" t="inlineStr"/>
      <c r="AB362" s="5" t="inlineStr"/>
      <c r="AC362" s="5" t="inlineStr"/>
      <c r="AD362" s="5" t="inlineStr"/>
      <c r="AE362" s="5" t="inlineStr"/>
      <c r="AF362" s="5" t="inlineStr"/>
      <c r="AG362" s="5" t="inlineStr"/>
      <c r="AH362" s="5" t="inlineStr"/>
      <c r="AI362" s="5" t="inlineStr"/>
      <c r="AJ362" s="5" t="inlineStr"/>
    </row>
    <row r="363">
      <c r="A363" s="5" t="inlineStr">
        <is>
          <t>b5-yapay-zeka-odev</t>
        </is>
      </c>
      <c r="B363" s="5" t="n">
        <v>4</v>
      </c>
      <c r="C363" s="6" t="inlineStr">
        <is>
          <t>Asistanla tartışarak birlikte yaz</t>
        </is>
      </c>
      <c r="D363" s="5" t="inlineStr">
        <is>
          <t>Akıl</t>
        </is>
      </c>
      <c r="E363" s="5" t="inlineStr">
        <is>
          <t>Zor</t>
        </is>
      </c>
      <c r="F363" s="5" t="inlineStr"/>
      <c r="G363" s="6" t="inlineStr"/>
      <c r="H363" s="6" t="inlineStr">
        <is>
          <t>Kaynakları tek tek kontrol ettin. Ödev iyi oldu; asistan da senden bir şey öğrendi.</t>
        </is>
      </c>
      <c r="I363" s="6" t="inlineStr">
        <is>
          <t>Asistanın iki yanlış bilgisini yakaladın. Öğretmen ödevini değil, düzeltmelerini puanladı.</t>
        </is>
      </c>
      <c r="J363" s="6" t="inlineStr">
        <is>
          <t>Asistanla tartışırken saat üç oldu. Ödev yok ama asistanla aranız çok iyi.</t>
        </is>
      </c>
      <c r="K363" s="6" t="inlineStr">
        <is>
          <t>Asistanla tartıştın ve ikna oldun. Ödevi yanlış yüzyıl hakkında yazdın.</t>
        </is>
      </c>
      <c r="L363" s="6" t="inlineStr"/>
      <c r="M363" s="5" t="inlineStr"/>
      <c r="N363" s="5" t="inlineStr"/>
      <c r="O363" s="6" t="inlineStr"/>
      <c r="P363" s="6" t="inlineStr"/>
      <c r="Q363" s="5" t="inlineStr"/>
      <c r="R363" s="5" t="inlineStr"/>
      <c r="S363" s="5" t="inlineStr"/>
      <c r="T363" s="5" t="inlineStr">
        <is>
          <t>Şifreyi Bilen</t>
        </is>
      </c>
      <c r="U363" s="5" t="inlineStr"/>
      <c r="V363" s="5" t="inlineStr"/>
      <c r="W363" s="5" t="inlineStr"/>
      <c r="X363" s="5" t="inlineStr"/>
      <c r="Y363" s="5" t="inlineStr"/>
      <c r="Z363" s="6" t="inlineStr"/>
      <c r="AA363" s="5" t="inlineStr"/>
      <c r="AB363" s="5" t="inlineStr"/>
      <c r="AC363" s="5" t="inlineStr"/>
      <c r="AD363" s="5" t="inlineStr"/>
      <c r="AE363" s="5" t="inlineStr"/>
      <c r="AF363" s="5" t="inlineStr"/>
      <c r="AG363" s="5" t="inlineStr"/>
      <c r="AH363" s="5" t="inlineStr"/>
      <c r="AI363" s="5" t="inlineStr"/>
      <c r="AJ363" s="5" t="inlineStr"/>
    </row>
    <row r="364">
      <c r="A364" s="5" t="inlineStr">
        <is>
          <t>b5-akraba-sorgusu</t>
        </is>
      </c>
      <c r="B364" s="5" t="n">
        <v>1</v>
      </c>
      <c r="C364" s="6" t="inlineStr">
        <is>
          <t>'Doktor' de</t>
        </is>
      </c>
      <c r="D364" s="5" t="inlineStr"/>
      <c r="E364" s="5" t="inlineStr"/>
      <c r="F364" s="5" t="inlineStr">
        <is>
          <t>Pişkinlik +1</t>
        </is>
      </c>
      <c r="G364" s="6" t="inlineStr">
        <is>
          <t>'Doktor' dedin. Salon rahatladı. Kimse biyoloji notunu sormadı.</t>
        </is>
      </c>
      <c r="H364" s="6" t="inlineStr"/>
      <c r="I364" s="6" t="inlineStr"/>
      <c r="J364" s="6" t="inlineStr"/>
      <c r="K364" s="6" t="inlineStr"/>
      <c r="L364" s="6" t="inlineStr"/>
      <c r="M364" s="5" t="inlineStr"/>
      <c r="N364" s="5" t="inlineStr"/>
      <c r="O364" s="6" t="inlineStr"/>
      <c r="P364" s="6" t="inlineStr"/>
      <c r="Q364" s="5" t="inlineStr"/>
      <c r="R364" s="5" t="inlineStr"/>
      <c r="S364" s="5" t="inlineStr"/>
      <c r="T364" s="5" t="inlineStr"/>
      <c r="U364" s="5" t="inlineStr"/>
      <c r="V364" s="5" t="inlineStr"/>
      <c r="W364" s="5" t="inlineStr"/>
      <c r="X364" s="5" t="inlineStr"/>
      <c r="Y364" s="5" t="inlineStr"/>
      <c r="Z364" s="6" t="inlineStr"/>
      <c r="AA364" s="5" t="inlineStr"/>
      <c r="AB364" s="5" t="inlineStr"/>
      <c r="AC364" s="5" t="inlineStr"/>
      <c r="AD364" s="5" t="inlineStr"/>
      <c r="AE364" s="5" t="inlineStr"/>
      <c r="AF364" s="5" t="inlineStr"/>
      <c r="AG364" s="5" t="inlineStr"/>
      <c r="AH364" s="5" t="inlineStr"/>
      <c r="AI364" s="5" t="inlineStr"/>
      <c r="AJ364" s="5" t="inlineStr"/>
    </row>
    <row r="365">
      <c r="A365" s="5" t="inlineStr">
        <is>
          <t>b5-akraba-sorgusu</t>
        </is>
      </c>
      <c r="B365" s="5" t="n">
        <v>2</v>
      </c>
      <c r="C365" s="6" t="inlineStr">
        <is>
          <t>Gerçek hayalini anlat</t>
        </is>
      </c>
      <c r="D365" s="5" t="inlineStr">
        <is>
          <t>Cesaret</t>
        </is>
      </c>
      <c r="E365" s="5" t="inlineStr">
        <is>
          <t>Orta</t>
        </is>
      </c>
      <c r="F365" s="5" t="inlineStr"/>
      <c r="G365" s="6" t="inlineStr"/>
      <c r="H365" s="6" t="inlineStr">
        <is>
          <t>“Oyun tasarımcısı olacağım” dedin. Deden kaşlarını kaldırdı: “Biz oyunu sokakta bedavaya oynardık.” Bir kuzen alkışladı, iki teyze “Ne dedi?” diye birbirine sordu.</t>
        </is>
      </c>
      <c r="I365" s="6" t="inlineStr">
        <is>
          <t>Hayalini öyle anlattın ki en küçük kuzenin “Ben de onu olacağım” dedi. Teyzen sana ters ters baktı. İlk hayranın dokuz yaşında.</t>
        </is>
      </c>
      <c r="J365" s="6" t="inlineStr">
        <is>
          <t>Hayalini anlattın. Büyük halan çayını karıştırdı: “O iş değil ki yavrum.” Sonra lafı teyzenin kızının tıp kazanmasına getirdi.</t>
        </is>
      </c>
      <c r="K365" s="6" t="inlineStr">
        <is>
          <t>Hayalini anlattın. Artık her ziyarette bir akraba 'Nasıl gidiyor o iş?' diye soruyor. İş yok.</t>
        </is>
      </c>
      <c r="L365" s="6" t="inlineStr"/>
      <c r="M365" s="5" t="inlineStr"/>
      <c r="N365" s="5" t="inlineStr"/>
      <c r="O365" s="6" t="inlineStr"/>
      <c r="P365" s="6" t="inlineStr"/>
      <c r="Q365" s="5" t="inlineStr"/>
      <c r="R365" s="5" t="inlineStr"/>
      <c r="S365" s="5" t="inlineStr"/>
      <c r="T365" s="5" t="inlineStr"/>
      <c r="U365" s="5" t="inlineStr"/>
      <c r="V365" s="5" t="inlineStr"/>
      <c r="W365" s="5" t="inlineStr"/>
      <c r="X365" s="5" t="inlineStr"/>
      <c r="Y365" s="5" t="inlineStr"/>
      <c r="Z365" s="6" t="inlineStr"/>
      <c r="AA365" s="5" t="inlineStr"/>
      <c r="AB365" s="5" t="inlineStr"/>
      <c r="AC365" s="5" t="inlineStr"/>
      <c r="AD365" s="5" t="inlineStr"/>
      <c r="AE365" s="5" t="inlineStr"/>
      <c r="AF365" s="5" t="inlineStr"/>
      <c r="AG365" s="5" t="inlineStr"/>
      <c r="AH365" s="5" t="inlineStr"/>
      <c r="AI365" s="5" t="inlineStr"/>
      <c r="AJ365" s="5" t="inlineStr"/>
    </row>
    <row r="366">
      <c r="A366" s="5" t="inlineStr">
        <is>
          <t>b5-akraba-sorgusu</t>
        </is>
      </c>
      <c r="B366" s="5" t="n">
        <v>3</v>
      </c>
      <c r="C366" s="6" t="inlineStr">
        <is>
          <t>'Siz ne olmamı istersiniz?' de</t>
        </is>
      </c>
      <c r="D366" s="5" t="inlineStr">
        <is>
          <t>Çene</t>
        </is>
      </c>
      <c r="E366" s="5" t="inlineStr">
        <is>
          <t>Kolay</t>
        </is>
      </c>
      <c r="F366" s="5" t="inlineStr"/>
      <c r="G366" s="6" t="inlineStr"/>
      <c r="H366" s="6" t="inlineStr">
        <is>
          <t>Soruyu geri attın. On bir akraba kırk dakika tartıştı. Sen kuruyemişi bitirdin.</t>
        </is>
      </c>
      <c r="I366" s="6" t="inlineStr">
        <is>
          <t>Salon tıp ve mühendislik diye ikiye bölündü. Sen oylamayı beklemeden kapıdan çıktın.</t>
        </is>
      </c>
      <c r="J366" s="6" t="inlineStr">
        <is>
          <t>Soruyu geri attın. Büyük hala 'Ben sordum' dedi.</t>
        </is>
      </c>
      <c r="K366" s="6" t="inlineStr">
        <is>
          <t>Soruyu geri attın. On bir akraba aynı anda 'Doktor' dedi. Oy birliği sağlandı.</t>
        </is>
      </c>
      <c r="L366" s="6" t="inlineStr"/>
      <c r="M366" s="5" t="inlineStr"/>
      <c r="N366" s="5" t="inlineStr"/>
      <c r="O366" s="6" t="inlineStr"/>
      <c r="P366" s="6" t="inlineStr"/>
      <c r="Q366" s="5" t="inlineStr"/>
      <c r="R366" s="5" t="inlineStr"/>
      <c r="S366" s="5" t="inlineStr">
        <is>
          <t>Çene</t>
        </is>
      </c>
      <c r="T366" s="5" t="inlineStr"/>
      <c r="U366" s="5" t="inlineStr"/>
      <c r="V366" s="5" t="inlineStr"/>
      <c r="W366" s="5" t="inlineStr"/>
      <c r="X366" s="5" t="inlineStr"/>
      <c r="Y366" s="5" t="inlineStr"/>
      <c r="Z366" s="6" t="inlineStr"/>
      <c r="AA366" s="5" t="inlineStr"/>
      <c r="AB366" s="5" t="inlineStr"/>
      <c r="AC366" s="5" t="inlineStr"/>
      <c r="AD366" s="5" t="inlineStr"/>
      <c r="AE366" s="5" t="inlineStr"/>
      <c r="AF366" s="5" t="inlineStr"/>
      <c r="AG366" s="5" t="inlineStr"/>
      <c r="AH366" s="5" t="inlineStr"/>
      <c r="AI366" s="5" t="inlineStr"/>
      <c r="AJ366" s="5" t="inlineStr"/>
    </row>
    <row r="367">
      <c r="A367" s="5" t="inlineStr">
        <is>
          <t>b5-akraba-sorgusu</t>
        </is>
      </c>
      <c r="B367" s="5" t="n">
        <v>4</v>
      </c>
      <c r="C367" s="6" t="inlineStr">
        <is>
          <t>Ağzını hep dolu tut</t>
        </is>
      </c>
      <c r="D367" s="5" t="inlineStr">
        <is>
          <t>Dayanıklılık</t>
        </is>
      </c>
      <c r="E367" s="5" t="inlineStr">
        <is>
          <t>Kolay</t>
        </is>
      </c>
      <c r="F367" s="5" t="inlineStr"/>
      <c r="G367" s="6" t="inlineStr"/>
      <c r="H367" s="6" t="inlineStr">
        <is>
          <t>Ağzın bir saat boyunca doluydu. Soru sonunda başka bir kuzene geçti.</t>
        </is>
      </c>
      <c r="I367" s="6" t="inlineStr">
        <is>
          <t>Tabağın dibini gördün; tabak yenilendi, soru hiç sana dönmedi.</t>
        </is>
      </c>
      <c r="J367" s="6" t="inlineStr">
        <is>
          <t>Ağzın doluyken sordular. Beklediler. Sen yuttun. Hâlâ bekliyorlardı.</t>
        </is>
      </c>
      <c r="K367" s="6" t="inlineStr">
        <is>
          <t>Fıstık yanlış yere kaçtı. Biri su getirdi. Soru bu kez 'Doktor olsan bunu bilirdin' diye geldi.</t>
        </is>
      </c>
      <c r="L367" s="6" t="inlineStr"/>
      <c r="M367" s="5" t="inlineStr"/>
      <c r="N367" s="5" t="inlineStr"/>
      <c r="O367" s="6" t="inlineStr"/>
      <c r="P367" s="6" t="inlineStr"/>
      <c r="Q367" s="5" t="inlineStr"/>
      <c r="R367" s="5" t="inlineStr"/>
      <c r="S367" s="5" t="inlineStr"/>
      <c r="T367" s="5" t="inlineStr"/>
      <c r="U367" s="5" t="inlineStr"/>
      <c r="V367" s="5" t="inlineStr"/>
      <c r="W367" s="5" t="inlineStr"/>
      <c r="X367" s="5" t="inlineStr"/>
      <c r="Y367" s="5" t="inlineStr"/>
      <c r="Z367" s="6" t="inlineStr"/>
      <c r="AA367" s="5" t="inlineStr"/>
      <c r="AB367" s="5" t="inlineStr"/>
      <c r="AC367" s="5" t="inlineStr"/>
      <c r="AD367" s="5" t="inlineStr"/>
      <c r="AE367" s="5" t="inlineStr"/>
      <c r="AF367" s="5" t="inlineStr"/>
      <c r="AG367" s="5" t="inlineStr"/>
      <c r="AH367" s="5" t="inlineStr"/>
      <c r="AI367" s="5" t="inlineStr"/>
      <c r="AJ367" s="5" t="inlineStr"/>
    </row>
    <row r="368">
      <c r="A368" s="5" t="inlineStr">
        <is>
          <t>b5-okul-gezisi</t>
        </is>
      </c>
      <c r="B368" s="5" t="n">
        <v>1</v>
      </c>
      <c r="C368" s="6" t="inlineStr">
        <is>
          <t>Öğretmenin yanına otur</t>
        </is>
      </c>
      <c r="D368" s="5" t="inlineStr"/>
      <c r="E368" s="5" t="inlineStr"/>
      <c r="F368" s="5" t="inlineStr">
        <is>
          <t>Akıl +1</t>
        </is>
      </c>
      <c r="G368" s="6" t="inlineStr">
        <is>
          <t>Dört saat öğretmenin yanında oturdun. Öğretmen önce yöre tarihini, sonra kayınvalidesini anlattı. Müzeye vardığınızda ikisini de ezbere biliyordun.</t>
        </is>
      </c>
      <c r="H368" s="6" t="inlineStr"/>
      <c r="I368" s="6" t="inlineStr"/>
      <c r="J368" s="6" t="inlineStr"/>
      <c r="K368" s="6" t="inlineStr"/>
      <c r="L368" s="6" t="inlineStr"/>
      <c r="M368" s="5" t="inlineStr"/>
      <c r="N368" s="5" t="inlineStr"/>
      <c r="O368" s="6" t="inlineStr"/>
      <c r="P368" s="6" t="inlineStr"/>
      <c r="Q368" s="5" t="inlineStr"/>
      <c r="R368" s="5" t="inlineStr"/>
      <c r="S368" s="5" t="inlineStr"/>
      <c r="T368" s="5" t="inlineStr"/>
      <c r="U368" s="5" t="inlineStr"/>
      <c r="V368" s="5" t="inlineStr"/>
      <c r="W368" s="5" t="inlineStr"/>
      <c r="X368" s="5" t="inlineStr"/>
      <c r="Y368" s="5" t="inlineStr"/>
      <c r="Z368" s="6" t="inlineStr"/>
      <c r="AA368" s="5" t="inlineStr"/>
      <c r="AB368" s="5" t="inlineStr"/>
      <c r="AC368" s="5" t="inlineStr"/>
      <c r="AD368" s="5" t="inlineStr"/>
      <c r="AE368" s="5" t="inlineStr"/>
      <c r="AF368" s="5" t="inlineStr"/>
      <c r="AG368" s="5" t="inlineStr"/>
      <c r="AH368" s="5" t="inlineStr"/>
      <c r="AI368" s="5" t="inlineStr"/>
      <c r="AJ368" s="5" t="inlineStr"/>
    </row>
    <row r="369">
      <c r="A369" s="5" t="inlineStr">
        <is>
          <t>b5-okul-gezisi</t>
        </is>
      </c>
      <c r="B369" s="5" t="n">
        <v>2</v>
      </c>
      <c r="C369" s="6" t="inlineStr">
        <is>
          <t>Arka koltuğa sız</t>
        </is>
      </c>
      <c r="D369" s="5" t="inlineStr">
        <is>
          <t>Pişkinlik</t>
        </is>
      </c>
      <c r="E369" s="5" t="inlineStr">
        <is>
          <t>Zor</t>
        </is>
      </c>
      <c r="F369" s="5" t="inlineStr"/>
      <c r="G369" s="6" t="inlineStr"/>
      <c r="H369" s="6" t="inlineStr">
        <is>
          <t>Arka koltuğa oturdun ve kimse bir şey demedi. Tapuya şerh düşüldü.</t>
        </is>
      </c>
      <c r="I369" s="6" t="inlineStr">
        <is>
          <t>Dönüş yolunda müzik seçimi sana geçti. Ön koltuktaki öğretmen bile ayağıyla tempo tutuyordu.</t>
        </is>
      </c>
      <c r="J369" s="6" t="inlineStr">
        <is>
          <t>Arka koltuğa oturdun. Sahibi geldi, bir şey demedi, sadece durdu. Sen kalktın.</t>
        </is>
      </c>
      <c r="K369" s="6" t="inlineStr">
        <is>
          <t>İlk virajda koltuktan kayıp ön tarafa kadar geldin. Dönüşte öğretmenin yanı sana ayrıldı.</t>
        </is>
      </c>
      <c r="L369" s="6" t="inlineStr"/>
      <c r="M369" s="5" t="inlineStr"/>
      <c r="N369" s="5" t="inlineStr"/>
      <c r="O369" s="6" t="inlineStr"/>
      <c r="P369" s="6" t="inlineStr"/>
      <c r="Q369" s="5" t="inlineStr"/>
      <c r="R369" s="5" t="inlineStr"/>
      <c r="S369" s="5" t="inlineStr"/>
      <c r="T369" s="5" t="inlineStr"/>
      <c r="U369" s="5" t="inlineStr"/>
      <c r="V369" s="5" t="inlineStr"/>
      <c r="W369" s="5" t="inlineStr"/>
      <c r="X369" s="5" t="inlineStr"/>
      <c r="Y369" s="5" t="inlineStr"/>
      <c r="Z369" s="6" t="inlineStr"/>
      <c r="AA369" s="5" t="inlineStr"/>
      <c r="AB369" s="5" t="inlineStr"/>
      <c r="AC369" s="5" t="inlineStr"/>
      <c r="AD369" s="5" t="inlineStr"/>
      <c r="AE369" s="5" t="inlineStr"/>
      <c r="AF369" s="5" t="inlineStr"/>
      <c r="AG369" s="5" t="inlineStr"/>
      <c r="AH369" s="5" t="inlineStr"/>
      <c r="AI369" s="5" t="inlineStr"/>
      <c r="AJ369" s="5" t="inlineStr"/>
    </row>
    <row r="370">
      <c r="A370" s="5" t="inlineStr">
        <is>
          <t>b5-okul-gezisi</t>
        </is>
      </c>
      <c r="B370" s="5" t="n">
        <v>3</v>
      </c>
      <c r="C370" s="6" t="inlineStr">
        <is>
          <t>Yolculuk listesi hazırla</t>
        </is>
      </c>
      <c r="D370" s="5" t="inlineStr">
        <is>
          <t>Sosyal Radar</t>
        </is>
      </c>
      <c r="E370" s="5" t="inlineStr">
        <is>
          <t>Orta</t>
        </is>
      </c>
      <c r="F370" s="5" t="inlineStr"/>
      <c r="G370" s="6" t="inlineStr"/>
      <c r="H370" s="6" t="inlineStr">
        <is>
          <t>Listen tuttu. Arka koltuk ilk kez ön koltukla aynı şarkıyı söyledi.</t>
        </is>
      </c>
      <c r="I370" s="6" t="inlineStr">
        <is>
          <t>Gezinin asıl anısı listen oldu. Müzeyi kimse hatırlamıyor.</t>
        </is>
      </c>
      <c r="J370" s="6" t="inlineStr">
        <is>
          <t>Listeyi açtın. Şoför kendi radyosunu açtı.</t>
        </is>
      </c>
      <c r="K370" s="6" t="inlineStr">
        <is>
          <t>Listenin ortasına annenin şarkıları karışmış. Bütün otobüs hep bir ağızdan söyledi; sana gülerek.</t>
        </is>
      </c>
      <c r="L370" s="6" t="inlineStr"/>
      <c r="M370" s="5" t="inlineStr"/>
      <c r="N370" s="5" t="inlineStr"/>
      <c r="O370" s="6" t="inlineStr"/>
      <c r="P370" s="6" t="inlineStr"/>
      <c r="Q370" s="5" t="inlineStr"/>
      <c r="R370" s="5" t="inlineStr"/>
      <c r="S370" s="5" t="inlineStr"/>
      <c r="T370" s="5" t="inlineStr"/>
      <c r="U370" s="5" t="inlineStr"/>
      <c r="V370" s="5" t="inlineStr"/>
      <c r="W370" s="5" t="inlineStr"/>
      <c r="X370" s="5" t="inlineStr"/>
      <c r="Y370" s="5" t="inlineStr"/>
      <c r="Z370" s="6" t="inlineStr"/>
      <c r="AA370" s="5" t="inlineStr"/>
      <c r="AB370" s="5" t="inlineStr"/>
      <c r="AC370" s="5" t="inlineStr"/>
      <c r="AD370" s="5" t="inlineStr"/>
      <c r="AE370" s="5" t="inlineStr"/>
      <c r="AF370" s="5" t="inlineStr"/>
      <c r="AG370" s="5" t="inlineStr"/>
      <c r="AH370" s="5" t="inlineStr"/>
      <c r="AI370" s="5" t="inlineStr"/>
      <c r="AJ370" s="5" t="inlineStr"/>
    </row>
    <row r="371">
      <c r="A371" s="5" t="inlineStr">
        <is>
          <t>b5-fenomen-video</t>
        </is>
      </c>
      <c r="B371" s="5" t="n">
        <v>1</v>
      </c>
      <c r="C371" s="6" t="inlineStr">
        <is>
          <t>Telefonu kapat</t>
        </is>
      </c>
      <c r="D371" s="5" t="inlineStr"/>
      <c r="E371" s="5" t="inlineStr"/>
      <c r="F371" s="5" t="inlineStr">
        <is>
          <t>Dayanıklılık +1</t>
        </is>
      </c>
      <c r="G371" s="6" t="inlineStr">
        <is>
          <t>Telefonu kapattın. Ertesi sabah sayı durmuştu; internet başka birine geçmişti. Teyzen yine de videoyu aile grubuna attı.</t>
        </is>
      </c>
      <c r="H371" s="6" t="inlineStr"/>
      <c r="I371" s="6" t="inlineStr"/>
      <c r="J371" s="6" t="inlineStr"/>
      <c r="K371" s="6" t="inlineStr"/>
      <c r="L371" s="6" t="inlineStr"/>
      <c r="M371" s="5" t="inlineStr"/>
      <c r="N371" s="5" t="inlineStr"/>
      <c r="O371" s="6" t="inlineStr"/>
      <c r="P371" s="6" t="inlineStr"/>
      <c r="Q371" s="5" t="inlineStr"/>
      <c r="R371" s="5" t="inlineStr"/>
      <c r="S371" s="5" t="inlineStr"/>
      <c r="T371" s="5" t="inlineStr"/>
      <c r="U371" s="5" t="inlineStr"/>
      <c r="V371" s="5" t="inlineStr"/>
      <c r="W371" s="5" t="inlineStr"/>
      <c r="X371" s="5" t="inlineStr"/>
      <c r="Y371" s="5" t="inlineStr"/>
      <c r="Z371" s="6" t="inlineStr"/>
      <c r="AA371" s="5" t="inlineStr"/>
      <c r="AB371" s="5" t="inlineStr"/>
      <c r="AC371" s="5" t="inlineStr"/>
      <c r="AD371" s="5" t="inlineStr"/>
      <c r="AE371" s="5" t="inlineStr"/>
      <c r="AF371" s="5" t="inlineStr"/>
      <c r="AG371" s="5" t="inlineStr"/>
      <c r="AH371" s="5" t="inlineStr"/>
      <c r="AI371" s="5" t="inlineStr"/>
      <c r="AJ371" s="5" t="inlineStr"/>
    </row>
    <row r="372">
      <c r="A372" s="5" t="inlineStr">
        <is>
          <t>b5-fenomen-video</t>
        </is>
      </c>
      <c r="B372" s="5" t="n">
        <v>2</v>
      </c>
      <c r="C372" s="6" t="inlineStr">
        <is>
          <t>Hemen ikinci videoyu çek</t>
        </is>
      </c>
      <c r="D372" s="5" t="inlineStr">
        <is>
          <t>Pişkinlik</t>
        </is>
      </c>
      <c r="E372" s="5" t="inlineStr">
        <is>
          <t>Zor</t>
        </is>
      </c>
      <c r="F372" s="5" t="inlineStr"/>
      <c r="G372" s="6" t="inlineStr"/>
      <c r="H372" s="6" t="inlineStr">
        <is>
          <t>İkinci video da tuttu. Mahallede sana artık “o video” diye sesleniyorlar; bakkal bile.</t>
        </is>
      </c>
      <c r="I372" s="6" t="inlineStr">
        <is>
          <t>Üçüncü video mahalle dönercisinden sponsorluk getirdi. Ömür boyu yarım porsiyon bedava.</t>
        </is>
      </c>
      <c r="J372" s="6" t="inlineStr">
        <is>
          <t>İkinci video kırk izlenme aldı. Otuz dokuzu sensin.</t>
        </is>
      </c>
      <c r="K372" s="6" t="inlineStr">
        <is>
          <t>İkinci videoda annen arkadan geçti; bornozla. İlkinden çok izlendi. Annen artık pazarda tanınıyor; sen “bornozlu teyzenin çocuğu”sun.</t>
        </is>
      </c>
      <c r="L372" s="6" t="inlineStr"/>
      <c r="M372" s="5" t="inlineStr"/>
      <c r="N372" s="5" t="inlineStr"/>
      <c r="O372" s="6" t="inlineStr"/>
      <c r="P372" s="6" t="inlineStr"/>
      <c r="Q372" s="5" t="inlineStr"/>
      <c r="R372" s="5" t="inlineStr"/>
      <c r="S372" s="5" t="inlineStr"/>
      <c r="T372" s="5" t="inlineStr"/>
      <c r="U372" s="5" t="inlineStr"/>
      <c r="V372" s="5" t="inlineStr">
        <is>
          <t>fenomen</t>
        </is>
      </c>
      <c r="W372" s="5" t="inlineStr"/>
      <c r="X372" s="5" t="inlineStr"/>
      <c r="Y372" s="5" t="inlineStr"/>
      <c r="Z372" s="6" t="inlineStr"/>
      <c r="AA372" s="5" t="inlineStr"/>
      <c r="AB372" s="5" t="inlineStr"/>
      <c r="AC372" s="5" t="inlineStr"/>
      <c r="AD372" s="5" t="inlineStr"/>
      <c r="AE372" s="5" t="inlineStr"/>
      <c r="AF372" s="5" t="inlineStr"/>
      <c r="AG372" s="5" t="inlineStr"/>
      <c r="AH372" s="5" t="inlineStr"/>
      <c r="AI372" s="5" t="inlineStr"/>
      <c r="AJ372" s="5" t="inlineStr"/>
    </row>
    <row r="373">
      <c r="A373" s="5" t="inlineStr">
        <is>
          <t>b5-fenomen-video</t>
        </is>
      </c>
      <c r="B373" s="5" t="n">
        <v>3</v>
      </c>
      <c r="C373" s="6" t="inlineStr">
        <is>
          <t>Eski takipçilerine seslen</t>
        </is>
      </c>
      <c r="D373" s="5" t="inlineStr">
        <is>
          <t>Çene</t>
        </is>
      </c>
      <c r="E373" s="5" t="inlineStr">
        <is>
          <t>Kolay</t>
        </is>
      </c>
      <c r="F373" s="5" t="inlineStr"/>
      <c r="G373" s="6" t="inlineStr"/>
      <c r="H373" s="6" t="inlineStr">
        <is>
          <t>Eski takipçilerin geri döndü. İlk yorum halandan geldi: “Bu benim yeğenim!” Altına kırk kişi kalp bıraktı.</t>
        </is>
      </c>
      <c r="I373" s="6" t="inlineStr">
        <is>
          <t>Geri dönüşün eski şöhretini ikiye katladı. Bir teyze otobüste seni tanıyıp yer verdi. Kariyer zirvesi.</t>
        </is>
      </c>
      <c r="J373" s="6" t="inlineStr">
        <is>
          <t>Seslendin. Takipçilerin başka birine seslenmekle meşgul.</t>
        </is>
      </c>
      <c r="K373" s="6" t="inlineStr">
        <is>
          <t>Seslenişte heyecandan kendi adını yanlış söyledin. Bir hafta boyunca yorumlarda sana o adla seslenildi; teyzen dahil.</t>
        </is>
      </c>
      <c r="L373" s="6" t="inlineStr"/>
      <c r="M373" s="5" t="inlineStr"/>
      <c r="N373" s="5" t="inlineStr"/>
      <c r="O373" s="6" t="inlineStr"/>
      <c r="P373" s="6" t="inlineStr"/>
      <c r="Q373" s="5" t="inlineStr"/>
      <c r="R373" s="5" t="inlineStr">
        <is>
          <t>fenomen</t>
        </is>
      </c>
      <c r="S373" s="5" t="inlineStr"/>
      <c r="T373" s="5" t="inlineStr"/>
      <c r="U373" s="5" t="inlineStr"/>
      <c r="V373" s="5" t="inlineStr">
        <is>
          <t>fenomen</t>
        </is>
      </c>
      <c r="W373" s="5" t="inlineStr"/>
      <c r="X373" s="5" t="inlineStr"/>
      <c r="Y373" s="5" t="inlineStr"/>
      <c r="Z373" s="6" t="inlineStr"/>
      <c r="AA373" s="5" t="inlineStr"/>
      <c r="AB373" s="5" t="inlineStr"/>
      <c r="AC373" s="5" t="inlineStr"/>
      <c r="AD373" s="5" t="inlineStr"/>
      <c r="AE373" s="5" t="inlineStr"/>
      <c r="AF373" s="5" t="inlineStr"/>
      <c r="AG373" s="5" t="inlineStr"/>
      <c r="AH373" s="5" t="inlineStr"/>
      <c r="AI373" s="5" t="inlineStr"/>
      <c r="AJ373" s="5" t="inlineStr"/>
    </row>
    <row r="374">
      <c r="A374" s="5" t="inlineStr">
        <is>
          <t>b5-fenomen-video</t>
        </is>
      </c>
      <c r="B374" s="5" t="n">
        <v>4</v>
      </c>
      <c r="C374" s="6" t="inlineStr">
        <is>
          <t>Gelen teklifleri değerlendir</t>
        </is>
      </c>
      <c r="D374" s="5" t="inlineStr">
        <is>
          <t>Kurnazlık</t>
        </is>
      </c>
      <c r="E374" s="5" t="inlineStr">
        <is>
          <t>Orta</t>
        </is>
      </c>
      <c r="F374" s="5" t="inlineStr"/>
      <c r="G374" s="6" t="inlineStr"/>
      <c r="H374" s="6" t="inlineStr">
        <is>
          <t>Tek teklifi kabul ettin: mahalle kırtasiyesinin tanıtımı. Karşılığı bir yıllık defter.</t>
        </is>
      </c>
      <c r="I374" s="6" t="inlineStr">
        <is>
          <t>Teklifi pazarlıkla ikiye katladın: iki yıllık defter ve bir hesap makinesi.</t>
        </is>
      </c>
      <c r="J374" s="6" t="inlineStr">
        <is>
          <t>Menajerin olduğunu söyleyen kişi sınıftan biriymiş. Yüzde elli istedi.</t>
        </is>
      </c>
      <c r="K374" s="6" t="inlineStr">
        <is>
          <t>Menajerlik sözleşmesi imzaladın. Menajer kuzenin çıktı. Hâlâ komisyonunu soruyor.</t>
        </is>
      </c>
      <c r="L374" s="6" t="inlineStr"/>
      <c r="M374" s="5" t="inlineStr"/>
      <c r="N374" s="5" t="inlineStr"/>
      <c r="O374" s="6" t="inlineStr"/>
      <c r="P374" s="6" t="inlineStr"/>
      <c r="Q374" s="5" t="inlineStr"/>
      <c r="R374" s="5" t="inlineStr"/>
      <c r="S374" s="5" t="inlineStr"/>
      <c r="T374" s="5" t="inlineStr"/>
      <c r="U374" s="5" t="inlineStr"/>
      <c r="V374" s="5" t="inlineStr"/>
      <c r="W374" s="5" t="inlineStr"/>
      <c r="X374" s="5" t="inlineStr"/>
      <c r="Y374" s="5" t="inlineStr"/>
      <c r="Z374" s="6" t="inlineStr"/>
      <c r="AA374" s="5" t="inlineStr"/>
      <c r="AB374" s="5" t="inlineStr"/>
      <c r="AC374" s="5" t="inlineStr"/>
      <c r="AD374" s="5" t="inlineStr"/>
      <c r="AE374" s="5" t="inlineStr"/>
      <c r="AF374" s="5" t="inlineStr"/>
      <c r="AG374" s="5" t="inlineStr"/>
      <c r="AH374" s="5" t="inlineStr"/>
      <c r="AI374" s="5" t="inlineStr"/>
      <c r="AJ374" s="5" t="inlineStr"/>
    </row>
    <row r="375">
      <c r="A375" s="5" t="inlineStr">
        <is>
          <t>b5-yaz-isi-garson</t>
        </is>
      </c>
      <c r="B375" s="5" t="n">
        <v>1</v>
      </c>
      <c r="C375" s="6" t="inlineStr">
        <is>
          <t>Tepsiyi taşı</t>
        </is>
      </c>
      <c r="D375" s="5" t="inlineStr">
        <is>
          <t>Dayanıklılık</t>
        </is>
      </c>
      <c r="E375" s="5" t="inlineStr">
        <is>
          <t>Orta</t>
        </is>
      </c>
      <c r="F375" s="5" t="inlineStr"/>
      <c r="G375" s="6" t="inlineStr"/>
      <c r="H375" s="6" t="inlineStr">
        <is>
          <t>On iki çayı dökmeden taşıdın. Patron başını salladı; ertesi gün tepsine on üçüncü bardağı koydu.</t>
        </is>
      </c>
      <c r="I375" s="6" t="inlineStr">
        <is>
          <t>Tepsiyi tek elle taşırken bir yandan müşteriye laf yetiştirdin. Patron sana 'usta' diyor.</t>
        </is>
      </c>
      <c r="J375" s="6" t="inlineStr">
        <is>
          <t>Bardaklar tabaklara taştı. Müşteriler 'Çay mı bu, çay çorbası mı?' diye soruyor.</t>
        </is>
      </c>
      <c r="K375" s="6" t="inlineStr">
        <is>
          <t>Tepsi masaya ulaştı. Sen ulaşamadın. On iki bardak, bir şekerlik ve sen yerdeydiniz. Müdavim bir amca alkışladı, sonra bütün bahçe; patron kırıkları tek tek sayıp deftere yazdı.</t>
        </is>
      </c>
      <c r="L375" s="6" t="inlineStr">
        <is>
          <t>Çayların çoğu yerine ulaştı. Şekerlik ulaşamadı; martılar memnun.</t>
        </is>
      </c>
      <c r="M375" s="5" t="inlineStr">
        <is>
          <t>tower</t>
        </is>
      </c>
      <c r="N375" s="5" t="inlineStr">
        <is>
          <t>Çay Tepsisi</t>
        </is>
      </c>
      <c r="O375" s="6" t="inlineStr">
        <is>
          <t>Kaymadan üst üste dizmek için doğru anda BIRAK'a bas.</t>
        </is>
      </c>
      <c r="P375" s="6" t="inlineStr">
        <is>
          <t>{"item": "🫖"}</t>
        </is>
      </c>
      <c r="Q375" s="5" t="inlineStr"/>
      <c r="R375" s="5" t="inlineStr"/>
      <c r="S375" s="5" t="inlineStr"/>
      <c r="T375" s="5" t="inlineStr"/>
      <c r="U375" s="5" t="inlineStr"/>
      <c r="V375" s="5" t="inlineStr"/>
      <c r="W375" s="5" t="inlineStr"/>
      <c r="X375" s="5" t="inlineStr"/>
      <c r="Y375" s="5" t="inlineStr"/>
      <c r="Z375" s="6" t="inlineStr"/>
      <c r="AA375" s="5" t="inlineStr"/>
      <c r="AB375" s="5" t="inlineStr"/>
      <c r="AC375" s="5" t="inlineStr"/>
      <c r="AD375" s="5" t="inlineStr"/>
      <c r="AE375" s="5" t="inlineStr"/>
      <c r="AF375" s="5" t="inlineStr"/>
      <c r="AG375" s="5" t="inlineStr"/>
      <c r="AH375" s="5" t="inlineStr"/>
      <c r="AI375" s="5" t="inlineStr"/>
      <c r="AJ375" s="5" t="inlineStr"/>
    </row>
    <row r="376">
      <c r="A376" s="5" t="inlineStr">
        <is>
          <t>b5-yaz-isi-garson</t>
        </is>
      </c>
      <c r="B376" s="5" t="n">
        <v>2</v>
      </c>
      <c r="C376" s="6" t="inlineStr">
        <is>
          <t>Siparişleri akılda tut</t>
        </is>
      </c>
      <c r="D376" s="5" t="inlineStr">
        <is>
          <t>Akıl</t>
        </is>
      </c>
      <c r="E376" s="5" t="inlineStr">
        <is>
          <t>Kolay</t>
        </is>
      </c>
      <c r="F376" s="5" t="inlineStr"/>
      <c r="G376" s="6" t="inlineStr"/>
      <c r="H376" s="6" t="inlineStr">
        <is>
          <t>Deftersiz sipariş aldın, hepsini doğru getirdin. Bahşişler senin masalarına bırakıldı.</t>
        </is>
      </c>
      <c r="I376" s="6" t="inlineStr">
        <is>
          <t>Müdavimlerin siparişini onlar söylemeden getiriyorsun. Bahşiş kavanozu adınla anılıyor.</t>
        </is>
      </c>
      <c r="J376" s="6" t="inlineStr">
        <is>
          <t>Siparişleri hatırladın, masaları karıştırdın. Açık çay isteyen iki şekerli demli içti.</t>
        </is>
      </c>
      <c r="K376" s="6" t="inlineStr">
        <is>
          <t>Bütün siparişleri eksiksiz ve doğru getirdin. Yandaki çay bahçesine.</t>
        </is>
      </c>
      <c r="L376" s="6" t="inlineStr"/>
      <c r="M376" s="5" t="inlineStr"/>
      <c r="N376" s="5" t="inlineStr"/>
      <c r="O376" s="6" t="inlineStr"/>
      <c r="P376" s="6" t="inlineStr"/>
      <c r="Q376" s="5" t="inlineStr"/>
      <c r="R376" s="5" t="inlineStr"/>
      <c r="S376" s="5" t="inlineStr"/>
      <c r="T376" s="5" t="inlineStr"/>
      <c r="U376" s="5" t="inlineStr"/>
      <c r="V376" s="5" t="inlineStr"/>
      <c r="W376" s="5" t="inlineStr"/>
      <c r="X376" s="5" t="inlineStr"/>
      <c r="Y376" s="5" t="inlineStr"/>
      <c r="Z376" s="6" t="inlineStr"/>
      <c r="AA376" s="5" t="inlineStr"/>
      <c r="AB376" s="5" t="inlineStr"/>
      <c r="AC376" s="5" t="inlineStr"/>
      <c r="AD376" s="5" t="inlineStr"/>
      <c r="AE376" s="5" t="inlineStr"/>
      <c r="AF376" s="5" t="inlineStr"/>
      <c r="AG376" s="5" t="inlineStr"/>
      <c r="AH376" s="5" t="inlineStr"/>
      <c r="AI376" s="5" t="inlineStr"/>
      <c r="AJ376" s="5" t="inlineStr"/>
    </row>
    <row r="377">
      <c r="A377" s="5" t="inlineStr">
        <is>
          <t>b5-yaz-isi-garson</t>
        </is>
      </c>
      <c r="B377" s="5" t="n">
        <v>3</v>
      </c>
      <c r="C377" s="6" t="inlineStr">
        <is>
          <t>Kasaya geç</t>
        </is>
      </c>
      <c r="D377" s="5" t="inlineStr">
        <is>
          <t>Kurnazlık</t>
        </is>
      </c>
      <c r="E377" s="5" t="inlineStr">
        <is>
          <t>Kolay</t>
        </is>
      </c>
      <c r="F377" s="5" t="inlineStr"/>
      <c r="G377" s="6" t="inlineStr"/>
      <c r="H377" s="6" t="inlineStr">
        <is>
          <t>Kasaya geçtin; para üstü hiç şaşmadı. Patron ilk kez kasayı sayarken gülümsedi.</t>
        </is>
      </c>
      <c r="I377" s="6" t="inlineStr">
        <is>
          <t>Kasa bütün yaz kuruşu kuruşuna tuttu. Sezon sonunda patron kasanın anahtarını sana bıraktı: “Seneye de gel. Erken gel.”</t>
        </is>
      </c>
      <c r="J377" s="6" t="inlineStr">
        <is>
          <t>Kasaya geçtin. Herkes kartla ödedi. Bütün gün tek bir para üstü verdin; o da doğruydu.</t>
        </is>
      </c>
      <c r="K377" s="6" t="inlineStr">
        <is>
          <t>Para üstünü o kadar hızlı verdin ki bir müşteriye iki kez verdin. Müşteri ertesi gün geldi, farkı geri verdi ve patrona döndü: “Bu çocuğu kasaya koymayın.”</t>
        </is>
      </c>
      <c r="L377" s="6" t="inlineStr"/>
      <c r="M377" s="5" t="inlineStr"/>
      <c r="N377" s="5" t="inlineStr"/>
      <c r="O377" s="6" t="inlineStr"/>
      <c r="P377" s="6" t="inlineStr"/>
      <c r="Q377" s="5" t="inlineStr">
        <is>
          <t>Para Üstü Radarı</t>
        </is>
      </c>
      <c r="R377" s="5" t="inlineStr"/>
      <c r="S377" s="5" t="inlineStr"/>
      <c r="T377" s="5" t="inlineStr"/>
      <c r="U377" s="5" t="inlineStr"/>
      <c r="V377" s="5" t="inlineStr"/>
      <c r="W377" s="5" t="inlineStr"/>
      <c r="X377" s="5" t="inlineStr"/>
      <c r="Y377" s="5" t="inlineStr"/>
      <c r="Z377" s="6" t="inlineStr"/>
      <c r="AA377" s="5" t="inlineStr"/>
      <c r="AB377" s="5" t="inlineStr"/>
      <c r="AC377" s="5" t="inlineStr"/>
      <c r="AD377" s="5" t="inlineStr"/>
      <c r="AE377" s="5" t="inlineStr"/>
      <c r="AF377" s="5" t="inlineStr"/>
      <c r="AG377" s="5" t="inlineStr"/>
      <c r="AH377" s="5" t="inlineStr"/>
      <c r="AI377" s="5" t="inlineStr"/>
      <c r="AJ377" s="5" t="inlineStr"/>
    </row>
    <row r="378">
      <c r="A378" s="5" t="inlineStr">
        <is>
          <t>b5-yaz-isi-garson</t>
        </is>
      </c>
      <c r="B378" s="5" t="n">
        <v>4</v>
      </c>
      <c r="C378" s="6" t="inlineStr">
        <is>
          <t>İlk gün istifa et</t>
        </is>
      </c>
      <c r="D378" s="5" t="inlineStr"/>
      <c r="E378" s="5" t="inlineStr"/>
      <c r="F378" s="5" t="inlineStr">
        <is>
          <t>Pişkinlik +1</t>
        </is>
      </c>
      <c r="G378" s="6" t="inlineStr">
        <is>
          <t>Öğlene doğru önlüğü çıkarıp patrona uzattın. Patron yarım günlüğünü avucuna saydı: “Seneye gel, belki büyürsün.” Eve vardığında annen saate baktı: “Bu kadar çabuk mu bitti?”</t>
        </is>
      </c>
      <c r="H378" s="6" t="inlineStr"/>
      <c r="I378" s="6" t="inlineStr"/>
      <c r="J378" s="6" t="inlineStr"/>
      <c r="K378" s="6" t="inlineStr"/>
      <c r="L378" s="6" t="inlineStr"/>
      <c r="M378" s="5" t="inlineStr"/>
      <c r="N378" s="5" t="inlineStr"/>
      <c r="O378" s="6" t="inlineStr"/>
      <c r="P378" s="6" t="inlineStr"/>
      <c r="Q378" s="5" t="inlineStr"/>
      <c r="R378" s="5" t="inlineStr"/>
      <c r="S378" s="5" t="inlineStr"/>
      <c r="T378" s="5" t="inlineStr"/>
      <c r="U378" s="5" t="inlineStr"/>
      <c r="V378" s="5" t="inlineStr"/>
      <c r="W378" s="5" t="inlineStr"/>
      <c r="X378" s="5" t="inlineStr"/>
      <c r="Y378" s="5" t="inlineStr"/>
      <c r="Z378" s="6" t="inlineStr"/>
      <c r="AA378" s="5" t="inlineStr"/>
      <c r="AB378" s="5" t="inlineStr"/>
      <c r="AC378" s="5" t="inlineStr"/>
      <c r="AD378" s="5" t="inlineStr"/>
      <c r="AE378" s="5" t="inlineStr"/>
      <c r="AF378" s="5" t="inlineStr"/>
      <c r="AG378" s="5" t="inlineStr"/>
      <c r="AH378" s="5" t="inlineStr"/>
      <c r="AI378" s="5" t="inlineStr"/>
      <c r="AJ378" s="5" t="inlineStr"/>
    </row>
    <row r="379">
      <c r="A379" s="5" t="inlineStr">
        <is>
          <t>b5-ilk-maas</t>
        </is>
      </c>
      <c r="B379" s="5" t="n">
        <v>1</v>
      </c>
      <c r="C379" s="6" t="inlineStr">
        <is>
          <t>Annene hediye al</t>
        </is>
      </c>
      <c r="D379" s="5" t="inlineStr"/>
      <c r="E379" s="5" t="inlineStr"/>
      <c r="F379" s="5" t="inlineStr">
        <is>
          <t>Gönül +1</t>
        </is>
      </c>
      <c r="G379" s="6" t="inlineStr">
        <is>
          <t>Annene bir fular aldın. Beğenmedi. Dolabın en özel çekmecesinde, etiketiyle duruyor.</t>
        </is>
      </c>
      <c r="H379" s="6" t="inlineStr"/>
      <c r="I379" s="6" t="inlineStr"/>
      <c r="J379" s="6" t="inlineStr"/>
      <c r="K379" s="6" t="inlineStr"/>
      <c r="L379" s="6" t="inlineStr"/>
      <c r="M379" s="5" t="inlineStr"/>
      <c r="N379" s="5" t="inlineStr"/>
      <c r="O379" s="6" t="inlineStr"/>
      <c r="P379" s="6" t="inlineStr"/>
      <c r="Q379" s="5" t="inlineStr"/>
      <c r="R379" s="5" t="inlineStr"/>
      <c r="S379" s="5" t="inlineStr"/>
      <c r="T379" s="5" t="inlineStr"/>
      <c r="U379" s="5" t="inlineStr"/>
      <c r="V379" s="5" t="inlineStr"/>
      <c r="W379" s="5" t="inlineStr"/>
      <c r="X379" s="5" t="inlineStr"/>
      <c r="Y379" s="5" t="inlineStr"/>
      <c r="Z379" s="6" t="inlineStr"/>
      <c r="AA379" s="5" t="inlineStr"/>
      <c r="AB379" s="5" t="inlineStr"/>
      <c r="AC379" s="5" t="inlineStr"/>
      <c r="AD379" s="5" t="inlineStr"/>
      <c r="AE379" s="5" t="inlineStr"/>
      <c r="AF379" s="5" t="inlineStr"/>
      <c r="AG379" s="5" t="inlineStr"/>
      <c r="AH379" s="5" t="inlineStr"/>
      <c r="AI379" s="5" t="inlineStr"/>
      <c r="AJ379" s="5" t="inlineStr"/>
    </row>
    <row r="380">
      <c r="A380" s="5" t="inlineStr">
        <is>
          <t>b5-ilk-maas</t>
        </is>
      </c>
      <c r="B380" s="5" t="n">
        <v>2</v>
      </c>
      <c r="C380" s="6" t="inlineStr">
        <is>
          <t>Hepsini biriktir</t>
        </is>
      </c>
      <c r="D380" s="5" t="inlineStr">
        <is>
          <t>Dayanıklılık</t>
        </is>
      </c>
      <c r="E380" s="5" t="inlineStr">
        <is>
          <t>Orta</t>
        </is>
      </c>
      <c r="F380" s="5" t="inlineStr"/>
      <c r="G380" s="6" t="inlineStr"/>
      <c r="H380" s="6" t="inlineStr">
        <is>
          <t>Hepsini biriktirdin. Yaz sonunda para hâlâ oradaydı; değeri biraz eksikti.</t>
        </is>
      </c>
      <c r="I380" s="6" t="inlineStr">
        <is>
          <t>Bir yıl boyunca dokunmadın. Ay sonunda baban mutfakta yanına gelip sesini alçalttı: “Sende biraz var mı? Annene söyleme.”</t>
        </is>
      </c>
      <c r="J380" s="6" t="inlineStr">
        <is>
          <t>İlk hafta sonu küçük bir istisna yaptın. Sonra bir tane daha. Sonra bir tane daha.</t>
        </is>
      </c>
      <c r="K380" s="6" t="inlineStr">
        <is>
          <t>Parayı kışlık botunun içine sakladın. Annen botları eskiciye verdi. Bu kış birinin ayakları çok sıcak, cebi de dolu.</t>
        </is>
      </c>
      <c r="L380" s="6" t="inlineStr"/>
      <c r="M380" s="5" t="inlineStr"/>
      <c r="N380" s="5" t="inlineStr"/>
      <c r="O380" s="6" t="inlineStr"/>
      <c r="P380" s="6" t="inlineStr"/>
      <c r="Q380" s="5" t="inlineStr"/>
      <c r="R380" s="5" t="inlineStr"/>
      <c r="S380" s="5" t="inlineStr"/>
      <c r="T380" s="5" t="inlineStr"/>
      <c r="U380" s="5" t="inlineStr"/>
      <c r="V380" s="5" t="inlineStr"/>
      <c r="W380" s="5" t="inlineStr"/>
      <c r="X380" s="5" t="inlineStr"/>
      <c r="Y380" s="5" t="inlineStr"/>
      <c r="Z380" s="6" t="inlineStr"/>
      <c r="AA380" s="5" t="inlineStr"/>
      <c r="AB380" s="5" t="inlineStr"/>
      <c r="AC380" s="5" t="inlineStr"/>
      <c r="AD380" s="5" t="inlineStr"/>
      <c r="AE380" s="5" t="inlineStr"/>
      <c r="AF380" s="5" t="inlineStr"/>
      <c r="AG380" s="5" t="inlineStr"/>
      <c r="AH380" s="5" t="inlineStr"/>
      <c r="AI380" s="5" t="inlineStr"/>
      <c r="AJ380" s="5" t="inlineStr"/>
    </row>
    <row r="381">
      <c r="A381" s="5" t="inlineStr">
        <is>
          <t>b5-ilk-maas</t>
        </is>
      </c>
      <c r="B381" s="5" t="n">
        <v>3</v>
      </c>
      <c r="C381" s="6" t="inlineStr">
        <is>
          <t>Kuzeninin hesabından dijital paraya yatır</t>
        </is>
      </c>
      <c r="D381" s="5" t="inlineStr">
        <is>
          <t>Kurnazlık</t>
        </is>
      </c>
      <c r="E381" s="5" t="inlineStr">
        <is>
          <t>Orta</t>
        </is>
      </c>
      <c r="F381" s="5" t="inlineStr"/>
      <c r="G381" s="6" t="inlineStr"/>
      <c r="H381" s="6" t="inlineStr">
        <is>
          <t>Bir ay sonra küçük bir kârla çıktın. Sınıfta sana 'yatırımcı' diyorlar.</t>
        </is>
      </c>
      <c r="I381" s="6" t="inlineStr">
        <is>
          <t>İkiye katlanınca sattın; ertesi gün fiyat çöktü. Ekran görüntüsünü aile grubuna attın; dayın hâlâ “Bana da al” yazıyor.</t>
        </is>
      </c>
      <c r="J381" s="6" t="inlineStr">
        <is>
          <t>Değeri düştü. İstemeden 'uzun vadeli yatırımcı' oldun.</t>
        </is>
      </c>
      <c r="K381" s="6" t="inlineStr">
        <is>
          <t>Yatırdığın dijital paranın kurucusu bir hafta sonra 'mola' verdi. Paran da mola verdi.</t>
        </is>
      </c>
      <c r="L381" s="6" t="inlineStr"/>
      <c r="M381" s="5" t="inlineStr"/>
      <c r="N381" s="5" t="inlineStr"/>
      <c r="O381" s="6" t="inlineStr"/>
      <c r="P381" s="6" t="inlineStr"/>
      <c r="Q381" s="5" t="inlineStr"/>
      <c r="R381" s="5" t="inlineStr"/>
      <c r="S381" s="5" t="inlineStr">
        <is>
          <t>Kurnazlık</t>
        </is>
      </c>
      <c r="T381" s="5" t="inlineStr"/>
      <c r="U381" s="5" t="inlineStr"/>
      <c r="V381" s="5" t="inlineStr"/>
      <c r="W381" s="5" t="inlineStr"/>
      <c r="X381" s="5" t="inlineStr"/>
      <c r="Y381" s="5" t="inlineStr"/>
      <c r="Z381" s="6" t="inlineStr"/>
      <c r="AA381" s="5" t="inlineStr"/>
      <c r="AB381" s="5" t="inlineStr"/>
      <c r="AC381" s="5" t="inlineStr"/>
      <c r="AD381" s="5" t="inlineStr"/>
      <c r="AE381" s="5" t="inlineStr"/>
      <c r="AF381" s="5" t="inlineStr"/>
      <c r="AG381" s="5" t="inlineStr"/>
      <c r="AH381" s="5" t="inlineStr"/>
      <c r="AI381" s="5" t="inlineStr"/>
      <c r="AJ381" s="5" t="inlineStr"/>
    </row>
    <row r="382">
      <c r="A382" s="5" t="inlineStr">
        <is>
          <t>b5-ilk-maas</t>
        </is>
      </c>
      <c r="B382" s="5" t="n">
        <v>4</v>
      </c>
      <c r="C382" s="6" t="inlineStr">
        <is>
          <t>Patrondan zam iste</t>
        </is>
      </c>
      <c r="D382" s="5" t="inlineStr">
        <is>
          <t>Cesaret</t>
        </is>
      </c>
      <c r="E382" s="5" t="inlineStr">
        <is>
          <t>Zor</t>
        </is>
      </c>
      <c r="F382" s="5" t="inlineStr"/>
      <c r="G382" s="6" t="inlineStr"/>
      <c r="H382" s="6" t="inlineStr">
        <is>
          <t>Zam istedin, aldın. Patron zarfı uzatırken “Benim ilk maaşımla ev alınırdı” dedi. Seninkiyle bir ayakkabı alınıyor.</t>
        </is>
      </c>
      <c r="I382" s="6" t="inlineStr">
        <is>
          <t>Zamla birlikte bir de 'sezon primi' icat ettin. Patron hâlâ ne olduğunu anlamadı.</t>
        </is>
      </c>
      <c r="J382" s="6" t="inlineStr">
        <is>
          <t>Zam istedin. Patron “Seneye” dedi. Geçen yazki çırağa da aynısını demiş.</t>
        </is>
      </c>
      <c r="K382" s="6" t="inlineStr">
        <is>
          <t>Zam istedin. Patron maaşını yeniden hesapladı; bu kez geç kaldığın sabahları da saydı. Zarf inceldi.</t>
        </is>
      </c>
      <c r="L382" s="6" t="inlineStr"/>
      <c r="M382" s="5" t="inlineStr"/>
      <c r="N382" s="5" t="inlineStr"/>
      <c r="O382" s="6" t="inlineStr"/>
      <c r="P382" s="6" t="inlineStr"/>
      <c r="Q382" s="5" t="inlineStr"/>
      <c r="R382" s="5" t="inlineStr">
        <is>
          <t>ilkKelimePara</t>
        </is>
      </c>
      <c r="S382" s="5" t="inlineStr"/>
      <c r="T382" s="5" t="inlineStr"/>
      <c r="U382" s="5" t="inlineStr"/>
      <c r="V382" s="5" t="inlineStr"/>
      <c r="W382" s="5" t="inlineStr"/>
      <c r="X382" s="5" t="inlineStr"/>
      <c r="Y382" s="5" t="inlineStr"/>
      <c r="Z382" s="6" t="inlineStr"/>
      <c r="AA382" s="5" t="inlineStr"/>
      <c r="AB382" s="5" t="inlineStr"/>
      <c r="AC382" s="5" t="inlineStr"/>
      <c r="AD382" s="5" t="inlineStr"/>
      <c r="AE382" s="5" t="inlineStr"/>
      <c r="AF382" s="5" t="inlineStr"/>
      <c r="AG382" s="5" t="inlineStr"/>
      <c r="AH382" s="5" t="inlineStr"/>
      <c r="AI382" s="5" t="inlineStr"/>
      <c r="AJ382" s="5" t="inlineStr"/>
    </row>
    <row r="383">
      <c r="A383" s="5" t="inlineStr">
        <is>
          <t>b5-ayrilik</t>
        </is>
      </c>
      <c r="B383" s="5" t="n">
        <v>1</v>
      </c>
      <c r="C383" s="6" t="inlineStr">
        <is>
          <t>Olgunca karşıla</t>
        </is>
      </c>
      <c r="D383" s="5" t="inlineStr"/>
      <c r="E383" s="5" t="inlineStr"/>
      <c r="F383" s="5" t="inlineStr">
        <is>
          <t>Dayanıklılık +1, Gönül +1</t>
        </is>
      </c>
      <c r="G383" s="6" t="inlineStr">
        <is>
          <t>Olgunca konuştunuz, iyi dilekler dilediniz. Sonra eve gidip üç saat aynı şarkıyı dinledin.</t>
        </is>
      </c>
      <c r="H383" s="6" t="inlineStr"/>
      <c r="I383" s="6" t="inlineStr"/>
      <c r="J383" s="6" t="inlineStr"/>
      <c r="K383" s="6" t="inlineStr"/>
      <c r="L383" s="6" t="inlineStr"/>
      <c r="M383" s="5" t="inlineStr"/>
      <c r="N383" s="5" t="inlineStr"/>
      <c r="O383" s="6" t="inlineStr"/>
      <c r="P383" s="6" t="inlineStr"/>
      <c r="Q383" s="5" t="inlineStr"/>
      <c r="R383" s="5" t="inlineStr"/>
      <c r="S383" s="5" t="inlineStr"/>
      <c r="T383" s="5" t="inlineStr"/>
      <c r="U383" s="5" t="inlineStr">
        <is>
          <t>ilk-ayrilik</t>
        </is>
      </c>
      <c r="V383" s="5" t="inlineStr"/>
      <c r="W383" s="5" t="inlineStr"/>
      <c r="X383" s="5" t="inlineStr">
        <is>
          <t>ilk-sevgili</t>
        </is>
      </c>
      <c r="Y383" s="5" t="inlineStr"/>
      <c r="Z383" s="6" t="inlineStr"/>
      <c r="AA383" s="5" t="inlineStr"/>
      <c r="AB383" s="5" t="inlineStr"/>
      <c r="AC383" s="5" t="inlineStr"/>
      <c r="AD383" s="5" t="inlineStr"/>
      <c r="AE383" s="5" t="inlineStr"/>
      <c r="AF383" s="5" t="inlineStr"/>
      <c r="AG383" s="5" t="inlineStr"/>
      <c r="AH383" s="5" t="inlineStr"/>
      <c r="AI383" s="5" t="inlineStr"/>
      <c r="AJ383" s="5" t="inlineStr"/>
    </row>
    <row r="384">
      <c r="A384" s="5" t="inlineStr">
        <is>
          <t>b5-ayrilik</t>
        </is>
      </c>
      <c r="B384" s="5" t="n">
        <v>2</v>
      </c>
      <c r="C384" s="6" t="inlineStr">
        <is>
          <t>Önce sen yaz</t>
        </is>
      </c>
      <c r="D384" s="5" t="inlineStr">
        <is>
          <t>Kurnazlık</t>
        </is>
      </c>
      <c r="E384" s="5" t="inlineStr">
        <is>
          <t>Zor</t>
        </is>
      </c>
      <c r="F384" s="5" t="inlineStr"/>
      <c r="G384" s="6" t="inlineStr"/>
      <c r="H384" s="6" t="inlineStr">
        <is>
          <t>O yazmadan sen yazdın: “Bence ikimiz de biliyoruz.” Cevap tek kelimeydi: “Evet.” Gururun sağlam kaldı, kalbin kalmadı.</t>
        </is>
      </c>
      <c r="I384" s="6" t="inlineStr">
        <is>
          <t>Mesajın o kadar zarifti ki ekran görüntüsü arkadaş gruplarında örnek metin olarak dolaşıyor.</t>
        </is>
      </c>
      <c r="J384" s="6" t="inlineStr">
        <is>
          <t>Sen yazarken o da yazıyordu. Mesajlar aynı saniyede gitti. Beraberlik.</t>
        </is>
      </c>
      <c r="K384" s="6" t="inlineStr">
        <is>
          <t>Ayrılık mesajını aile grubuna gönderdin. Babaannen 'Kimle?' diye sordu.</t>
        </is>
      </c>
      <c r="L384" s="6" t="inlineStr"/>
      <c r="M384" s="5" t="inlineStr"/>
      <c r="N384" s="5" t="inlineStr"/>
      <c r="O384" s="6" t="inlineStr"/>
      <c r="P384" s="6" t="inlineStr"/>
      <c r="Q384" s="5" t="inlineStr"/>
      <c r="R384" s="5" t="inlineStr"/>
      <c r="S384" s="5" t="inlineStr"/>
      <c r="T384" s="5" t="inlineStr"/>
      <c r="U384" s="5" t="inlineStr">
        <is>
          <t>ilk-ayrilik</t>
        </is>
      </c>
      <c r="V384" s="5" t="inlineStr"/>
      <c r="W384" s="5" t="inlineStr"/>
      <c r="X384" s="5" t="inlineStr">
        <is>
          <t>ilk-sevgili</t>
        </is>
      </c>
      <c r="Y384" s="5" t="inlineStr"/>
      <c r="Z384" s="6" t="inlineStr"/>
      <c r="AA384" s="5" t="inlineStr"/>
      <c r="AB384" s="5" t="inlineStr"/>
      <c r="AC384" s="5" t="inlineStr"/>
      <c r="AD384" s="5" t="inlineStr"/>
      <c r="AE384" s="5" t="inlineStr"/>
      <c r="AF384" s="5" t="inlineStr"/>
      <c r="AG384" s="5" t="inlineStr"/>
      <c r="AH384" s="5" t="inlineStr"/>
      <c r="AI384" s="5" t="inlineStr"/>
      <c r="AJ384" s="5" t="inlineStr"/>
    </row>
    <row r="385">
      <c r="A385" s="5" t="inlineStr">
        <is>
          <t>b5-ayrilik</t>
        </is>
      </c>
      <c r="B385" s="5" t="n">
        <v>3</v>
      </c>
      <c r="C385" s="6" t="inlineStr">
        <is>
          <t>Kazanmaya çalış</t>
        </is>
      </c>
      <c r="D385" s="5" t="inlineStr">
        <is>
          <t>Gönül</t>
        </is>
      </c>
      <c r="E385" s="5" t="inlineStr">
        <is>
          <t>Orta</t>
        </is>
      </c>
      <c r="F385" s="5" t="inlineStr"/>
      <c r="G385" s="6" t="inlineStr"/>
      <c r="H385" s="6" t="inlineStr">
        <is>
          <t>Konuştunuz ve bir şans daha verildi. İki hafta daha el ele. Sonra yine üç nokta.</t>
        </is>
      </c>
      <c r="I385" s="6" t="inlineStr">
        <is>
          <t>Barıştınız; aynı akşam ortak bir fotoğraf paylaştınız. İlk beğeni annenden geldi. Ders çalıştığını sanıyordu.</t>
        </is>
      </c>
      <c r="J385" s="6" t="inlineStr">
        <is>
          <t>Uzun bir mesaj yazdın. Cevap: 'Tamam 👍'. Başparmak her şeyi anlattı.</t>
        </is>
      </c>
      <c r="K385" s="6" t="inlineStr">
        <is>
          <t>Bir şarkı söyleyip sesli mesaj olarak gönderdin. O sesli mesaj şu an okul koridorlarında.</t>
        </is>
      </c>
      <c r="L385" s="6" t="inlineStr"/>
      <c r="M385" s="5" t="inlineStr"/>
      <c r="N385" s="5" t="inlineStr"/>
      <c r="O385" s="6" t="inlineStr"/>
      <c r="P385" s="6" t="inlineStr"/>
      <c r="Q385" s="5" t="inlineStr"/>
      <c r="R385" s="5" t="inlineStr"/>
      <c r="S385" s="5" t="inlineStr"/>
      <c r="T385" s="5" t="inlineStr"/>
      <c r="U385" s="5" t="inlineStr"/>
      <c r="V385" s="5" t="inlineStr"/>
      <c r="W385" s="5" t="inlineStr"/>
      <c r="X385" s="5" t="inlineStr"/>
      <c r="Y385" s="5" t="inlineStr"/>
      <c r="Z385" s="6" t="inlineStr"/>
      <c r="AA385" s="5" t="inlineStr"/>
      <c r="AB385" s="5" t="inlineStr"/>
      <c r="AC385" s="5" t="inlineStr"/>
      <c r="AD385" s="5" t="inlineStr"/>
      <c r="AE385" s="5" t="inlineStr"/>
      <c r="AF385" s="5" t="inlineStr"/>
      <c r="AG385" s="5" t="inlineStr"/>
      <c r="AH385" s="5" t="inlineStr"/>
      <c r="AI385" s="5" t="inlineStr"/>
      <c r="AJ385" s="5" t="inlineStr"/>
    </row>
    <row r="386">
      <c r="A386" s="5" t="inlineStr">
        <is>
          <t>b5-ayrilik</t>
        </is>
      </c>
      <c r="B386" s="5" t="n">
        <v>4</v>
      </c>
      <c r="C386" s="6" t="inlineStr">
        <is>
          <t>Ayrılığı espriye çevir</t>
        </is>
      </c>
      <c r="D386" s="5" t="inlineStr">
        <is>
          <t>Pişkinlik</t>
        </is>
      </c>
      <c r="E386" s="5" t="inlineStr">
        <is>
          <t>Kolay</t>
        </is>
      </c>
      <c r="F386" s="5" t="inlineStr"/>
      <c r="G386" s="6" t="inlineStr"/>
      <c r="H386" s="6" t="inlineStr">
        <is>
          <t>Ayrılığı arkadaşlarına komik bir hikâye olarak anlattın. İki hafta sonra sen de gülüyordun.</t>
        </is>
      </c>
      <c r="I386" s="6" t="inlineStr">
        <is>
          <t>Hikâyeyi öyle anlattın ki eski sevgilin bile güldü. Gerçekten arkadaş kaldınız.</t>
        </is>
      </c>
      <c r="J386" s="6" t="inlineStr">
        <is>
          <t>Espri yaptın. Kimse gülmedi. Herkes sana acıyarak baktı.</t>
        </is>
      </c>
      <c r="K386" s="6" t="inlineStr">
        <is>
          <t>Esprin eski sevgilinin kulağına gitti. O da senin hakkında bir espri yaptı. Onunki daha iyiydi.</t>
        </is>
      </c>
      <c r="L386" s="6" t="inlineStr"/>
      <c r="M386" s="5" t="inlineStr"/>
      <c r="N386" s="5" t="inlineStr"/>
      <c r="O386" s="6" t="inlineStr"/>
      <c r="P386" s="6" t="inlineStr"/>
      <c r="Q386" s="5" t="inlineStr">
        <is>
          <t>Kendine Gülebilir</t>
        </is>
      </c>
      <c r="R386" s="5" t="inlineStr"/>
      <c r="S386" s="5" t="inlineStr"/>
      <c r="T386" s="5" t="inlineStr"/>
      <c r="U386" s="5" t="inlineStr">
        <is>
          <t>ilk-ayrilik</t>
        </is>
      </c>
      <c r="V386" s="5" t="inlineStr"/>
      <c r="W386" s="5" t="inlineStr"/>
      <c r="X386" s="5" t="inlineStr">
        <is>
          <t>ilk-sevgili</t>
        </is>
      </c>
      <c r="Y386" s="5" t="inlineStr"/>
      <c r="Z386" s="6" t="inlineStr"/>
      <c r="AA386" s="5" t="inlineStr"/>
      <c r="AB386" s="5" t="inlineStr"/>
      <c r="AC386" s="5" t="inlineStr"/>
      <c r="AD386" s="5" t="inlineStr"/>
      <c r="AE386" s="5" t="inlineStr"/>
      <c r="AF386" s="5" t="inlineStr"/>
      <c r="AG386" s="5" t="inlineStr"/>
      <c r="AH386" s="5" t="inlineStr"/>
      <c r="AI386" s="5" t="inlineStr"/>
      <c r="AJ386" s="5" t="inlineStr"/>
    </row>
    <row r="387">
      <c r="A387" s="5" t="inlineStr">
        <is>
          <t>b5-beden-dersi</t>
        </is>
      </c>
      <c r="B387" s="5" t="n">
        <v>1</v>
      </c>
      <c r="C387" s="6" t="inlineStr">
        <is>
          <t>Pasör ol</t>
        </is>
      </c>
      <c r="D387" s="5" t="inlineStr">
        <is>
          <t>Dayanıklılık</t>
        </is>
      </c>
      <c r="E387" s="5" t="inlineStr">
        <is>
          <t>Orta</t>
        </is>
      </c>
      <c r="F387" s="5" t="inlineStr"/>
      <c r="G387" s="6" t="inlineStr"/>
      <c r="H387" s="6" t="inlineStr">
        <is>
          <t>Pasör oldun; takımın iki maç kazandı. Alkışı smaçı vuran aldı, sana sırtına bir şaplak düştü. Pasörün kaderi.</t>
        </is>
      </c>
      <c r="I387" s="6" t="inlineStr">
        <is>
          <t>Paslarını gören beden öğretmeni seni okul takımına çağırdı. Adını ilk kez doğru söyledi.</t>
        </is>
      </c>
      <c r="J387" s="6" t="inlineStr">
        <is>
          <t>Pas verdin. Top tavandaki lambaya gitti. Lamba hâlâ sallanıyor.</t>
        </is>
      </c>
      <c r="K387" s="6" t="inlineStr">
        <is>
          <t>Pas verecekken topa bütün gücünle vurdun. Top salonun camını kırıp bitişik bahçeye düştü. Bahçedeki teyze topu vermedi; turnuva bitti, camın parası sınıfa bölündü.</t>
        </is>
      </c>
      <c r="L387" s="6" t="inlineStr"/>
      <c r="M387" s="5" t="inlineStr"/>
      <c r="N387" s="5" t="inlineStr"/>
      <c r="O387" s="6" t="inlineStr"/>
      <c r="P387" s="6" t="inlineStr"/>
      <c r="Q387" s="5" t="inlineStr"/>
      <c r="R387" s="5" t="inlineStr"/>
      <c r="S387" s="5" t="inlineStr"/>
      <c r="T387" s="5" t="inlineStr"/>
      <c r="U387" s="5" t="inlineStr"/>
      <c r="V387" s="5" t="inlineStr"/>
      <c r="W387" s="5" t="inlineStr"/>
      <c r="X387" s="5" t="inlineStr"/>
      <c r="Y387" s="5" t="inlineStr"/>
      <c r="Z387" s="6" t="inlineStr"/>
      <c r="AA387" s="5" t="inlineStr"/>
      <c r="AB387" s="5" t="inlineStr"/>
      <c r="AC387" s="5" t="inlineStr"/>
      <c r="AD387" s="5" t="inlineStr"/>
      <c r="AE387" s="5" t="inlineStr"/>
      <c r="AF387" s="5" t="inlineStr"/>
      <c r="AG387" s="5" t="inlineStr"/>
      <c r="AH387" s="5" t="inlineStr"/>
      <c r="AI387" s="5" t="inlineStr"/>
      <c r="AJ387" s="5" t="inlineStr"/>
    </row>
    <row r="388">
      <c r="A388" s="5" t="inlineStr">
        <is>
          <t>b5-beden-dersi</t>
        </is>
      </c>
      <c r="B388" s="5" t="n">
        <v>2</v>
      </c>
      <c r="C388" s="6" t="inlineStr">
        <is>
          <t>Kenarda puan tut</t>
        </is>
      </c>
      <c r="D388" s="5" t="inlineStr"/>
      <c r="E388" s="5" t="inlineStr"/>
      <c r="F388" s="5" t="inlineStr">
        <is>
          <t>Akıl +1</t>
        </is>
      </c>
      <c r="G388" s="6" t="inlineStr">
        <is>
          <t>Maç 25-23 bitti. Sen 25-24 yazdın. İtiraz eden olmadı; defter sende.</t>
        </is>
      </c>
      <c r="H388" s="6" t="inlineStr"/>
      <c r="I388" s="6" t="inlineStr"/>
      <c r="J388" s="6" t="inlineStr"/>
      <c r="K388" s="6" t="inlineStr"/>
      <c r="L388" s="6" t="inlineStr"/>
      <c r="M388" s="5" t="inlineStr"/>
      <c r="N388" s="5" t="inlineStr"/>
      <c r="O388" s="6" t="inlineStr"/>
      <c r="P388" s="6" t="inlineStr"/>
      <c r="Q388" s="5" t="inlineStr"/>
      <c r="R388" s="5" t="inlineStr"/>
      <c r="S388" s="5" t="inlineStr"/>
      <c r="T388" s="5" t="inlineStr"/>
      <c r="U388" s="5" t="inlineStr"/>
      <c r="V388" s="5" t="inlineStr"/>
      <c r="W388" s="5" t="inlineStr"/>
      <c r="X388" s="5" t="inlineStr"/>
      <c r="Y388" s="5" t="inlineStr"/>
      <c r="Z388" s="6" t="inlineStr"/>
      <c r="AA388" s="5" t="inlineStr"/>
      <c r="AB388" s="5" t="inlineStr"/>
      <c r="AC388" s="5" t="inlineStr"/>
      <c r="AD388" s="5" t="inlineStr"/>
      <c r="AE388" s="5" t="inlineStr"/>
      <c r="AF388" s="5" t="inlineStr"/>
      <c r="AG388" s="5" t="inlineStr"/>
      <c r="AH388" s="5" t="inlineStr"/>
      <c r="AI388" s="5" t="inlineStr"/>
      <c r="AJ388" s="5" t="inlineStr"/>
    </row>
    <row r="389">
      <c r="A389" s="5" t="inlineStr">
        <is>
          <t>b5-beden-dersi</t>
        </is>
      </c>
      <c r="B389" s="5" t="n">
        <v>3</v>
      </c>
      <c r="C389" s="6" t="inlineStr">
        <is>
          <t>Eski sakatlığını hatırlat</t>
        </is>
      </c>
      <c r="D389" s="5" t="inlineStr">
        <is>
          <t>Pişkinlik</t>
        </is>
      </c>
      <c r="E389" s="5" t="inlineStr">
        <is>
          <t>Kolay</t>
        </is>
      </c>
      <c r="F389" s="5" t="inlineStr"/>
      <c r="G389" s="6" t="inlineStr"/>
      <c r="H389" s="6" t="inlineStr">
        <is>
          <t>'Kolum bir kere kırılmıştı' dedin. Hem kenarda oturdun hem de saygı kazandın.</t>
        </is>
      </c>
      <c r="I389" s="6" t="inlineStr">
        <is>
          <t>Hikâyeyi öyle anlattın ki öğretmen seni bütün dönem hakem ilan etti. Düdük sende.</t>
        </is>
      </c>
      <c r="J389" s="6" t="inlineStr">
        <is>
          <t>'Kolum bir kere kırılmıştı' dedin. Öğretmen 'Diğeri sağlam ama' dedi.</t>
        </is>
      </c>
      <c r="K389" s="6" t="inlineStr">
        <is>
          <t>Sınıftan biri “Sen dut ağacından düşüp kolunu kıran değil miydin?” diye sordu. Bütün sınıf hikâyeyi dinledi. Mezuniyete kadar her servisinde arkandan “Dut!” diye bağırdılar.</t>
        </is>
      </c>
      <c r="L389" s="6" t="inlineStr"/>
      <c r="M389" s="5" t="inlineStr"/>
      <c r="N389" s="5" t="inlineStr"/>
      <c r="O389" s="6" t="inlineStr"/>
      <c r="P389" s="6" t="inlineStr"/>
      <c r="Q389" s="5" t="inlineStr"/>
      <c r="R389" s="5" t="inlineStr">
        <is>
          <t>alcili-kol</t>
        </is>
      </c>
      <c r="S389" s="5" t="inlineStr"/>
      <c r="T389" s="5" t="inlineStr"/>
      <c r="U389" s="5" t="inlineStr"/>
      <c r="V389" s="5" t="inlineStr"/>
      <c r="W389" s="5" t="inlineStr"/>
      <c r="X389" s="5" t="inlineStr"/>
      <c r="Y389" s="5" t="inlineStr"/>
      <c r="Z389" s="6" t="inlineStr"/>
      <c r="AA389" s="5" t="inlineStr"/>
      <c r="AB389" s="5" t="inlineStr"/>
      <c r="AC389" s="5" t="inlineStr"/>
      <c r="AD389" s="5" t="inlineStr"/>
      <c r="AE389" s="5" t="inlineStr"/>
      <c r="AF389" s="5" t="inlineStr"/>
      <c r="AG389" s="5" t="inlineStr"/>
      <c r="AH389" s="5" t="inlineStr"/>
      <c r="AI389" s="5" t="inlineStr">
        <is>
          <t>Dut</t>
        </is>
      </c>
      <c r="AJ389" s="5" t="inlineStr"/>
    </row>
    <row r="390">
      <c r="A390" s="5" t="inlineStr">
        <is>
          <t>b5-beden-dersi</t>
        </is>
      </c>
      <c r="B390" s="5" t="n">
        <v>4</v>
      </c>
      <c r="C390" s="6" t="inlineStr">
        <is>
          <t>Takım kaptanı ol</t>
        </is>
      </c>
      <c r="D390" s="5" t="inlineStr">
        <is>
          <t>Sosyal Radar</t>
        </is>
      </c>
      <c r="E390" s="5" t="inlineStr">
        <is>
          <t>Orta</t>
        </is>
      </c>
      <c r="F390" s="5" t="inlineStr"/>
      <c r="G390" s="6" t="inlineStr"/>
      <c r="H390" s="6" t="inlineStr">
        <is>
          <t>Takımı dengeli kurdun. En son seçilen arkadaşın maçın yıldızı oldu.</t>
        </is>
      </c>
      <c r="I390" s="6" t="inlineStr">
        <is>
          <t>Turnuvayı kazandınız. Kupa yok, ama öğretmen sınıfa beş dakika ekstra teneffüs verdi.</t>
        </is>
      </c>
      <c r="J390" s="6" t="inlineStr">
        <is>
          <t>Herkes kendi arkadaşını istedi. Takım üçe bölündü; maçın ortasında iki kişi küsüp kenara oturdu.</t>
        </is>
      </c>
      <c r="K390" s="6" t="inlineStr">
        <is>
          <t>Takımı kurarken kendini unuttun. Takımın turnuvayı kazandı. Zafer fotoğrafında yoksun; fotoğrafı sen çektin.</t>
        </is>
      </c>
      <c r="L390" s="6" t="inlineStr"/>
      <c r="M390" s="5" t="inlineStr"/>
      <c r="N390" s="5" t="inlineStr"/>
      <c r="O390" s="6" t="inlineStr"/>
      <c r="P390" s="6" t="inlineStr"/>
      <c r="Q390" s="5" t="inlineStr">
        <is>
          <t>Asist Ustası</t>
        </is>
      </c>
      <c r="R390" s="5" t="inlineStr"/>
      <c r="S390" s="5" t="inlineStr"/>
      <c r="T390" s="5" t="inlineStr"/>
      <c r="U390" s="5" t="inlineStr"/>
      <c r="V390" s="5" t="inlineStr"/>
      <c r="W390" s="5" t="inlineStr"/>
      <c r="X390" s="5" t="inlineStr"/>
      <c r="Y390" s="5" t="inlineStr"/>
      <c r="Z390" s="6" t="inlineStr"/>
      <c r="AA390" s="5" t="inlineStr"/>
      <c r="AB390" s="5" t="inlineStr"/>
      <c r="AC390" s="5" t="inlineStr"/>
      <c r="AD390" s="5" t="inlineStr"/>
      <c r="AE390" s="5" t="inlineStr"/>
      <c r="AF390" s="5" t="inlineStr"/>
      <c r="AG390" s="5" t="inlineStr"/>
      <c r="AH390" s="5" t="inlineStr"/>
      <c r="AI390" s="5" t="inlineStr"/>
      <c r="AJ390" s="5" t="inlineStr"/>
    </row>
    <row r="391">
      <c r="A391" s="5" t="inlineStr">
        <is>
          <t>b5-kafede-ders</t>
        </is>
      </c>
      <c r="B391" s="5" t="n">
        <v>1</v>
      </c>
      <c r="C391" s="6" t="inlineStr">
        <is>
          <t>Gerçekten ders çalış</t>
        </is>
      </c>
      <c r="D391" s="5" t="inlineStr">
        <is>
          <t>Akıl</t>
        </is>
      </c>
      <c r="E391" s="5" t="inlineStr">
        <is>
          <t>Zor</t>
        </is>
      </c>
      <c r="F391" s="5" t="inlineStr"/>
      <c r="G391" s="6" t="inlineStr"/>
      <c r="H391" s="6" t="inlineStr">
        <is>
          <t>Kulaklığı taktın ve iki ünite bitirdin. Kalktığında arkadaşların sana hain gibi baktı; biri gruba “O artık bizden değil” yazdı.</t>
        </is>
      </c>
      <c r="I391" s="6" t="inlineStr">
        <is>
          <t>Üç ünite bitirdin, bir de özet çıkardın. Yan masadaki iki öğrenci özetinin fotoğrafını istedi; garson da bir tane aldı, kardeşine.</t>
        </is>
      </c>
      <c r="J391" s="6" t="inlineStr">
        <is>
          <t>Kitabı açtın. Karşındaki telefonda bir video gösterdi, sonra bir tane daha. Kitabı kapattığında çay da soğumuştu.</t>
        </is>
      </c>
      <c r="K391" s="6" t="inlineStr">
        <is>
          <t>Beş saat boyunca aynı sayfaya baktın. Konuyu değil, sayfa numarasını ezberledin: 48.</t>
        </is>
      </c>
      <c r="L391" s="6" t="inlineStr"/>
      <c r="M391" s="5" t="inlineStr"/>
      <c r="N391" s="5" t="inlineStr"/>
      <c r="O391" s="6" t="inlineStr"/>
      <c r="P391" s="6" t="inlineStr"/>
      <c r="Q391" s="5" t="inlineStr"/>
      <c r="R391" s="5" t="inlineStr"/>
      <c r="S391" s="5" t="inlineStr"/>
      <c r="T391" s="5" t="inlineStr"/>
      <c r="U391" s="5" t="inlineStr"/>
      <c r="V391" s="5" t="inlineStr"/>
      <c r="W391" s="5" t="inlineStr"/>
      <c r="X391" s="5" t="inlineStr"/>
      <c r="Y391" s="5" t="inlineStr"/>
      <c r="Z391" s="6" t="inlineStr"/>
      <c r="AA391" s="5" t="inlineStr"/>
      <c r="AB391" s="5" t="inlineStr"/>
      <c r="AC391" s="5" t="inlineStr"/>
      <c r="AD391" s="5" t="inlineStr"/>
      <c r="AE391" s="5" t="inlineStr"/>
      <c r="AF391" s="5" t="inlineStr"/>
      <c r="AG391" s="5" t="inlineStr"/>
      <c r="AH391" s="5" t="inlineStr"/>
      <c r="AI391" s="5" t="inlineStr"/>
      <c r="AJ391" s="5" t="inlineStr"/>
    </row>
    <row r="392">
      <c r="A392" s="5" t="inlineStr">
        <is>
          <t>b5-kafede-ders</t>
        </is>
      </c>
      <c r="B392" s="5" t="n">
        <v>2</v>
      </c>
      <c r="C392" s="6" t="inlineStr">
        <is>
          <t>Sohbete katıl</t>
        </is>
      </c>
      <c r="D392" s="5" t="inlineStr"/>
      <c r="E392" s="5" t="inlineStr"/>
      <c r="F392" s="5" t="inlineStr">
        <is>
          <t>Sosyal Radar +1</t>
        </is>
      </c>
      <c r="G392" s="6" t="inlineStr">
        <is>
          <t>Beş saat sohbet ettiniz. Kimin kimden hoşlandığını öğrendin. Sınavda o sorulmayacak.</t>
        </is>
      </c>
      <c r="H392" s="6" t="inlineStr"/>
      <c r="I392" s="6" t="inlineStr"/>
      <c r="J392" s="6" t="inlineStr"/>
      <c r="K392" s="6" t="inlineStr"/>
      <c r="L392" s="6" t="inlineStr"/>
      <c r="M392" s="5" t="inlineStr"/>
      <c r="N392" s="5" t="inlineStr"/>
      <c r="O392" s="6" t="inlineStr"/>
      <c r="P392" s="6" t="inlineStr"/>
      <c r="Q392" s="5" t="inlineStr"/>
      <c r="R392" s="5" t="inlineStr"/>
      <c r="S392" s="5" t="inlineStr"/>
      <c r="T392" s="5" t="inlineStr"/>
      <c r="U392" s="5" t="inlineStr"/>
      <c r="V392" s="5" t="inlineStr"/>
      <c r="W392" s="5" t="inlineStr"/>
      <c r="X392" s="5" t="inlineStr"/>
      <c r="Y392" s="5" t="inlineStr"/>
      <c r="Z392" s="6" t="inlineStr"/>
      <c r="AA392" s="5" t="inlineStr"/>
      <c r="AB392" s="5" t="inlineStr"/>
      <c r="AC392" s="5" t="inlineStr"/>
      <c r="AD392" s="5" t="inlineStr"/>
      <c r="AE392" s="5" t="inlineStr"/>
      <c r="AF392" s="5" t="inlineStr"/>
      <c r="AG392" s="5" t="inlineStr"/>
      <c r="AH392" s="5" t="inlineStr"/>
      <c r="AI392" s="5" t="inlineStr"/>
      <c r="AJ392" s="5" t="inlineStr"/>
    </row>
    <row r="393">
      <c r="A393" s="5" t="inlineStr">
        <is>
          <t>b5-kafede-ders</t>
        </is>
      </c>
      <c r="B393" s="5" t="n">
        <v>3</v>
      </c>
      <c r="C393" s="6" t="inlineStr">
        <is>
          <t>Garsonla arayı düzelt</t>
        </is>
      </c>
      <c r="D393" s="5" t="inlineStr">
        <is>
          <t>Çene</t>
        </is>
      </c>
      <c r="E393" s="5" t="inlineStr">
        <is>
          <t>Kolay</t>
        </is>
      </c>
      <c r="F393" s="5" t="inlineStr"/>
      <c r="G393" s="6" t="inlineStr"/>
      <c r="H393" s="6" t="inlineStr">
        <is>
          <t>Garsonla sohbet ettin; masaya ikram kurabiye geldi. Masa üç saat daha güvende.</t>
        </is>
      </c>
      <c r="I393" s="6" t="inlineStr">
        <is>
          <t>Garson masanıza “Ayrılmıştır” kartı koydu, üstüne birer çay ısmarladı: “Benim de sınavım vardı.”</t>
        </is>
      </c>
      <c r="J393" s="6" t="inlineStr">
        <is>
          <t>Garsona gülümsedin. Hesabı getirdi.</t>
        </is>
      </c>
      <c r="K393" s="6" t="inlineStr">
        <is>
          <t>Garson sınıftan birinin abisi çıktı. Ders çalışmadığınız haberi eve sizden önce ulaştı.</t>
        </is>
      </c>
      <c r="L393" s="6" t="inlineStr"/>
      <c r="M393" s="5" t="inlineStr"/>
      <c r="N393" s="5" t="inlineStr"/>
      <c r="O393" s="6" t="inlineStr"/>
      <c r="P393" s="6" t="inlineStr"/>
      <c r="Q393" s="5" t="inlineStr"/>
      <c r="R393" s="5" t="inlineStr"/>
      <c r="S393" s="5" t="inlineStr"/>
      <c r="T393" s="5" t="inlineStr"/>
      <c r="U393" s="5" t="inlineStr"/>
      <c r="V393" s="5" t="inlineStr"/>
      <c r="W393" s="5" t="inlineStr"/>
      <c r="X393" s="5" t="inlineStr"/>
      <c r="Y393" s="5" t="inlineStr"/>
      <c r="Z393" s="6" t="inlineStr"/>
      <c r="AA393" s="5" t="inlineStr"/>
      <c r="AB393" s="5" t="inlineStr"/>
      <c r="AC393" s="5" t="inlineStr"/>
      <c r="AD393" s="5" t="inlineStr"/>
      <c r="AE393" s="5" t="inlineStr"/>
      <c r="AF393" s="5" t="inlineStr"/>
      <c r="AG393" s="5" t="inlineStr"/>
      <c r="AH393" s="5" t="inlineStr"/>
      <c r="AI393" s="5" t="inlineStr"/>
      <c r="AJ393" s="5" t="inlineStr"/>
    </row>
    <row r="394">
      <c r="A394" s="5" t="inlineStr">
        <is>
          <t>b5-deneme-sinavi</t>
        </is>
      </c>
      <c r="B394" s="5" t="n">
        <v>1</v>
      </c>
      <c r="C394" s="6" t="inlineStr">
        <is>
          <t>Nefesini düzenle, başla</t>
        </is>
      </c>
      <c r="D394" s="5" t="inlineStr">
        <is>
          <t>Dayanıklılık</t>
        </is>
      </c>
      <c r="E394" s="5" t="inlineStr">
        <is>
          <t>Zor</t>
        </is>
      </c>
      <c r="F394" s="5" t="inlineStr"/>
      <c r="G394" s="6" t="inlineStr"/>
      <c r="H394" s="6" t="inlineStr">
        <is>
          <t>Sakince çözdün; netin yedi arttı. Annen sonucu aile grubuna attı. Halan beş dakika sonra kendi oğlunun netini attı.</t>
        </is>
      </c>
      <c r="I394" s="6" t="inlineStr">
        <is>
          <t>Deneme birincisi oldun. Dershane afişine kayıt günü çekilen fotoğrafını bastı; iki yıl önceki saçınla. Annen afişin fotoğrafını aile grubuna attı.</t>
        </is>
      </c>
      <c r="J394" s="6" t="inlineStr">
        <is>
          <t>Sakin başladın ama ilk sayfada yirmi dakika kaldın. Son sayfa kuşbakışı geçildi.</t>
        </is>
      </c>
      <c r="K394" s="6" t="inlineStr">
        <is>
          <t>O kadar rahatladın ki uyudun. Gözetmen zil çalınca uyandırdı. Optik formda yüzünün izi var.</t>
        </is>
      </c>
      <c r="L394" s="6" t="inlineStr">
        <is>
          <t>Nefes tuttu, zaman tutmadı. Son on soruyu aynı şıkla doldurdun; üçü tuttu.</t>
        </is>
      </c>
      <c r="M394" s="5" t="inlineStr">
        <is>
          <t>timing</t>
        </is>
      </c>
      <c r="N394" s="5" t="inlineStr">
        <is>
          <t>Sınav Nefesi</t>
        </is>
      </c>
      <c r="O394" s="6" t="inlineStr">
        <is>
          <t>İbre yeşil alandayken DURDUR'a bas. Art arda tutturdukça kombo kazanırsın.</t>
        </is>
      </c>
      <c r="P394" s="6" t="n"/>
      <c r="Q394" s="5" t="inlineStr"/>
      <c r="R394" s="5" t="inlineStr"/>
      <c r="S394" s="5" t="inlineStr"/>
      <c r="T394" s="5" t="inlineStr">
        <is>
          <t>Deneme Kurdu</t>
        </is>
      </c>
      <c r="U394" s="5" t="inlineStr"/>
      <c r="V394" s="5" t="inlineStr"/>
      <c r="W394" s="5" t="inlineStr"/>
      <c r="X394" s="5" t="inlineStr"/>
      <c r="Y394" s="5" t="inlineStr"/>
      <c r="Z394" s="6" t="inlineStr"/>
      <c r="AA394" s="5" t="inlineStr"/>
      <c r="AB394" s="5" t="inlineStr"/>
      <c r="AC394" s="5" t="inlineStr"/>
      <c r="AD394" s="5" t="inlineStr"/>
      <c r="AE394" s="5" t="inlineStr"/>
      <c r="AF394" s="5" t="inlineStr"/>
      <c r="AG394" s="5" t="inlineStr"/>
      <c r="AH394" s="5" t="inlineStr"/>
      <c r="AI394" s="5" t="inlineStr"/>
      <c r="AJ394" s="5" t="inlineStr"/>
    </row>
    <row r="395">
      <c r="A395" s="5" t="inlineStr">
        <is>
          <t>b5-deneme-sinavi</t>
        </is>
      </c>
      <c r="B395" s="5" t="n">
        <v>2</v>
      </c>
      <c r="C395" s="6" t="inlineStr">
        <is>
          <t>Her soruya bir şık işaretle</t>
        </is>
      </c>
      <c r="D395" s="5" t="inlineStr"/>
      <c r="E395" s="5" t="inlineStr"/>
      <c r="F395" s="5" t="inlineStr">
        <is>
          <t>Pişkinlik +1</t>
        </is>
      </c>
      <c r="G395" s="6" t="inlineStr">
        <is>
          <t>Hiçbir soruyu boş bırakmadın. Bilmediklerinde içinden “Portakalı soydum” saydın. Netin, sınıfta gözü kapalı kodlayan çocukla birebir aynı çıktı.</t>
        </is>
      </c>
      <c r="H395" s="6" t="inlineStr"/>
      <c r="I395" s="6" t="inlineStr"/>
      <c r="J395" s="6" t="inlineStr"/>
      <c r="K395" s="6" t="inlineStr"/>
      <c r="L395" s="6" t="inlineStr"/>
      <c r="M395" s="5" t="inlineStr"/>
      <c r="N395" s="5" t="inlineStr"/>
      <c r="O395" s="6" t="inlineStr"/>
      <c r="P395" s="6" t="inlineStr"/>
      <c r="Q395" s="5" t="inlineStr"/>
      <c r="R395" s="5" t="inlineStr"/>
      <c r="S395" s="5" t="inlineStr"/>
      <c r="T395" s="5" t="inlineStr"/>
      <c r="U395" s="5" t="inlineStr"/>
      <c r="V395" s="5" t="inlineStr"/>
      <c r="W395" s="5" t="inlineStr"/>
      <c r="X395" s="5" t="inlineStr"/>
      <c r="Y395" s="5" t="inlineStr"/>
      <c r="Z395" s="6" t="inlineStr"/>
      <c r="AA395" s="5" t="inlineStr"/>
      <c r="AB395" s="5" t="inlineStr"/>
      <c r="AC395" s="5" t="inlineStr"/>
      <c r="AD395" s="5" t="inlineStr"/>
      <c r="AE395" s="5" t="inlineStr"/>
      <c r="AF395" s="5" t="inlineStr"/>
      <c r="AG395" s="5" t="inlineStr"/>
      <c r="AH395" s="5" t="inlineStr"/>
      <c r="AI395" s="5" t="inlineStr"/>
      <c r="AJ395" s="5" t="inlineStr"/>
    </row>
    <row r="396">
      <c r="A396" s="5" t="inlineStr">
        <is>
          <t>b5-deneme-sinavi</t>
        </is>
      </c>
      <c r="B396" s="5" t="n">
        <v>3</v>
      </c>
      <c r="C396" s="6" t="inlineStr">
        <is>
          <t>Yandakinin kâğıdına bak</t>
        </is>
      </c>
      <c r="D396" s="5" t="inlineStr">
        <is>
          <t>Kurnazlık</t>
        </is>
      </c>
      <c r="E396" s="5" t="inlineStr">
        <is>
          <t>Zor</t>
        </is>
      </c>
      <c r="F396" s="5" t="inlineStr"/>
      <c r="G396" s="6" t="inlineStr"/>
      <c r="H396" s="6" t="inlineStr">
        <is>
          <t>Birkaç cevabı teyit ettin. Yandaki de senin kâğıdına bakıyormuş. Adil takas.</t>
        </is>
      </c>
      <c r="I396" s="6" t="inlineStr">
        <is>
          <t>Yandakinin doğrularını aldın, yanlışlarını atladın. Ondan yüksek aldın.</t>
        </is>
      </c>
      <c r="J396" s="6" t="inlineStr">
        <is>
          <t>Yandakine baktın; o da sana bakıyordu. İkiniz de aynı soruda takılmıştınız.</t>
        </is>
      </c>
      <c r="K396" s="6" t="inlineStr">
        <is>
          <t>Yandakinin kâğıdından birebir aldın. Kitapçık türü farklıymış. Netin eksiye düştü.</t>
        </is>
      </c>
      <c r="L396" s="6" t="inlineStr"/>
      <c r="M396" s="5" t="inlineStr"/>
      <c r="N396" s="5" t="inlineStr"/>
      <c r="O396" s="6" t="inlineStr"/>
      <c r="P396" s="6" t="inlineStr"/>
      <c r="Q396" s="5" t="inlineStr"/>
      <c r="R396" s="5" t="inlineStr"/>
      <c r="S396" s="5" t="inlineStr"/>
      <c r="T396" s="5" t="inlineStr"/>
      <c r="U396" s="5" t="inlineStr"/>
      <c r="V396" s="5" t="inlineStr"/>
      <c r="W396" s="5" t="inlineStr"/>
      <c r="X396" s="5" t="inlineStr"/>
      <c r="Y396" s="5" t="inlineStr"/>
      <c r="Z396" s="6" t="inlineStr"/>
      <c r="AA396" s="5" t="inlineStr"/>
      <c r="AB396" s="5" t="inlineStr"/>
      <c r="AC396" s="5" t="inlineStr"/>
      <c r="AD396" s="5" t="inlineStr"/>
      <c r="AE396" s="5" t="inlineStr"/>
      <c r="AF396" s="5" t="inlineStr"/>
      <c r="AG396" s="5" t="inlineStr"/>
      <c r="AH396" s="5" t="inlineStr"/>
      <c r="AI396" s="5" t="inlineStr"/>
      <c r="AJ396" s="5" t="inlineStr"/>
    </row>
    <row r="397">
      <c r="A397" s="5" t="inlineStr">
        <is>
          <t>b5-deneme-sinavi</t>
        </is>
      </c>
      <c r="B397" s="5" t="n">
        <v>4</v>
      </c>
      <c r="C397" s="6" t="inlineStr">
        <is>
          <t>Soruların örüntüsünü çöz</t>
        </is>
      </c>
      <c r="D397" s="5" t="inlineStr">
        <is>
          <t>Akıl</t>
        </is>
      </c>
      <c r="E397" s="5" t="inlineStr">
        <is>
          <t>Kolay</t>
        </is>
      </c>
      <c r="F397" s="5" t="inlineStr"/>
      <c r="G397" s="6" t="inlineStr"/>
      <c r="H397" s="6" t="inlineStr">
        <is>
          <t>Soruları zorluk sırasına dizdin ve sürenin yarısında bitirdin.</t>
        </is>
      </c>
      <c r="I397" s="6" t="inlineStr">
        <is>
          <t>Soru hazırlayanın mantığını çözdün. Cevap anahtarı çıkmadan netini biliyordun.</t>
        </is>
      </c>
      <c r="J397" s="6" t="inlineStr">
        <is>
          <t>Örüntüyü aradın. Yoktu. Sorular rastgele hazırlanmış.</t>
        </is>
      </c>
      <c r="K397" s="6" t="inlineStr">
        <is>
          <t>Örüntüye o kadar daldın ki soruları çözmeye vakit kalmadı. Gözetmen kâğıdını alırken arka sayfadaki oklara, dairelere baktı: “Bu ne evladım, sınav mı, harita mı?”</t>
        </is>
      </c>
      <c r="L397" s="6" t="inlineStr"/>
      <c r="M397" s="5" t="inlineStr"/>
      <c r="N397" s="5" t="inlineStr"/>
      <c r="O397" s="6" t="inlineStr"/>
      <c r="P397" s="6" t="inlineStr"/>
      <c r="Q397" s="5" t="inlineStr">
        <is>
          <t>Ukala Ama Haklı</t>
        </is>
      </c>
      <c r="R397" s="5" t="inlineStr"/>
      <c r="S397" s="5" t="inlineStr"/>
      <c r="T397" s="5" t="inlineStr"/>
      <c r="U397" s="5" t="inlineStr"/>
      <c r="V397" s="5" t="inlineStr"/>
      <c r="W397" s="5" t="inlineStr"/>
      <c r="X397" s="5" t="inlineStr"/>
      <c r="Y397" s="5" t="inlineStr"/>
      <c r="Z397" s="6" t="inlineStr"/>
      <c r="AA397" s="5" t="inlineStr"/>
      <c r="AB397" s="5" t="inlineStr"/>
      <c r="AC397" s="5" t="inlineStr"/>
      <c r="AD397" s="5" t="inlineStr"/>
      <c r="AE397" s="5" t="inlineStr"/>
      <c r="AF397" s="5" t="inlineStr"/>
      <c r="AG397" s="5" t="inlineStr"/>
      <c r="AH397" s="5" t="inlineStr"/>
      <c r="AI397" s="5" t="inlineStr"/>
      <c r="AJ397" s="5" t="inlineStr"/>
    </row>
    <row r="398">
      <c r="A398" s="5" t="inlineStr">
        <is>
          <t>b5-doktor-ol</t>
        </is>
      </c>
      <c r="B398" s="5" t="n">
        <v>1</v>
      </c>
      <c r="C398" s="6" t="inlineStr">
        <is>
          <t>'Tamam' de</t>
        </is>
      </c>
      <c r="D398" s="5" t="inlineStr"/>
      <c r="E398" s="5" t="inlineStr"/>
      <c r="F398" s="5" t="inlineStr">
        <is>
          <t>İtibar +1</t>
        </is>
      </c>
      <c r="G398" s="6" t="inlineStr">
        <is>
          <t>'Tamam' dedin. Babaannen haberi komşulara verdi. Artık mahallenin müstakbel doktorusun. Biyoloji notun hâlâ gizli.</t>
        </is>
      </c>
      <c r="H398" s="6" t="inlineStr"/>
      <c r="I398" s="6" t="inlineStr"/>
      <c r="J398" s="6" t="inlineStr"/>
      <c r="K398" s="6" t="inlineStr"/>
      <c r="L398" s="6" t="inlineStr"/>
      <c r="M398" s="5" t="inlineStr"/>
      <c r="N398" s="5" t="inlineStr"/>
      <c r="O398" s="6" t="inlineStr"/>
      <c r="P398" s="6" t="inlineStr"/>
      <c r="Q398" s="5" t="inlineStr"/>
      <c r="R398" s="5" t="inlineStr"/>
      <c r="S398" s="5" t="inlineStr"/>
      <c r="T398" s="5" t="inlineStr"/>
      <c r="U398" s="5" t="inlineStr">
        <is>
          <t>doktor-sozu</t>
        </is>
      </c>
      <c r="V398" s="5" t="inlineStr"/>
      <c r="W398" s="5" t="inlineStr"/>
      <c r="X398" s="5" t="inlineStr"/>
      <c r="Y398" s="5" t="inlineStr"/>
      <c r="Z398" s="6" t="inlineStr"/>
      <c r="AA398" s="5" t="inlineStr"/>
      <c r="AB398" s="5" t="inlineStr"/>
      <c r="AC398" s="5" t="inlineStr"/>
      <c r="AD398" s="5" t="inlineStr"/>
      <c r="AE398" s="5" t="inlineStr"/>
      <c r="AF398" s="5" t="inlineStr"/>
      <c r="AG398" s="5" t="inlineStr"/>
      <c r="AH398" s="5" t="inlineStr"/>
      <c r="AI398" s="5" t="inlineStr"/>
      <c r="AJ398" s="5" t="inlineStr"/>
    </row>
    <row r="399">
      <c r="A399" s="5" t="inlineStr">
        <is>
          <t>b5-doktor-ol</t>
        </is>
      </c>
      <c r="B399" s="5" t="n">
        <v>2</v>
      </c>
      <c r="C399" s="6" t="inlineStr">
        <is>
          <t>Kendi hayalini savun</t>
        </is>
      </c>
      <c r="D399" s="5" t="inlineStr">
        <is>
          <t>Cesaret</t>
        </is>
      </c>
      <c r="E399" s="5" t="inlineStr">
        <is>
          <t>Zor</t>
        </is>
      </c>
      <c r="F399" s="5" t="inlineStr"/>
      <c r="G399" s="6" t="inlineStr"/>
      <c r="H399" s="6" t="inlineStr">
        <is>
          <t>Masada sessizlik oldu. Baban ekmeğini bölüp “Peki, bir düşünelim” dedi. Annen masanın altından dizine dokundu.</t>
        </is>
      </c>
      <c r="I399" s="6" t="inlineStr">
        <is>
          <t>Öyle savundun ki baban kendi yarım kalan hayalini anlattı. Tatlıyı birlikte yediniz.</t>
        </is>
      </c>
      <c r="J399" s="6" t="inlineStr">
        <is>
          <t>Baban “Önce doktor ol, sonra ne istersen ol” dedi. O “önce” ile “sonra” arasında on iki yıl var.</t>
        </is>
      </c>
      <c r="K399" s="6" t="inlineStr">
        <is>
          <t>Ertesi akşam kuzenin tıbba hazırlandığını açıkladı. Baban artık sofrada ona “doktorum” diyor. Sana “tuzu uzat” diyor.</t>
        </is>
      </c>
      <c r="L399" s="6" t="inlineStr"/>
      <c r="M399" s="5" t="inlineStr"/>
      <c r="N399" s="5" t="inlineStr"/>
      <c r="O399" s="6" t="inlineStr"/>
      <c r="P399" s="6" t="inlineStr"/>
      <c r="Q399" s="5" t="inlineStr"/>
      <c r="R399" s="5" t="inlineStr"/>
      <c r="S399" s="5" t="inlineStr"/>
      <c r="T399" s="5" t="inlineStr"/>
      <c r="U399" s="5" t="inlineStr"/>
      <c r="V399" s="5" t="inlineStr"/>
      <c r="W399" s="5" t="inlineStr"/>
      <c r="X399" s="5" t="inlineStr"/>
      <c r="Y399" s="5" t="inlineStr"/>
      <c r="Z399" s="6" t="inlineStr"/>
      <c r="AA399" s="5" t="inlineStr"/>
      <c r="AB399" s="5" t="inlineStr"/>
      <c r="AC399" s="5" t="inlineStr"/>
      <c r="AD399" s="5" t="inlineStr"/>
      <c r="AE399" s="5" t="inlineStr"/>
      <c r="AF399" s="5" t="inlineStr"/>
      <c r="AG399" s="5" t="inlineStr"/>
      <c r="AH399" s="5" t="inlineStr"/>
      <c r="AI399" s="5" t="inlineStr"/>
      <c r="AJ399" s="5" t="inlineStr"/>
    </row>
    <row r="400">
      <c r="A400" s="5" t="inlineStr">
        <is>
          <t>b5-doktor-ol</t>
        </is>
      </c>
      <c r="B400" s="5" t="n">
        <v>3</v>
      </c>
      <c r="C400" s="6" t="inlineStr">
        <is>
          <t>Masadakileri tek tek ikna et</t>
        </is>
      </c>
      <c r="D400" s="5" t="inlineStr">
        <is>
          <t>Çene</t>
        </is>
      </c>
      <c r="E400" s="5" t="inlineStr">
        <is>
          <t>Orta</t>
        </is>
      </c>
      <c r="F400" s="5" t="inlineStr"/>
      <c r="G400" s="6" t="inlineStr"/>
      <c r="H400" s="6" t="inlineStr">
        <is>
          <t>Önce anneni, sonra babaanneni kazandın. Baban azınlıkta kaldı.</t>
        </is>
      </c>
      <c r="I400" s="6" t="inlineStr">
        <is>
          <t>Önce anneni, sonra babaanneni, sonra telefonda halanı kazandın. Baban üçünüze baktı, çayını aldı: “Siz bilirsiniz.” Babaannen arkandan göz kırptı.</t>
        </is>
      </c>
      <c r="J400" s="6" t="inlineStr">
        <is>
          <t>Anneni kazandın, babaannen babanın tarafına geçti. Oylar eşit, karar ertelendi.</t>
        </is>
      </c>
      <c r="K400" s="6" t="inlineStr">
        <is>
          <t>İkna turunda 'doktor' kelimesini o kadar çok tekrarladın ki sonunda sen ikna oldun.</t>
        </is>
      </c>
      <c r="L400" s="6" t="inlineStr"/>
      <c r="M400" s="5" t="inlineStr"/>
      <c r="N400" s="5" t="inlineStr"/>
      <c r="O400" s="6" t="inlineStr"/>
      <c r="P400" s="6" t="inlineStr"/>
      <c r="Q400" s="5" t="inlineStr"/>
      <c r="R400" s="5" t="inlineStr"/>
      <c r="S400" s="5" t="inlineStr">
        <is>
          <t>Çene</t>
        </is>
      </c>
      <c r="T400" s="5" t="inlineStr"/>
      <c r="U400" s="5" t="inlineStr"/>
      <c r="V400" s="5" t="inlineStr"/>
      <c r="W400" s="5" t="inlineStr"/>
      <c r="X400" s="5" t="inlineStr"/>
      <c r="Y400" s="5" t="inlineStr"/>
      <c r="Z400" s="6" t="inlineStr"/>
      <c r="AA400" s="5" t="inlineStr"/>
      <c r="AB400" s="5" t="inlineStr"/>
      <c r="AC400" s="5" t="inlineStr"/>
      <c r="AD400" s="5" t="inlineStr"/>
      <c r="AE400" s="5" t="inlineStr"/>
      <c r="AF400" s="5" t="inlineStr"/>
      <c r="AG400" s="5" t="inlineStr"/>
      <c r="AH400" s="5" t="inlineStr"/>
      <c r="AI400" s="5" t="inlineStr"/>
      <c r="AJ400" s="5" t="inlineStr"/>
    </row>
    <row r="401">
      <c r="A401" s="5" t="inlineStr">
        <is>
          <t>b5-doktor-ol</t>
        </is>
      </c>
      <c r="B401" s="5" t="n">
        <v>4</v>
      </c>
      <c r="C401" s="6" t="inlineStr">
        <is>
          <t>Sessiz kal, zamana bırak</t>
        </is>
      </c>
      <c r="D401" s="5" t="inlineStr">
        <is>
          <t>Dayanıklılık</t>
        </is>
      </c>
      <c r="E401" s="5" t="inlineStr">
        <is>
          <t>Kolay</t>
        </is>
      </c>
      <c r="F401" s="5" t="inlineStr"/>
      <c r="G401" s="6" t="inlineStr"/>
      <c r="H401" s="6" t="inlineStr">
        <is>
          <t>Sustun. Konu üç hafta içinde kendiliğinden söndü.</t>
        </is>
      </c>
      <c r="I401" s="6" t="inlineStr">
        <is>
          <t>Sen sustun, baban da sustu. Bir ay sonra bir akşam çayını karıştırırken “Sen bilirsin” dedi. Bu evde bundan büyük onay yoktur.</t>
        </is>
      </c>
      <c r="J401" s="6" t="inlineStr">
        <is>
          <t>Sustun. Sessizliğin 'evet' olarak yorumlandı.</t>
        </is>
      </c>
      <c r="K401" s="6" t="inlineStr">
        <is>
          <t>Sustun. Ailen bunu onay saydı ve seni tıp fakültesinin tanıtım gününe kaydettirdi.</t>
        </is>
      </c>
      <c r="L401" s="6" t="inlineStr"/>
      <c r="M401" s="5" t="inlineStr"/>
      <c r="N401" s="5" t="inlineStr"/>
      <c r="O401" s="6" t="inlineStr"/>
      <c r="P401" s="6" t="inlineStr"/>
      <c r="Q401" s="5" t="inlineStr">
        <is>
          <t>Sessiz Gözlemci</t>
        </is>
      </c>
      <c r="R401" s="5" t="inlineStr"/>
      <c r="S401" s="5" t="inlineStr"/>
      <c r="T401" s="5" t="inlineStr"/>
      <c r="U401" s="5" t="inlineStr"/>
      <c r="V401" s="5" t="inlineStr"/>
      <c r="W401" s="5" t="inlineStr"/>
      <c r="X401" s="5" t="inlineStr"/>
      <c r="Y401" s="5" t="inlineStr"/>
      <c r="Z401" s="6" t="inlineStr"/>
      <c r="AA401" s="5" t="inlineStr"/>
      <c r="AB401" s="5" t="inlineStr"/>
      <c r="AC401" s="5" t="inlineStr"/>
      <c r="AD401" s="5" t="inlineStr"/>
      <c r="AE401" s="5" t="inlineStr"/>
      <c r="AF401" s="5" t="inlineStr"/>
      <c r="AG401" s="5" t="inlineStr"/>
      <c r="AH401" s="5" t="inlineStr"/>
      <c r="AI401" s="5" t="inlineStr"/>
      <c r="AJ401" s="5" t="inlineStr"/>
    </row>
    <row r="402">
      <c r="A402" s="5" t="inlineStr">
        <is>
          <t>b5-yurt-disi</t>
        </is>
      </c>
      <c r="B402" s="5" t="n">
        <v>1</v>
      </c>
      <c r="C402" s="6" t="inlineStr">
        <is>
          <t>Sekmeyi kapat</t>
        </is>
      </c>
      <c r="D402" s="5" t="inlineStr"/>
      <c r="E402" s="5" t="inlineStr"/>
      <c r="F402" s="5" t="inlineStr">
        <is>
          <t>Dayanıklılık +1</t>
        </is>
      </c>
      <c r="G402" s="6" t="inlineStr">
        <is>
          <t>Sekmeyi kapattın. Hayal, tarayıcı geçmişinde saklı. Her temizlikten sonra yine geri geliyor.</t>
        </is>
      </c>
      <c r="H402" s="6" t="inlineStr"/>
      <c r="I402" s="6" t="inlineStr"/>
      <c r="J402" s="6" t="inlineStr"/>
      <c r="K402" s="6" t="inlineStr"/>
      <c r="L402" s="6" t="inlineStr"/>
      <c r="M402" s="5" t="inlineStr"/>
      <c r="N402" s="5" t="inlineStr"/>
      <c r="O402" s="6" t="inlineStr"/>
      <c r="P402" s="6" t="inlineStr"/>
      <c r="Q402" s="5" t="inlineStr"/>
      <c r="R402" s="5" t="inlineStr"/>
      <c r="S402" s="5" t="inlineStr"/>
      <c r="T402" s="5" t="inlineStr"/>
      <c r="U402" s="5" t="inlineStr"/>
      <c r="V402" s="5" t="inlineStr"/>
      <c r="W402" s="5" t="inlineStr"/>
      <c r="X402" s="5" t="inlineStr"/>
      <c r="Y402" s="5" t="inlineStr"/>
      <c r="Z402" s="6" t="inlineStr"/>
      <c r="AA402" s="5" t="inlineStr"/>
      <c r="AB402" s="5" t="inlineStr"/>
      <c r="AC402" s="5" t="inlineStr"/>
      <c r="AD402" s="5" t="inlineStr"/>
      <c r="AE402" s="5" t="inlineStr"/>
      <c r="AF402" s="5" t="inlineStr"/>
      <c r="AG402" s="5" t="inlineStr"/>
      <c r="AH402" s="5" t="inlineStr"/>
      <c r="AI402" s="5" t="inlineStr"/>
      <c r="AJ402" s="5" t="inlineStr"/>
    </row>
    <row r="403">
      <c r="A403" s="5" t="inlineStr">
        <is>
          <t>b5-yurt-disi</t>
        </is>
      </c>
      <c r="B403" s="5" t="n">
        <v>2</v>
      </c>
      <c r="C403" s="6" t="inlineStr">
        <is>
          <t>Niyet mektubu yaz</t>
        </is>
      </c>
      <c r="D403" s="5" t="inlineStr">
        <is>
          <t>Akıl</t>
        </is>
      </c>
      <c r="E403" s="5" t="inlineStr">
        <is>
          <t>Zor</t>
        </is>
      </c>
      <c r="F403" s="5" t="inlineStr"/>
      <c r="G403" s="6" t="inlineStr"/>
      <c r="H403" s="6" t="inlineStr">
        <is>
          <t>Mektubu yazdın; bir okuldan “bekleme listesi” cevabı geldi. Annen çıktısını alıp vitrine koydu. Komşulara “Bizimkini bekliyorlar” diyor.</t>
        </is>
      </c>
      <c r="I403" s="6" t="inlineStr">
        <is>
          <t>Kısmi burs geldi. Ailen hesap makinesini çıkardı. Hesap makinesi hâlâ düşünüyor.</t>
        </is>
      </c>
      <c r="J403" s="6" t="inlineStr">
        <is>
          <t>Referans isteyeceğin üç kişiden ikisi 'Ne yazayım?' diye sordu. Üçüncüsü cevap vermedi.</t>
        </is>
      </c>
      <c r="K403" s="6" t="inlineStr">
        <is>
          <t>Mektubu gönderdin. Okulun adını yanlış yazmışsın. Diğer okulun adıyla.</t>
        </is>
      </c>
      <c r="L403" s="6" t="inlineStr"/>
      <c r="M403" s="5" t="inlineStr"/>
      <c r="N403" s="5" t="inlineStr"/>
      <c r="O403" s="6" t="inlineStr"/>
      <c r="P403" s="6" t="inlineStr"/>
      <c r="Q403" s="5" t="inlineStr"/>
      <c r="R403" s="5" t="inlineStr"/>
      <c r="S403" s="5" t="inlineStr"/>
      <c r="T403" s="5" t="inlineStr"/>
      <c r="U403" s="5" t="inlineStr"/>
      <c r="V403" s="5" t="inlineStr">
        <is>
          <t>yurt-disi-hayali</t>
        </is>
      </c>
      <c r="W403" s="5" t="inlineStr"/>
      <c r="X403" s="5" t="inlineStr"/>
      <c r="Y403" s="5" t="inlineStr"/>
      <c r="Z403" s="6" t="inlineStr"/>
      <c r="AA403" s="5" t="inlineStr"/>
      <c r="AB403" s="5" t="inlineStr"/>
      <c r="AC403" s="5" t="inlineStr"/>
      <c r="AD403" s="5" t="inlineStr"/>
      <c r="AE403" s="5" t="inlineStr"/>
      <c r="AF403" s="5" t="inlineStr"/>
      <c r="AG403" s="5" t="inlineStr"/>
      <c r="AH403" s="5" t="inlineStr"/>
      <c r="AI403" s="5" t="inlineStr"/>
      <c r="AJ403" s="5" t="inlineStr"/>
    </row>
    <row r="404">
      <c r="A404" s="5" t="inlineStr">
        <is>
          <t>b5-yurt-disi</t>
        </is>
      </c>
      <c r="B404" s="5" t="n">
        <v>3</v>
      </c>
      <c r="C404" s="6" t="inlineStr">
        <is>
          <t>Aileye sunum yap</t>
        </is>
      </c>
      <c r="D404" s="5" t="inlineStr">
        <is>
          <t>Çene</t>
        </is>
      </c>
      <c r="E404" s="5" t="inlineStr">
        <is>
          <t>Orta</t>
        </is>
      </c>
      <c r="F404" s="5" t="inlineStr"/>
      <c r="G404" s="6" t="inlineStr"/>
      <c r="H404" s="6" t="inlineStr">
        <is>
          <t>Ailen “Önce buradaki sınavı kazan” dedi. Baban yine de videoyu bir kez daha izledi.</t>
        </is>
      </c>
      <c r="I404" s="6" t="inlineStr">
        <is>
          <t>Sunumun sonunda ailen buzdolabının üstüne bir “Öte Diyar kumbarası” koydu. İlk katkı: senin bayram harçlıkların.</t>
        </is>
      </c>
      <c r="J404" s="6" t="inlineStr">
        <is>
          <t>Ailen ücreti yüksek sesle okudu. Sonra bir daha okudu.</t>
        </is>
      </c>
      <c r="K404" s="6" t="inlineStr">
        <is>
          <t>Baban tanıtım videosunu izledi, sonra bir daha izledi. Ertesi sabah kahvaltıda sordu: “Bunun yaş sınırı var mı?”</t>
        </is>
      </c>
      <c r="L404" s="6" t="inlineStr"/>
      <c r="M404" s="5" t="inlineStr"/>
      <c r="N404" s="5" t="inlineStr"/>
      <c r="O404" s="6" t="inlineStr"/>
      <c r="P404" s="6" t="inlineStr"/>
      <c r="Q404" s="5" t="inlineStr"/>
      <c r="R404" s="5" t="inlineStr"/>
      <c r="S404" s="5" t="inlineStr"/>
      <c r="T404" s="5" t="inlineStr"/>
      <c r="U404" s="5" t="inlineStr"/>
      <c r="V404" s="5" t="inlineStr"/>
      <c r="W404" s="5" t="inlineStr"/>
      <c r="X404" s="5" t="inlineStr"/>
      <c r="Y404" s="5" t="inlineStr"/>
      <c r="Z404" s="6" t="inlineStr"/>
      <c r="AA404" s="5" t="inlineStr"/>
      <c r="AB404" s="5" t="inlineStr"/>
      <c r="AC404" s="5" t="inlineStr"/>
      <c r="AD404" s="5" t="inlineStr"/>
      <c r="AE404" s="5" t="inlineStr"/>
      <c r="AF404" s="5" t="inlineStr"/>
      <c r="AG404" s="5" t="inlineStr"/>
      <c r="AH404" s="5" t="inlineStr"/>
      <c r="AI404" s="5" t="inlineStr"/>
      <c r="AJ404" s="5" t="inlineStr"/>
    </row>
    <row r="405">
      <c r="A405" s="5" t="inlineStr">
        <is>
          <t>b5-yurt-disi</t>
        </is>
      </c>
      <c r="B405" s="5" t="n">
        <v>4</v>
      </c>
      <c r="C405" s="6" t="inlineStr">
        <is>
          <t>Az bilinen bir burs programı bul</t>
        </is>
      </c>
      <c r="D405" s="5" t="inlineStr">
        <is>
          <t>Kurnazlık</t>
        </is>
      </c>
      <c r="E405" s="5" t="inlineStr">
        <is>
          <t>Kolay</t>
        </is>
      </c>
      <c r="F405" s="5" t="inlineStr"/>
      <c r="G405" s="6" t="inlineStr"/>
      <c r="H405" s="6" t="inlineStr">
        <is>
          <t>Kimsenin bilmediği bir yaz okulu bursu buldun. Başvurun kabul edildi. Uçak bileti ailede.</t>
        </is>
      </c>
      <c r="I405" s="6" t="inlineStr">
        <is>
          <t>Tam burslu bir yaz programı buldun. Ailen hâlâ neyin dolandırıcılık olduğunu anlamaya çalışıyor. Değil.</t>
        </is>
      </c>
      <c r="J405" s="6" t="inlineStr">
        <is>
          <t>Burs programını buldun. Son başvuru tarihi dündü.</t>
        </is>
      </c>
      <c r="K405" s="6" t="inlineStr">
        <is>
          <t>Formu doldurdun, başvuru ücretini ödedin. Program yokmuş. Sitesi ise çok iyi tasarlanmıştı.</t>
        </is>
      </c>
      <c r="L405" s="6" t="inlineStr"/>
      <c r="M405" s="5" t="inlineStr"/>
      <c r="N405" s="5" t="inlineStr"/>
      <c r="O405" s="6" t="inlineStr"/>
      <c r="P405" s="6" t="inlineStr"/>
      <c r="Q405" s="5" t="inlineStr">
        <is>
          <t>Şifreyi Bilen</t>
        </is>
      </c>
      <c r="R405" s="5" t="inlineStr"/>
      <c r="S405" s="5" t="inlineStr"/>
      <c r="T405" s="5" t="inlineStr"/>
      <c r="U405" s="5" t="inlineStr"/>
      <c r="V405" s="5" t="inlineStr">
        <is>
          <t>yurt-disi-hayali</t>
        </is>
      </c>
      <c r="W405" s="5" t="inlineStr"/>
      <c r="X405" s="5" t="inlineStr"/>
      <c r="Y405" s="5" t="inlineStr"/>
      <c r="Z405" s="6" t="inlineStr"/>
      <c r="AA405" s="5" t="inlineStr"/>
      <c r="AB405" s="5" t="inlineStr"/>
      <c r="AC405" s="5" t="inlineStr"/>
      <c r="AD405" s="5" t="inlineStr"/>
      <c r="AE405" s="5" t="inlineStr"/>
      <c r="AF405" s="5" t="inlineStr"/>
      <c r="AG405" s="5" t="inlineStr"/>
      <c r="AH405" s="5" t="inlineStr"/>
      <c r="AI405" s="5" t="inlineStr"/>
      <c r="AJ405" s="5" t="inlineStr"/>
    </row>
    <row r="406">
      <c r="A406" s="5" t="inlineStr">
        <is>
          <t>b5-ilk-konser</t>
        </is>
      </c>
      <c r="B406" s="5" t="n">
        <v>1</v>
      </c>
      <c r="C406" s="6" t="inlineStr">
        <is>
          <t>Ön sıraya ilerle</t>
        </is>
      </c>
      <c r="D406" s="5" t="inlineStr">
        <is>
          <t>Cesaret</t>
        </is>
      </c>
      <c r="E406" s="5" t="inlineStr">
        <is>
          <t>Orta</t>
        </is>
      </c>
      <c r="F406" s="5" t="inlineStr"/>
      <c r="G406" s="6" t="inlineStr"/>
      <c r="H406" s="6" t="inlineStr">
        <is>
          <t>Ön sıraya ulaştın. Şarkıcı bir an sana baktı. En azından sen öyle hatırlıyorsun.</t>
        </is>
      </c>
      <c r="I406" s="6" t="inlineStr">
        <is>
          <t>Sahneden atılan su şişesini yakaladın. Hâlâ bir rafta, cam fanusun içinde duruyor.</t>
        </is>
      </c>
      <c r="J406" s="6" t="inlineStr">
        <is>
          <t>Sen ilerledin, önündeki uzun boylu da ilerledi. Konseri onun ensesinden izledin.</t>
        </is>
      </c>
      <c r="K406" s="6" t="inlineStr">
        <is>
          <t>Yerinden bir dakika ayrıldın. Geri dönemedin. Konseri tuvalet kuyruğundan dinledin.</t>
        </is>
      </c>
      <c r="L406" s="6" t="inlineStr"/>
      <c r="M406" s="5" t="inlineStr"/>
      <c r="N406" s="5" t="inlineStr"/>
      <c r="O406" s="6" t="inlineStr"/>
      <c r="P406" s="6" t="inlineStr"/>
      <c r="Q406" s="5" t="inlineStr"/>
      <c r="R406" s="5" t="inlineStr"/>
      <c r="S406" s="5" t="inlineStr"/>
      <c r="T406" s="5" t="inlineStr"/>
      <c r="U406" s="5" t="inlineStr"/>
      <c r="V406" s="5" t="inlineStr"/>
      <c r="W406" s="5" t="inlineStr"/>
      <c r="X406" s="5" t="inlineStr"/>
      <c r="Y406" s="5" t="inlineStr"/>
      <c r="Z406" s="6" t="inlineStr"/>
      <c r="AA406" s="5" t="inlineStr"/>
      <c r="AB406" s="5" t="inlineStr"/>
      <c r="AC406" s="5" t="inlineStr"/>
      <c r="AD406" s="5" t="inlineStr"/>
      <c r="AE406" s="5" t="inlineStr"/>
      <c r="AF406" s="5" t="inlineStr"/>
      <c r="AG406" s="5" t="inlineStr"/>
      <c r="AH406" s="5" t="inlineStr"/>
      <c r="AI406" s="5" t="inlineStr"/>
      <c r="AJ406" s="5" t="inlineStr"/>
    </row>
    <row r="407">
      <c r="A407" s="5" t="inlineStr">
        <is>
          <t>b5-ilk-konser</t>
        </is>
      </c>
      <c r="B407" s="5" t="n">
        <v>2</v>
      </c>
      <c r="C407" s="6" t="inlineStr">
        <is>
          <t>Hepsini telefonla kaydet</t>
        </is>
      </c>
      <c r="D407" s="5" t="inlineStr"/>
      <c r="E407" s="5" t="inlineStr"/>
      <c r="F407" s="5" t="inlineStr">
        <is>
          <t>Kurnazlık +1</t>
        </is>
      </c>
      <c r="G407" s="6" t="inlineStr">
        <is>
          <t>Konserin tamamını çektin. Videoları hiç izlemedin; konseri de. Telefonda yer kalmayınca hepsini sildin.</t>
        </is>
      </c>
      <c r="H407" s="6" t="inlineStr"/>
      <c r="I407" s="6" t="inlineStr"/>
      <c r="J407" s="6" t="inlineStr"/>
      <c r="K407" s="6" t="inlineStr"/>
      <c r="L407" s="6" t="inlineStr"/>
      <c r="M407" s="5" t="inlineStr"/>
      <c r="N407" s="5" t="inlineStr"/>
      <c r="O407" s="6" t="inlineStr"/>
      <c r="P407" s="6" t="inlineStr"/>
      <c r="Q407" s="5" t="inlineStr"/>
      <c r="R407" s="5" t="inlineStr"/>
      <c r="S407" s="5" t="inlineStr"/>
      <c r="T407" s="5" t="inlineStr"/>
      <c r="U407" s="5" t="inlineStr"/>
      <c r="V407" s="5" t="inlineStr"/>
      <c r="W407" s="5" t="inlineStr"/>
      <c r="X407" s="5" t="inlineStr"/>
      <c r="Y407" s="5" t="inlineStr"/>
      <c r="Z407" s="6" t="inlineStr"/>
      <c r="AA407" s="5" t="inlineStr"/>
      <c r="AB407" s="5" t="inlineStr"/>
      <c r="AC407" s="5" t="inlineStr"/>
      <c r="AD407" s="5" t="inlineStr"/>
      <c r="AE407" s="5" t="inlineStr"/>
      <c r="AF407" s="5" t="inlineStr"/>
      <c r="AG407" s="5" t="inlineStr"/>
      <c r="AH407" s="5" t="inlineStr"/>
      <c r="AI407" s="5" t="inlineStr"/>
      <c r="AJ407" s="5" t="inlineStr"/>
    </row>
    <row r="408">
      <c r="A408" s="5" t="inlineStr">
        <is>
          <t>b5-ilk-konser</t>
        </is>
      </c>
      <c r="B408" s="5" t="n">
        <v>3</v>
      </c>
      <c r="C408" s="6" t="inlineStr">
        <is>
          <t>Bütün şarkılara eşlik et</t>
        </is>
      </c>
      <c r="D408" s="5" t="inlineStr">
        <is>
          <t>Pişkinlik</t>
        </is>
      </c>
      <c r="E408" s="5" t="inlineStr">
        <is>
          <t>Kolay</t>
        </is>
      </c>
      <c r="F408" s="5" t="inlineStr"/>
      <c r="G408" s="6" t="inlineStr"/>
      <c r="H408" s="6" t="inlineStr">
        <is>
          <t>Bilmediğin sözleri uydurdun. Kimse fark etmedi; herkes uyduruyordu.</t>
        </is>
      </c>
      <c r="I408" s="6" t="inlineStr">
        <is>
          <t>O kadar içten söyledin ki etrafındakiler sana eşlik etti. Senin sözlerine.</t>
        </is>
      </c>
      <c r="J408" s="6" t="inlineStr">
        <is>
          <t>Eşlik ettin. Ertesi gün sesin yoktu. İki gün mimikle anlaştın.</t>
        </is>
      </c>
      <c r="K408" s="6" t="inlineStr">
        <is>
          <t>En sessiz şarkıda, tek başına, yanlış nakaratı bağırdın. Şarkıcı durdu, sana baktı: “O başka şarkı kardeşim.” Bütün salon güldü; sen de güldün, ağlamamak için.</t>
        </is>
      </c>
      <c r="L408" s="6" t="inlineStr"/>
      <c r="M408" s="5" t="inlineStr"/>
      <c r="N408" s="5" t="inlineStr"/>
      <c r="O408" s="6" t="inlineStr"/>
      <c r="P408" s="6" t="inlineStr"/>
      <c r="Q408" s="5" t="inlineStr"/>
      <c r="R408" s="5" t="inlineStr"/>
      <c r="S408" s="5" t="inlineStr"/>
      <c r="T408" s="5" t="inlineStr"/>
      <c r="U408" s="5" t="inlineStr"/>
      <c r="V408" s="5" t="inlineStr"/>
      <c r="W408" s="5" t="inlineStr"/>
      <c r="X408" s="5" t="inlineStr"/>
      <c r="Y408" s="5" t="inlineStr"/>
      <c r="Z408" s="6" t="inlineStr"/>
      <c r="AA408" s="5" t="inlineStr"/>
      <c r="AB408" s="5" t="inlineStr"/>
      <c r="AC408" s="5" t="inlineStr"/>
      <c r="AD408" s="5" t="inlineStr"/>
      <c r="AE408" s="5" t="inlineStr"/>
      <c r="AF408" s="5" t="inlineStr"/>
      <c r="AG408" s="5" t="inlineStr"/>
      <c r="AH408" s="5" t="inlineStr"/>
      <c r="AI408" s="5" t="inlineStr"/>
      <c r="AJ408" s="5" t="inlineStr"/>
    </row>
    <row r="409">
      <c r="A409" s="5" t="inlineStr">
        <is>
          <t>b5-ev-partisi</t>
        </is>
      </c>
      <c r="B409" s="5" t="n">
        <v>1</v>
      </c>
      <c r="C409" s="6" t="inlineStr">
        <is>
          <t>Gitme</t>
        </is>
      </c>
      <c r="D409" s="5" t="inlineStr"/>
      <c r="E409" s="5" t="inlineStr"/>
      <c r="F409" s="5" t="inlineStr">
        <is>
          <t>İtibar +1</t>
        </is>
      </c>
      <c r="G409" s="6" t="inlineStr">
        <is>
          <t>Evde kaldın. Pazartesi herkes aynı geceyi farklı anlattı. Tek güvenilir tanık sensin.</t>
        </is>
      </c>
      <c r="H409" s="6" t="inlineStr"/>
      <c r="I409" s="6" t="inlineStr"/>
      <c r="J409" s="6" t="inlineStr"/>
      <c r="K409" s="6" t="inlineStr"/>
      <c r="L409" s="6" t="inlineStr"/>
      <c r="M409" s="5" t="inlineStr"/>
      <c r="N409" s="5" t="inlineStr"/>
      <c r="O409" s="6" t="inlineStr"/>
      <c r="P409" s="6" t="inlineStr"/>
      <c r="Q409" s="5" t="inlineStr"/>
      <c r="R409" s="5" t="inlineStr"/>
      <c r="S409" s="5" t="inlineStr"/>
      <c r="T409" s="5" t="inlineStr"/>
      <c r="U409" s="5" t="inlineStr"/>
      <c r="V409" s="5" t="inlineStr"/>
      <c r="W409" s="5" t="inlineStr"/>
      <c r="X409" s="5" t="inlineStr"/>
      <c r="Y409" s="5" t="inlineStr"/>
      <c r="Z409" s="6" t="inlineStr"/>
      <c r="AA409" s="5" t="inlineStr"/>
      <c r="AB409" s="5" t="inlineStr"/>
      <c r="AC409" s="5" t="inlineStr"/>
      <c r="AD409" s="5" t="inlineStr"/>
      <c r="AE409" s="5" t="inlineStr"/>
      <c r="AF409" s="5" t="inlineStr"/>
      <c r="AG409" s="5" t="inlineStr"/>
      <c r="AH409" s="5" t="inlineStr"/>
      <c r="AI409" s="5" t="inlineStr"/>
      <c r="AJ409" s="5" t="inlineStr"/>
    </row>
    <row r="410">
      <c r="A410" s="5" t="inlineStr">
        <is>
          <t>b5-ev-partisi</t>
        </is>
      </c>
      <c r="B410" s="5" t="n">
        <v>2</v>
      </c>
      <c r="C410" s="6" t="inlineStr">
        <is>
          <t>Git, kenarda dur</t>
        </is>
      </c>
      <c r="D410" s="5" t="inlineStr">
        <is>
          <t>Sosyal Radar</t>
        </is>
      </c>
      <c r="E410" s="5" t="inlineStr">
        <is>
          <t>Kolay</t>
        </is>
      </c>
      <c r="F410" s="5" t="inlineStr"/>
      <c r="G410" s="6" t="inlineStr"/>
      <c r="H410" s="6" t="inlineStr">
        <is>
          <t>Kimin kimle konuştuğunu not ettin. Pazartesi herkes sana soru soruyor.</t>
        </is>
      </c>
      <c r="I410" s="6" t="inlineStr">
        <is>
          <t>Aile dönmeden evi baştan sona toplattın; halıdaki lekeyi kolonyayla çıkardın. Arkadaşının annesi kapıdan girer girmez sordu: “Bu ev neden bu kadar temiz?”</t>
        </is>
      </c>
      <c r="J410" s="6" t="inlineStr">
        <is>
          <t>Kenarda durdun. Bütün fotoğraflarda arkada, elinde bir tabak cipsle varsın.</t>
        </is>
      </c>
      <c r="K410" s="6" t="inlineStr">
        <is>
          <t>Kapıya site yöneticisi geldiğinde kapıyı açan sen oldun. Tutanakta tek isim var.</t>
        </is>
      </c>
      <c r="L410" s="6" t="inlineStr"/>
      <c r="M410" s="5" t="inlineStr"/>
      <c r="N410" s="5" t="inlineStr"/>
      <c r="O410" s="6" t="inlineStr"/>
      <c r="P410" s="6" t="inlineStr"/>
      <c r="Q410" s="5" t="inlineStr"/>
      <c r="R410" s="5" t="inlineStr"/>
      <c r="S410" s="5" t="inlineStr"/>
      <c r="T410" s="5" t="inlineStr"/>
      <c r="U410" s="5" t="inlineStr"/>
      <c r="V410" s="5" t="inlineStr"/>
      <c r="W410" s="5" t="inlineStr"/>
      <c r="X410" s="5" t="inlineStr"/>
      <c r="Y410" s="5" t="inlineStr"/>
      <c r="Z410" s="6" t="inlineStr"/>
      <c r="AA410" s="5" t="inlineStr"/>
      <c r="AB410" s="5" t="inlineStr"/>
      <c r="AC410" s="5" t="inlineStr"/>
      <c r="AD410" s="5" t="inlineStr"/>
      <c r="AE410" s="5" t="inlineStr"/>
      <c r="AF410" s="5" t="inlineStr"/>
      <c r="AG410" s="5" t="inlineStr"/>
      <c r="AH410" s="5" t="inlineStr"/>
      <c r="AI410" s="5" t="inlineStr"/>
      <c r="AJ410" s="5" t="inlineStr"/>
    </row>
    <row r="411">
      <c r="A411" s="5" t="inlineStr">
        <is>
          <t>b5-ev-partisi</t>
        </is>
      </c>
      <c r="B411" s="5" t="n">
        <v>3</v>
      </c>
      <c r="C411" s="6" t="inlineStr">
        <is>
          <t>Partinin ruhu ol</t>
        </is>
      </c>
      <c r="D411" s="5" t="inlineStr">
        <is>
          <t>Pişkinlik</t>
        </is>
      </c>
      <c r="E411" s="5" t="inlineStr">
        <is>
          <t>Zor</t>
        </is>
      </c>
      <c r="F411" s="5" t="inlineStr"/>
      <c r="G411" s="6" t="inlineStr"/>
      <c r="H411" s="6" t="inlineStr">
        <is>
          <t>Partinin ruhu oldun. Ertesi gün kimse neden bu kadar güldüğünü hatırlamıyordu. Sen dahil.</t>
        </is>
      </c>
      <c r="I411" s="6" t="inlineStr">
        <is>
          <t>Gece efsaneleşti. Pazartesi okulda üç ayrı versiyonu anlatılıyordu; üçünde de sen masanın üstündeydin.</t>
        </is>
      </c>
      <c r="J411" s="6" t="inlineStr">
        <is>
          <t>Ortamı ısıtmak için müziği değiştirdin. Müzik de ortam da soğudu.</t>
        </is>
      </c>
      <c r="K411" s="6" t="inlineStr">
        <is>
          <t>Dans ederken balkondaki saksıyı devirdin. Saksı alt kattaki teyzenin çamaşır sepetine indi. Pazartesi teyze çarşafları annene götürdü.</t>
        </is>
      </c>
      <c r="L411" s="6" t="inlineStr"/>
      <c r="M411" s="5" t="inlineStr"/>
      <c r="N411" s="5" t="inlineStr"/>
      <c r="O411" s="6" t="inlineStr"/>
      <c r="P411" s="6" t="inlineStr"/>
      <c r="Q411" s="5" t="inlineStr"/>
      <c r="R411" s="5" t="inlineStr"/>
      <c r="S411" s="5" t="inlineStr"/>
      <c r="T411" s="5" t="inlineStr"/>
      <c r="U411" s="5" t="inlineStr"/>
      <c r="V411" s="5" t="inlineStr"/>
      <c r="W411" s="5" t="inlineStr"/>
      <c r="X411" s="5" t="inlineStr"/>
      <c r="Y411" s="5" t="inlineStr"/>
      <c r="Z411" s="6" t="inlineStr"/>
      <c r="AA411" s="5" t="inlineStr"/>
      <c r="AB411" s="5" t="inlineStr"/>
      <c r="AC411" s="5" t="inlineStr"/>
      <c r="AD411" s="5" t="inlineStr"/>
      <c r="AE411" s="5" t="inlineStr"/>
      <c r="AF411" s="5" t="inlineStr"/>
      <c r="AG411" s="5" t="inlineStr"/>
      <c r="AH411" s="5" t="inlineStr"/>
      <c r="AI411" s="5" t="inlineStr"/>
      <c r="AJ411" s="5" t="inlineStr"/>
    </row>
    <row r="412">
      <c r="A412" s="5" t="inlineStr">
        <is>
          <t>b5-ev-partisi</t>
        </is>
      </c>
      <c r="B412" s="5" t="n">
        <v>4</v>
      </c>
      <c r="C412" s="6" t="inlineStr">
        <is>
          <t>Komşuların kapısını sen çal</t>
        </is>
      </c>
      <c r="D412" s="5" t="inlineStr">
        <is>
          <t>İtibar</t>
        </is>
      </c>
      <c r="E412" s="5" t="inlineStr">
        <is>
          <t>Orta</t>
        </is>
      </c>
      <c r="F412" s="5" t="inlineStr"/>
      <c r="G412" s="6" t="inlineStr"/>
      <c r="H412" s="6" t="inlineStr">
        <is>
          <t>Komşuların kapısını sen çaldın, özür diledin. Cam vakasından beri bu işin uzmanısın.</t>
        </is>
      </c>
      <c r="I412" s="6" t="inlineStr">
        <is>
          <t>Alt kata bir tabak kurabiye götürdün. Parti bitmeden şikâyet geri çekildi.</t>
        </is>
      </c>
      <c r="J412" s="6" t="inlineStr">
        <is>
          <t>Komşu seni tanıdı: 'Sen o camı kıran değil misin?' Görüşme kısa sürdü.</t>
        </is>
      </c>
      <c r="K412" s="6" t="inlineStr">
        <is>
          <t>Özür dilerken komşunun kapı kolu elinde kaldı. Komşu kolu elinden aldı, sana baktı: “Cam da sendin, değil mi?”</t>
        </is>
      </c>
      <c r="L412" s="6" t="inlineStr"/>
      <c r="M412" s="5" t="inlineStr"/>
      <c r="N412" s="5" t="inlineStr"/>
      <c r="O412" s="6" t="inlineStr"/>
      <c r="P412" s="6" t="inlineStr"/>
      <c r="Q412" s="5" t="inlineStr"/>
      <c r="R412" s="5" t="inlineStr">
        <is>
          <t>camKirildi</t>
        </is>
      </c>
      <c r="S412" s="5" t="inlineStr"/>
      <c r="T412" s="5" t="inlineStr"/>
      <c r="U412" s="5" t="inlineStr"/>
      <c r="V412" s="5" t="inlineStr"/>
      <c r="W412" s="5" t="inlineStr"/>
      <c r="X412" s="5" t="inlineStr"/>
      <c r="Y412" s="5" t="inlineStr"/>
      <c r="Z412" s="6" t="inlineStr"/>
      <c r="AA412" s="5" t="inlineStr"/>
      <c r="AB412" s="5" t="inlineStr"/>
      <c r="AC412" s="5" t="inlineStr"/>
      <c r="AD412" s="5" t="inlineStr"/>
      <c r="AE412" s="5" t="inlineStr"/>
      <c r="AF412" s="5" t="inlineStr"/>
      <c r="AG412" s="5" t="inlineStr"/>
      <c r="AH412" s="5" t="inlineStr"/>
      <c r="AI412" s="5" t="inlineStr"/>
      <c r="AJ412" s="5" t="inlineStr"/>
    </row>
    <row r="413">
      <c r="A413" s="5" t="inlineStr">
        <is>
          <t>b5-kurye-isi</t>
        </is>
      </c>
      <c r="B413" s="5" t="n">
        <v>1</v>
      </c>
      <c r="C413" s="6" t="inlineStr">
        <is>
          <t>Trafiğin arasından kestir</t>
        </is>
      </c>
      <c r="D413" s="5" t="inlineStr">
        <is>
          <t>Kurnazlık</t>
        </is>
      </c>
      <c r="E413" s="5" t="inlineStr">
        <is>
          <t>Zor</t>
        </is>
      </c>
      <c r="F413" s="5" t="inlineStr"/>
      <c r="G413" s="6" t="inlineStr"/>
      <c r="H413" s="6" t="inlineStr">
        <is>
          <t>Siparişi dokuz dakikada teslim ettin. Müşteri beş yıldız verdi, yoruma 'Işık hızı' yazdı.</t>
        </is>
      </c>
      <c r="I413" s="6" t="inlineStr">
        <is>
          <t>Günde yirmi teslimat yaptın. Pideci camına “Kuryemiz bir numara” yazdırdı. Ödülün bir yağmurluk ve her akşam bir kaşarlı.</t>
        </is>
      </c>
      <c r="J413" s="6" t="inlineStr">
        <is>
          <t>Kestirme çıkmaz sokak çıktı. Müşteri yemeğini ısıtarak yedi.</t>
        </is>
      </c>
      <c r="K413" s="6" t="inlineStr">
        <is>
          <t>Adresi karıştırdın. Siparişi yanlış kapıdaki teyze aldı, ödedi, yedi ve seni sofraya davet etti. Asıl müşteri hâlâ bekliyor.</t>
        </is>
      </c>
      <c r="L413" s="6" t="inlineStr">
        <is>
          <t>Zamanında vardın ama çorba ayrı bir yolculuk yaşamış. Müşteri 'Lezzetli ama eksik' yazdı.</t>
        </is>
      </c>
      <c r="M413" s="5" t="inlineStr">
        <is>
          <t>fight</t>
        </is>
      </c>
      <c r="N413" s="5" t="inlineStr">
        <is>
          <t>Teslimat Yolu</t>
        </is>
      </c>
      <c r="O413" s="6" t="inlineStr">
        <is>
          <t>Engelin olmadığı şeride geç.</t>
        </is>
      </c>
      <c r="P413" s="6" t="inlineStr">
        <is>
          <t>{"mode": "dodge", "obstacles": ["🚗", "🕳️", "🚧", "🐕"]}</t>
        </is>
      </c>
      <c r="Q413" s="5" t="inlineStr"/>
      <c r="R413" s="5" t="inlineStr"/>
      <c r="S413" s="5" t="inlineStr"/>
      <c r="T413" s="5" t="inlineStr">
        <is>
          <t>Kestirme Bilir</t>
        </is>
      </c>
      <c r="U413" s="5" t="inlineStr"/>
      <c r="V413" s="5" t="inlineStr"/>
      <c r="W413" s="5" t="inlineStr"/>
      <c r="X413" s="5" t="inlineStr"/>
      <c r="Y413" s="5" t="inlineStr"/>
      <c r="Z413" s="6" t="inlineStr"/>
      <c r="AA413" s="5" t="inlineStr"/>
      <c r="AB413" s="5" t="inlineStr"/>
      <c r="AC413" s="5" t="inlineStr"/>
      <c r="AD413" s="5" t="inlineStr"/>
      <c r="AE413" s="5" t="inlineStr"/>
      <c r="AF413" s="5" t="inlineStr"/>
      <c r="AG413" s="5" t="inlineStr"/>
      <c r="AH413" s="5" t="inlineStr"/>
      <c r="AI413" s="5" t="inlineStr"/>
      <c r="AJ413" s="5" t="inlineStr"/>
    </row>
    <row r="414">
      <c r="A414" s="5" t="inlineStr">
        <is>
          <t>b5-kurye-isi</t>
        </is>
      </c>
      <c r="B414" s="5" t="n">
        <v>2</v>
      </c>
      <c r="C414" s="6" t="inlineStr">
        <is>
          <t>Kurallara uyarak git</t>
        </is>
      </c>
      <c r="D414" s="5" t="inlineStr"/>
      <c r="E414" s="5" t="inlineStr"/>
      <c r="F414" s="5" t="inlineStr">
        <is>
          <t>İtibar +1</t>
        </is>
      </c>
      <c r="G414" s="6" t="inlineStr">
        <is>
          <t>Her kırmızıda durdun. Sipariş on dakika geç ulaştı. Müşteri iki yıldız verdi, yoruma 'Kurallara uymuş' yazdı.</t>
        </is>
      </c>
      <c r="H414" s="6" t="inlineStr"/>
      <c r="I414" s="6" t="inlineStr"/>
      <c r="J414" s="6" t="inlineStr"/>
      <c r="K414" s="6" t="inlineStr"/>
      <c r="L414" s="6" t="inlineStr"/>
      <c r="M414" s="5" t="inlineStr"/>
      <c r="N414" s="5" t="inlineStr"/>
      <c r="O414" s="6" t="inlineStr"/>
      <c r="P414" s="6" t="inlineStr"/>
      <c r="Q414" s="5" t="inlineStr"/>
      <c r="R414" s="5" t="inlineStr"/>
      <c r="S414" s="5" t="inlineStr"/>
      <c r="T414" s="5" t="inlineStr"/>
      <c r="U414" s="5" t="inlineStr"/>
      <c r="V414" s="5" t="inlineStr"/>
      <c r="W414" s="5" t="inlineStr"/>
      <c r="X414" s="5" t="inlineStr"/>
      <c r="Y414" s="5" t="inlineStr"/>
      <c r="Z414" s="6" t="inlineStr"/>
      <c r="AA414" s="5" t="inlineStr"/>
      <c r="AB414" s="5" t="inlineStr"/>
      <c r="AC414" s="5" t="inlineStr"/>
      <c r="AD414" s="5" t="inlineStr"/>
      <c r="AE414" s="5" t="inlineStr"/>
      <c r="AF414" s="5" t="inlineStr"/>
      <c r="AG414" s="5" t="inlineStr"/>
      <c r="AH414" s="5" t="inlineStr"/>
      <c r="AI414" s="5" t="inlineStr"/>
      <c r="AJ414" s="5" t="inlineStr"/>
    </row>
    <row r="415">
      <c r="A415" s="5" t="inlineStr">
        <is>
          <t>b5-kurye-isi</t>
        </is>
      </c>
      <c r="B415" s="5" t="n">
        <v>3</v>
      </c>
      <c r="C415" s="6" t="inlineStr">
        <is>
          <t>Kapıda sohbet et, bahşiş kap</t>
        </is>
      </c>
      <c r="D415" s="5" t="inlineStr">
        <is>
          <t>Çene</t>
        </is>
      </c>
      <c r="E415" s="5" t="inlineStr">
        <is>
          <t>Kolay</t>
        </is>
      </c>
      <c r="F415" s="5" t="inlineStr"/>
      <c r="G415" s="6" t="inlineStr"/>
      <c r="H415" s="6" t="inlineStr">
        <is>
          <t>Kapıda iki cümle kurdun, bahşiş geldi. Teyze bir de kolonya uzattı: “Terlemişsin yavrum.”</t>
        </is>
      </c>
      <c r="I415" s="6" t="inlineStr">
        <is>
          <t>Bir teyze her akşam aynı saatte sipariş verip seni soruyor. Yemeği değil, seni bekliyor; bahşişin yanına bir de kurabiye koyuyor.</t>
        </is>
      </c>
      <c r="J415" s="6" t="inlineStr">
        <is>
          <t>Sohbet ettin. Müşteri kapıyı kapattı. Bahşişi 'teşekkürler' olarak ödedi.</t>
        </is>
      </c>
      <c r="K415" s="6" t="inlineStr">
        <is>
          <t>Kapıda sohbet uzadı; sıradaki üç sipariş soğudu. Pideci üçünü yeniden yaptı, parasını haftalığından kesti.</t>
        </is>
      </c>
      <c r="L415" s="6" t="inlineStr"/>
      <c r="M415" s="5" t="inlineStr"/>
      <c r="N415" s="5" t="inlineStr"/>
      <c r="O415" s="6" t="inlineStr"/>
      <c r="P415" s="6" t="inlineStr"/>
      <c r="Q415" s="5" t="inlineStr"/>
      <c r="R415" s="5" t="inlineStr"/>
      <c r="S415" s="5" t="inlineStr"/>
      <c r="T415" s="5" t="inlineStr"/>
      <c r="U415" s="5" t="inlineStr"/>
      <c r="V415" s="5" t="inlineStr"/>
      <c r="W415" s="5" t="inlineStr"/>
      <c r="X415" s="5" t="inlineStr"/>
      <c r="Y415" s="5" t="inlineStr"/>
      <c r="Z415" s="6" t="inlineStr"/>
      <c r="AA415" s="5" t="inlineStr"/>
      <c r="AB415" s="5" t="inlineStr"/>
      <c r="AC415" s="5" t="inlineStr"/>
      <c r="AD415" s="5" t="inlineStr"/>
      <c r="AE415" s="5" t="inlineStr"/>
      <c r="AF415" s="5" t="inlineStr"/>
      <c r="AG415" s="5" t="inlineStr"/>
      <c r="AH415" s="5" t="inlineStr"/>
      <c r="AI415" s="5" t="inlineStr"/>
      <c r="AJ415" s="5" t="inlineStr"/>
    </row>
    <row r="416">
      <c r="A416" s="5" t="inlineStr">
        <is>
          <t>b5-ozel-ders</t>
        </is>
      </c>
      <c r="B416" s="5" t="n">
        <v>1</v>
      </c>
      <c r="C416" s="6" t="inlineStr">
        <is>
          <t>Her dakikayı değerlendir</t>
        </is>
      </c>
      <c r="D416" s="5" t="inlineStr">
        <is>
          <t>Akıl</t>
        </is>
      </c>
      <c r="E416" s="5" t="inlineStr">
        <is>
          <t>Orta</t>
        </is>
      </c>
      <c r="F416" s="5" t="inlineStr"/>
      <c r="G416" s="6" t="inlineStr"/>
      <c r="H416" s="6" t="inlineStr">
        <is>
          <t>Her ders dolu geçti. Matematik notun iki basamak arttı. Annenin montu yolda.</t>
        </is>
      </c>
      <c r="I416" s="6" t="inlineStr">
        <is>
          <t>Öğretmen üçüncü derste 'Ben sana artık ne anlatayım?' dedi. Kalan dersler iptal edildi.</t>
        </is>
      </c>
      <c r="J416" s="6" t="inlineStr">
        <is>
          <t>Dersler iyi geçti. Sınavda çalıştığın konudan tek soru gelmedi.</t>
        </is>
      </c>
      <c r="K416" s="6" t="inlineStr">
        <is>
          <t>Bir ay sonra öğretmen yanlış müfredattan anlattığını fark etti. Özür diledi, ücreti almayı ihmal etmedi.</t>
        </is>
      </c>
      <c r="L416" s="6" t="inlineStr"/>
      <c r="M416" s="5" t="inlineStr"/>
      <c r="N416" s="5" t="inlineStr"/>
      <c r="O416" s="6" t="inlineStr"/>
      <c r="P416" s="6" t="inlineStr"/>
      <c r="Q416" s="5" t="inlineStr"/>
      <c r="R416" s="5" t="inlineStr"/>
      <c r="S416" s="5" t="inlineStr"/>
      <c r="T416" s="5" t="inlineStr"/>
      <c r="U416" s="5" t="inlineStr"/>
      <c r="V416" s="5" t="inlineStr"/>
      <c r="W416" s="5" t="inlineStr"/>
      <c r="X416" s="5" t="inlineStr"/>
      <c r="Y416" s="5" t="inlineStr"/>
      <c r="Z416" s="6" t="inlineStr"/>
      <c r="AA416" s="5" t="inlineStr"/>
      <c r="AB416" s="5" t="inlineStr"/>
      <c r="AC416" s="5" t="inlineStr"/>
      <c r="AD416" s="5" t="inlineStr"/>
      <c r="AE416" s="5" t="inlineStr"/>
      <c r="AF416" s="5" t="inlineStr"/>
      <c r="AG416" s="5" t="inlineStr"/>
      <c r="AH416" s="5" t="inlineStr"/>
      <c r="AI416" s="5" t="inlineStr"/>
      <c r="AJ416" s="5" t="inlineStr"/>
    </row>
    <row r="417">
      <c r="A417" s="5" t="inlineStr">
        <is>
          <t>b5-ozel-ders</t>
        </is>
      </c>
      <c r="B417" s="5" t="n">
        <v>2</v>
      </c>
      <c r="C417" s="6" t="inlineStr">
        <is>
          <t>Öğretmeni sohbete boğ</t>
        </is>
      </c>
      <c r="D417" s="5" t="inlineStr">
        <is>
          <t>Çene</t>
        </is>
      </c>
      <c r="E417" s="5" t="inlineStr">
        <is>
          <t>Orta</t>
        </is>
      </c>
      <c r="F417" s="5" t="inlineStr"/>
      <c r="G417" s="6" t="inlineStr"/>
      <c r="H417" s="6" t="inlineStr">
        <is>
          <t>Sohbet arasında öğretmen hayatta işe yarayacak üç formül verdi. Hiçbiri sınavda yok.</t>
        </is>
      </c>
      <c r="I417" s="6" t="inlineStr">
        <is>
          <t>O kadar iyi anlaştınız ki üçüncü aydan sonra ücret almadı: 'Sen benim öğrencimsin.'</t>
        </is>
      </c>
      <c r="J417" s="6" t="inlineStr">
        <is>
          <t>Ailen ders sonrası 'Ne öğrendin?' diye sordu. Öğretmenin kedisinin adını söyledin.</t>
        </is>
      </c>
      <c r="K417" s="6" t="inlineStr">
        <is>
          <t>Ders saati öğretmenin tatil fotoğraflarıyla doldu. Çıkarken annene “Çok cevval bir çocuk” dedi; annen dersleri haftada ikiye çıkardı.</t>
        </is>
      </c>
      <c r="L417" s="6" t="inlineStr"/>
      <c r="M417" s="5" t="inlineStr"/>
      <c r="N417" s="5" t="inlineStr"/>
      <c r="O417" s="6" t="inlineStr"/>
      <c r="P417" s="6" t="inlineStr"/>
      <c r="Q417" s="5" t="inlineStr"/>
      <c r="R417" s="5" t="inlineStr"/>
      <c r="S417" s="5" t="inlineStr"/>
      <c r="T417" s="5" t="inlineStr"/>
      <c r="U417" s="5" t="inlineStr"/>
      <c r="V417" s="5" t="inlineStr"/>
      <c r="W417" s="5" t="inlineStr"/>
      <c r="X417" s="5" t="inlineStr"/>
      <c r="Y417" s="5" t="inlineStr"/>
      <c r="Z417" s="6" t="inlineStr"/>
      <c r="AA417" s="5" t="inlineStr"/>
      <c r="AB417" s="5" t="inlineStr"/>
      <c r="AC417" s="5" t="inlineStr"/>
      <c r="AD417" s="5" t="inlineStr"/>
      <c r="AE417" s="5" t="inlineStr"/>
      <c r="AF417" s="5" t="inlineStr"/>
      <c r="AG417" s="5" t="inlineStr"/>
      <c r="AH417" s="5" t="inlineStr"/>
      <c r="AI417" s="5" t="inlineStr"/>
      <c r="AJ417" s="5" t="inlineStr"/>
    </row>
    <row r="418">
      <c r="A418" s="5" t="inlineStr">
        <is>
          <t>b5-ozel-ders</t>
        </is>
      </c>
      <c r="B418" s="5" t="n">
        <v>3</v>
      </c>
      <c r="C418" s="6" t="inlineStr">
        <is>
          <t>Dersleri iptal ettir</t>
        </is>
      </c>
      <c r="D418" s="5" t="inlineStr"/>
      <c r="E418" s="5" t="inlineStr"/>
      <c r="F418" s="5" t="inlineStr">
        <is>
          <t>Pişkinlik +1</t>
        </is>
      </c>
      <c r="G418" s="6" t="inlineStr">
        <is>
          <t>Dersi bırakmak istediğini söyledin. Annen hiç tartışmadı. Ertesi hafta salonda yeni bir öğretmen oturuyordu; kristal şekerlik yine masadaydı.</t>
        </is>
      </c>
      <c r="H418" s="6" t="inlineStr"/>
      <c r="I418" s="6" t="inlineStr"/>
      <c r="J418" s="6" t="inlineStr"/>
      <c r="K418" s="6" t="inlineStr"/>
      <c r="L418" s="6" t="inlineStr"/>
      <c r="M418" s="5" t="inlineStr"/>
      <c r="N418" s="5" t="inlineStr"/>
      <c r="O418" s="6" t="inlineStr"/>
      <c r="P418" s="6" t="inlineStr"/>
      <c r="Q418" s="5" t="inlineStr"/>
      <c r="R418" s="5" t="inlineStr"/>
      <c r="S418" s="5" t="inlineStr"/>
      <c r="T418" s="5" t="inlineStr"/>
      <c r="U418" s="5" t="inlineStr"/>
      <c r="V418" s="5" t="inlineStr"/>
      <c r="W418" s="5" t="inlineStr"/>
      <c r="X418" s="5" t="inlineStr"/>
      <c r="Y418" s="5" t="inlineStr"/>
      <c r="Z418" s="6" t="inlineStr"/>
      <c r="AA418" s="5" t="inlineStr"/>
      <c r="AB418" s="5" t="inlineStr"/>
      <c r="AC418" s="5" t="inlineStr"/>
      <c r="AD418" s="5" t="inlineStr"/>
      <c r="AE418" s="5" t="inlineStr"/>
      <c r="AF418" s="5" t="inlineStr"/>
      <c r="AG418" s="5" t="inlineStr"/>
      <c r="AH418" s="5" t="inlineStr"/>
      <c r="AI418" s="5" t="inlineStr"/>
      <c r="AJ418" s="5" t="inlineStr"/>
    </row>
    <row r="419">
      <c r="A419" s="5" t="inlineStr">
        <is>
          <t>b5-rehberlik</t>
        </is>
      </c>
      <c r="B419" s="5" t="n">
        <v>1</v>
      </c>
      <c r="C419" s="6" t="inlineStr">
        <is>
          <t>Sonucu kabul et</t>
        </is>
      </c>
      <c r="D419" s="5" t="inlineStr"/>
      <c r="E419" s="5" t="inlineStr"/>
      <c r="F419" s="5" t="inlineStr">
        <is>
          <t>Dayanıklılık +1</t>
        </is>
      </c>
      <c r="G419" s="6" t="inlineStr">
        <is>
          <t>Sonucu kabul ettin. Rehber öğretmen eline bir denizcilik broşürü tutuşturdu. Yüzme bilip bilmediğini sormadı; sen de söylemedin.</t>
        </is>
      </c>
      <c r="H419" s="6" t="inlineStr"/>
      <c r="I419" s="6" t="inlineStr"/>
      <c r="J419" s="6" t="inlineStr"/>
      <c r="K419" s="6" t="inlineStr"/>
      <c r="L419" s="6" t="inlineStr"/>
      <c r="M419" s="5" t="inlineStr"/>
      <c r="N419" s="5" t="inlineStr"/>
      <c r="O419" s="6" t="inlineStr"/>
      <c r="P419" s="6" t="inlineStr"/>
      <c r="Q419" s="5" t="inlineStr"/>
      <c r="R419" s="5" t="inlineStr"/>
      <c r="S419" s="5" t="inlineStr"/>
      <c r="T419" s="5" t="inlineStr"/>
      <c r="U419" s="5" t="inlineStr"/>
      <c r="V419" s="5" t="inlineStr"/>
      <c r="W419" s="5" t="inlineStr"/>
      <c r="X419" s="5" t="inlineStr"/>
      <c r="Y419" s="5" t="inlineStr"/>
      <c r="Z419" s="6" t="inlineStr"/>
      <c r="AA419" s="5" t="inlineStr"/>
      <c r="AB419" s="5" t="inlineStr"/>
      <c r="AC419" s="5" t="inlineStr"/>
      <c r="AD419" s="5" t="inlineStr"/>
      <c r="AE419" s="5" t="inlineStr"/>
      <c r="AF419" s="5" t="inlineStr"/>
      <c r="AG419" s="5" t="inlineStr"/>
      <c r="AH419" s="5" t="inlineStr"/>
      <c r="AI419" s="5" t="inlineStr"/>
      <c r="AJ419" s="5" t="inlineStr"/>
    </row>
    <row r="420">
      <c r="A420" s="5" t="inlineStr">
        <is>
          <t>b5-rehberlik</t>
        </is>
      </c>
      <c r="B420" s="5" t="n">
        <v>2</v>
      </c>
      <c r="C420" s="6" t="inlineStr">
        <is>
          <t>Testi yeniden al</t>
        </is>
      </c>
      <c r="D420" s="5" t="inlineStr">
        <is>
          <t>Akıl</t>
        </is>
      </c>
      <c r="E420" s="5" t="inlineStr">
        <is>
          <t>Orta</t>
        </is>
      </c>
      <c r="F420" s="5" t="inlineStr"/>
      <c r="G420" s="6" t="inlineStr"/>
      <c r="H420" s="6" t="inlineStr">
        <is>
          <t>Dikkatle yeniden aldın. Yeni sonuç: mühendis. Ailen sonucu çerçeveletti.</t>
        </is>
      </c>
      <c r="I420" s="6" t="inlineStr">
        <is>
          <t>Sonuç tam hayal ettiğin meslek çıktı. Rehber öğretmen üçüncü kez almanı önermedi.</t>
        </is>
      </c>
      <c r="J420" s="6" t="inlineStr">
        <is>
          <t>Yeniden aldın. Sonuç: deniz feneri bekçisi yardımcısı.</t>
        </is>
      </c>
      <c r="K420" s="6" t="inlineStr">
        <is>
          <t>Testi üçüncü kez aldın. Rehber öğretmen seni “kararsız” diye not etti ve her hafta çağırmaya başladı. Hâlâ gidiyorsun; artık çayını da içiyorsun.</t>
        </is>
      </c>
      <c r="L420" s="6" t="inlineStr"/>
      <c r="M420" s="5" t="inlineStr"/>
      <c r="N420" s="5" t="inlineStr"/>
      <c r="O420" s="6" t="inlineStr"/>
      <c r="P420" s="6" t="inlineStr"/>
      <c r="Q420" s="5" t="inlineStr"/>
      <c r="R420" s="5" t="inlineStr"/>
      <c r="S420" s="5" t="inlineStr"/>
      <c r="T420" s="5" t="inlineStr"/>
      <c r="U420" s="5" t="inlineStr"/>
      <c r="V420" s="5" t="inlineStr"/>
      <c r="W420" s="5" t="inlineStr"/>
      <c r="X420" s="5" t="inlineStr"/>
      <c r="Y420" s="5" t="inlineStr"/>
      <c r="Z420" s="6" t="inlineStr"/>
      <c r="AA420" s="5" t="inlineStr"/>
      <c r="AB420" s="5" t="inlineStr"/>
      <c r="AC420" s="5" t="inlineStr"/>
      <c r="AD420" s="5" t="inlineStr"/>
      <c r="AE420" s="5" t="inlineStr"/>
      <c r="AF420" s="5" t="inlineStr"/>
      <c r="AG420" s="5" t="inlineStr"/>
      <c r="AH420" s="5" t="inlineStr"/>
      <c r="AI420" s="5" t="inlineStr"/>
      <c r="AJ420" s="5" t="inlineStr"/>
    </row>
    <row r="421">
      <c r="A421" s="5" t="inlineStr">
        <is>
          <t>b5-rehberlik</t>
        </is>
      </c>
      <c r="B421" s="5" t="n">
        <v>3</v>
      </c>
      <c r="C421" s="6" t="inlineStr">
        <is>
          <t>Rehber öğretmenle gerçekten konuş</t>
        </is>
      </c>
      <c r="D421" s="5" t="inlineStr">
        <is>
          <t>Sosyal Radar</t>
        </is>
      </c>
      <c r="E421" s="5" t="inlineStr">
        <is>
          <t>Kolay</t>
        </is>
      </c>
      <c r="F421" s="5" t="inlineStr"/>
      <c r="G421" s="6" t="inlineStr"/>
      <c r="H421" s="6" t="inlineStr">
        <is>
          <t>Testi bir kenara bıraktınız. Kırk dakika sonra ilk kez kendi cevabını duydun.</t>
        </is>
      </c>
      <c r="I421" s="6" t="inlineStr">
        <is>
          <t>Veli görüşmesinde öğretmen annene “Bu çocuk ne istediğini biliyor” dedi. Annen eve kadar sustu, kapıda sordu: “Neymiş istediğin?” İlk kez gerçekten dinledi.</t>
        </is>
      </c>
      <c r="J421" s="6" t="inlineStr">
        <is>
          <t>Sohbet güzel geçti. Sonunda öğretmen seni testi yeniden almaya ikna etti.</t>
        </is>
      </c>
      <c r="K421" s="6" t="inlineStr">
        <is>
          <t>Sohbet öğretmenin kendi kariyer pişmanlıklarına döndü. Seansın sonunda sen onu teselli ettin.</t>
        </is>
      </c>
      <c r="L421" s="6" t="inlineStr"/>
      <c r="M421" s="5" t="inlineStr"/>
      <c r="N421" s="5" t="inlineStr"/>
      <c r="O421" s="6" t="inlineStr"/>
      <c r="P421" s="6" t="inlineStr"/>
      <c r="Q421" s="5" t="inlineStr">
        <is>
          <t>Odayı Okur</t>
        </is>
      </c>
      <c r="R421" s="5" t="inlineStr"/>
      <c r="S421" s="5" t="inlineStr"/>
      <c r="T421" s="5" t="inlineStr"/>
      <c r="U421" s="5" t="inlineStr"/>
      <c r="V421" s="5" t="inlineStr"/>
      <c r="W421" s="5" t="inlineStr"/>
      <c r="X421" s="5" t="inlineStr"/>
      <c r="Y421" s="5" t="inlineStr"/>
      <c r="Z421" s="6" t="inlineStr"/>
      <c r="AA421" s="5" t="inlineStr"/>
      <c r="AB421" s="5" t="inlineStr"/>
      <c r="AC421" s="5" t="inlineStr"/>
      <c r="AD421" s="5" t="inlineStr"/>
      <c r="AE421" s="5" t="inlineStr"/>
      <c r="AF421" s="5" t="inlineStr"/>
      <c r="AG421" s="5" t="inlineStr"/>
      <c r="AH421" s="5" t="inlineStr"/>
      <c r="AI421" s="5" t="inlineStr"/>
      <c r="AJ421" s="5" t="inlineStr"/>
    </row>
    <row r="422">
      <c r="A422" s="5" t="inlineStr">
        <is>
          <t>b5-telefon-detoksu</t>
        </is>
      </c>
      <c r="B422" s="5" t="n">
        <v>1</v>
      </c>
      <c r="C422" s="6" t="inlineStr">
        <is>
          <t>Kabul et, çalış</t>
        </is>
      </c>
      <c r="D422" s="5" t="inlineStr"/>
      <c r="E422" s="5" t="inlineStr"/>
      <c r="F422" s="5" t="inlineStr">
        <is>
          <t>Akıl +1, Dayanıklılık +1</t>
        </is>
      </c>
      <c r="G422" s="6" t="inlineStr">
        <is>
          <t>İki ay telefonsuz geçti. Dünyada ne olduğunu bilmiyorsun ama trigonometriyi biliyorsun.</t>
        </is>
      </c>
      <c r="H422" s="6" t="inlineStr"/>
      <c r="I422" s="6" t="inlineStr"/>
      <c r="J422" s="6" t="inlineStr"/>
      <c r="K422" s="6" t="inlineStr"/>
      <c r="L422" s="6" t="inlineStr"/>
      <c r="M422" s="5" t="inlineStr"/>
      <c r="N422" s="5" t="inlineStr"/>
      <c r="O422" s="6" t="inlineStr"/>
      <c r="P422" s="6" t="inlineStr"/>
      <c r="Q422" s="5" t="inlineStr"/>
      <c r="R422" s="5" t="inlineStr"/>
      <c r="S422" s="5" t="inlineStr"/>
      <c r="T422" s="5" t="inlineStr"/>
      <c r="U422" s="5" t="inlineStr"/>
      <c r="V422" s="5" t="inlineStr"/>
      <c r="W422" s="5" t="inlineStr"/>
      <c r="X422" s="5" t="inlineStr"/>
      <c r="Y422" s="5" t="inlineStr"/>
      <c r="Z422" s="6" t="inlineStr"/>
      <c r="AA422" s="5" t="inlineStr"/>
      <c r="AB422" s="5" t="inlineStr"/>
      <c r="AC422" s="5" t="inlineStr"/>
      <c r="AD422" s="5" t="inlineStr"/>
      <c r="AE422" s="5" t="inlineStr"/>
      <c r="AF422" s="5" t="inlineStr"/>
      <c r="AG422" s="5" t="inlineStr"/>
      <c r="AH422" s="5" t="inlineStr"/>
      <c r="AI422" s="5" t="inlineStr"/>
      <c r="AJ422" s="5" t="inlineStr"/>
    </row>
    <row r="423">
      <c r="A423" s="5" t="inlineStr">
        <is>
          <t>b5-telefon-detoksu</t>
        </is>
      </c>
      <c r="B423" s="5" t="n">
        <v>2</v>
      </c>
      <c r="C423" s="6" t="inlineStr">
        <is>
          <t>Akşamları bir saat için pazarlık et</t>
        </is>
      </c>
      <c r="D423" s="5" t="inlineStr">
        <is>
          <t>Çene</t>
        </is>
      </c>
      <c r="E423" s="5" t="inlineStr">
        <is>
          <t>Orta</t>
        </is>
      </c>
      <c r="F423" s="5" t="inlineStr"/>
      <c r="G423" s="6" t="inlineStr"/>
      <c r="H423" s="6" t="inlineStr">
        <is>
          <t>Akşam bir saat için anlaştınız. Saat dolunca telefonu annenin avucuna kendin bıraktın. Annen “Aferin” dedi; on yedi yaşında “aferin” almak tuhaf ama güzel.</t>
        </is>
      </c>
      <c r="I423" s="6" t="inlineStr">
        <is>
          <t>Akşam bir saate, hafta sonu tam güne anlaştınız. Baban maddeleri okurken gözlüğünü çıkardı: “Bunu sana hukukçu mu yazdı?”</t>
        </is>
      </c>
      <c r="J423" s="6" t="inlineStr">
        <is>
          <t>Bir saati aldın. Süre bitince alarm çaldı. Alarm babanın telefonuna kurulmuş.</t>
        </is>
      </c>
      <c r="K423" s="6" t="inlineStr">
        <is>
          <t>Pazarlık uzadı. Tablet ve bilgisayar da emanete alındı. Odanda bir masa, bir kitap ve sen kaldınız.</t>
        </is>
      </c>
      <c r="L423" s="6" t="inlineStr"/>
      <c r="M423" s="5" t="inlineStr"/>
      <c r="N423" s="5" t="inlineStr"/>
      <c r="O423" s="6" t="inlineStr"/>
      <c r="P423" s="6" t="inlineStr"/>
      <c r="Q423" s="5" t="inlineStr"/>
      <c r="R423" s="5" t="inlineStr"/>
      <c r="S423" s="5" t="inlineStr"/>
      <c r="T423" s="5" t="inlineStr"/>
      <c r="U423" s="5" t="inlineStr"/>
      <c r="V423" s="5" t="inlineStr"/>
      <c r="W423" s="5" t="inlineStr"/>
      <c r="X423" s="5" t="inlineStr"/>
      <c r="Y423" s="5" t="inlineStr"/>
      <c r="Z423" s="6" t="inlineStr"/>
      <c r="AA423" s="5" t="inlineStr"/>
      <c r="AB423" s="5" t="inlineStr"/>
      <c r="AC423" s="5" t="inlineStr"/>
      <c r="AD423" s="5" t="inlineStr"/>
      <c r="AE423" s="5" t="inlineStr"/>
      <c r="AF423" s="5" t="inlineStr"/>
      <c r="AG423" s="5" t="inlineStr"/>
      <c r="AH423" s="5" t="inlineStr"/>
      <c r="AI423" s="5" t="inlineStr"/>
      <c r="AJ423" s="5" t="inlineStr"/>
    </row>
    <row r="424">
      <c r="A424" s="5" t="inlineStr">
        <is>
          <t>b5-telefon-detoksu</t>
        </is>
      </c>
      <c r="B424" s="5" t="n">
        <v>3</v>
      </c>
      <c r="C424" s="6" t="inlineStr">
        <is>
          <t>Anahtarı bul</t>
        </is>
      </c>
      <c r="D424" s="5" t="inlineStr">
        <is>
          <t>Kurnazlık</t>
        </is>
      </c>
      <c r="E424" s="5" t="inlineStr">
        <is>
          <t>Orta</t>
        </is>
      </c>
      <c r="F424" s="5" t="inlineStr"/>
      <c r="G424" s="6" t="inlineStr"/>
      <c r="H424" s="6" t="inlineStr">
        <is>
          <t>Gece yarısı telefonu aldın, sabahtan önce geri koydun. Ekmek dolabı sırrını korudu.</t>
        </is>
      </c>
      <c r="I424" s="6" t="inlineStr">
        <is>
          <t>İki ay boyunca her gece bir saat telefon, her sabah ders. Kimse fark etmedi. Annen yalnızca ekmeklerin neden hep ezik olduğunu anlamadı.</t>
        </is>
      </c>
      <c r="J424" s="6" t="inlineStr">
        <is>
          <t>Anahtarı buldun. Çekmecede telefon yoktu. Annen bir adım öndeydi.</t>
        </is>
      </c>
      <c r="K424" s="6" t="inlineStr">
        <is>
          <t>Anahtarı alırken ekmek poşetini hışırdattın. Mutfağın ışığı yandı: baban, annen ve pijamalı babaannen masada oturuyordu. Babaannen “Ben de su içmeye gelmiştim” dedi; içmedi.</t>
        </is>
      </c>
      <c r="L424" s="6" t="inlineStr">
        <is>
          <t>Telefonu aldın ama geri koyarken çekmece gıcırdadı. Sabah baban çekmeceyi yağladı; tek kelime etmeden.</t>
        </is>
      </c>
      <c r="M424" s="5" t="inlineStr">
        <is>
          <t>hidden</t>
        </is>
      </c>
      <c r="N424" s="5" t="inlineStr">
        <is>
          <t>Anahtarı Bul</t>
        </is>
      </c>
      <c r="O424" s="6" t="inlineStr">
        <is>
          <t>Karanlık mutfakta anahtarı (🔑) bul.</t>
        </is>
      </c>
      <c r="P424" s="6" t="inlineStr">
        <is>
          <t>{"target": "🔑", "decoys": ["🥖", "🧂", "🍴", "🥄", "🧅"]}</t>
        </is>
      </c>
      <c r="Q424" s="5" t="inlineStr"/>
      <c r="R424" s="5" t="inlineStr"/>
      <c r="S424" s="5" t="inlineStr">
        <is>
          <t>Kurnazlık</t>
        </is>
      </c>
      <c r="T424" s="5" t="inlineStr"/>
      <c r="U424" s="5" t="inlineStr"/>
      <c r="V424" s="5" t="inlineStr"/>
      <c r="W424" s="5" t="inlineStr"/>
      <c r="X424" s="5" t="inlineStr"/>
      <c r="Y424" s="5" t="inlineStr"/>
      <c r="Z424" s="6" t="inlineStr"/>
      <c r="AA424" s="5" t="inlineStr"/>
      <c r="AB424" s="5" t="inlineStr"/>
      <c r="AC424" s="5" t="inlineStr"/>
      <c r="AD424" s="5" t="inlineStr"/>
      <c r="AE424" s="5" t="inlineStr"/>
      <c r="AF424" s="5" t="inlineStr"/>
      <c r="AG424" s="5" t="inlineStr"/>
      <c r="AH424" s="5" t="inlineStr"/>
      <c r="AI424" s="5" t="inlineStr"/>
      <c r="AJ424" s="5" t="inlineStr"/>
    </row>
    <row r="425">
      <c r="A425" s="5" t="inlineStr">
        <is>
          <t>b5-universite-sinavi</t>
        </is>
      </c>
      <c r="B425" s="5" t="n">
        <v>1</v>
      </c>
      <c r="C425" s="6" t="inlineStr">
        <is>
          <t>Soruları sırayla çöz</t>
        </is>
      </c>
      <c r="D425" s="5" t="inlineStr">
        <is>
          <t>Akıl</t>
        </is>
      </c>
      <c r="E425" s="5" t="inlineStr">
        <is>
          <t>Orta</t>
        </is>
      </c>
      <c r="F425" s="5" t="inlineStr"/>
      <c r="G425" s="6" t="inlineStr"/>
      <c r="H425" s="6" t="inlineStr">
        <is>
          <t>Sabırla çözdün. Sonuçlar açıklandı: üniversiteye girdin. Aile grubu üç saat boyunca tebrik yağdırdı.</t>
        </is>
      </c>
      <c r="I425" s="6" t="inlineStr">
        <is>
          <t>Derece yaptın. Dershane seni afişe bastı, okul da bastı. Annen iki afişin de fotoğrafını çekti.</t>
        </is>
      </c>
      <c r="J425" s="6" t="inlineStr">
        <is>
          <t>Puanın hiçbir yere yetmedi. Ailen 'Seneye' dedi. Kelime evde yankılanıyor.</t>
        </is>
      </c>
      <c r="K425" s="6" t="inlineStr">
        <is>
          <t>Optik formu bir satır kaydırarak doldurdun. Cevaplar doğru, kutular yanlış. Tarihin en bilgili sıfırı.</t>
        </is>
      </c>
      <c r="L425" s="6" t="inlineStr"/>
      <c r="M425" s="5" t="inlineStr"/>
      <c r="N425" s="5" t="inlineStr"/>
      <c r="O425" s="6" t="inlineStr"/>
      <c r="P425" s="6" t="inlineStr"/>
      <c r="Q425" s="5" t="inlineStr"/>
      <c r="R425" s="5" t="inlineStr"/>
      <c r="S425" s="5" t="inlineStr"/>
      <c r="T425" s="5" t="inlineStr"/>
      <c r="U425" s="5" t="inlineStr"/>
      <c r="V425" s="5" t="inlineStr">
        <is>
          <t>universiteli</t>
        </is>
      </c>
      <c r="W425" s="5" t="inlineStr"/>
      <c r="X425" s="5" t="inlineStr"/>
      <c r="Y425" s="5" t="inlineStr"/>
      <c r="Z425" s="6" t="inlineStr"/>
      <c r="AA425" s="5" t="inlineStr"/>
      <c r="AB425" s="5" t="inlineStr"/>
      <c r="AC425" s="5" t="inlineStr"/>
      <c r="AD425" s="5" t="inlineStr"/>
      <c r="AE425" s="5" t="inlineStr"/>
      <c r="AF425" s="5" t="inlineStr"/>
      <c r="AG425" s="5" t="inlineStr"/>
      <c r="AH425" s="5" t="inlineStr"/>
      <c r="AI425" s="5" t="inlineStr">
        <is>
          <t>Bilgili Sıfır</t>
        </is>
      </c>
      <c r="AJ425" s="5" t="inlineStr"/>
    </row>
    <row r="426">
      <c r="A426" s="5" t="inlineStr">
        <is>
          <t>b5-universite-sinavi</t>
        </is>
      </c>
      <c r="B426" s="5" t="n">
        <v>2</v>
      </c>
      <c r="C426" s="6" t="inlineStr">
        <is>
          <t>Eleyerek tahmin et, boş bırakma</t>
        </is>
      </c>
      <c r="D426" s="5" t="inlineStr">
        <is>
          <t>Kurnazlık</t>
        </is>
      </c>
      <c r="E426" s="5" t="inlineStr">
        <is>
          <t>Zor</t>
        </is>
      </c>
      <c r="F426" s="5" t="inlineStr"/>
      <c r="G426" s="6" t="inlineStr"/>
      <c r="H426" s="6" t="inlineStr">
        <is>
          <t>Bilmediklerini eleyerek işaretledin. Sonuç açıklandığında puanına üç kez baktın, sonra annene gösterdin. Annen dördüncü kez baktı: üniversitelisin.</t>
        </is>
      </c>
      <c r="I426" s="6" t="inlineStr">
        <is>
          <t>Tahminlerinin çoğu tuttu. Puanın, bir yıl gece gündüz çalışan kuzenininkini geçti. Bu konu bayramlarda açılmayacak.</t>
        </is>
      </c>
      <c r="J426" s="6" t="inlineStr">
        <is>
          <t>Tahminlerin bu yıl tutmadı. Puanın barajın bir tık altında kaldı. Dayın bayrama kadar her gördüğünde “Bir soru be!” dedi.</t>
        </is>
      </c>
      <c r="K426" s="6" t="inlineStr">
        <is>
          <t>Bütün tahminleri 'C' yaptın. Bu yıl cevap anahtarında en az 'C' vardı.</t>
        </is>
      </c>
      <c r="L426" s="6" t="inlineStr"/>
      <c r="M426" s="5" t="inlineStr"/>
      <c r="N426" s="5" t="inlineStr"/>
      <c r="O426" s="6" t="inlineStr"/>
      <c r="P426" s="6" t="inlineStr"/>
      <c r="Q426" s="5" t="inlineStr"/>
      <c r="R426" s="5" t="inlineStr"/>
      <c r="S426" s="5" t="inlineStr"/>
      <c r="T426" s="5" t="inlineStr"/>
      <c r="U426" s="5" t="inlineStr"/>
      <c r="V426" s="5" t="inlineStr">
        <is>
          <t>universiteli</t>
        </is>
      </c>
      <c r="W426" s="5" t="inlineStr"/>
      <c r="X426" s="5" t="inlineStr"/>
      <c r="Y426" s="5" t="inlineStr"/>
      <c r="Z426" s="6" t="inlineStr"/>
      <c r="AA426" s="5" t="inlineStr"/>
      <c r="AB426" s="5" t="inlineStr"/>
      <c r="AC426" s="5" t="inlineStr"/>
      <c r="AD426" s="5" t="inlineStr"/>
      <c r="AE426" s="5" t="inlineStr"/>
      <c r="AF426" s="5" t="inlineStr"/>
      <c r="AG426" s="5" t="inlineStr"/>
      <c r="AH426" s="5" t="inlineStr"/>
      <c r="AI426" s="5" t="inlineStr"/>
      <c r="AJ426" s="5" t="inlineStr"/>
    </row>
    <row r="427">
      <c r="A427" s="5" t="inlineStr">
        <is>
          <t>b5-universite-sinavi</t>
        </is>
      </c>
      <c r="B427" s="5" t="n">
        <v>3</v>
      </c>
      <c r="C427" s="6" t="inlineStr">
        <is>
          <t>Lisenin birikimine güven</t>
        </is>
      </c>
      <c r="D427" s="5" t="inlineStr">
        <is>
          <t>Akıl</t>
        </is>
      </c>
      <c r="E427" s="5" t="inlineStr">
        <is>
          <t>Kolay</t>
        </is>
      </c>
      <c r="F427" s="5" t="inlineStr"/>
      <c r="G427" s="6" t="inlineStr"/>
      <c r="H427" s="6" t="inlineStr">
        <is>
          <t>İyi bir lisedeki dört yıl boşa gitmemiş; üniversiteye girdin. Baban sonucu duyunca yalnızca “Biliyordum” dedi. Sonra balkona çıkıp bir süre tek başına durdu.</t>
        </is>
      </c>
      <c r="I427" s="6" t="inlineStr">
        <is>
          <t>Süre bitmeden çıktın. Kapıda bekleyen annen “Bıraktın mı?” diye ağlamaya başladı. Bırakmamıştın; ilk tercihine yerleştin.</t>
        </is>
      </c>
      <c r="J427" s="6" t="inlineStr">
        <is>
          <t>Birikime güvendin. Birikim dört yıl önce kalmış. Puan yetmedi.</t>
        </is>
      </c>
      <c r="K427" s="6" t="inlineStr">
        <is>
          <t>Fazla rahattın; kimliğini evde unuttun. Annen koşarak getirdiğinde kapılar kapanmıştı.</t>
        </is>
      </c>
      <c r="L427" s="6" t="inlineStr"/>
      <c r="M427" s="5" t="inlineStr"/>
      <c r="N427" s="5" t="inlineStr"/>
      <c r="O427" s="6" t="inlineStr"/>
      <c r="P427" s="6" t="inlineStr"/>
      <c r="Q427" s="5" t="inlineStr"/>
      <c r="R427" s="5" t="inlineStr">
        <is>
          <t>iyi-lise</t>
        </is>
      </c>
      <c r="S427" s="5" t="inlineStr"/>
      <c r="T427" s="5" t="inlineStr"/>
      <c r="U427" s="5" t="inlineStr"/>
      <c r="V427" s="5" t="inlineStr">
        <is>
          <t>universiteli</t>
        </is>
      </c>
      <c r="W427" s="5" t="inlineStr"/>
      <c r="X427" s="5" t="inlineStr"/>
      <c r="Y427" s="5" t="inlineStr"/>
      <c r="Z427" s="6" t="inlineStr"/>
      <c r="AA427" s="5" t="inlineStr"/>
      <c r="AB427" s="5" t="inlineStr"/>
      <c r="AC427" s="5" t="inlineStr"/>
      <c r="AD427" s="5" t="inlineStr"/>
      <c r="AE427" s="5" t="inlineStr"/>
      <c r="AF427" s="5" t="inlineStr"/>
      <c r="AG427" s="5" t="inlineStr"/>
      <c r="AH427" s="5" t="inlineStr"/>
      <c r="AI427" s="5" t="inlineStr"/>
      <c r="AJ427" s="5" t="inlineStr"/>
    </row>
    <row r="428">
      <c r="A428" s="5" t="inlineStr">
        <is>
          <t>b5-universite-sinavi</t>
        </is>
      </c>
      <c r="B428" s="5" t="n">
        <v>4</v>
      </c>
      <c r="C428" s="6" t="inlineStr">
        <is>
          <t>Deneme tecrübene yaslan</t>
        </is>
      </c>
      <c r="D428" s="5" t="inlineStr">
        <is>
          <t>Dayanıklılık</t>
        </is>
      </c>
      <c r="E428" s="5" t="inlineStr">
        <is>
          <t>Kolay</t>
        </is>
      </c>
      <c r="F428" s="5" t="inlineStr"/>
      <c r="G428" s="6" t="inlineStr"/>
      <c r="H428" s="6" t="inlineStr">
        <is>
          <t>Yüzlerce denemeden sonra bu sadece bir tane daha. Rahatça çözdün; üniversitelisin.</t>
        </is>
      </c>
      <c r="I428" s="6" t="inlineStr">
        <is>
          <t>Denemelerdeki en yüksek puanını geçtin. Teşekkür etmeye dershaneye gittin; danışman seni tanımadı, önüne kayıt formu koydu.</t>
        </is>
      </c>
      <c r="J428" s="6" t="inlineStr">
        <is>
          <t>Denemelerde hep iyiydin. Sınav, deneme olmadığını hatırlattı.</t>
        </is>
      </c>
      <c r="K428" s="6" t="inlineStr">
        <is>
          <t>Denemelerdeki alışkanlıkla son yarım saati kontrole ayırdın. Doğru cevaplarından on ikisini yanlışla değiştirdin. Puan yetmedi.</t>
        </is>
      </c>
      <c r="L428" s="6" t="inlineStr"/>
      <c r="M428" s="5" t="inlineStr"/>
      <c r="N428" s="5" t="inlineStr"/>
      <c r="O428" s="6" t="inlineStr"/>
      <c r="P428" s="6" t="inlineStr"/>
      <c r="Q428" s="5" t="inlineStr">
        <is>
          <t>Deneme Kurdu</t>
        </is>
      </c>
      <c r="R428" s="5" t="inlineStr"/>
      <c r="S428" s="5" t="inlineStr"/>
      <c r="T428" s="5" t="inlineStr"/>
      <c r="U428" s="5" t="inlineStr"/>
      <c r="V428" s="5" t="inlineStr">
        <is>
          <t>universiteli</t>
        </is>
      </c>
      <c r="W428" s="5" t="inlineStr"/>
      <c r="X428" s="5" t="inlineStr"/>
      <c r="Y428" s="5" t="inlineStr"/>
      <c r="Z428" s="6" t="inlineStr"/>
      <c r="AA428" s="5" t="inlineStr"/>
      <c r="AB428" s="5" t="inlineStr"/>
      <c r="AC428" s="5" t="inlineStr"/>
      <c r="AD428" s="5" t="inlineStr"/>
      <c r="AE428" s="5" t="inlineStr"/>
      <c r="AF428" s="5" t="inlineStr"/>
      <c r="AG428" s="5" t="inlineStr"/>
      <c r="AH428" s="5" t="inlineStr"/>
      <c r="AI428" s="5" t="inlineStr"/>
      <c r="AJ428" s="5" t="inlineStr"/>
    </row>
    <row r="429">
      <c r="A429" s="5" t="inlineStr">
        <is>
          <t>b5-universite-sinavi</t>
        </is>
      </c>
      <c r="B429" s="5" t="n">
        <v>5</v>
      </c>
      <c r="C429" s="6" t="inlineStr">
        <is>
          <t>Sınava girme, hemen çalışmaya başla</t>
        </is>
      </c>
      <c r="D429" s="5" t="inlineStr"/>
      <c r="E429" s="5" t="inlineStr"/>
      <c r="F429" s="5" t="inlineStr">
        <is>
          <t>Cesaret +1, Dayanıklılık +1</t>
        </is>
      </c>
      <c r="G429" s="6" t="inlineStr">
        <is>
          <t>Sınava girmedin; ertesi sabah bir işe başladın. Ailen buna 'ara yıl' dedi. Sen 'maaş' dedin.</t>
        </is>
      </c>
      <c r="H429" s="6" t="inlineStr"/>
      <c r="I429" s="6" t="inlineStr"/>
      <c r="J429" s="6" t="inlineStr"/>
      <c r="K429" s="6" t="inlineStr"/>
      <c r="L429" s="6" t="inlineStr"/>
      <c r="M429" s="5" t="inlineStr"/>
      <c r="N429" s="5" t="inlineStr"/>
      <c r="O429" s="6" t="inlineStr"/>
      <c r="P429" s="6" t="inlineStr"/>
      <c r="Q429" s="5" t="inlineStr"/>
      <c r="R429" s="5" t="inlineStr"/>
      <c r="S429" s="5" t="inlineStr"/>
      <c r="T429" s="5" t="inlineStr"/>
      <c r="U429" s="5" t="inlineStr">
        <is>
          <t>sinava-girmedi</t>
        </is>
      </c>
      <c r="V429" s="5" t="inlineStr"/>
      <c r="W429" s="5" t="inlineStr"/>
      <c r="X429" s="5" t="inlineStr"/>
      <c r="Y429" s="5" t="inlineStr"/>
      <c r="Z429" s="6" t="inlineStr"/>
      <c r="AA429" s="5" t="inlineStr">
        <is>
          <t>Erdem -1, Tan -1, Keskin +1, Yalçın +1</t>
        </is>
      </c>
      <c r="AB429" s="5" t="inlineStr"/>
      <c r="AC429" s="5" t="inlineStr"/>
      <c r="AD429" s="5" t="inlineStr"/>
      <c r="AE429" s="5" t="inlineStr"/>
      <c r="AF429" s="5" t="inlineStr"/>
      <c r="AG429" s="5" t="inlineStr"/>
      <c r="AH429" s="5" t="inlineStr"/>
      <c r="AI429" s="5" t="inlineStr"/>
      <c r="AJ429" s="5" t="inlineStr"/>
    </row>
    <row r="430">
      <c r="A430" s="5" t="inlineStr">
        <is>
          <t>b5-universite-sinavi</t>
        </is>
      </c>
      <c r="B430" s="5" t="n">
        <v>6</v>
      </c>
      <c r="C430" s="6" t="inlineStr">
        <is>
          <t>Öte Diyar'daki üniversiteye başvur</t>
        </is>
      </c>
      <c r="D430" s="5" t="inlineStr">
        <is>
          <t>Akıl</t>
        </is>
      </c>
      <c r="E430" s="5" t="inlineStr">
        <is>
          <t>Zor</t>
        </is>
      </c>
      <c r="F430" s="5" t="inlineStr"/>
      <c r="G430" s="6" t="inlineStr"/>
      <c r="H430" s="6" t="inlineStr">
        <is>
          <t>Öte Diyar'dan kabul mektubu geldi. Aile grubunda üç kişi mektubu tercüme etmeye çalıştı; dördüncüsü sadece “Gözümüz aydın” yazdı.</t>
        </is>
      </c>
      <c r="I430" s="6" t="inlineStr">
        <is>
          <t>Kabulle birlikte burs da geldi. Ailen hesap makinesini kapattı, bavulu açtı.</t>
        </is>
      </c>
      <c r="J430" s="6" t="inlineStr">
        <is>
          <t>Başvurunu gönderdin; cevap Öte Diyar dilinde bir “maalesef” oldu. Tercümeye gerek yoktu.</t>
        </is>
      </c>
      <c r="K430" s="6" t="inlineStr">
        <is>
          <t>Başvuru ücretini ödedin, belgeleri gönderdin. Belgelerin Öte Diyar'a değil, komşu ülkeye gitmiş.</t>
        </is>
      </c>
      <c r="L430" s="6" t="inlineStr"/>
      <c r="M430" s="5" t="inlineStr"/>
      <c r="N430" s="5" t="inlineStr"/>
      <c r="O430" s="6" t="inlineStr"/>
      <c r="P430" s="6" t="inlineStr"/>
      <c r="Q430" s="5" t="inlineStr"/>
      <c r="R430" s="5" t="inlineStr">
        <is>
          <t>yurt-disi-hayali</t>
        </is>
      </c>
      <c r="S430" s="5" t="inlineStr"/>
      <c r="T430" s="5" t="inlineStr"/>
      <c r="U430" s="5" t="inlineStr"/>
      <c r="V430" s="5" t="inlineStr">
        <is>
          <t>yurtdisi-universite</t>
        </is>
      </c>
      <c r="W430" s="5" t="inlineStr"/>
      <c r="X430" s="5" t="inlineStr"/>
      <c r="Y430" s="5" t="inlineStr"/>
      <c r="Z430" s="6" t="inlineStr"/>
      <c r="AA430" s="5" t="inlineStr">
        <is>
          <t>Varlı +1, Şen -1, Yalçın -1</t>
        </is>
      </c>
      <c r="AB430" s="5" t="inlineStr"/>
      <c r="AC430" s="5" t="inlineStr"/>
      <c r="AD430" s="5" t="inlineStr"/>
      <c r="AE430" s="5" t="inlineStr"/>
      <c r="AF430" s="5" t="inlineStr"/>
      <c r="AG430" s="5" t="inlineStr"/>
      <c r="AH430" s="5" t="inlineStr"/>
      <c r="AI430" s="5" t="inlineStr"/>
      <c r="AJ430" s="5" t="inlineStr"/>
    </row>
    <row r="431">
      <c r="A431" s="5" t="inlineStr">
        <is>
          <t>b5-mezuniyet-balosu</t>
        </is>
      </c>
      <c r="B431" s="5" t="n">
        <v>1</v>
      </c>
      <c r="C431" s="6" t="inlineStr">
        <is>
          <t>Masada otur, fotoğraflara gülümse</t>
        </is>
      </c>
      <c r="D431" s="5" t="inlineStr"/>
      <c r="E431" s="5" t="inlineStr"/>
      <c r="F431" s="5" t="inlineStr">
        <is>
          <t>Sosyal Radar +1</t>
        </is>
      </c>
      <c r="G431" s="6" t="inlineStr">
        <is>
          <t>Bütün gece masada oturdun. Yıllıktaki fotoğrafların hepsinde karenin kenarında gülümseyen sensin.</t>
        </is>
      </c>
      <c r="H431" s="6" t="inlineStr"/>
      <c r="I431" s="6" t="inlineStr"/>
      <c r="J431" s="6" t="inlineStr"/>
      <c r="K431" s="6" t="inlineStr"/>
      <c r="L431" s="6" t="inlineStr"/>
      <c r="M431" s="5" t="inlineStr"/>
      <c r="N431" s="5" t="inlineStr"/>
      <c r="O431" s="6" t="inlineStr"/>
      <c r="P431" s="6" t="inlineStr"/>
      <c r="Q431" s="5" t="inlineStr"/>
      <c r="R431" s="5" t="inlineStr"/>
      <c r="S431" s="5" t="inlineStr"/>
      <c r="T431" s="5" t="inlineStr"/>
      <c r="U431" s="5" t="inlineStr"/>
      <c r="V431" s="5" t="inlineStr"/>
      <c r="W431" s="5" t="inlineStr"/>
      <c r="X431" s="5" t="inlineStr"/>
      <c r="Y431" s="5" t="inlineStr"/>
      <c r="Z431" s="6" t="inlineStr"/>
      <c r="AA431" s="5" t="inlineStr"/>
      <c r="AB431" s="5" t="inlineStr"/>
      <c r="AC431" s="5" t="inlineStr"/>
      <c r="AD431" s="5" t="inlineStr"/>
      <c r="AE431" s="5" t="inlineStr"/>
      <c r="AF431" s="5" t="inlineStr"/>
      <c r="AG431" s="5" t="inlineStr"/>
      <c r="AH431" s="5" t="inlineStr"/>
      <c r="AI431" s="5" t="inlineStr"/>
      <c r="AJ431" s="5" t="inlineStr"/>
    </row>
    <row r="432">
      <c r="A432" s="5" t="inlineStr">
        <is>
          <t>b5-mezuniyet-balosu</t>
        </is>
      </c>
      <c r="B432" s="5" t="n">
        <v>2</v>
      </c>
      <c r="C432" s="6" t="inlineStr">
        <is>
          <t>İlk dansı başlat</t>
        </is>
      </c>
      <c r="D432" s="5" t="inlineStr">
        <is>
          <t>Cesaret</t>
        </is>
      </c>
      <c r="E432" s="5" t="inlineStr">
        <is>
          <t>Zor</t>
        </is>
      </c>
      <c r="F432" s="5" t="inlineStr"/>
      <c r="G432" s="6" t="inlineStr"/>
      <c r="H432" s="6" t="inlineStr">
        <is>
          <t>Piste ilk sen çıktın. Otuz saniye yalnız dans ettin, sonra herkes geldi. O otuz saniyeyi hiç unutmayacaksın.</t>
        </is>
      </c>
      <c r="I432" s="6" t="inlineStr">
        <is>
          <t>Pisti açtın, öğretmenler bile dans etti. Müdür yardımcısının figürleri artık okul efsanesi.</t>
        </is>
      </c>
      <c r="J432" s="6" t="inlineStr">
        <is>
          <t>Piste çıktın, şarkı bitti. Sessizlikte pistin ortasında yalnızdın.</t>
        </is>
      </c>
      <c r="K432" s="6" t="inlineStr">
        <is>
          <t>Piste çıkarken kaydın ve pasta masasına kadar gittin. Balo fotoğraflarının yarısında pastayla birliktesin.</t>
        </is>
      </c>
      <c r="L432" s="6" t="inlineStr">
        <is>
          <t>Ritmi yarıda kaçırdın ama arkadaşların piste çoktan gelmişti. Kimse fark etmedi; sen hariç.</t>
        </is>
      </c>
      <c r="M432" s="5" t="inlineStr">
        <is>
          <t>simon</t>
        </is>
      </c>
      <c r="N432" s="5" t="inlineStr">
        <is>
          <t>İlk Dans</t>
        </is>
      </c>
      <c r="O432" s="6" t="inlineStr">
        <is>
          <t>Sırayı dinle, aynı sırayla tekrar et.</t>
        </is>
      </c>
      <c r="P432" s="6" t="inlineStr">
        <is>
          <t>{"items": ["⬅️", "⬆️", "➡️", "⬇️"]}</t>
        </is>
      </c>
      <c r="Q432" s="5" t="inlineStr"/>
      <c r="R432" s="5" t="inlineStr"/>
      <c r="S432" s="5" t="inlineStr"/>
      <c r="T432" s="5" t="inlineStr"/>
      <c r="U432" s="5" t="inlineStr"/>
      <c r="V432" s="5" t="inlineStr"/>
      <c r="W432" s="5" t="inlineStr"/>
      <c r="X432" s="5" t="inlineStr"/>
      <c r="Y432" s="5" t="inlineStr"/>
      <c r="Z432" s="6" t="inlineStr"/>
      <c r="AA432" s="5" t="inlineStr"/>
      <c r="AB432" s="5" t="inlineStr"/>
      <c r="AC432" s="5" t="inlineStr"/>
      <c r="AD432" s="5" t="inlineStr"/>
      <c r="AE432" s="5" t="inlineStr"/>
      <c r="AF432" s="5" t="inlineStr"/>
      <c r="AG432" s="5" t="inlineStr"/>
      <c r="AH432" s="5" t="inlineStr"/>
      <c r="AI432" s="5" t="inlineStr"/>
      <c r="AJ432" s="5" t="inlineStr"/>
    </row>
    <row r="433">
      <c r="A433" s="5" t="inlineStr">
        <is>
          <t>b5-mezuniyet-balosu</t>
        </is>
      </c>
      <c r="B433" s="5" t="n">
        <v>3</v>
      </c>
      <c r="C433" s="6" t="inlineStr">
        <is>
          <t>Mikrofonu al</t>
        </is>
      </c>
      <c r="D433" s="5" t="inlineStr">
        <is>
          <t>Pişkinlik</t>
        </is>
      </c>
      <c r="E433" s="5" t="inlineStr">
        <is>
          <t>Orta</t>
        </is>
      </c>
      <c r="F433" s="5" t="inlineStr"/>
      <c r="G433" s="6" t="inlineStr"/>
      <c r="H433" s="6" t="inlineStr">
        <is>
          <t>Dört yılı üç espriyle özetledin. En çok kimya öğretmeni güldü; esprilerin ikisi onun hakkındaydı.</t>
        </is>
      </c>
      <c r="I433" s="6" t="inlineStr">
        <is>
          <t>O kadar güldürdün ki DJ müziği kıstı ve sana bir mikrofon daha uzattı. Gece seninle kapandı.</t>
        </is>
      </c>
      <c r="J433" s="6" t="inlineStr">
        <is>
          <t>Mikrofon kapalıydı. Kimse duymadı ama herkes el salladı.</t>
        </is>
      </c>
      <c r="K433" s="6" t="inlineStr">
        <is>
          <t>Konuşmanda bütün öğretmenlerin lakaplarını saydın. Öğretmenler de salondaydı. Diplomalar henüz verilmemişti.</t>
        </is>
      </c>
      <c r="L433" s="6" t="inlineStr"/>
      <c r="M433" s="5" t="inlineStr"/>
      <c r="N433" s="5" t="inlineStr"/>
      <c r="O433" s="6" t="inlineStr"/>
      <c r="P433" s="6" t="inlineStr"/>
      <c r="Q433" s="5" t="inlineStr"/>
      <c r="R433" s="5" t="inlineStr"/>
      <c r="S433" s="5" t="inlineStr">
        <is>
          <t>Pişkinlik</t>
        </is>
      </c>
      <c r="T433" s="5" t="inlineStr"/>
      <c r="U433" s="5" t="inlineStr"/>
      <c r="V433" s="5" t="inlineStr"/>
      <c r="W433" s="5" t="inlineStr"/>
      <c r="X433" s="5" t="inlineStr"/>
      <c r="Y433" s="5" t="inlineStr"/>
      <c r="Z433" s="6" t="inlineStr"/>
      <c r="AA433" s="5" t="inlineStr"/>
      <c r="AB433" s="5" t="inlineStr"/>
      <c r="AC433" s="5" t="inlineStr"/>
      <c r="AD433" s="5" t="inlineStr"/>
      <c r="AE433" s="5" t="inlineStr"/>
      <c r="AF433" s="5" t="inlineStr"/>
      <c r="AG433" s="5" t="inlineStr"/>
      <c r="AH433" s="5" t="inlineStr"/>
      <c r="AI433" s="5" t="inlineStr"/>
      <c r="AJ433" s="5" t="inlineStr"/>
    </row>
    <row r="434">
      <c r="A434" s="5" t="inlineStr">
        <is>
          <t>b5-mezuniyet-balosu</t>
        </is>
      </c>
      <c r="B434" s="5" t="n">
        <v>4</v>
      </c>
      <c r="C434" s="6" t="inlineStr">
        <is>
          <t>Sevgilini dansa kaldır</t>
        </is>
      </c>
      <c r="D434" s="5" t="inlineStr">
        <is>
          <t>Cesaret</t>
        </is>
      </c>
      <c r="E434" s="5" t="inlineStr">
        <is>
          <t>Kolay</t>
        </is>
      </c>
      <c r="F434" s="5" t="inlineStr"/>
      <c r="G434" s="6" t="inlineStr"/>
      <c r="H434" s="6" t="inlineStr">
        <is>
          <t>El ele dans ettiniz. Fotoğrafçı o kareyi vitrine koydu.</t>
        </is>
      </c>
      <c r="I434" s="6" t="inlineStr">
        <is>
          <t>Dans bitince bütün salon ikinizi alkışladı. İki ailenin masası birbirine baktı; teyzelerden biri yüksek sesle sordu: “Ne zaman isteyeceğiz?”</t>
        </is>
      </c>
      <c r="J434" s="6" t="inlineStr">
        <is>
          <t>Şarkı hızlıydı. Siz yavaş dans ettiniz. İkinize de yer açıldı.</t>
        </is>
      </c>
      <c r="K434" s="6" t="inlineStr">
        <is>
          <t>İlk adımda ayağına bastın. Fotoğraflarda gülümsüyor ama topallıyor.</t>
        </is>
      </c>
      <c r="L434" s="6" t="inlineStr"/>
      <c r="M434" s="5" t="inlineStr"/>
      <c r="N434" s="5" t="inlineStr"/>
      <c r="O434" s="6" t="inlineStr"/>
      <c r="P434" s="6" t="inlineStr"/>
      <c r="Q434" s="5" t="inlineStr"/>
      <c r="R434" s="5" t="inlineStr">
        <is>
          <t>ilk-sevgili</t>
        </is>
      </c>
      <c r="S434" s="5" t="inlineStr"/>
      <c r="T434" s="5" t="inlineStr"/>
      <c r="U434" s="5" t="inlineStr"/>
      <c r="V434" s="5" t="inlineStr"/>
      <c r="W434" s="5" t="inlineStr"/>
      <c r="X434" s="5" t="inlineStr"/>
      <c r="Y434" s="5" t="inlineStr"/>
      <c r="Z434" s="6" t="inlineStr"/>
      <c r="AA434" s="5" t="inlineStr"/>
      <c r="AB434" s="5" t="inlineStr"/>
      <c r="AC434" s="5" t="inlineStr"/>
      <c r="AD434" s="5" t="inlineStr"/>
      <c r="AE434" s="5" t="inlineStr"/>
      <c r="AF434" s="5" t="inlineStr"/>
      <c r="AG434" s="5" t="inlineStr">
        <is>
          <t>ilk-ayrilik</t>
        </is>
      </c>
      <c r="AH434" s="5" t="inlineStr"/>
      <c r="AI434" s="5" t="inlineStr"/>
      <c r="AJ434" s="5" t="inlineStr"/>
    </row>
    <row r="435">
      <c r="A435" s="5" t="inlineStr">
        <is>
          <t>b5-tercih-listesi</t>
        </is>
      </c>
      <c r="B435" s="5" t="n">
        <v>1</v>
      </c>
      <c r="C435" s="6" t="inlineStr">
        <is>
          <t>Hukuk</t>
        </is>
      </c>
      <c r="D435" s="5" t="inlineStr"/>
      <c r="E435" s="5" t="inlineStr"/>
      <c r="F435" s="5" t="inlineStr">
        <is>
          <t>Çene +1, Akıl +1</t>
        </is>
      </c>
      <c r="G435" s="6" t="inlineStr">
        <is>
          <t>Hukuku yazdın. Artık her tartışmayı “hukuken” diye açıyorsun, özellikle annenle.</t>
        </is>
      </c>
      <c r="H435" s="6" t="inlineStr"/>
      <c r="I435" s="6" t="inlineStr"/>
      <c r="J435" s="6" t="inlineStr"/>
      <c r="K435" s="6" t="inlineStr"/>
      <c r="L435" s="6" t="inlineStr"/>
      <c r="M435" s="5" t="inlineStr"/>
      <c r="N435" s="5" t="inlineStr"/>
      <c r="O435" s="6" t="inlineStr"/>
      <c r="P435" s="6" t="inlineStr"/>
      <c r="Q435" s="5" t="inlineStr"/>
      <c r="R435" s="5" t="inlineStr"/>
      <c r="S435" s="5" t="inlineStr"/>
      <c r="T435" s="5" t="inlineStr"/>
      <c r="U435" s="5" t="inlineStr">
        <is>
          <t>bolum-hukuk</t>
        </is>
      </c>
      <c r="V435" s="5" t="inlineStr"/>
      <c r="W435" s="5" t="inlineStr"/>
      <c r="X435" s="5" t="inlineStr"/>
      <c r="Y435" s="5" t="inlineStr"/>
      <c r="Z435" s="6" t="inlineStr"/>
      <c r="AA435" s="5" t="inlineStr">
        <is>
          <t>Erdem +1, Varlı +1</t>
        </is>
      </c>
      <c r="AB435" s="5" t="inlineStr"/>
      <c r="AC435" s="5" t="inlineStr"/>
      <c r="AD435" s="5" t="inlineStr"/>
      <c r="AE435" s="5" t="inlineStr"/>
      <c r="AF435" s="5" t="inlineStr"/>
      <c r="AG435" s="5" t="inlineStr"/>
      <c r="AH435" s="5" t="inlineStr"/>
      <c r="AI435" s="5" t="inlineStr"/>
      <c r="AJ435" s="5" t="inlineStr"/>
    </row>
    <row r="436">
      <c r="A436" s="5" t="inlineStr">
        <is>
          <t>b5-tercih-listesi</t>
        </is>
      </c>
      <c r="B436" s="5" t="n">
        <v>2</v>
      </c>
      <c r="C436" s="6" t="inlineStr">
        <is>
          <t>Polis okulu</t>
        </is>
      </c>
      <c r="D436" s="5" t="inlineStr"/>
      <c r="E436" s="5" t="inlineStr"/>
      <c r="F436" s="5" t="inlineStr">
        <is>
          <t>Cesaret +1, İtibar +1</t>
        </is>
      </c>
      <c r="G436" s="6" t="inlineStr">
        <is>
          <t>Polis okulunu yazdın. Annen sonuçlar çıkmadan komşulara “Bizimki komiser olacak” dedi. Bakkal o günden beri sana selam verirken hazır ola geçiyor.</t>
        </is>
      </c>
      <c r="H436" s="6" t="inlineStr"/>
      <c r="I436" s="6" t="inlineStr"/>
      <c r="J436" s="6" t="inlineStr"/>
      <c r="K436" s="6" t="inlineStr"/>
      <c r="L436" s="6" t="inlineStr"/>
      <c r="M436" s="5" t="inlineStr"/>
      <c r="N436" s="5" t="inlineStr"/>
      <c r="O436" s="6" t="inlineStr"/>
      <c r="P436" s="6" t="inlineStr"/>
      <c r="Q436" s="5" t="inlineStr"/>
      <c r="R436" s="5" t="inlineStr"/>
      <c r="S436" s="5" t="inlineStr"/>
      <c r="T436" s="5" t="inlineStr"/>
      <c r="U436" s="5" t="inlineStr">
        <is>
          <t>bolum-emniyet</t>
        </is>
      </c>
      <c r="V436" s="5" t="inlineStr"/>
      <c r="W436" s="5" t="inlineStr"/>
      <c r="X436" s="5" t="inlineStr"/>
      <c r="Y436" s="5" t="inlineStr"/>
      <c r="Z436" s="6" t="inlineStr"/>
      <c r="AA436" s="5" t="inlineStr">
        <is>
          <t>Erdem +1</t>
        </is>
      </c>
      <c r="AB436" s="5" t="inlineStr"/>
      <c r="AC436" s="5" t="inlineStr"/>
      <c r="AD436" s="5" t="inlineStr"/>
      <c r="AE436" s="5" t="inlineStr"/>
      <c r="AF436" s="5" t="inlineStr"/>
      <c r="AG436" s="5" t="inlineStr"/>
      <c r="AH436" s="5" t="inlineStr"/>
      <c r="AI436" s="5" t="inlineStr"/>
      <c r="AJ436" s="5" t="inlineStr"/>
    </row>
    <row r="437">
      <c r="A437" s="5" t="inlineStr">
        <is>
          <t>b5-tercih-listesi</t>
        </is>
      </c>
      <c r="B437" s="5" t="n">
        <v>3</v>
      </c>
      <c r="C437" s="6" t="inlineStr">
        <is>
          <t>Mühendislik</t>
        </is>
      </c>
      <c r="D437" s="5" t="inlineStr"/>
      <c r="E437" s="5" t="inlineStr"/>
      <c r="F437" s="5" t="inlineStr">
        <is>
          <t>Akıl +1, Dayanıklılık +1</t>
        </is>
      </c>
      <c r="G437" s="6" t="inlineStr">
        <is>
          <t>Mühendisliği yazdın. Evde bozulan her şey artık senin sorumluluğunda; bozulmayanlar da.</t>
        </is>
      </c>
      <c r="H437" s="6" t="inlineStr"/>
      <c r="I437" s="6" t="inlineStr"/>
      <c r="J437" s="6" t="inlineStr"/>
      <c r="K437" s="6" t="inlineStr"/>
      <c r="L437" s="6" t="inlineStr"/>
      <c r="M437" s="5" t="inlineStr"/>
      <c r="N437" s="5" t="inlineStr"/>
      <c r="O437" s="6" t="inlineStr"/>
      <c r="P437" s="6" t="inlineStr"/>
      <c r="Q437" s="5" t="inlineStr"/>
      <c r="R437" s="5" t="inlineStr"/>
      <c r="S437" s="5" t="inlineStr"/>
      <c r="T437" s="5" t="inlineStr"/>
      <c r="U437" s="5" t="inlineStr">
        <is>
          <t>bolum-muhendislik</t>
        </is>
      </c>
      <c r="V437" s="5" t="inlineStr"/>
      <c r="W437" s="5" t="inlineStr"/>
      <c r="X437" s="5" t="inlineStr"/>
      <c r="Y437" s="5" t="inlineStr"/>
      <c r="Z437" s="6" t="inlineStr"/>
      <c r="AA437" s="5" t="inlineStr">
        <is>
          <t>Tan +1</t>
        </is>
      </c>
      <c r="AB437" s="5" t="inlineStr"/>
      <c r="AC437" s="5" t="inlineStr"/>
      <c r="AD437" s="5" t="inlineStr"/>
      <c r="AE437" s="5" t="inlineStr"/>
      <c r="AF437" s="5" t="inlineStr"/>
      <c r="AG437" s="5" t="inlineStr"/>
      <c r="AH437" s="5" t="inlineStr"/>
      <c r="AI437" s="5" t="inlineStr"/>
      <c r="AJ437" s="5" t="inlineStr"/>
    </row>
    <row r="438">
      <c r="A438" s="5" t="inlineStr">
        <is>
          <t>b5-tercih-listesi</t>
        </is>
      </c>
      <c r="B438" s="5" t="n">
        <v>4</v>
      </c>
      <c r="C438" s="6" t="inlineStr">
        <is>
          <t>İletişim ya da konservatuvar</t>
        </is>
      </c>
      <c r="D438" s="5" t="inlineStr"/>
      <c r="E438" s="5" t="inlineStr"/>
      <c r="F438" s="5" t="inlineStr">
        <is>
          <t>Pişkinlik +1, Çene +1</t>
        </is>
      </c>
      <c r="G438" s="6" t="inlineStr">
        <is>
          <t>İletişimi yazdın, altına da konservatuvarı. Akrabalar hâlâ “İyi de ne iş yapacak?” diye soruyor; sen de.</t>
        </is>
      </c>
      <c r="H438" s="6" t="inlineStr"/>
      <c r="I438" s="6" t="inlineStr"/>
      <c r="J438" s="6" t="inlineStr"/>
      <c r="K438" s="6" t="inlineStr"/>
      <c r="L438" s="6" t="inlineStr"/>
      <c r="M438" s="5" t="inlineStr"/>
      <c r="N438" s="5" t="inlineStr"/>
      <c r="O438" s="6" t="inlineStr"/>
      <c r="P438" s="6" t="inlineStr"/>
      <c r="Q438" s="5" t="inlineStr"/>
      <c r="R438" s="5" t="inlineStr"/>
      <c r="S438" s="5" t="inlineStr"/>
      <c r="T438" s="5" t="inlineStr"/>
      <c r="U438" s="5" t="inlineStr">
        <is>
          <t>bolum-iletisim</t>
        </is>
      </c>
      <c r="V438" s="5" t="inlineStr"/>
      <c r="W438" s="5" t="inlineStr"/>
      <c r="X438" s="5" t="inlineStr"/>
      <c r="Y438" s="5" t="inlineStr"/>
      <c r="Z438" s="6" t="inlineStr"/>
      <c r="AA438" s="5" t="inlineStr">
        <is>
          <t>Erdem -1, Tan -1</t>
        </is>
      </c>
      <c r="AB438" s="5" t="inlineStr"/>
      <c r="AC438" s="5" t="inlineStr"/>
      <c r="AD438" s="5" t="inlineStr"/>
      <c r="AE438" s="5" t="inlineStr"/>
      <c r="AF438" s="5" t="inlineStr"/>
      <c r="AG438" s="5" t="inlineStr"/>
      <c r="AH438" s="5" t="inlineStr"/>
      <c r="AI438" s="5" t="inlineStr"/>
      <c r="AJ438" s="5" t="inlineStr"/>
    </row>
    <row r="439">
      <c r="A439" s="5" t="inlineStr">
        <is>
          <t>b5-tercih-listesi</t>
        </is>
      </c>
      <c r="B439" s="5" t="n">
        <v>5</v>
      </c>
      <c r="C439" s="6" t="inlineStr">
        <is>
          <t>İşletme</t>
        </is>
      </c>
      <c r="D439" s="5" t="inlineStr"/>
      <c r="E439" s="5" t="inlineStr"/>
      <c r="F439" s="5" t="inlineStr">
        <is>
          <t>Kurnazlık +1, Akıl +1</t>
        </is>
      </c>
      <c r="G439" s="6" t="inlineStr">
        <is>
          <t>İşletmeyi yazdın. İlk dersinde arzı ve talebi, ikincisinde öğrenci kredisini öğreneceksin.</t>
        </is>
      </c>
      <c r="H439" s="6" t="inlineStr"/>
      <c r="I439" s="6" t="inlineStr"/>
      <c r="J439" s="6" t="inlineStr"/>
      <c r="K439" s="6" t="inlineStr"/>
      <c r="L439" s="6" t="inlineStr"/>
      <c r="M439" s="5" t="inlineStr"/>
      <c r="N439" s="5" t="inlineStr"/>
      <c r="O439" s="6" t="inlineStr"/>
      <c r="P439" s="6" t="inlineStr"/>
      <c r="Q439" s="5" t="inlineStr"/>
      <c r="R439" s="5" t="inlineStr"/>
      <c r="S439" s="5" t="inlineStr"/>
      <c r="T439" s="5" t="inlineStr"/>
      <c r="U439" s="5" t="inlineStr">
        <is>
          <t>bolum-isletme</t>
        </is>
      </c>
      <c r="V439" s="5" t="inlineStr"/>
      <c r="W439" s="5" t="inlineStr"/>
      <c r="X439" s="5" t="inlineStr"/>
      <c r="Y439" s="5" t="inlineStr"/>
      <c r="Z439" s="6" t="inlineStr"/>
      <c r="AA439" s="5" t="inlineStr">
        <is>
          <t>Keskin +1, Varlı +1</t>
        </is>
      </c>
      <c r="AB439" s="5" t="inlineStr"/>
      <c r="AC439" s="5" t="inlineStr"/>
      <c r="AD439" s="5" t="inlineStr"/>
      <c r="AE439" s="5" t="inlineStr"/>
      <c r="AF439" s="5" t="inlineStr"/>
      <c r="AG439" s="5" t="inlineStr"/>
      <c r="AH439" s="5" t="inlineStr"/>
      <c r="AI439" s="5" t="inlineStr"/>
      <c r="AJ439" s="5" t="inlineStr"/>
    </row>
    <row r="440">
      <c r="A440" s="5" t="inlineStr">
        <is>
          <t>b5-tercih-listesi</t>
        </is>
      </c>
      <c r="B440" s="5" t="n">
        <v>6</v>
      </c>
      <c r="C440" s="6" t="inlineStr">
        <is>
          <t>Tıbbı zorla</t>
        </is>
      </c>
      <c r="D440" s="5" t="inlineStr">
        <is>
          <t>Akıl</t>
        </is>
      </c>
      <c r="E440" s="5" t="inlineStr">
        <is>
          <t>Zor</t>
        </is>
      </c>
      <c r="F440" s="5" t="inlineStr"/>
      <c r="G440" s="6" t="inlineStr"/>
      <c r="H440" s="6" t="inlineStr">
        <is>
          <t>Tıbbı tutturdun. Aile grubunda herkesin semptomları daha ilk günden sana soruluyor.</t>
        </is>
      </c>
      <c r="I440" s="6" t="inlineStr">
        <is>
          <t>Tıbba ilk tercihinden, bursla girdin. Babaannen seni komşulara “doktor” diye tanıtıyor; henüz anatomi dersine girmedin.</t>
        </is>
      </c>
      <c r="J440" s="6" t="inlineStr">
        <is>
          <t>Puanın tıbba yetmedi; ek tercihlerle biyolojiye yerleştin. Babaannen yine de “doktor” diyor.</t>
        </is>
      </c>
      <c r="K440" s="6" t="inlineStr">
        <is>
          <t>Tıbbı yazdın ama sıralamayı ters girdin. Veterinerliğe yerleştin; ailen kedinin tahlillerini artık sana soruyor.</t>
        </is>
      </c>
      <c r="L440" s="6" t="inlineStr"/>
      <c r="M440" s="5" t="inlineStr"/>
      <c r="N440" s="5" t="inlineStr"/>
      <c r="O440" s="6" t="inlineStr"/>
      <c r="P440" s="6" t="inlineStr"/>
      <c r="Q440" s="5" t="inlineStr"/>
      <c r="R440" s="5" t="inlineStr"/>
      <c r="S440" s="5" t="inlineStr"/>
      <c r="T440" s="5" t="inlineStr"/>
      <c r="U440" s="5" t="inlineStr"/>
      <c r="V440" s="5" t="inlineStr">
        <is>
          <t>bolum-tip</t>
        </is>
      </c>
      <c r="W440" s="5" t="inlineStr"/>
      <c r="X440" s="5" t="inlineStr"/>
      <c r="Y440" s="5" t="inlineStr"/>
      <c r="Z440" s="6" t="inlineStr"/>
      <c r="AA440" s="5" t="inlineStr">
        <is>
          <t>Erdem +1, Tan +1</t>
        </is>
      </c>
      <c r="AB440" s="5" t="inlineStr"/>
      <c r="AC440" s="5" t="inlineStr"/>
      <c r="AD440" s="5" t="inlineStr"/>
      <c r="AE440" s="5" t="inlineStr"/>
      <c r="AF440" s="5" t="inlineStr"/>
      <c r="AG440" s="5" t="inlineStr"/>
      <c r="AH440" s="5" t="inlineStr"/>
      <c r="AI440" s="5" t="inlineStr"/>
      <c r="AJ440" s="5" t="inlineStr"/>
    </row>
    <row r="441">
      <c r="A441" s="5" t="inlineStr">
        <is>
          <t>b5-mezuniyet</t>
        </is>
      </c>
      <c r="B441" s="5" t="n">
        <v>1</v>
      </c>
      <c r="C441" s="6" t="inlineStr">
        <is>
          <t>Kepini at</t>
        </is>
      </c>
      <c r="D441" s="5" t="inlineStr"/>
      <c r="E441" s="5" t="inlineStr"/>
      <c r="F441" s="5" t="inlineStr">
        <is>
          <t>Dayanıklılık +1</t>
        </is>
      </c>
      <c r="G441" s="6" t="inlineStr">
        <is>
          <t>Kepini attın; yere başkasınınki düştü. İçinde 'Seni hiç unutmayacağım' yazıyor. İsim yok.</t>
        </is>
      </c>
      <c r="H441" s="6" t="inlineStr"/>
      <c r="I441" s="6" t="inlineStr"/>
      <c r="J441" s="6" t="inlineStr"/>
      <c r="K441" s="6" t="inlineStr"/>
      <c r="L441" s="6" t="inlineStr"/>
      <c r="M441" s="5" t="inlineStr"/>
      <c r="N441" s="5" t="inlineStr"/>
      <c r="O441" s="6" t="inlineStr"/>
      <c r="P441" s="6" t="inlineStr"/>
      <c r="Q441" s="5" t="inlineStr"/>
      <c r="R441" s="5" t="inlineStr"/>
      <c r="S441" s="5" t="inlineStr"/>
      <c r="T441" s="5" t="inlineStr"/>
      <c r="U441" s="5" t="inlineStr"/>
      <c r="V441" s="5" t="inlineStr"/>
      <c r="W441" s="5" t="inlineStr"/>
      <c r="X441" s="5" t="inlineStr"/>
      <c r="Y441" s="5" t="inlineStr"/>
      <c r="Z441" s="6" t="inlineStr"/>
      <c r="AA441" s="5" t="inlineStr"/>
      <c r="AB441" s="5" t="inlineStr"/>
      <c r="AC441" s="5" t="inlineStr"/>
      <c r="AD441" s="5" t="inlineStr"/>
      <c r="AE441" s="5" t="inlineStr"/>
      <c r="AF441" s="5" t="inlineStr"/>
      <c r="AG441" s="5" t="inlineStr"/>
      <c r="AH441" s="5" t="inlineStr"/>
      <c r="AI441" s="5" t="inlineStr"/>
      <c r="AJ441" s="5" t="inlineStr"/>
    </row>
    <row r="442">
      <c r="A442" s="5" t="inlineStr">
        <is>
          <t>b5-mezuniyet</t>
        </is>
      </c>
      <c r="B442" s="5" t="n">
        <v>2</v>
      </c>
      <c r="C442" s="6" t="inlineStr">
        <is>
          <t>Veda konuşması yap</t>
        </is>
      </c>
      <c r="D442" s="5" t="inlineStr">
        <is>
          <t>Çene</t>
        </is>
      </c>
      <c r="E442" s="5" t="inlineStr">
        <is>
          <t>Zor</t>
        </is>
      </c>
      <c r="F442" s="5" t="inlineStr"/>
      <c r="G442" s="6" t="inlineStr"/>
      <c r="H442" s="6" t="inlineStr">
        <is>
          <t>Konuşmanda üç kişi ağladı, beş kişi güldü. Biri ikisini birden yaptı: annen.</t>
        </is>
      </c>
      <c r="I442" s="6" t="inlineStr">
        <is>
          <t>Konuşmanın sonunda müdür ayağa kalktı, ardından bütün salon. Kantinci önlüğüyle gözlerini sildi. Annen o videoyu bir yıl boyunca her misafire izletti.</t>
        </is>
      </c>
      <c r="J442" s="6" t="inlineStr">
        <is>
          <t>Ses sistemi konuşmanın yalnızca 'ııı' kısımlarını salona iletti.</t>
        </is>
      </c>
      <c r="K442" s="6" t="inlineStr">
        <is>
          <t>Bütün öğretmenlere tek tek teşekkür ettin. Birini unuttun. Ön sıradaydı. En çok o alkışladı.</t>
        </is>
      </c>
      <c r="L442" s="6" t="inlineStr"/>
      <c r="M442" s="5" t="inlineStr"/>
      <c r="N442" s="5" t="inlineStr"/>
      <c r="O442" s="6" t="inlineStr"/>
      <c r="P442" s="6" t="inlineStr"/>
      <c r="Q442" s="5" t="inlineStr"/>
      <c r="R442" s="5" t="inlineStr"/>
      <c r="S442" s="5" t="inlineStr"/>
      <c r="T442" s="5" t="inlineStr"/>
      <c r="U442" s="5" t="inlineStr"/>
      <c r="V442" s="5" t="inlineStr"/>
      <c r="W442" s="5" t="inlineStr"/>
      <c r="X442" s="5" t="inlineStr"/>
      <c r="Y442" s="5" t="inlineStr"/>
      <c r="Z442" s="6" t="inlineStr"/>
      <c r="AA442" s="5" t="inlineStr"/>
      <c r="AB442" s="5" t="inlineStr"/>
      <c r="AC442" s="5" t="inlineStr"/>
      <c r="AD442" s="5" t="inlineStr"/>
      <c r="AE442" s="5" t="inlineStr"/>
      <c r="AF442" s="5" t="inlineStr"/>
      <c r="AG442" s="5" t="inlineStr"/>
      <c r="AH442" s="5" t="inlineStr"/>
      <c r="AI442" s="5" t="inlineStr"/>
      <c r="AJ442" s="5" t="inlineStr"/>
    </row>
    <row r="443">
      <c r="A443" s="5" t="inlineStr">
        <is>
          <t>b5-mezuniyet</t>
        </is>
      </c>
      <c r="B443" s="5" t="n">
        <v>3</v>
      </c>
      <c r="C443" s="6" t="inlineStr">
        <is>
          <t>Herkesle fotoğraf çekil</t>
        </is>
      </c>
      <c r="D443" s="5" t="inlineStr">
        <is>
          <t>Sosyal Radar</t>
        </is>
      </c>
      <c r="E443" s="5" t="inlineStr">
        <is>
          <t>Kolay</t>
        </is>
      </c>
      <c r="F443" s="5" t="inlineStr"/>
      <c r="G443" s="6" t="inlineStr"/>
      <c r="H443" s="6" t="inlineStr">
        <is>
          <t>Telefonunda dört yüz fotoğraf var. Hepsi aynı açıdan, hepsi değerli.</t>
        </is>
      </c>
      <c r="I443" s="6" t="inlineStr">
        <is>
          <t>Çektiğin kare yıllığın arka kapağı oldu. Dört yıllık tarih tek karede.</t>
        </is>
      </c>
      <c r="J443" s="6" t="inlineStr">
        <is>
          <t>Bütün fotoğraflarda gözlerin kapalı. En azından tutarlısın.</t>
        </is>
      </c>
      <c r="K443" s="6" t="inlineStr">
        <is>
          <t>Kareye sığmak için bir adım geri attın. Arkada merdiven vardı. Fotoğrafların çoğu gökyüzü.</t>
        </is>
      </c>
      <c r="L443" s="6" t="inlineStr"/>
      <c r="M443" s="5" t="inlineStr"/>
      <c r="N443" s="5" t="inlineStr"/>
      <c r="O443" s="6" t="inlineStr"/>
      <c r="P443" s="6" t="inlineStr"/>
      <c r="Q443" s="5" t="inlineStr"/>
      <c r="R443" s="5" t="inlineStr"/>
      <c r="S443" s="5" t="inlineStr"/>
      <c r="T443" s="5" t="inlineStr"/>
      <c r="U443" s="5" t="inlineStr"/>
      <c r="V443" s="5" t="inlineStr"/>
      <c r="W443" s="5" t="inlineStr"/>
      <c r="X443" s="5" t="inlineStr"/>
      <c r="Y443" s="5" t="inlineStr"/>
      <c r="Z443" s="6" t="inlineStr"/>
      <c r="AA443" s="5" t="inlineStr"/>
      <c r="AB443" s="5" t="inlineStr"/>
      <c r="AC443" s="5" t="inlineStr"/>
      <c r="AD443" s="5" t="inlineStr"/>
      <c r="AE443" s="5" t="inlineStr"/>
      <c r="AF443" s="5" t="inlineStr"/>
      <c r="AG443" s="5" t="inlineStr"/>
      <c r="AH443" s="5" t="inlineStr"/>
      <c r="AI443" s="5" t="inlineStr"/>
      <c r="AJ443" s="5" t="inlineStr"/>
    </row>
    <row r="444">
      <c r="A444" s="5" t="inlineStr">
        <is>
          <t>b5-mezuniyet</t>
        </is>
      </c>
      <c r="B444" s="5" t="n">
        <v>4</v>
      </c>
      <c r="C444" s="6" t="inlineStr">
        <is>
          <t>Temsilci olarak kürsüye çık</t>
        </is>
      </c>
      <c r="D444" s="5" t="inlineStr">
        <is>
          <t>Pişkinlik</t>
        </is>
      </c>
      <c r="E444" s="5" t="inlineStr">
        <is>
          <t>Kolay</t>
        </is>
      </c>
      <c r="F444" s="5" t="inlineStr"/>
      <c r="G444" s="6" t="inlineStr"/>
      <c r="H444" s="6" t="inlineStr">
        <is>
          <t>Dört yılı özetledin, vaatlerinin yarısı için 'süreç devam ediyor' dedin. Salon anlayışla alkışladı.</t>
        </is>
      </c>
      <c r="I444" s="6" t="inlineStr">
        <is>
          <t>Kürsüden inerken müdür sana sarıldı ve kulağına “Tost makinesi geldi” dedi. İki yıllık vaadin mezuniyet günü yerine geldi.</t>
        </is>
      </c>
      <c r="J444" s="6" t="inlineStr">
        <is>
          <t>Kürsüye çıktın, kâğıdın rüzgârla uçtu. Doğaçlama kısa sürdü.</t>
        </is>
      </c>
      <c r="K444" s="6" t="inlineStr">
        <is>
          <t>Teşekkür listesini okurken kendi adını da okudun ve alışkanlıkla “Sağ ol” dedin. Mezuniyet videosunun en çok izlenen saniyesi bu.</t>
        </is>
      </c>
      <c r="L444" s="6" t="inlineStr"/>
      <c r="M444" s="5" t="inlineStr"/>
      <c r="N444" s="5" t="inlineStr"/>
      <c r="O444" s="6" t="inlineStr"/>
      <c r="P444" s="6" t="inlineStr"/>
      <c r="Q444" s="5" t="inlineStr"/>
      <c r="R444" s="5" t="inlineStr">
        <is>
          <t>okul-temsilcisi</t>
        </is>
      </c>
      <c r="S444" s="5" t="inlineStr"/>
      <c r="T444" s="5" t="inlineStr"/>
      <c r="U444" s="5" t="inlineStr"/>
      <c r="V444" s="5" t="inlineStr"/>
      <c r="W444" s="5" t="inlineStr"/>
      <c r="X444" s="5" t="inlineStr"/>
      <c r="Y444" s="5" t="inlineStr"/>
      <c r="Z444" s="6" t="inlineStr"/>
      <c r="AA444" s="5" t="inlineStr"/>
      <c r="AB444" s="5" t="inlineStr"/>
      <c r="AC444" s="5" t="inlineStr"/>
      <c r="AD444" s="5" t="inlineStr"/>
      <c r="AE444" s="5" t="inlineStr"/>
      <c r="AF444" s="5" t="inlineStr"/>
      <c r="AG444" s="5" t="inlineStr"/>
      <c r="AH444" s="5" t="inlineStr"/>
      <c r="AI444" s="5" t="inlineStr"/>
      <c r="AJ444" s="5" t="inlineStr"/>
    </row>
    <row r="445">
      <c r="A445" s="5" t="inlineStr">
        <is>
          <t>b5-ehliyet-kursu</t>
        </is>
      </c>
      <c r="B445" s="5" t="n">
        <v>1</v>
      </c>
      <c r="C445" s="6" t="inlineStr">
        <is>
          <t>Direksiyon sınavına gir</t>
        </is>
      </c>
      <c r="D445" s="5" t="inlineStr">
        <is>
          <t>Cesaret</t>
        </is>
      </c>
      <c r="E445" s="5" t="inlineStr">
        <is>
          <t>Orta</t>
        </is>
      </c>
      <c r="F445" s="5" t="inlineStr"/>
      <c r="G445" s="6" t="inlineStr"/>
      <c r="H445" s="6" t="inlineStr">
        <is>
          <t>İlk seferde geçtin. Ehliyet geldi. Araba gelmedi.</t>
        </is>
      </c>
      <c r="I445" s="6" t="inlineStr">
        <is>
          <t>Görevli 'Bu kadar düzgün park görmedim' dedi. Ailen anahtarı yine vermedi ama umut var.</t>
        </is>
      </c>
      <c r="J445" s="6" t="inlineStr">
        <is>
          <t>Paralel parkta kaldırıma üç kez dokundun. Görevli 'Haftaya' dedi.</t>
        </is>
      </c>
      <c r="K445" s="6" t="inlineStr">
        <is>
          <t>Yokuşta kalkışı başardın, düz yolda stop ettin. Arkadaki kursiyerler alkışladı. Yeni sınav bir ay sonra.</t>
        </is>
      </c>
      <c r="L445" s="6" t="inlineStr"/>
      <c r="M445" s="5" t="inlineStr"/>
      <c r="N445" s="5" t="inlineStr"/>
      <c r="O445" s="6" t="inlineStr"/>
      <c r="P445" s="6" t="inlineStr"/>
      <c r="Q445" s="5" t="inlineStr"/>
      <c r="R445" s="5" t="inlineStr"/>
      <c r="S445" s="5" t="inlineStr"/>
      <c r="T445" s="5" t="inlineStr"/>
      <c r="U445" s="5" t="inlineStr"/>
      <c r="V445" s="5" t="inlineStr">
        <is>
          <t>ehliyetli</t>
        </is>
      </c>
      <c r="W445" s="5" t="inlineStr"/>
      <c r="X445" s="5" t="inlineStr"/>
      <c r="Y445" s="5" t="inlineStr"/>
      <c r="Z445" s="6" t="inlineStr"/>
      <c r="AA445" s="5" t="inlineStr"/>
      <c r="AB445" s="5" t="inlineStr"/>
      <c r="AC445" s="5" t="inlineStr"/>
      <c r="AD445" s="5" t="inlineStr"/>
      <c r="AE445" s="5" t="inlineStr"/>
      <c r="AF445" s="5" t="inlineStr"/>
      <c r="AG445" s="5" t="inlineStr"/>
      <c r="AH445" s="5" t="inlineStr"/>
      <c r="AI445" s="5" t="inlineStr"/>
      <c r="AJ445" s="5" t="inlineStr"/>
    </row>
    <row r="446">
      <c r="A446" s="5" t="inlineStr">
        <is>
          <t>b5-ehliyet-kursu</t>
        </is>
      </c>
      <c r="B446" s="5" t="n">
        <v>2</v>
      </c>
      <c r="C446" s="6" t="inlineStr">
        <is>
          <t>Babanla pratik yap</t>
        </is>
      </c>
      <c r="D446" s="5" t="inlineStr">
        <is>
          <t>Dayanıklılık</t>
        </is>
      </c>
      <c r="E446" s="5" t="inlineStr">
        <is>
          <t>Zor</t>
        </is>
      </c>
      <c r="F446" s="5" t="inlineStr"/>
      <c r="G446" s="6" t="inlineStr"/>
      <c r="H446" s="6" t="inlineStr">
        <is>
          <t>Babanla pratik yaptın. Baban zamanın yüzde yetmişinde sustu. Sınavı geçtin.</t>
        </is>
      </c>
      <c r="I446" s="6" t="inlineStr">
        <is>
          <t>İlk kez aynı fikirdeydiniz. Sınavı kusursuz geçtin; baban arabayı ödünç verdi. Bir kere.</t>
        </is>
      </c>
      <c r="J446" s="6" t="inlineStr">
        <is>
          <t>Baban her virajda 'Yavaş!' dedi. Hiç hızlanmamıştın. Ders yarıda kaldı.</t>
        </is>
      </c>
      <c r="K446" s="6" t="inlineStr">
        <is>
          <t>Site otoparkında bir direğe fazla yaklaştın. Direk kıpırdamadı, ayna kıpırdadı. Baban arabadan indi, aynayı yerden aldı ve tek kelime etmeden eve yürüdü.</t>
        </is>
      </c>
      <c r="L446" s="6" t="inlineStr"/>
      <c r="M446" s="5" t="inlineStr"/>
      <c r="N446" s="5" t="inlineStr"/>
      <c r="O446" s="6" t="inlineStr"/>
      <c r="P446" s="6" t="inlineStr"/>
      <c r="Q446" s="5" t="inlineStr"/>
      <c r="R446" s="5" t="inlineStr"/>
      <c r="S446" s="5" t="inlineStr"/>
      <c r="T446" s="5" t="inlineStr"/>
      <c r="U446" s="5" t="inlineStr"/>
      <c r="V446" s="5" t="inlineStr">
        <is>
          <t>ehliyetli</t>
        </is>
      </c>
      <c r="W446" s="5" t="inlineStr"/>
      <c r="X446" s="5" t="inlineStr"/>
      <c r="Y446" s="5" t="inlineStr"/>
      <c r="Z446" s="6" t="inlineStr"/>
      <c r="AA446" s="5" t="inlineStr"/>
      <c r="AB446" s="5" t="inlineStr"/>
      <c r="AC446" s="5" t="inlineStr"/>
      <c r="AD446" s="5" t="inlineStr"/>
      <c r="AE446" s="5" t="inlineStr"/>
      <c r="AF446" s="5" t="inlineStr"/>
      <c r="AG446" s="5" t="inlineStr"/>
      <c r="AH446" s="5" t="inlineStr"/>
      <c r="AI446" s="5" t="inlineStr"/>
      <c r="AJ446" s="5" t="inlineStr"/>
    </row>
    <row r="447">
      <c r="A447" s="5" t="inlineStr">
        <is>
          <t>b5-ehliyet-kursu</t>
        </is>
      </c>
      <c r="B447" s="5" t="n">
        <v>3</v>
      </c>
      <c r="C447" s="6" t="inlineStr">
        <is>
          <t>Kurye tecrübeni kullan</t>
        </is>
      </c>
      <c r="D447" s="5" t="inlineStr">
        <is>
          <t>Kurnazlık</t>
        </is>
      </c>
      <c r="E447" s="5" t="inlineStr">
        <is>
          <t>Kolay</t>
        </is>
      </c>
      <c r="F447" s="5" t="inlineStr"/>
      <c r="G447" s="6" t="inlineStr"/>
      <c r="H447" s="6" t="inlineStr">
        <is>
          <t>Sınav güzergâhını ezbere biliyordun, her çukuru tanıyordun. İlk seferde geçtin.</t>
        </is>
      </c>
      <c r="I447" s="6" t="inlineStr">
        <is>
          <t>Görevliye daha kısa bir güzergâh önerdin. Kabul etti. Geçtin.</t>
        </is>
      </c>
      <c r="J447" s="6" t="inlineStr">
        <is>
          <t>Güzergâhı biliyordun. Bisiklet yolundan gitmeye çalıştın.</t>
        </is>
      </c>
      <c r="K447" s="6" t="inlineStr">
        <is>
          <t>Alışkanlıkla otoparkın içinden kestirdin. Görevli çok şaşırdı. Sonuç: haftaya.</t>
        </is>
      </c>
      <c r="L447" s="6" t="inlineStr"/>
      <c r="M447" s="5" t="inlineStr"/>
      <c r="N447" s="5" t="inlineStr"/>
      <c r="O447" s="6" t="inlineStr"/>
      <c r="P447" s="6" t="inlineStr"/>
      <c r="Q447" s="5" t="inlineStr">
        <is>
          <t>Kestirme Bilir</t>
        </is>
      </c>
      <c r="R447" s="5" t="inlineStr"/>
      <c r="S447" s="5" t="inlineStr"/>
      <c r="T447" s="5" t="inlineStr"/>
      <c r="U447" s="5" t="inlineStr"/>
      <c r="V447" s="5" t="inlineStr">
        <is>
          <t>ehliyetli</t>
        </is>
      </c>
      <c r="W447" s="5" t="inlineStr"/>
      <c r="X447" s="5" t="inlineStr"/>
      <c r="Y447" s="5" t="inlineStr"/>
      <c r="Z447" s="6" t="inlineStr"/>
      <c r="AA447" s="5" t="inlineStr"/>
      <c r="AB447" s="5" t="inlineStr"/>
      <c r="AC447" s="5" t="inlineStr"/>
      <c r="AD447" s="5" t="inlineStr"/>
      <c r="AE447" s="5" t="inlineStr"/>
      <c r="AF447" s="5" t="inlineStr"/>
      <c r="AG447" s="5" t="inlineStr"/>
      <c r="AH447" s="5" t="inlineStr"/>
      <c r="AI447" s="5" t="inlineStr"/>
      <c r="AJ447" s="5" t="inlineStr"/>
    </row>
    <row r="448">
      <c r="A448" s="5" t="inlineStr">
        <is>
          <t>b5-ehliyet-kursu</t>
        </is>
      </c>
      <c r="B448" s="5" t="n">
        <v>4</v>
      </c>
      <c r="C448" s="6" t="inlineStr">
        <is>
          <t>Ehliyeti sonraya bırak</t>
        </is>
      </c>
      <c r="D448" s="5" t="inlineStr"/>
      <c r="E448" s="5" t="inlineStr"/>
      <c r="F448" s="5" t="inlineStr">
        <is>
          <t>Dayanıklılık +1</t>
        </is>
      </c>
      <c r="G448" s="6" t="inlineStr">
        <is>
          <t>Kursu yarıda bıraktın. Yatan kurs parası yandı. Baban bunu her bayram sofrasında bir kez hatırlatacak.</t>
        </is>
      </c>
      <c r="H448" s="6" t="inlineStr"/>
      <c r="I448" s="6" t="inlineStr"/>
      <c r="J448" s="6" t="inlineStr"/>
      <c r="K448" s="6" t="inlineStr"/>
      <c r="L448" s="6" t="inlineStr"/>
      <c r="M448" s="5" t="inlineStr"/>
      <c r="N448" s="5" t="inlineStr"/>
      <c r="O448" s="6" t="inlineStr"/>
      <c r="P448" s="6" t="inlineStr"/>
      <c r="Q448" s="5" t="inlineStr"/>
      <c r="R448" s="5" t="inlineStr"/>
      <c r="S448" s="5" t="inlineStr"/>
      <c r="T448" s="5" t="inlineStr"/>
      <c r="U448" s="5" t="inlineStr"/>
      <c r="V448" s="5" t="inlineStr"/>
      <c r="W448" s="5" t="inlineStr"/>
      <c r="X448" s="5" t="inlineStr"/>
      <c r="Y448" s="5" t="inlineStr"/>
      <c r="Z448" s="6" t="inlineStr"/>
      <c r="AA448" s="5" t="inlineStr"/>
      <c r="AB448" s="5" t="inlineStr"/>
      <c r="AC448" s="5" t="inlineStr"/>
      <c r="AD448" s="5" t="inlineStr"/>
      <c r="AE448" s="5" t="inlineStr"/>
      <c r="AF448" s="5" t="inlineStr"/>
      <c r="AG448" s="5" t="inlineStr"/>
      <c r="AH448" s="5" t="inlineStr"/>
      <c r="AI448" s="5" t="inlineStr"/>
      <c r="AJ448" s="5" t="inlineStr"/>
    </row>
    <row r="449">
      <c r="A449" s="5" t="inlineStr">
        <is>
          <t>b5-tek-basina-tatil</t>
        </is>
      </c>
      <c r="B449" s="5" t="n">
        <v>1</v>
      </c>
      <c r="C449" s="6" t="inlineStr">
        <is>
          <t>Bütçeyi sen tut</t>
        </is>
      </c>
      <c r="D449" s="5" t="inlineStr">
        <is>
          <t>Akıl</t>
        </is>
      </c>
      <c r="E449" s="5" t="inlineStr">
        <is>
          <t>Orta</t>
        </is>
      </c>
      <c r="F449" s="5" t="inlineStr"/>
      <c r="G449" s="6" t="inlineStr"/>
      <c r="H449" s="6" t="inlineStr">
        <is>
          <t>Bütçeyi tuttun; tatil sonunda para bile arttı. Son akşam artanla herkese midye ısmarladın. Alkışı sen aldın, parayı yine bütçe ödedi.</t>
        </is>
      </c>
      <c r="I449" s="6" t="inlineStr">
        <is>
          <t>Aynı parayla tatili iki gün uzattınız. Annen telefonda “Paranız nasıl yetti?” diye sordu; arkadaşların hep bir ağızdan senin adını söyledi.</t>
        </is>
      </c>
      <c r="J449" s="6" t="inlineStr">
        <is>
          <t>Üçüncü gün herkes kendi hesabını ödemeye başladı. Tablo çöktü.</t>
        </is>
      </c>
      <c r="K449" s="6" t="inlineStr">
        <is>
          <t>Tablodaki bir hata yüzünden dönüş biletleri alınmamış. Baban gece otobüsüyle gelip hepinizi topladı. Yol dokuz saat, nasihat dokuz saat.</t>
        </is>
      </c>
      <c r="L449" s="6" t="inlineStr"/>
      <c r="M449" s="5" t="inlineStr"/>
      <c r="N449" s="5" t="inlineStr"/>
      <c r="O449" s="6" t="inlineStr"/>
      <c r="P449" s="6" t="inlineStr"/>
      <c r="Q449" s="5" t="inlineStr"/>
      <c r="R449" s="5" t="inlineStr"/>
      <c r="S449" s="5" t="inlineStr"/>
      <c r="T449" s="5" t="inlineStr"/>
      <c r="U449" s="5" t="inlineStr"/>
      <c r="V449" s="5" t="inlineStr"/>
      <c r="W449" s="5" t="inlineStr"/>
      <c r="X449" s="5" t="inlineStr"/>
      <c r="Y449" s="5" t="inlineStr"/>
      <c r="Z449" s="6" t="inlineStr"/>
      <c r="AA449" s="5" t="inlineStr"/>
      <c r="AB449" s="5" t="inlineStr"/>
      <c r="AC449" s="5" t="inlineStr"/>
      <c r="AD449" s="5" t="inlineStr"/>
      <c r="AE449" s="5" t="inlineStr"/>
      <c r="AF449" s="5" t="inlineStr"/>
      <c r="AG449" s="5" t="inlineStr"/>
      <c r="AH449" s="5" t="inlineStr"/>
      <c r="AI449" s="5" t="inlineStr"/>
      <c r="AJ449" s="5" t="inlineStr"/>
    </row>
    <row r="450">
      <c r="A450" s="5" t="inlineStr">
        <is>
          <t>b5-tek-basina-tatil</t>
        </is>
      </c>
      <c r="B450" s="5" t="n">
        <v>2</v>
      </c>
      <c r="C450" s="6" t="inlineStr">
        <is>
          <t>Aile grubuna saatlik rapor ver</t>
        </is>
      </c>
      <c r="D450" s="5" t="inlineStr"/>
      <c r="E450" s="5" t="inlineStr"/>
      <c r="F450" s="5" t="inlineStr">
        <is>
          <t>Gönül +1</t>
        </is>
      </c>
      <c r="G450" s="6" t="inlineStr">
        <is>
          <t>Her saat bir fotoğraf attın. Annen tatili senden daha ayrıntılı yaşadı. Sen fotoğraf çekmekle meşguldün.</t>
        </is>
      </c>
      <c r="H450" s="6" t="inlineStr"/>
      <c r="I450" s="6" t="inlineStr"/>
      <c r="J450" s="6" t="inlineStr"/>
      <c r="K450" s="6" t="inlineStr"/>
      <c r="L450" s="6" t="inlineStr"/>
      <c r="M450" s="5" t="inlineStr"/>
      <c r="N450" s="5" t="inlineStr"/>
      <c r="O450" s="6" t="inlineStr"/>
      <c r="P450" s="6" t="inlineStr"/>
      <c r="Q450" s="5" t="inlineStr"/>
      <c r="R450" s="5" t="inlineStr"/>
      <c r="S450" s="5" t="inlineStr"/>
      <c r="T450" s="5" t="inlineStr"/>
      <c r="U450" s="5" t="inlineStr"/>
      <c r="V450" s="5" t="inlineStr"/>
      <c r="W450" s="5" t="inlineStr"/>
      <c r="X450" s="5" t="inlineStr"/>
      <c r="Y450" s="5" t="inlineStr"/>
      <c r="Z450" s="6" t="inlineStr"/>
      <c r="AA450" s="5" t="inlineStr"/>
      <c r="AB450" s="5" t="inlineStr"/>
      <c r="AC450" s="5" t="inlineStr"/>
      <c r="AD450" s="5" t="inlineStr"/>
      <c r="AE450" s="5" t="inlineStr"/>
      <c r="AF450" s="5" t="inlineStr"/>
      <c r="AG450" s="5" t="inlineStr"/>
      <c r="AH450" s="5" t="inlineStr"/>
      <c r="AI450" s="5" t="inlineStr"/>
      <c r="AJ450" s="5" t="inlineStr"/>
    </row>
    <row r="451">
      <c r="A451" s="5" t="inlineStr">
        <is>
          <t>b5-tek-basina-tatil</t>
        </is>
      </c>
      <c r="B451" s="5" t="n">
        <v>3</v>
      </c>
      <c r="C451" s="6" t="inlineStr">
        <is>
          <t>Plansız takıl</t>
        </is>
      </c>
      <c r="D451" s="5" t="inlineStr">
        <is>
          <t>Pişkinlik</t>
        </is>
      </c>
      <c r="E451" s="5" t="inlineStr">
        <is>
          <t>Kolay</t>
        </is>
      </c>
      <c r="F451" s="5" t="inlineStr"/>
      <c r="G451" s="6" t="inlineStr"/>
      <c r="H451" s="6" t="inlineStr">
        <is>
          <t>Plansız gezdiniz. Tatilin en iyi anı, kaybolup bulduğunuz bir koy oldu.</t>
        </is>
      </c>
      <c r="I451" s="6" t="inlineStr">
        <is>
          <t>Bulduğunuz koya her yaz dönmeye söz verdiniz. Söz, mesaj grubunda sabitlendi.</t>
        </is>
      </c>
      <c r="J451" s="6" t="inlineStr">
        <is>
          <t>Üç gün boyunca nereye gideceğinizi tartıştınız. Pansiyonun bahçesinden çıkmadınız.</t>
        </is>
      </c>
      <c r="K451" s="6" t="inlineStr">
        <is>
          <t>Pansiyonun adını unuttunuz. Gece bir buçukta kapı kapı sordunuz. Bütün kasaba sizi tanıyor.</t>
        </is>
      </c>
      <c r="L451" s="6" t="inlineStr"/>
      <c r="M451" s="5" t="inlineStr"/>
      <c r="N451" s="5" t="inlineStr"/>
      <c r="O451" s="6" t="inlineStr"/>
      <c r="P451" s="6" t="inlineStr"/>
      <c r="Q451" s="5" t="inlineStr"/>
      <c r="R451" s="5" t="inlineStr"/>
      <c r="S451" s="5" t="inlineStr"/>
      <c r="T451" s="5" t="inlineStr"/>
      <c r="U451" s="5" t="inlineStr"/>
      <c r="V451" s="5" t="inlineStr"/>
      <c r="W451" s="5" t="inlineStr"/>
      <c r="X451" s="5" t="inlineStr"/>
      <c r="Y451" s="5" t="inlineStr"/>
      <c r="Z451" s="6" t="inlineStr"/>
      <c r="AA451" s="5" t="inlineStr"/>
      <c r="AB451" s="5" t="inlineStr"/>
      <c r="AC451" s="5" t="inlineStr"/>
      <c r="AD451" s="5" t="inlineStr"/>
      <c r="AE451" s="5" t="inlineStr"/>
      <c r="AF451" s="5" t="inlineStr"/>
      <c r="AG451" s="5" t="inlineStr"/>
      <c r="AH451" s="5" t="inlineStr"/>
      <c r="AI451" s="5" t="inlineStr"/>
      <c r="AJ451" s="5" t="inlineStr"/>
    </row>
    <row r="452">
      <c r="A452" s="5" t="inlineStr">
        <is>
          <t>b5-tek-basina-tatil</t>
        </is>
      </c>
      <c r="B452" s="5" t="n">
        <v>4</v>
      </c>
      <c r="C452" s="6" t="inlineStr">
        <is>
          <t>Grubu organize et</t>
        </is>
      </c>
      <c r="D452" s="5" t="inlineStr">
        <is>
          <t>Sosyal Radar</t>
        </is>
      </c>
      <c r="E452" s="5" t="inlineStr">
        <is>
          <t>Orta</t>
        </is>
      </c>
      <c r="F452" s="5" t="inlineStr"/>
      <c r="G452" s="6" t="inlineStr"/>
      <c r="H452" s="6" t="inlineStr">
        <is>
          <t>Görevleri dağıttın, tatil sorunsuz geçti. Son gün pansiyon sahibi teyze seni kenara çekti: “Bunları sen mi idare ettin? Annen seninle gurur duyar.”</t>
        </is>
      </c>
      <c r="I452" s="6" t="inlineStr">
        <is>
          <t>Tatil o kadar iyi geçti ki gelecek yıl için başvuru formu açtın. Yedi başvuru geldi.</t>
        </is>
      </c>
      <c r="J452" s="6" t="inlineStr">
        <is>
          <t>Herkes kendi görevini başkasına devretti. Sonunda hepsi sana geldi.</t>
        </is>
      </c>
      <c r="K452" s="6" t="inlineStr">
        <is>
          <t>Görev çizelgesi astın. Arkadaşların seni pansiyon sahibine şikâyet etti. Sahibi sana 'müdür' diyor.</t>
        </is>
      </c>
      <c r="L452" s="6" t="inlineStr"/>
      <c r="M452" s="5" t="inlineStr"/>
      <c r="N452" s="5" t="inlineStr"/>
      <c r="O452" s="6" t="inlineStr"/>
      <c r="P452" s="6" t="inlineStr"/>
      <c r="Q452" s="5" t="inlineStr">
        <is>
          <t>Grup Yöneticisi</t>
        </is>
      </c>
      <c r="R452" s="5" t="inlineStr"/>
      <c r="S452" s="5" t="inlineStr"/>
      <c r="T452" s="5" t="inlineStr"/>
      <c r="U452" s="5" t="inlineStr"/>
      <c r="V452" s="5" t="inlineStr"/>
      <c r="W452" s="5" t="inlineStr"/>
      <c r="X452" s="5" t="inlineStr"/>
      <c r="Y452" s="5" t="inlineStr"/>
      <c r="Z452" s="6" t="inlineStr"/>
      <c r="AA452" s="5" t="inlineStr"/>
      <c r="AB452" s="5" t="inlineStr"/>
      <c r="AC452" s="5" t="inlineStr"/>
      <c r="AD452" s="5" t="inlineStr"/>
      <c r="AE452" s="5" t="inlineStr"/>
      <c r="AF452" s="5" t="inlineStr"/>
      <c r="AG452" s="5" t="inlineStr"/>
      <c r="AH452" s="5" t="inlineStr"/>
      <c r="AI452" s="5" t="inlineStr"/>
      <c r="AJ452" s="5" t="inlineStr"/>
    </row>
    <row r="453">
      <c r="A453" s="5" t="inlineStr">
        <is>
          <t>b6-yurt-odasi</t>
        </is>
      </c>
      <c r="B453" s="5" t="n">
        <v>1</v>
      </c>
      <c r="C453" s="6" t="inlineStr">
        <is>
          <t>Kalan yatağı al</t>
        </is>
      </c>
      <c r="D453" s="5" t="inlineStr"/>
      <c r="E453" s="5" t="inlineStr"/>
      <c r="F453" s="5" t="inlineStr">
        <is>
          <t>Dayanıklılık +1</t>
        </is>
      </c>
      <c r="G453" s="6" t="inlineStr">
        <is>
          <t>Kapının dibindeki yatağı aldın. Gece geç gelen herkes önce senin ayağına basıyor, sonra “Pardon kanka” diyor. Dönem sonuna kadar her gece.</t>
        </is>
      </c>
      <c r="H453" s="6" t="inlineStr"/>
      <c r="I453" s="6" t="inlineStr"/>
      <c r="J453" s="6" t="inlineStr"/>
      <c r="K453" s="6" t="inlineStr"/>
      <c r="L453" s="6" t="inlineStr"/>
      <c r="M453" s="5" t="inlineStr"/>
      <c r="N453" s="5" t="inlineStr"/>
      <c r="O453" s="6" t="inlineStr"/>
      <c r="P453" s="6" t="inlineStr"/>
      <c r="Q453" s="5" t="inlineStr"/>
      <c r="R453" s="5" t="inlineStr"/>
      <c r="S453" s="5" t="inlineStr"/>
      <c r="T453" s="5" t="inlineStr"/>
      <c r="U453" s="5" t="inlineStr"/>
      <c r="V453" s="5" t="inlineStr"/>
      <c r="W453" s="5" t="inlineStr"/>
      <c r="X453" s="5" t="inlineStr"/>
      <c r="Y453" s="5" t="inlineStr"/>
      <c r="Z453" s="6" t="inlineStr"/>
      <c r="AA453" s="5" t="inlineStr"/>
      <c r="AB453" s="5" t="inlineStr"/>
      <c r="AC453" s="5" t="inlineStr"/>
      <c r="AD453" s="5" t="inlineStr"/>
      <c r="AE453" s="5" t="inlineStr"/>
      <c r="AF453" s="5" t="inlineStr"/>
      <c r="AG453" s="5" t="inlineStr"/>
      <c r="AH453" s="5" t="inlineStr"/>
      <c r="AI453" s="5" t="inlineStr"/>
      <c r="AJ453" s="5" t="inlineStr"/>
    </row>
    <row r="454">
      <c r="A454" s="5" t="inlineStr">
        <is>
          <t>b6-yurt-odasi</t>
        </is>
      </c>
      <c r="B454" s="5" t="n">
        <v>2</v>
      </c>
      <c r="C454" s="6" t="inlineStr">
        <is>
          <t>Oda kuralları taslağı hazırla</t>
        </is>
      </c>
      <c r="D454" s="5" t="inlineStr">
        <is>
          <t>Akıl</t>
        </is>
      </c>
      <c r="E454" s="5" t="inlineStr">
        <is>
          <t>Zor</t>
        </is>
      </c>
      <c r="F454" s="5" t="inlineStr"/>
      <c r="G454" s="6" t="inlineStr"/>
      <c r="H454" s="6" t="inlineStr">
        <is>
          <t>Beş maddelik listeyi kapıya astın. Üçüncü madde “Saat birden sonra tost yok”tu. İlk gece saat birde oda tost koktu; yapan, listeyi en çok alkışlayandı.</t>
        </is>
      </c>
      <c r="I454" s="6" t="inlineStr">
        <is>
          <t>Kurallar oy birliğiyle kabul edildi. Kat görevlisi listeyi beğenip öbür odalara da astı. Koridorda adın artık “Odabaşı”; bütün kat sana biraz kızgın.</t>
        </is>
      </c>
      <c r="J454" s="6" t="inlineStr">
        <is>
          <t>Listeyi astın. Ertesi sabah altına biri 'Tamam hocam' yazmıştı.</t>
        </is>
      </c>
      <c r="K454" s="6" t="inlineStr">
        <is>
          <t>Kurallar oylamada üçe bir reddedildi. Ertesi sabah kapıda yeni bir liste vardı, tek maddeli: “Horlayan koridorda yatar.” Dönemin kalanını koridorda geçirdin.</t>
        </is>
      </c>
      <c r="L454" s="6" t="inlineStr"/>
      <c r="M454" s="5" t="inlineStr"/>
      <c r="N454" s="5" t="inlineStr"/>
      <c r="O454" s="6" t="inlineStr"/>
      <c r="P454" s="6" t="inlineStr"/>
      <c r="Q454" s="5" t="inlineStr"/>
      <c r="R454" s="5" t="inlineStr"/>
      <c r="S454" s="5" t="inlineStr"/>
      <c r="T454" s="5" t="inlineStr">
        <is>
          <t>Kuralı Koyan</t>
        </is>
      </c>
      <c r="U454" s="5" t="inlineStr"/>
      <c r="V454" s="5" t="inlineStr"/>
      <c r="W454" s="5" t="inlineStr"/>
      <c r="X454" s="5" t="inlineStr"/>
      <c r="Y454" s="5" t="inlineStr"/>
      <c r="Z454" s="6" t="inlineStr"/>
      <c r="AA454" s="5" t="inlineStr"/>
      <c r="AB454" s="5" t="inlineStr"/>
      <c r="AC454" s="5" t="inlineStr"/>
      <c r="AD454" s="5" t="inlineStr"/>
      <c r="AE454" s="5" t="inlineStr"/>
      <c r="AF454" s="5" t="inlineStr"/>
      <c r="AG454" s="5" t="inlineStr"/>
      <c r="AH454" s="5" t="inlineStr"/>
      <c r="AI454" s="5" t="inlineStr"/>
      <c r="AJ454" s="5" t="inlineStr"/>
    </row>
    <row r="455">
      <c r="A455" s="5" t="inlineStr">
        <is>
          <t>b6-yurt-odasi</t>
        </is>
      </c>
      <c r="B455" s="5" t="n">
        <v>3</v>
      </c>
      <c r="C455" s="6" t="inlineStr">
        <is>
          <t>Prizli yatağı kap</t>
        </is>
      </c>
      <c r="D455" s="5" t="inlineStr">
        <is>
          <t>Kurnazlık</t>
        </is>
      </c>
      <c r="E455" s="5" t="inlineStr">
        <is>
          <t>Kolay</t>
        </is>
      </c>
      <c r="F455" s="5" t="inlineStr"/>
      <c r="G455" s="6" t="inlineStr"/>
      <c r="H455" s="6" t="inlineStr">
        <is>
          <t>Prizli yatak senin. Oda arkadaşların şarj için sana dilekçe veriyor.</t>
        </is>
      </c>
      <c r="I455" s="6" t="inlineStr">
        <is>
          <t>Prizli yatağı aldın, bir çoklu priz kurdun. Gece yarısı herkes şarj için yanına geliyor; kimin telefonu önce dolacak, sen karar veriyorsun.</t>
        </is>
      </c>
      <c r="J455" s="6" t="inlineStr">
        <is>
          <t>Prizli yatağı aldın. Priz, yurt açıldığından beri çalışmıyormuş.</t>
        </is>
      </c>
      <c r="K455" s="6" t="inlineStr">
        <is>
          <t>Prizli yatak senin oldu. Uzatma kablosuna su ısıtıcısı, tost makinesi ve dört şarj taktın. Bütün katın sigortası attı; karanlık koridorda herkes aynı anda senin kapına baktı.</t>
        </is>
      </c>
      <c r="L455" s="6" t="inlineStr"/>
      <c r="M455" s="5" t="inlineStr"/>
      <c r="N455" s="5" t="inlineStr"/>
      <c r="O455" s="6" t="inlineStr"/>
      <c r="P455" s="6" t="inlineStr"/>
      <c r="Q455" s="5" t="inlineStr"/>
      <c r="R455" s="5" t="inlineStr"/>
      <c r="S455" s="5" t="inlineStr">
        <is>
          <t>Kurnazlık</t>
        </is>
      </c>
      <c r="T455" s="5" t="inlineStr"/>
      <c r="U455" s="5" t="inlineStr"/>
      <c r="V455" s="5" t="inlineStr"/>
      <c r="W455" s="5" t="inlineStr"/>
      <c r="X455" s="5" t="inlineStr"/>
      <c r="Y455" s="5" t="inlineStr"/>
      <c r="Z455" s="6" t="inlineStr"/>
      <c r="AA455" s="5" t="inlineStr"/>
      <c r="AB455" s="5" t="inlineStr"/>
      <c r="AC455" s="5" t="inlineStr"/>
      <c r="AD455" s="5" t="inlineStr"/>
      <c r="AE455" s="5" t="inlineStr"/>
      <c r="AF455" s="5" t="inlineStr"/>
      <c r="AG455" s="5" t="inlineStr"/>
      <c r="AH455" s="5" t="inlineStr"/>
      <c r="AI455" s="5" t="inlineStr"/>
      <c r="AJ455" s="5" t="inlineStr"/>
    </row>
    <row r="456">
      <c r="A456" s="5" t="inlineStr">
        <is>
          <t>b6-yurt-odasi</t>
        </is>
      </c>
      <c r="B456" s="5" t="n">
        <v>4</v>
      </c>
      <c r="C456" s="6" t="inlineStr">
        <is>
          <t>Üst ranzayla anlaş</t>
        </is>
      </c>
      <c r="D456" s="5" t="inlineStr">
        <is>
          <t>Çene</t>
        </is>
      </c>
      <c r="E456" s="5" t="inlineStr">
        <is>
          <t>Orta</t>
        </is>
      </c>
      <c r="F456" s="5" t="inlineStr"/>
      <c r="G456" s="6" t="inlineStr"/>
      <c r="H456" s="6" t="inlineStr">
        <is>
          <t>Üst ranzayla anlaştınız: o ışığı on ikide kapatacak, sen alarmını ertelemeyeceksin. Bir hafta dayandınız. Odadakiler size artık “yeni evliler” diyor.</t>
        </is>
      </c>
      <c r="I456" s="6" t="inlineStr">
        <is>
          <t>Üst ranzanın annesi her hafta koli yolluyor; kolinin yarısı artık senin. Sarmaları annenin sarmasından iyi. Bunu annene hiç söylemeyeceksin.</t>
        </is>
      </c>
      <c r="J456" s="6" t="inlineStr">
        <is>
          <t>Anlaştınız. İlk gece o ışığı kapatmadı, sen alarmı beş kez erteledin. Sabah ikiniz de kahvaltıda öbürünü şikâyet ettiniz; aynı kişiye.</t>
        </is>
      </c>
      <c r="K456" s="6" t="inlineStr">
        <is>
          <t>Konuşmanın ortasında ağzından kaçtı: “Bir de şu tişört…” Üst ranza o gece tişörtü çıkardı, yıkamadı, senin yatağının ucuna astı. Dönem sonuna kadar orada kaldı.</t>
        </is>
      </c>
      <c r="L456" s="6" t="inlineStr"/>
      <c r="M456" s="5" t="inlineStr"/>
      <c r="N456" s="5" t="inlineStr"/>
      <c r="O456" s="6" t="inlineStr"/>
      <c r="P456" s="6" t="inlineStr"/>
      <c r="Q456" s="5" t="inlineStr"/>
      <c r="R456" s="5" t="inlineStr"/>
      <c r="S456" s="5" t="inlineStr"/>
      <c r="T456" s="5" t="inlineStr"/>
      <c r="U456" s="5" t="inlineStr"/>
      <c r="V456" s="5" t="inlineStr"/>
      <c r="W456" s="5" t="inlineStr"/>
      <c r="X456" s="5" t="inlineStr"/>
      <c r="Y456" s="5" t="inlineStr"/>
      <c r="Z456" s="6" t="inlineStr"/>
      <c r="AA456" s="5" t="inlineStr"/>
      <c r="AB456" s="5" t="inlineStr"/>
      <c r="AC456" s="5" t="inlineStr"/>
      <c r="AD456" s="5" t="inlineStr"/>
      <c r="AE456" s="5" t="inlineStr"/>
      <c r="AF456" s="5" t="inlineStr"/>
      <c r="AG456" s="5" t="inlineStr"/>
      <c r="AH456" s="5" t="inlineStr"/>
      <c r="AI456" s="5" t="inlineStr"/>
      <c r="AJ456" s="5" t="inlineStr"/>
    </row>
    <row r="457">
      <c r="A457" s="5" t="inlineStr">
        <is>
          <t>b6-ilk-tam-zamanli-is</t>
        </is>
      </c>
      <c r="B457" s="5" t="n">
        <v>1</v>
      </c>
      <c r="C457" s="6" t="inlineStr">
        <is>
          <t>Söyleneni yap</t>
        </is>
      </c>
      <c r="D457" s="5" t="inlineStr"/>
      <c r="E457" s="5" t="inlineStr"/>
      <c r="F457" s="5" t="inlineStr">
        <is>
          <t>Dayanıklılık +1</t>
        </is>
      </c>
      <c r="G457" s="6" t="inlineStr">
        <is>
          <t>İlk ay hiç soru sormadın, söyleneni yaptın. Patron seni gelen geçene “Bunun sesi çıkmaz, altın gibi çocuk” diye tanıtıyor. Zam konusunda da sesin çıkmıyor.</t>
        </is>
      </c>
      <c r="H457" s="6" t="inlineStr"/>
      <c r="I457" s="6" t="inlineStr"/>
      <c r="J457" s="6" t="inlineStr"/>
      <c r="K457" s="6" t="inlineStr"/>
      <c r="L457" s="6" t="inlineStr"/>
      <c r="M457" s="5" t="inlineStr"/>
      <c r="N457" s="5" t="inlineStr"/>
      <c r="O457" s="6" t="inlineStr"/>
      <c r="P457" s="6" t="inlineStr"/>
      <c r="Q457" s="5" t="inlineStr"/>
      <c r="R457" s="5" t="inlineStr"/>
      <c r="S457" s="5" t="inlineStr"/>
      <c r="T457" s="5" t="inlineStr"/>
      <c r="U457" s="5" t="inlineStr"/>
      <c r="V457" s="5" t="inlineStr"/>
      <c r="W457" s="5" t="inlineStr"/>
      <c r="X457" s="5" t="inlineStr"/>
      <c r="Y457" s="5" t="inlineStr"/>
      <c r="Z457" s="6" t="inlineStr"/>
      <c r="AA457" s="5" t="inlineStr"/>
      <c r="AB457" s="5" t="inlineStr"/>
      <c r="AC457" s="5" t="inlineStr"/>
      <c r="AD457" s="5" t="inlineStr"/>
      <c r="AE457" s="5" t="inlineStr"/>
      <c r="AF457" s="5" t="inlineStr"/>
      <c r="AG457" s="5" t="inlineStr"/>
      <c r="AH457" s="5" t="inlineStr"/>
      <c r="AI457" s="5" t="inlineStr"/>
      <c r="AJ457" s="5" t="inlineStr"/>
    </row>
    <row r="458">
      <c r="A458" s="5" t="inlineStr">
        <is>
          <t>b6-ilk-tam-zamanli-is</t>
        </is>
      </c>
      <c r="B458" s="5" t="n">
        <v>2</v>
      </c>
      <c r="C458" s="6" t="inlineStr">
        <is>
          <t>Stoğu ezberle</t>
        </is>
      </c>
      <c r="D458" s="5" t="inlineStr">
        <is>
          <t>Akıl</t>
        </is>
      </c>
      <c r="E458" s="5" t="inlineStr">
        <is>
          <t>Orta</t>
        </is>
      </c>
      <c r="F458" s="5" t="inlineStr"/>
      <c r="G458" s="6" t="inlineStr"/>
      <c r="H458" s="6" t="inlineStr">
        <is>
          <t>Hangi vidanın hangi rafta olduğunu artık biliyorsun. Müşteriler doğrudan sana geliyor.</t>
        </is>
      </c>
      <c r="I458" s="6" t="inlineStr">
        <is>
          <t>Stok defterini ezberledin. Patron sayımı sana bırakıp bir haftalığına tatile gitti.</t>
        </is>
      </c>
      <c r="J458" s="6" t="inlineStr">
        <is>
          <t>Ezberledin. Patron ertesi gün rafları yeniden düzenledi.</t>
        </is>
      </c>
      <c r="K458" s="6" t="inlineStr">
        <is>
          <t>Sayımda bir koli vidayı iki kez saydın. Ay sonunda eksik çıkan vidaları patron maaşından kesti. Zarfı açtığında paranın yanında bir avuç vida vardı.</t>
        </is>
      </c>
      <c r="L458" s="6" t="inlineStr"/>
      <c r="M458" s="5" t="inlineStr"/>
      <c r="N458" s="5" t="inlineStr"/>
      <c r="O458" s="6" t="inlineStr"/>
      <c r="P458" s="6" t="inlineStr"/>
      <c r="Q458" s="5" t="inlineStr"/>
      <c r="R458" s="5" t="inlineStr"/>
      <c r="S458" s="5" t="inlineStr"/>
      <c r="T458" s="5" t="inlineStr"/>
      <c r="U458" s="5" t="inlineStr"/>
      <c r="V458" s="5" t="inlineStr"/>
      <c r="W458" s="5" t="inlineStr"/>
      <c r="X458" s="5" t="inlineStr"/>
      <c r="Y458" s="5" t="inlineStr"/>
      <c r="Z458" s="6" t="inlineStr"/>
      <c r="AA458" s="5" t="inlineStr"/>
      <c r="AB458" s="5" t="inlineStr"/>
      <c r="AC458" s="5" t="inlineStr"/>
      <c r="AD458" s="5" t="inlineStr"/>
      <c r="AE458" s="5" t="inlineStr"/>
      <c r="AF458" s="5" t="inlineStr"/>
      <c r="AG458" s="5" t="inlineStr"/>
      <c r="AH458" s="5" t="inlineStr"/>
      <c r="AI458" s="5" t="inlineStr"/>
      <c r="AJ458" s="5" t="inlineStr"/>
    </row>
    <row r="459">
      <c r="A459" s="5" t="inlineStr">
        <is>
          <t>b6-ilk-tam-zamanli-is</t>
        </is>
      </c>
      <c r="B459" s="5" t="n">
        <v>3</v>
      </c>
      <c r="C459" s="6" t="inlineStr">
        <is>
          <t>Müşteriye fazlasını sat</t>
        </is>
      </c>
      <c r="D459" s="5" t="inlineStr">
        <is>
          <t>Çene</t>
        </is>
      </c>
      <c r="E459" s="5" t="inlineStr">
        <is>
          <t>Orta</t>
        </is>
      </c>
      <c r="F459" s="5" t="inlineStr"/>
      <c r="G459" s="6" t="inlineStr"/>
      <c r="H459" s="6" t="inlineStr">
        <is>
          <t>Vida almaya gelene matkap sattın. Patron seni 'bizim eleman' diye tanıtmaya başladı.</t>
        </is>
      </c>
      <c r="I459" s="6" t="inlineStr">
        <is>
          <t>Vida almaya gelen amca dükkândan bir matkap, bir merdiven ve bütün bir banyo tadilatıyla çıktı. Ertesi gün karısı geldi; sana değil, patrona kızdı. Patron sana çay ısmarladı.</t>
        </is>
      </c>
      <c r="J459" s="6" t="inlineStr">
        <is>
          <t>Fazlasını satmaya çalıştın. Müşteri vidayı da almadı.</t>
        </is>
      </c>
      <c r="K459" s="6" t="inlineStr">
        <is>
          <t>Müşteriye en pahalı matkabı, iki uç setini ve bir merdiveni sattın. Müşteri patronun kayınpederiymiş. Ertesi sabah matkap rafa, para kayınpedere döndü; patron sana tek cümle kurdu: “Dün akşam evde yemek yiyemedim.”</t>
        </is>
      </c>
      <c r="L459" s="6" t="inlineStr"/>
      <c r="M459" s="5" t="inlineStr"/>
      <c r="N459" s="5" t="inlineStr"/>
      <c r="O459" s="6" t="inlineStr"/>
      <c r="P459" s="6" t="inlineStr"/>
      <c r="Q459" s="5" t="inlineStr"/>
      <c r="R459" s="5" t="inlineStr"/>
      <c r="S459" s="5" t="inlineStr"/>
      <c r="T459" s="5" t="inlineStr"/>
      <c r="U459" s="5" t="inlineStr"/>
      <c r="V459" s="5" t="inlineStr"/>
      <c r="W459" s="5" t="inlineStr"/>
      <c r="X459" s="5" t="inlineStr"/>
      <c r="Y459" s="5" t="inlineStr"/>
      <c r="Z459" s="6" t="inlineStr"/>
      <c r="AA459" s="5" t="inlineStr"/>
      <c r="AB459" s="5" t="inlineStr"/>
      <c r="AC459" s="5" t="inlineStr"/>
      <c r="AD459" s="5" t="inlineStr"/>
      <c r="AE459" s="5" t="inlineStr"/>
      <c r="AF459" s="5" t="inlineStr"/>
      <c r="AG459" s="5" t="inlineStr"/>
      <c r="AH459" s="5" t="inlineStr"/>
      <c r="AI459" s="5" t="inlineStr"/>
      <c r="AJ459" s="5" t="inlineStr"/>
    </row>
    <row r="460">
      <c r="A460" s="5" t="inlineStr">
        <is>
          <t>b6-ehliyet</t>
        </is>
      </c>
      <c r="B460" s="5" t="n">
        <v>1</v>
      </c>
      <c r="C460" s="6" t="inlineStr">
        <is>
          <t>Kitabına uygun yap</t>
        </is>
      </c>
      <c r="D460" s="5" t="inlineStr">
        <is>
          <t>Akıl</t>
        </is>
      </c>
      <c r="E460" s="5" t="inlineStr">
        <is>
          <t>Kolay</t>
        </is>
      </c>
      <c r="F460" s="5" t="inlineStr"/>
      <c r="G460" s="6" t="inlineStr"/>
      <c r="H460" s="6" t="inlineStr">
        <is>
          <t>Sinyal, ayna, kalkış; her şeyi sesli sesli söyleyerek yaptın. Görevli kâğıda bir şey yazdı, sonra gözlüğünün üstünden baktı: “Annen mi öğretti bunu?” Geçtin.</t>
        </is>
      </c>
      <c r="I460" s="6" t="inlineStr">
        <is>
          <t>Kusursuz sürüş. Görevli otuz yılda ilk kez gülümsedi ve 'Park da yap bakalım' dedi. Yaptın.</t>
        </is>
      </c>
      <c r="J460" s="6" t="inlineStr">
        <is>
          <t>Kitabına uygun yaptın. Kitapta olmayan bir kedi yola çıktı. Kaldın.</t>
        </is>
      </c>
      <c r="K460" s="6" t="inlineStr">
        <is>
          <t>Aynalara o kadar uzun baktın ki öndeki çöp kamyonunu son anda gördün. Ani fren; görevlinin gözlüğü torpidoya uçtu. Not almadı; gerek yoktu.</t>
        </is>
      </c>
      <c r="L460" s="6" t="inlineStr"/>
      <c r="M460" s="5" t="inlineStr"/>
      <c r="N460" s="5" t="inlineStr"/>
      <c r="O460" s="6" t="inlineStr"/>
      <c r="P460" s="6" t="inlineStr"/>
      <c r="Q460" s="5" t="inlineStr"/>
      <c r="R460" s="5" t="inlineStr"/>
      <c r="S460" s="5" t="inlineStr"/>
      <c r="T460" s="5" t="inlineStr"/>
      <c r="U460" s="5" t="inlineStr"/>
      <c r="V460" s="5" t="inlineStr">
        <is>
          <t>ehliyetli</t>
        </is>
      </c>
      <c r="W460" s="5" t="inlineStr"/>
      <c r="X460" s="5" t="inlineStr"/>
      <c r="Y460" s="5" t="inlineStr"/>
      <c r="Z460" s="6" t="inlineStr"/>
      <c r="AA460" s="5" t="inlineStr"/>
      <c r="AB460" s="5" t="inlineStr"/>
      <c r="AC460" s="5" t="inlineStr"/>
      <c r="AD460" s="5" t="inlineStr"/>
      <c r="AE460" s="5" t="inlineStr"/>
      <c r="AF460" s="5" t="inlineStr"/>
      <c r="AG460" s="5" t="inlineStr"/>
      <c r="AH460" s="5" t="inlineStr"/>
      <c r="AI460" s="5" t="inlineStr"/>
      <c r="AJ460" s="5" t="inlineStr"/>
    </row>
    <row r="461">
      <c r="A461" s="5" t="inlineStr">
        <is>
          <t>b6-ehliyet</t>
        </is>
      </c>
      <c r="B461" s="5" t="n">
        <v>2</v>
      </c>
      <c r="C461" s="6" t="inlineStr">
        <is>
          <t>Yokuşta el frenine güven</t>
        </is>
      </c>
      <c r="D461" s="5" t="inlineStr">
        <is>
          <t>Dayanıklılık</t>
        </is>
      </c>
      <c r="E461" s="5" t="inlineStr">
        <is>
          <t>Orta</t>
        </is>
      </c>
      <c r="F461" s="5" t="inlineStr"/>
      <c r="G461" s="6" t="inlineStr"/>
      <c r="H461" s="6" t="inlineStr">
        <is>
          <t>El freni, debriyaj, sabır. Araba yokuşu çıktı, sen de sınavı.</t>
        </is>
      </c>
      <c r="I461" s="6" t="inlineStr">
        <is>
          <t>Kalkış o kadar yumuşaktı ki görevli ne zaman kalktığınızı sordu.</t>
        </is>
      </c>
      <c r="J461" s="6" t="inlineStr">
        <is>
          <t>Araba geri kaydı. Arkadaki sınav aracındaki aday da seninle birlikte kaldı.</t>
        </is>
      </c>
      <c r="K461" s="6" t="inlineStr">
        <is>
          <t>Araba stop etti. Sonra bir daha. Sonra görevli indi, yokuşu yürüyerek çıktı.</t>
        </is>
      </c>
      <c r="L461" s="6" t="inlineStr">
        <is>
          <t>Araba bir tık geri kaydı, sonra kalktı. Görevli bir şey yazdı, sonra sildi. Geçtin; zor geçtin.</t>
        </is>
      </c>
      <c r="M461" s="5" t="inlineStr">
        <is>
          <t>timing</t>
        </is>
      </c>
      <c r="N461" s="5" t="inlineStr">
        <is>
          <t>Yokuş Kalkışı</t>
        </is>
      </c>
      <c r="O461" s="6" t="inlineStr">
        <is>
          <t>İbre yeşil alandayken DURDUR'a bas. Art arda tutturdukça kombo kazanırsın.</t>
        </is>
      </c>
      <c r="P461" s="6" t="n"/>
      <c r="Q461" s="5" t="inlineStr"/>
      <c r="R461" s="5" t="inlineStr"/>
      <c r="S461" s="5" t="inlineStr"/>
      <c r="T461" s="5" t="inlineStr"/>
      <c r="U461" s="5" t="inlineStr"/>
      <c r="V461" s="5" t="inlineStr">
        <is>
          <t>ehliyetli</t>
        </is>
      </c>
      <c r="W461" s="5" t="inlineStr"/>
      <c r="X461" s="5" t="inlineStr"/>
      <c r="Y461" s="5" t="inlineStr"/>
      <c r="Z461" s="6" t="inlineStr"/>
      <c r="AA461" s="5" t="inlineStr"/>
      <c r="AB461" s="5" t="inlineStr"/>
      <c r="AC461" s="5" t="inlineStr"/>
      <c r="AD461" s="5" t="inlineStr"/>
      <c r="AE461" s="5" t="inlineStr"/>
      <c r="AF461" s="5" t="inlineStr"/>
      <c r="AG461" s="5" t="inlineStr"/>
      <c r="AH461" s="5" t="inlineStr"/>
      <c r="AI461" s="5" t="inlineStr"/>
      <c r="AJ461" s="5" t="inlineStr"/>
    </row>
    <row r="462">
      <c r="A462" s="5" t="inlineStr">
        <is>
          <t>b6-ehliyet</t>
        </is>
      </c>
      <c r="B462" s="5" t="n">
        <v>3</v>
      </c>
      <c r="C462" s="6" t="inlineStr">
        <is>
          <t>Görevliyle sohbet aç</t>
        </is>
      </c>
      <c r="D462" s="5" t="inlineStr">
        <is>
          <t>Çene</t>
        </is>
      </c>
      <c r="E462" s="5" t="inlineStr">
        <is>
          <t>Zor</t>
        </is>
      </c>
      <c r="F462" s="5" t="inlineStr"/>
      <c r="G462" s="6" t="inlineStr"/>
      <c r="H462" s="6" t="inlineStr">
        <is>
          <t>Görevli emekli olunca balığa çıkacakmış. Sınav bitti, sen geçtin, konu balıktı.</t>
        </is>
      </c>
      <c r="I462" s="6" t="inlineStr">
        <is>
          <t>Yokuşu çıkarken balıktan konuştunuz, park ederken oğlunun düğününe davetliydin. Görevli sınav kâğıdının arkasına düğün salonunun adresini yazdı; önüne de “Geçti”.</t>
        </is>
      </c>
      <c r="J462" s="6" t="inlineStr">
        <is>
          <t>Görevli “Konuşma, sür” dedi. Sustun; o sessizlikte yokuşu da unuttun. Kaldın.</t>
        </is>
      </c>
      <c r="K462" s="6" t="inlineStr">
        <is>
          <t>Sohbete daldın, direksiyonu unuttun, kaldırıma çıktın. Görevlinin çayı kucağına döküldü. Sınav orada bitti; balık hikâyesini hiç duyamadın.</t>
        </is>
      </c>
      <c r="L462" s="6" t="inlineStr"/>
      <c r="M462" s="5" t="inlineStr"/>
      <c r="N462" s="5" t="inlineStr"/>
      <c r="O462" s="6" t="inlineStr"/>
      <c r="P462" s="6" t="inlineStr"/>
      <c r="Q462" s="5" t="inlineStr"/>
      <c r="R462" s="5" t="inlineStr"/>
      <c r="S462" s="5" t="inlineStr"/>
      <c r="T462" s="5" t="inlineStr"/>
      <c r="U462" s="5" t="inlineStr"/>
      <c r="V462" s="5" t="inlineStr">
        <is>
          <t>ehliyetli</t>
        </is>
      </c>
      <c r="W462" s="5" t="inlineStr"/>
      <c r="X462" s="5" t="inlineStr"/>
      <c r="Y462" s="5" t="inlineStr"/>
      <c r="Z462" s="6" t="inlineStr"/>
      <c r="AA462" s="5" t="inlineStr"/>
      <c r="AB462" s="5" t="inlineStr"/>
      <c r="AC462" s="5" t="inlineStr"/>
      <c r="AD462" s="5" t="inlineStr"/>
      <c r="AE462" s="5" t="inlineStr"/>
      <c r="AF462" s="5" t="inlineStr"/>
      <c r="AG462" s="5" t="inlineStr"/>
      <c r="AH462" s="5" t="inlineStr"/>
      <c r="AI462" s="5" t="inlineStr"/>
      <c r="AJ462" s="5" t="inlineStr"/>
    </row>
    <row r="463">
      <c r="A463" s="5" t="inlineStr">
        <is>
          <t>b6-ehliyet</t>
        </is>
      </c>
      <c r="B463" s="5" t="n">
        <v>4</v>
      </c>
      <c r="C463" s="6" t="inlineStr">
        <is>
          <t>Sınavı ertele</t>
        </is>
      </c>
      <c r="D463" s="5" t="inlineStr"/>
      <c r="E463" s="5" t="inlineStr"/>
      <c r="F463" s="5" t="inlineStr">
        <is>
          <t>Dayanıklılık +1</t>
        </is>
      </c>
      <c r="G463" s="6" t="inlineStr">
        <is>
          <t>Sınavı erteledin. Baban arabanın anahtarını cebine geri koydu; rahatladığını saklamadı. Bir yıl daha her yokuşta “Ben bu yokuşu on sekizimde çıkıyordum” dedi.</t>
        </is>
      </c>
      <c r="H463" s="6" t="inlineStr"/>
      <c r="I463" s="6" t="inlineStr"/>
      <c r="J463" s="6" t="inlineStr"/>
      <c r="K463" s="6" t="inlineStr"/>
      <c r="L463" s="6" t="inlineStr"/>
      <c r="M463" s="5" t="inlineStr"/>
      <c r="N463" s="5" t="inlineStr"/>
      <c r="O463" s="6" t="inlineStr"/>
      <c r="P463" s="6" t="inlineStr"/>
      <c r="Q463" s="5" t="inlineStr"/>
      <c r="R463" s="5" t="inlineStr"/>
      <c r="S463" s="5" t="inlineStr"/>
      <c r="T463" s="5" t="inlineStr"/>
      <c r="U463" s="5" t="inlineStr"/>
      <c r="V463" s="5" t="inlineStr"/>
      <c r="W463" s="5" t="inlineStr"/>
      <c r="X463" s="5" t="inlineStr"/>
      <c r="Y463" s="5" t="inlineStr"/>
      <c r="Z463" s="6" t="inlineStr"/>
      <c r="AA463" s="5" t="inlineStr"/>
      <c r="AB463" s="5" t="inlineStr"/>
      <c r="AC463" s="5" t="inlineStr"/>
      <c r="AD463" s="5" t="inlineStr"/>
      <c r="AE463" s="5" t="inlineStr"/>
      <c r="AF463" s="5" t="inlineStr"/>
      <c r="AG463" s="5" t="inlineStr"/>
      <c r="AH463" s="5" t="inlineStr"/>
      <c r="AI463" s="5" t="inlineStr"/>
      <c r="AJ463" s="5" t="inlineStr"/>
    </row>
    <row r="464">
      <c r="A464" s="5" t="inlineStr">
        <is>
          <t>b6-ilk-maas</t>
        </is>
      </c>
      <c r="B464" s="5" t="n">
        <v>1</v>
      </c>
      <c r="C464" s="6" t="inlineStr">
        <is>
          <t>Annene hediye al</t>
        </is>
      </c>
      <c r="D464" s="5" t="inlineStr"/>
      <c r="E464" s="5" t="inlineStr"/>
      <c r="F464" s="5" t="inlineStr">
        <is>
          <t>Gönül +1</t>
        </is>
      </c>
      <c r="G464" s="6" t="inlineStr">
        <is>
          <t>Annene bir şal aldın. Şal naftalinli dolabın en üst rafına kaldırıldı: “Özel günlerde takarım.” Ama gelen her komşuya dolaptan çıkarılıp gösterildi.</t>
        </is>
      </c>
      <c r="H464" s="6" t="inlineStr"/>
      <c r="I464" s="6" t="inlineStr"/>
      <c r="J464" s="6" t="inlineStr"/>
      <c r="K464" s="6" t="inlineStr"/>
      <c r="L464" s="6" t="inlineStr"/>
      <c r="M464" s="5" t="inlineStr"/>
      <c r="N464" s="5" t="inlineStr"/>
      <c r="O464" s="6" t="inlineStr"/>
      <c r="P464" s="6" t="inlineStr"/>
      <c r="Q464" s="5" t="inlineStr"/>
      <c r="R464" s="5" t="inlineStr"/>
      <c r="S464" s="5" t="inlineStr"/>
      <c r="T464" s="5" t="inlineStr"/>
      <c r="U464" s="5" t="inlineStr"/>
      <c r="V464" s="5" t="inlineStr"/>
      <c r="W464" s="5" t="inlineStr"/>
      <c r="X464" s="5" t="inlineStr"/>
      <c r="Y464" s="5" t="inlineStr"/>
      <c r="Z464" s="6" t="inlineStr"/>
      <c r="AA464" s="5" t="inlineStr"/>
      <c r="AB464" s="5" t="inlineStr"/>
      <c r="AC464" s="5" t="inlineStr"/>
      <c r="AD464" s="5" t="inlineStr"/>
      <c r="AE464" s="5" t="inlineStr"/>
      <c r="AF464" s="5" t="inlineStr"/>
      <c r="AG464" s="5" t="inlineStr"/>
      <c r="AH464" s="5" t="inlineStr"/>
      <c r="AI464" s="5" t="inlineStr"/>
      <c r="AJ464" s="5" t="inlineStr"/>
    </row>
    <row r="465">
      <c r="A465" s="5" t="inlineStr">
        <is>
          <t>b6-ilk-maas</t>
        </is>
      </c>
      <c r="B465" s="5" t="n">
        <v>2</v>
      </c>
      <c r="C465" s="6" t="inlineStr">
        <is>
          <t>Hepsini harca</t>
        </is>
      </c>
      <c r="D465" s="5" t="inlineStr"/>
      <c r="E465" s="5" t="inlineStr"/>
      <c r="F465" s="5" t="inlineStr">
        <is>
          <t>Pişkinlik +1, Çene +1</t>
        </is>
      </c>
      <c r="G465" s="6" t="inlineStr">
        <is>
          <t>Maaş üç günde bitti: bir ayakkabı, bir kulaklık, arkadaşlara üç akşam. Kalan yirmi yedi günü annenin buzdolabıyla çıkardın. Annen bir şey demedi; sadece tencereyi biraz daha büyük koydu.</t>
        </is>
      </c>
      <c r="H465" s="6" t="inlineStr"/>
      <c r="I465" s="6" t="inlineStr"/>
      <c r="J465" s="6" t="inlineStr"/>
      <c r="K465" s="6" t="inlineStr"/>
      <c r="L465" s="6" t="inlineStr"/>
      <c r="M465" s="5" t="inlineStr"/>
      <c r="N465" s="5" t="inlineStr"/>
      <c r="O465" s="6" t="inlineStr"/>
      <c r="P465" s="6" t="inlineStr"/>
      <c r="Q465" s="5" t="inlineStr"/>
      <c r="R465" s="5" t="inlineStr"/>
      <c r="S465" s="5" t="inlineStr"/>
      <c r="T465" s="5" t="inlineStr"/>
      <c r="U465" s="5" t="inlineStr"/>
      <c r="V465" s="5" t="inlineStr"/>
      <c r="W465" s="5" t="inlineStr"/>
      <c r="X465" s="5" t="inlineStr"/>
      <c r="Y465" s="5" t="inlineStr"/>
      <c r="Z465" s="6" t="inlineStr"/>
      <c r="AA465" s="5" t="inlineStr"/>
      <c r="AB465" s="5" t="inlineStr"/>
      <c r="AC465" s="5" t="inlineStr"/>
      <c r="AD465" s="5" t="inlineStr"/>
      <c r="AE465" s="5" t="inlineStr"/>
      <c r="AF465" s="5" t="inlineStr"/>
      <c r="AG465" s="5" t="inlineStr"/>
      <c r="AH465" s="5" t="inlineStr"/>
      <c r="AI465" s="5" t="inlineStr"/>
      <c r="AJ465" s="5" t="inlineStr"/>
    </row>
    <row r="466">
      <c r="A466" s="5" t="inlineStr">
        <is>
          <t>b6-ilk-maas</t>
        </is>
      </c>
      <c r="B466" s="5" t="n">
        <v>3</v>
      </c>
      <c r="C466" s="6" t="inlineStr">
        <is>
          <t>Bütçe tablosu yap</t>
        </is>
      </c>
      <c r="D466" s="5" t="inlineStr">
        <is>
          <t>Akıl</t>
        </is>
      </c>
      <c r="E466" s="5" t="inlineStr">
        <is>
          <t>Zor</t>
        </is>
      </c>
      <c r="F466" s="5" t="inlineStr"/>
      <c r="G466" s="6" t="inlineStr"/>
      <c r="H466" s="6" t="inlineStr">
        <is>
          <t>Tablo hazır. Gelir tek satır, giderler iki sayfa. Ama renkli.</t>
        </is>
      </c>
      <c r="I466" s="6" t="inlineStr">
        <is>
          <t>Tabloyu ay sonuna kadar tuttun ve para arttı. Olay aile tarihine 'mucize' olarak geçti.</t>
        </is>
      </c>
      <c r="J466" s="6" t="inlineStr">
        <is>
          <t>Tablo yaptın. İkinci hafta tabloya bakmayı bıraktın. Tablo sana bakmaya devam etti.</t>
        </is>
      </c>
      <c r="K466" s="6" t="inlineStr">
        <is>
          <t>Formül hatası yüzünden ay sonunda zengin görünüyordun. Harcadın.</t>
        </is>
      </c>
      <c r="L466" s="6" t="inlineStr"/>
      <c r="M466" s="5" t="inlineStr"/>
      <c r="N466" s="5" t="inlineStr"/>
      <c r="O466" s="6" t="inlineStr"/>
      <c r="P466" s="6" t="inlineStr"/>
      <c r="Q466" s="5" t="inlineStr"/>
      <c r="R466" s="5" t="inlineStr"/>
      <c r="S466" s="5" t="inlineStr"/>
      <c r="T466" s="5" t="inlineStr">
        <is>
          <t>Bütçe Tablocusu</t>
        </is>
      </c>
      <c r="U466" s="5" t="inlineStr"/>
      <c r="V466" s="5" t="inlineStr"/>
      <c r="W466" s="5" t="inlineStr"/>
      <c r="X466" s="5" t="inlineStr"/>
      <c r="Y466" s="5" t="inlineStr"/>
      <c r="Z466" s="6" t="inlineStr"/>
      <c r="AA466" s="5" t="inlineStr"/>
      <c r="AB466" s="5" t="inlineStr"/>
      <c r="AC466" s="5" t="inlineStr"/>
      <c r="AD466" s="5" t="inlineStr"/>
      <c r="AE466" s="5" t="inlineStr"/>
      <c r="AF466" s="5" t="inlineStr"/>
      <c r="AG466" s="5" t="inlineStr"/>
      <c r="AH466" s="5" t="inlineStr"/>
      <c r="AI466" s="5" t="inlineStr"/>
      <c r="AJ466" s="5" t="inlineStr"/>
    </row>
    <row r="467">
      <c r="A467" s="5" t="inlineStr">
        <is>
          <t>b6-ilk-maas</t>
        </is>
      </c>
      <c r="B467" s="5" t="n">
        <v>4</v>
      </c>
      <c r="C467" s="6" t="inlineStr">
        <is>
          <t>Yarısını yastık altına koy</t>
        </is>
      </c>
      <c r="D467" s="5" t="inlineStr">
        <is>
          <t>Kurnazlık</t>
        </is>
      </c>
      <c r="E467" s="5" t="inlineStr">
        <is>
          <t>Kolay</t>
        </is>
      </c>
      <c r="F467" s="5" t="inlineStr"/>
      <c r="G467" s="6" t="inlineStr"/>
      <c r="H467" s="6" t="inlineStr">
        <is>
          <t>Ay sonunda yastığın altından bir tomar çıktı. Saydın, bir daha saydın. Babaannenin neden hep yastığının altında para tuttuğunu o gece anladın.</t>
        </is>
      </c>
      <c r="I467" s="6" t="inlineStr">
        <is>
          <t>Birikim yastıktan yorgana, oradan dolabın dibine göç etti ve büyüdü. Annen yatağı havalandırırken buldu, saydı, yerine koydu. Akşam babana “Bu çocuk bizden zengin” dedi.</t>
        </is>
      </c>
      <c r="J467" s="6" t="inlineStr">
        <is>
          <t>Parayı yastık kılıfına sakladın. Annen kılıfı makineye attı. Paralar kuru, temiz ve ütülü olarak mutfak masasında dizildi: “Bu kimin?” Kimse sahiplenmedi; sen de.</t>
        </is>
      </c>
      <c r="K467" s="6" t="inlineStr">
        <is>
          <t>Sakladın, yerini unuttun. Üç yıl sonra taşınırken bulacaksın. Değeri yarıya inmiş olacak.</t>
        </is>
      </c>
      <c r="L467" s="6" t="inlineStr"/>
      <c r="M467" s="5" t="inlineStr"/>
      <c r="N467" s="5" t="inlineStr"/>
      <c r="O467" s="6" t="inlineStr"/>
      <c r="P467" s="6" t="inlineStr"/>
      <c r="Q467" s="5" t="inlineStr">
        <is>
          <t>Yastık Altı Ekonomisti</t>
        </is>
      </c>
      <c r="R467" s="5" t="inlineStr"/>
      <c r="S467" s="5" t="inlineStr"/>
      <c r="T467" s="5" t="inlineStr"/>
      <c r="U467" s="5" t="inlineStr"/>
      <c r="V467" s="5" t="inlineStr"/>
      <c r="W467" s="5" t="inlineStr"/>
      <c r="X467" s="5" t="inlineStr"/>
      <c r="Y467" s="5" t="inlineStr"/>
      <c r="Z467" s="6" t="inlineStr"/>
      <c r="AA467" s="5" t="inlineStr"/>
      <c r="AB467" s="5" t="inlineStr"/>
      <c r="AC467" s="5" t="inlineStr"/>
      <c r="AD467" s="5" t="inlineStr"/>
      <c r="AE467" s="5" t="inlineStr"/>
      <c r="AF467" s="5" t="inlineStr"/>
      <c r="AG467" s="5" t="inlineStr"/>
      <c r="AH467" s="5" t="inlineStr"/>
      <c r="AI467" s="5" t="inlineStr"/>
      <c r="AJ467" s="5" t="inlineStr"/>
    </row>
    <row r="468">
      <c r="A468" s="5" t="inlineStr">
        <is>
          <t>b6-usta-cirak</t>
        </is>
      </c>
      <c r="B468" s="5" t="n">
        <v>1</v>
      </c>
      <c r="C468" s="6" t="inlineStr">
        <is>
          <t>Çayı mükemmelleştir</t>
        </is>
      </c>
      <c r="D468" s="5" t="inlineStr"/>
      <c r="E468" s="5" t="inlineStr"/>
      <c r="F468" s="5" t="inlineStr">
        <is>
          <t>İtibar +1, Dayanıklılık +1</t>
        </is>
      </c>
      <c r="G468" s="6" t="inlineStr">
        <is>
          <t>Çayın ustanın ağzına layık oldu. Dükkana gelen herkes çay için kalıyor. İş hâlâ yok.</t>
        </is>
      </c>
      <c r="H468" s="6" t="inlineStr"/>
      <c r="I468" s="6" t="inlineStr"/>
      <c r="J468" s="6" t="inlineStr"/>
      <c r="K468" s="6" t="inlineStr"/>
      <c r="L468" s="6" t="inlineStr"/>
      <c r="M468" s="5" t="inlineStr"/>
      <c r="N468" s="5" t="inlineStr"/>
      <c r="O468" s="6" t="inlineStr"/>
      <c r="P468" s="6" t="inlineStr"/>
      <c r="Q468" s="5" t="inlineStr"/>
      <c r="R468" s="5" t="inlineStr"/>
      <c r="S468" s="5" t="inlineStr"/>
      <c r="T468" s="5" t="inlineStr"/>
      <c r="U468" s="5" t="inlineStr"/>
      <c r="V468" s="5" t="inlineStr"/>
      <c r="W468" s="5" t="inlineStr"/>
      <c r="X468" s="5" t="inlineStr"/>
      <c r="Y468" s="5" t="inlineStr"/>
      <c r="Z468" s="6" t="inlineStr"/>
      <c r="AA468" s="5" t="inlineStr"/>
      <c r="AB468" s="5" t="inlineStr"/>
      <c r="AC468" s="5" t="inlineStr"/>
      <c r="AD468" s="5" t="inlineStr"/>
      <c r="AE468" s="5" t="inlineStr"/>
      <c r="AF468" s="5" t="inlineStr"/>
      <c r="AG468" s="5" t="inlineStr"/>
      <c r="AH468" s="5" t="inlineStr"/>
      <c r="AI468" s="5" t="inlineStr"/>
      <c r="AJ468" s="5" t="inlineStr"/>
    </row>
    <row r="469">
      <c r="A469" s="5" t="inlineStr">
        <is>
          <t>b6-usta-cirak</t>
        </is>
      </c>
      <c r="B469" s="5" t="n">
        <v>2</v>
      </c>
      <c r="C469" s="6" t="inlineStr">
        <is>
          <t>Ustayı gizlice izle</t>
        </is>
      </c>
      <c r="D469" s="5" t="inlineStr">
        <is>
          <t>Sosyal Radar</t>
        </is>
      </c>
      <c r="E469" s="5" t="inlineStr">
        <is>
          <t>Orta</t>
        </is>
      </c>
      <c r="F469" s="5" t="inlineStr"/>
      <c r="G469" s="6" t="inlineStr"/>
      <c r="H469" s="6" t="inlineStr">
        <is>
          <t>Ustanın ellerini üç ay izledin. Bir sabah bir arabanın tuhaf sesini ustadan önce sen buldun. Usta duymamış gibi yaptı; öğlen çayına bir şeker fazla attı.</t>
        </is>
      </c>
      <c r="I469" s="6" t="inlineStr">
        <is>
          <t>Usta bir gün 'Sen yap' deyip çıktı. Döndüğünde motor çalışıyordu. Sana ilk kez çayı o koydu.</t>
        </is>
      </c>
      <c r="J469" s="6" t="inlineStr">
        <is>
          <t>İzledin ama usta hep sırtını dönüyordu. Sırtını çok iyi tanıyorsun artık.</t>
        </is>
      </c>
      <c r="K469" s="6" t="inlineStr">
        <is>
          <t>İzlerken sökülen parçaları karıştırdın. Müşterinin arabası şimdi bir ses daha çıkarıyor.</t>
        </is>
      </c>
      <c r="L469" s="6" t="inlineStr"/>
      <c r="M469" s="5" t="inlineStr"/>
      <c r="N469" s="5" t="inlineStr"/>
      <c r="O469" s="6" t="inlineStr"/>
      <c r="P469" s="6" t="inlineStr"/>
      <c r="Q469" s="5" t="inlineStr"/>
      <c r="R469" s="5" t="inlineStr"/>
      <c r="S469" s="5" t="inlineStr"/>
      <c r="T469" s="5" t="inlineStr"/>
      <c r="U469" s="5" t="inlineStr"/>
      <c r="V469" s="5" t="inlineStr">
        <is>
          <t>usta-eli</t>
        </is>
      </c>
      <c r="W469" s="5" t="inlineStr"/>
      <c r="X469" s="5" t="inlineStr"/>
      <c r="Y469" s="5" t="inlineStr"/>
      <c r="Z469" s="6" t="inlineStr"/>
      <c r="AA469" s="5" t="inlineStr"/>
      <c r="AB469" s="5" t="inlineStr"/>
      <c r="AC469" s="5" t="inlineStr"/>
      <c r="AD469" s="5" t="inlineStr"/>
      <c r="AE469" s="5" t="inlineStr"/>
      <c r="AF469" s="5" t="inlineStr"/>
      <c r="AG469" s="5" t="inlineStr"/>
      <c r="AH469" s="5" t="inlineStr"/>
      <c r="AI469" s="5" t="inlineStr"/>
      <c r="AJ469" s="5" t="inlineStr"/>
    </row>
    <row r="470">
      <c r="A470" s="5" t="inlineStr">
        <is>
          <t>b6-usta-cirak</t>
        </is>
      </c>
      <c r="B470" s="5" t="n">
        <v>3</v>
      </c>
      <c r="C470" s="6" t="inlineStr">
        <is>
          <t>O özel vidanın yerini bul</t>
        </is>
      </c>
      <c r="D470" s="5" t="inlineStr">
        <is>
          <t>Kurnazlık</t>
        </is>
      </c>
      <c r="E470" s="5" t="inlineStr">
        <is>
          <t>Zor</t>
        </is>
      </c>
      <c r="F470" s="5" t="inlineStr"/>
      <c r="G470" s="6" t="inlineStr"/>
      <c r="H470" s="6" t="inlineStr">
        <is>
          <t>Vidayı buldun. Ustaya söylemedin. Aranızda artık sessiz bir eşitlik var.</t>
        </is>
      </c>
      <c r="I470" s="6" t="inlineStr">
        <is>
          <t>Vidayla birlikte ustanın otuz yıllık fiyat defterini de buldun. Her müşterinin yanına bir not düşülmüş: “Pazarlıkçı”, “Hep geç öder”, “Babası iyi adamdı.” Defteri yerine koydun; hepsini ezberlemiştin.</t>
        </is>
      </c>
      <c r="J470" s="6" t="inlineStr">
        <is>
          <t>Vidayı ararken usta arkandaydı. 'Bir şey mi kaybettin?' dedi.</t>
        </is>
      </c>
      <c r="K470" s="6" t="inlineStr">
        <is>
          <t>Vida yerine çay ocağının altındaki eski teneke kasayı buldun; kapağını kaldırırken usta arkandaydı: “Orada vida yok evlat.” Ertesi sabah kasada yeni bir kilit vardı; anahtarı ustanın boynunda, bir iple.</t>
        </is>
      </c>
      <c r="L470" s="6" t="inlineStr"/>
      <c r="M470" s="5" t="inlineStr"/>
      <c r="N470" s="5" t="inlineStr"/>
      <c r="O470" s="6" t="inlineStr"/>
      <c r="P470" s="6" t="inlineStr"/>
      <c r="Q470" s="5" t="inlineStr"/>
      <c r="R470" s="5" t="inlineStr"/>
      <c r="S470" s="5" t="inlineStr">
        <is>
          <t>Kurnazlık</t>
        </is>
      </c>
      <c r="T470" s="5" t="inlineStr"/>
      <c r="U470" s="5" t="inlineStr"/>
      <c r="V470" s="5" t="inlineStr">
        <is>
          <t>usta-eli</t>
        </is>
      </c>
      <c r="W470" s="5" t="inlineStr"/>
      <c r="X470" s="5" t="inlineStr"/>
      <c r="Y470" s="5" t="inlineStr"/>
      <c r="Z470" s="6" t="inlineStr"/>
      <c r="AA470" s="5" t="inlineStr"/>
      <c r="AB470" s="5" t="inlineStr"/>
      <c r="AC470" s="5" t="inlineStr"/>
      <c r="AD470" s="5" t="inlineStr"/>
      <c r="AE470" s="5" t="inlineStr"/>
      <c r="AF470" s="5" t="inlineStr"/>
      <c r="AG470" s="5" t="inlineStr"/>
      <c r="AH470" s="5" t="inlineStr"/>
      <c r="AI470" s="5" t="inlineStr"/>
      <c r="AJ470" s="5" t="inlineStr"/>
    </row>
    <row r="471">
      <c r="A471" s="5" t="inlineStr">
        <is>
          <t>b6-usta-cirak</t>
        </is>
      </c>
      <c r="B471" s="5" t="n">
        <v>4</v>
      </c>
      <c r="C471" s="6" t="inlineStr">
        <is>
          <t>Kendi yöntemini dene</t>
        </is>
      </c>
      <c r="D471" s="5" t="inlineStr">
        <is>
          <t>Cesaret</t>
        </is>
      </c>
      <c r="E471" s="5" t="inlineStr">
        <is>
          <t>Zor</t>
        </is>
      </c>
      <c r="F471" s="5" t="inlineStr"/>
      <c r="G471" s="6" t="inlineStr"/>
      <c r="H471" s="6" t="inlineStr">
        <is>
          <t>Kendi yönteminle tamir ettin. Usta 'Bu da bir yol' dedi. Övgü sayılıyor.</t>
        </is>
      </c>
      <c r="I471" s="6" t="inlineStr">
        <is>
          <t>Yöntemin ustanınkinden hızlı çıktı. Usta iki gün konuşmadı, üçüncü gün aynısını yaptı.</t>
        </is>
      </c>
      <c r="J471" s="6" t="inlineStr">
        <is>
          <t>Kendi yönteminle başladın, bir parça fazladan söktün. Usta gelip sesini çıkarmadan yerine taktı; sana bakmadı bile. Sonra “Çay koy” dedi.</t>
        </is>
      </c>
      <c r="K471" s="6" t="inlineStr">
        <is>
          <t>Araba çalıştı; ama yalnızca geri geri gidiyor. Müşteri sanayiden geri geri çıktı. Sanayide adın artık “Geri Vites”.</t>
        </is>
      </c>
      <c r="L471" s="6" t="inlineStr"/>
      <c r="M471" s="5" t="inlineStr"/>
      <c r="N471" s="5" t="inlineStr"/>
      <c r="O471" s="6" t="inlineStr"/>
      <c r="P471" s="6" t="inlineStr"/>
      <c r="Q471" s="5" t="inlineStr"/>
      <c r="R471" s="5" t="inlineStr"/>
      <c r="S471" s="5" t="inlineStr"/>
      <c r="T471" s="5" t="inlineStr"/>
      <c r="U471" s="5" t="inlineStr"/>
      <c r="V471" s="5" t="inlineStr"/>
      <c r="W471" s="5" t="inlineStr"/>
      <c r="X471" s="5" t="inlineStr"/>
      <c r="Y471" s="5" t="inlineStr"/>
      <c r="Z471" s="6" t="inlineStr"/>
      <c r="AA471" s="5" t="inlineStr"/>
      <c r="AB471" s="5" t="inlineStr"/>
      <c r="AC471" s="5" t="inlineStr"/>
      <c r="AD471" s="5" t="inlineStr"/>
      <c r="AE471" s="5" t="inlineStr"/>
      <c r="AF471" s="5" t="inlineStr"/>
      <c r="AG471" s="5" t="inlineStr"/>
      <c r="AH471" s="5" t="inlineStr"/>
      <c r="AI471" s="5" t="inlineStr">
        <is>
          <t>Geri Vites</t>
        </is>
      </c>
      <c r="AJ471" s="5" t="inlineStr"/>
    </row>
    <row r="472">
      <c r="A472" s="5" t="inlineStr">
        <is>
          <t>b6-final-haftasi</t>
        </is>
      </c>
      <c r="B472" s="5" t="n">
        <v>1</v>
      </c>
      <c r="C472" s="6" t="inlineStr">
        <is>
          <t>Sabaha kadar çalış</t>
        </is>
      </c>
      <c r="D472" s="5" t="inlineStr"/>
      <c r="E472" s="5" t="inlineStr"/>
      <c r="F472" s="5" t="inlineStr">
        <is>
          <t>Dayanıklılık +1, Akıl +1</t>
        </is>
      </c>
      <c r="G472" s="6" t="inlineStr">
        <is>
          <t>Sabaha kadar çalıştın. Sınavda her şeyi hatırladın, yalnızca sırasını değil.</t>
        </is>
      </c>
      <c r="H472" s="6" t="inlineStr"/>
      <c r="I472" s="6" t="inlineStr"/>
      <c r="J472" s="6" t="inlineStr"/>
      <c r="K472" s="6" t="inlineStr"/>
      <c r="L472" s="6" t="inlineStr"/>
      <c r="M472" s="5" t="inlineStr"/>
      <c r="N472" s="5" t="inlineStr"/>
      <c r="O472" s="6" t="inlineStr"/>
      <c r="P472" s="6" t="inlineStr"/>
      <c r="Q472" s="5" t="inlineStr"/>
      <c r="R472" s="5" t="inlineStr"/>
      <c r="S472" s="5" t="inlineStr"/>
      <c r="T472" s="5" t="inlineStr"/>
      <c r="U472" s="5" t="inlineStr"/>
      <c r="V472" s="5" t="inlineStr"/>
      <c r="W472" s="5" t="inlineStr"/>
      <c r="X472" s="5" t="inlineStr"/>
      <c r="Y472" s="5" t="inlineStr"/>
      <c r="Z472" s="6" t="inlineStr"/>
      <c r="AA472" s="5" t="inlineStr"/>
      <c r="AB472" s="5" t="inlineStr"/>
      <c r="AC472" s="5" t="inlineStr"/>
      <c r="AD472" s="5" t="inlineStr"/>
      <c r="AE472" s="5" t="inlineStr"/>
      <c r="AF472" s="5" t="inlineStr"/>
      <c r="AG472" s="5" t="inlineStr"/>
      <c r="AH472" s="5" t="inlineStr"/>
      <c r="AI472" s="5" t="inlineStr"/>
      <c r="AJ472" s="5" t="inlineStr"/>
    </row>
    <row r="473">
      <c r="A473" s="5" t="inlineStr">
        <is>
          <t>b6-final-haftasi</t>
        </is>
      </c>
      <c r="B473" s="5" t="n">
        <v>2</v>
      </c>
      <c r="C473" s="6" t="inlineStr">
        <is>
          <t>Geçen yılın sorularını bul</t>
        </is>
      </c>
      <c r="D473" s="5" t="inlineStr">
        <is>
          <t>Kurnazlık</t>
        </is>
      </c>
      <c r="E473" s="5" t="inlineStr">
        <is>
          <t>Kolay</t>
        </is>
      </c>
      <c r="F473" s="5" t="inlineStr"/>
      <c r="G473" s="6" t="inlineStr"/>
      <c r="H473" s="6" t="inlineStr">
        <is>
          <t>Geçen yılın soruları birebir çıktı. Sınıfın yarısı o fotokopiciyi bilmiyordu.</t>
        </is>
      </c>
      <c r="I473" s="6" t="inlineStr">
        <is>
          <t>Son beş yılın soruları elinde. Fotokopici seni ortak yapmayı teklif etti.</t>
        </is>
      </c>
      <c r="J473" s="6" t="inlineStr">
        <is>
          <t>Soruları buldun. Hoca bu yıl emekli olmuş, yerine gelen kendi sorularını getirmiş.</t>
        </is>
      </c>
      <c r="K473" s="6" t="inlineStr">
        <is>
          <t>Bulduğun sorular başka bölümünmüş. Sınavda istatistik bekledin, edebiyat geldi.</t>
        </is>
      </c>
      <c r="L473" s="6" t="inlineStr"/>
      <c r="M473" s="5" t="inlineStr"/>
      <c r="N473" s="5" t="inlineStr"/>
      <c r="O473" s="6" t="inlineStr"/>
      <c r="P473" s="6" t="inlineStr"/>
      <c r="Q473" s="5" t="inlineStr"/>
      <c r="R473" s="5" t="inlineStr"/>
      <c r="S473" s="5" t="inlineStr">
        <is>
          <t>Akıl</t>
        </is>
      </c>
      <c r="T473" s="5" t="inlineStr"/>
      <c r="U473" s="5" t="inlineStr"/>
      <c r="V473" s="5" t="inlineStr"/>
      <c r="W473" s="5" t="inlineStr"/>
      <c r="X473" s="5" t="inlineStr"/>
      <c r="Y473" s="5" t="inlineStr"/>
      <c r="Z473" s="6" t="inlineStr"/>
      <c r="AA473" s="5" t="inlineStr"/>
      <c r="AB473" s="5" t="inlineStr"/>
      <c r="AC473" s="5" t="inlineStr"/>
      <c r="AD473" s="5" t="inlineStr"/>
      <c r="AE473" s="5" t="inlineStr"/>
      <c r="AF473" s="5" t="inlineStr"/>
      <c r="AG473" s="5" t="inlineStr"/>
      <c r="AH473" s="5" t="inlineStr"/>
      <c r="AI473" s="5" t="inlineStr"/>
      <c r="AJ473" s="5" t="inlineStr"/>
    </row>
    <row r="474">
      <c r="A474" s="5" t="inlineStr">
        <is>
          <t>b6-final-haftasi</t>
        </is>
      </c>
      <c r="B474" s="5" t="n">
        <v>3</v>
      </c>
      <c r="C474" s="6" t="inlineStr">
        <is>
          <t>Çalışma grubu kur</t>
        </is>
      </c>
      <c r="D474" s="5" t="inlineStr">
        <is>
          <t>Sosyal Radar</t>
        </is>
      </c>
      <c r="E474" s="5" t="inlineStr">
        <is>
          <t>Orta</t>
        </is>
      </c>
      <c r="F474" s="5" t="inlineStr"/>
      <c r="G474" s="6" t="inlineStr"/>
      <c r="H474" s="6" t="inlineStr">
        <is>
          <t>Üç saat çalışıldı, iki saat yemek siparişi tartışıldı. Sınavda yemekle ilgili bir soru çıksa hepiniz tam alırdınız.</t>
        </is>
      </c>
      <c r="I474" s="6" t="inlineStr">
        <is>
          <t>Grubun en iyisi herkese özet çıkardı. Senin katkın grubun adıydı. Yeterli oldu.</t>
        </is>
      </c>
      <c r="J474" s="6" t="inlineStr">
        <is>
          <t>Grup kuruldu. İki saat grubun adına karar verilemedi, üçüncü saatte biri “Uyuyalım” dedi. Sınav geldi; grubun adı hâlâ yok.</t>
        </is>
      </c>
      <c r="K474" s="6" t="inlineStr">
        <is>
          <t>Bütün grup senin notlarına güveniyordu. Masaya defterini açtın: ilk sayfada hocanın karikatürü, ikincisinde bir alışveriş listesi. Grup seni oy birliğiyle çıkardı; sınavda yan yana düştünüz.</t>
        </is>
      </c>
      <c r="L474" s="6" t="inlineStr"/>
      <c r="M474" s="5" t="inlineStr"/>
      <c r="N474" s="5" t="inlineStr"/>
      <c r="O474" s="6" t="inlineStr"/>
      <c r="P474" s="6" t="inlineStr"/>
      <c r="Q474" s="5" t="inlineStr"/>
      <c r="R474" s="5" t="inlineStr"/>
      <c r="S474" s="5" t="inlineStr"/>
      <c r="T474" s="5" t="inlineStr"/>
      <c r="U474" s="5" t="inlineStr"/>
      <c r="V474" s="5" t="inlineStr"/>
      <c r="W474" s="5" t="inlineStr"/>
      <c r="X474" s="5" t="inlineStr"/>
      <c r="Y474" s="5" t="inlineStr"/>
      <c r="Z474" s="6" t="inlineStr"/>
      <c r="AA474" s="5" t="inlineStr"/>
      <c r="AB474" s="5" t="inlineStr"/>
      <c r="AC474" s="5" t="inlineStr"/>
      <c r="AD474" s="5" t="inlineStr"/>
      <c r="AE474" s="5" t="inlineStr"/>
      <c r="AF474" s="5" t="inlineStr"/>
      <c r="AG474" s="5" t="inlineStr"/>
      <c r="AH474" s="5" t="inlineStr"/>
      <c r="AI474" s="5" t="inlineStr"/>
      <c r="AJ474" s="5" t="inlineStr"/>
    </row>
    <row r="475">
      <c r="A475" s="5" t="inlineStr">
        <is>
          <t>b6-final-haftasi</t>
        </is>
      </c>
      <c r="B475" s="5" t="n">
        <v>4</v>
      </c>
      <c r="C475" s="6" t="inlineStr">
        <is>
          <t>Hocaya e-posta at</t>
        </is>
      </c>
      <c r="D475" s="5" t="inlineStr">
        <is>
          <t>Pişkinlik</t>
        </is>
      </c>
      <c r="E475" s="5" t="inlineStr">
        <is>
          <t>Zor</t>
        </is>
      </c>
      <c r="F475" s="5" t="inlineStr"/>
      <c r="G475" s="6" t="inlineStr"/>
      <c r="H475" s="6" t="inlineStr">
        <is>
          <t>“Konu kapsamı nedir hocam?” diye yazdın. Hoca gece ikide tek kelimeyle döndü: “Her şey.” Sınıfın mesaj grubu o ekran görüntüsüyle sabahladı.</t>
        </is>
      </c>
      <c r="I475" s="6" t="inlineStr">
        <is>
          <t>Hoca iki konuyu kapsamdan çıkardı. Bütün bölüm seni tanımadan sevdi.</t>
        </is>
      </c>
      <c r="J475" s="6" t="inlineStr">
        <is>
          <t>E-postan 'Sayın hocam' ile başlayıp 'özeti yok mu' ile bitti. Cevap gelmedi.</t>
        </is>
      </c>
      <c r="K475" s="6" t="inlineStr">
        <is>
          <t>E-postayı “Hocam özet yok mu, yoksa ben mi bulamadım?” diye bitirip bütün bölüm listesine gönderdin. Hoca cevabı da herkese yazdı: “Bulamadınız.”</t>
        </is>
      </c>
      <c r="L475" s="6" t="inlineStr"/>
      <c r="M475" s="5" t="inlineStr"/>
      <c r="N475" s="5" t="inlineStr"/>
      <c r="O475" s="6" t="inlineStr"/>
      <c r="P475" s="6" t="inlineStr"/>
      <c r="Q475" s="5" t="inlineStr"/>
      <c r="R475" s="5" t="inlineStr"/>
      <c r="S475" s="5" t="inlineStr"/>
      <c r="T475" s="5" t="inlineStr"/>
      <c r="U475" s="5" t="inlineStr"/>
      <c r="V475" s="5" t="inlineStr"/>
      <c r="W475" s="5" t="inlineStr"/>
      <c r="X475" s="5" t="inlineStr"/>
      <c r="Y475" s="5" t="inlineStr"/>
      <c r="Z475" s="6" t="inlineStr"/>
      <c r="AA475" s="5" t="inlineStr"/>
      <c r="AB475" s="5" t="inlineStr"/>
      <c r="AC475" s="5" t="inlineStr"/>
      <c r="AD475" s="5" t="inlineStr"/>
      <c r="AE475" s="5" t="inlineStr"/>
      <c r="AF475" s="5" t="inlineStr"/>
      <c r="AG475" s="5" t="inlineStr"/>
      <c r="AH475" s="5" t="inlineStr"/>
      <c r="AI475" s="5" t="inlineStr"/>
      <c r="AJ475" s="5" t="inlineStr"/>
    </row>
    <row r="476">
      <c r="A476" s="5" t="inlineStr">
        <is>
          <t>b6-kredi-karti</t>
        </is>
      </c>
      <c r="B476" s="5" t="n">
        <v>1</v>
      </c>
      <c r="C476" s="6" t="inlineStr">
        <is>
          <t>Kartı reddet</t>
        </is>
      </c>
      <c r="D476" s="5" t="inlineStr"/>
      <c r="E476" s="5" t="inlineStr"/>
      <c r="F476" s="5" t="inlineStr">
        <is>
          <t>İtibar +1</t>
        </is>
      </c>
      <c r="G476" s="6" t="inlineStr">
        <is>
          <t>Reddettin. Banka bir hafta sonra yine aradı. Üçüncü aramada temsilci “Bu sefer de mi hayır?” dedi; sesi gerçekten kırgındı.</t>
        </is>
      </c>
      <c r="H476" s="6" t="inlineStr"/>
      <c r="I476" s="6" t="inlineStr"/>
      <c r="J476" s="6" t="inlineStr"/>
      <c r="K476" s="6" t="inlineStr"/>
      <c r="L476" s="6" t="inlineStr"/>
      <c r="M476" s="5" t="inlineStr"/>
      <c r="N476" s="5" t="inlineStr"/>
      <c r="O476" s="6" t="inlineStr"/>
      <c r="P476" s="6" t="inlineStr"/>
      <c r="Q476" s="5" t="inlineStr"/>
      <c r="R476" s="5" t="inlineStr"/>
      <c r="S476" s="5" t="inlineStr"/>
      <c r="T476" s="5" t="inlineStr"/>
      <c r="U476" s="5" t="inlineStr"/>
      <c r="V476" s="5" t="inlineStr"/>
      <c r="W476" s="5" t="inlineStr"/>
      <c r="X476" s="5" t="inlineStr"/>
      <c r="Y476" s="5" t="inlineStr"/>
      <c r="Z476" s="6" t="inlineStr"/>
      <c r="AA476" s="5" t="inlineStr"/>
      <c r="AB476" s="5" t="inlineStr"/>
      <c r="AC476" s="5" t="inlineStr"/>
      <c r="AD476" s="5" t="inlineStr"/>
      <c r="AE476" s="5" t="inlineStr"/>
      <c r="AF476" s="5" t="inlineStr"/>
      <c r="AG476" s="5" t="inlineStr"/>
      <c r="AH476" s="5" t="inlineStr"/>
      <c r="AI476" s="5" t="inlineStr"/>
      <c r="AJ476" s="5" t="inlineStr"/>
    </row>
    <row r="477">
      <c r="A477" s="5" t="inlineStr">
        <is>
          <t>b6-kredi-karti</t>
        </is>
      </c>
      <c r="B477" s="5" t="n">
        <v>2</v>
      </c>
      <c r="C477" s="6" t="inlineStr">
        <is>
          <t>Sadece acil durumlar için al</t>
        </is>
      </c>
      <c r="D477" s="5" t="inlineStr">
        <is>
          <t>Dayanıklılık</t>
        </is>
      </c>
      <c r="E477" s="5" t="inlineStr">
        <is>
          <t>Orta</t>
        </is>
      </c>
      <c r="F477" s="5" t="inlineStr"/>
      <c r="G477" s="6" t="inlineStr"/>
      <c r="H477" s="6" t="inlineStr">
        <is>
          <t>Kart çekmecede durdu. Acil durum bir kez yaşandı: kargo ücreti.</t>
        </is>
      </c>
      <c r="I477" s="6" t="inlineStr">
        <is>
          <t>Kart bir yıl çekmecede, tek çorabın altında bekledi. Banka limitini iki kez artırdı; sen çekmeceyi bir kez açmadın. Annen komşulara “Bizimki bankayı küstürdü” diye anlatıyor.</t>
        </is>
      </c>
      <c r="J477" s="6" t="inlineStr">
        <is>
          <t>Acil durum tanımın zamanla genişledi. Kahve de acil durum oldu.</t>
        </is>
      </c>
      <c r="K477" s="6" t="inlineStr">
        <is>
          <t>Acil durum listen kırk maddeye çıktı: üçüncüsü bir kulaklık, otuz dokuzuncusu doğum günü pastası. Annen ekstrenin dördüncü sayfasında durdu: “Bu ne acil durumu evladım, deprem mi oldu?”</t>
        </is>
      </c>
      <c r="L477" s="6" t="inlineStr"/>
      <c r="M477" s="5" t="inlineStr"/>
      <c r="N477" s="5" t="inlineStr"/>
      <c r="O477" s="6" t="inlineStr"/>
      <c r="P477" s="6" t="inlineStr"/>
      <c r="Q477" s="5" t="inlineStr"/>
      <c r="R477" s="5" t="inlineStr"/>
      <c r="S477" s="5" t="inlineStr"/>
      <c r="T477" s="5" t="inlineStr"/>
      <c r="U477" s="5" t="inlineStr"/>
      <c r="V477" s="5" t="inlineStr"/>
      <c r="W477" s="5" t="inlineStr">
        <is>
          <t>borclu</t>
        </is>
      </c>
      <c r="X477" s="5" t="inlineStr"/>
      <c r="Y477" s="5" t="inlineStr"/>
      <c r="Z477" s="6" t="inlineStr"/>
      <c r="AA477" s="5" t="inlineStr"/>
      <c r="AB477" s="5" t="inlineStr"/>
      <c r="AC477" s="5" t="inlineStr"/>
      <c r="AD477" s="5" t="inlineStr"/>
      <c r="AE477" s="5" t="inlineStr"/>
      <c r="AF477" s="5" t="inlineStr"/>
      <c r="AG477" s="5" t="inlineStr"/>
      <c r="AH477" s="5" t="inlineStr"/>
      <c r="AI477" s="5" t="inlineStr"/>
      <c r="AJ477" s="5" t="inlineStr"/>
    </row>
    <row r="478">
      <c r="A478" s="5" t="inlineStr">
        <is>
          <t>b6-kredi-karti</t>
        </is>
      </c>
      <c r="B478" s="5" t="n">
        <v>3</v>
      </c>
      <c r="C478" s="6" t="inlineStr">
        <is>
          <t>Limiti sonuna kadar kullan</t>
        </is>
      </c>
      <c r="D478" s="5" t="inlineStr"/>
      <c r="E478" s="5" t="inlineStr"/>
      <c r="F478" s="5" t="inlineStr">
        <is>
          <t>Pişkinlik +1</t>
        </is>
      </c>
      <c r="G478" s="6" t="inlineStr">
        <is>
          <t>Limiti bir haftada doldurdun. Banka hemen artırdı. Ay sonunda ekstreyi annen senden önce açtı; o akşam sofrada kimse tuzu bile istemedi.</t>
        </is>
      </c>
      <c r="H478" s="6" t="inlineStr"/>
      <c r="I478" s="6" t="inlineStr"/>
      <c r="J478" s="6" t="inlineStr"/>
      <c r="K478" s="6" t="inlineStr"/>
      <c r="L478" s="6" t="inlineStr"/>
      <c r="M478" s="5" t="inlineStr"/>
      <c r="N478" s="5" t="inlineStr"/>
      <c r="O478" s="6" t="inlineStr"/>
      <c r="P478" s="6" t="inlineStr"/>
      <c r="Q478" s="5" t="inlineStr"/>
      <c r="R478" s="5" t="inlineStr"/>
      <c r="S478" s="5" t="inlineStr"/>
      <c r="T478" s="5" t="inlineStr"/>
      <c r="U478" s="5" t="inlineStr">
        <is>
          <t>borclu</t>
        </is>
      </c>
      <c r="V478" s="5" t="inlineStr"/>
      <c r="W478" s="5" t="inlineStr"/>
      <c r="X478" s="5" t="inlineStr"/>
      <c r="Y478" s="5" t="inlineStr"/>
      <c r="Z478" s="6" t="inlineStr"/>
      <c r="AA478" s="5" t="inlineStr"/>
      <c r="AB478" s="5" t="inlineStr"/>
      <c r="AC478" s="5" t="inlineStr"/>
      <c r="AD478" s="5" t="inlineStr"/>
      <c r="AE478" s="5" t="inlineStr"/>
      <c r="AF478" s="5" t="inlineStr"/>
      <c r="AG478" s="5" t="inlineStr"/>
      <c r="AH478" s="5" t="inlineStr"/>
      <c r="AI478" s="5" t="inlineStr"/>
      <c r="AJ478" s="5" t="inlineStr"/>
    </row>
    <row r="479">
      <c r="A479" s="5" t="inlineStr">
        <is>
          <t>b6-kredi-karti</t>
        </is>
      </c>
      <c r="B479" s="5" t="n">
        <v>4</v>
      </c>
      <c r="C479" s="6" t="inlineStr">
        <is>
          <t>Faizleri hesapla</t>
        </is>
      </c>
      <c r="D479" s="5" t="inlineStr">
        <is>
          <t>Akıl</t>
        </is>
      </c>
      <c r="E479" s="5" t="inlineStr">
        <is>
          <t>Kolay</t>
        </is>
      </c>
      <c r="F479" s="5" t="inlineStr"/>
      <c r="G479" s="6" t="inlineStr"/>
      <c r="H479" s="6" t="inlineStr">
        <is>
          <t>Faiz tablosunu gördün. Kartı alıp hiç kullanmamaya karar verdin.</t>
        </is>
      </c>
      <c r="I479" s="6" t="inlineStr">
        <is>
          <t>Bankayı arayıp yıllık ücreti iptal ettirdin. Temsilci ilk kez bir müşteriden bir şey öğrendi.</t>
        </is>
      </c>
      <c r="J479" s="6" t="inlineStr">
        <is>
          <t>Hesapladın. Sonuç korkunçtu. Kartı yine de aldın, çünkü tasarımı güzeldi.</t>
        </is>
      </c>
      <c r="K479" s="6" t="inlineStr">
        <is>
          <t>Asgari ödemeyi gelir satırına yazdın. Tablon ay sonunda yeşile döndü, sen de mağazaya. Ekstre geldiğinde tablo hâlâ yeşildi; senin yüzün değil.</t>
        </is>
      </c>
      <c r="L479" s="6" t="inlineStr"/>
      <c r="M479" s="5" t="inlineStr"/>
      <c r="N479" s="5" t="inlineStr"/>
      <c r="O479" s="6" t="inlineStr"/>
      <c r="P479" s="6" t="inlineStr"/>
      <c r="Q479" s="5" t="inlineStr">
        <is>
          <t>Bütçe Tablocusu</t>
        </is>
      </c>
      <c r="R479" s="5" t="inlineStr"/>
      <c r="S479" s="5" t="inlineStr"/>
      <c r="T479" s="5" t="inlineStr"/>
      <c r="U479" s="5" t="inlineStr"/>
      <c r="V479" s="5" t="inlineStr"/>
      <c r="W479" s="5" t="inlineStr">
        <is>
          <t>borclu</t>
        </is>
      </c>
      <c r="X479" s="5" t="inlineStr"/>
      <c r="Y479" s="5" t="inlineStr"/>
      <c r="Z479" s="6" t="inlineStr"/>
      <c r="AA479" s="5" t="inlineStr"/>
      <c r="AB479" s="5" t="inlineStr"/>
      <c r="AC479" s="5" t="inlineStr"/>
      <c r="AD479" s="5" t="inlineStr"/>
      <c r="AE479" s="5" t="inlineStr"/>
      <c r="AF479" s="5" t="inlineStr"/>
      <c r="AG479" s="5" t="inlineStr"/>
      <c r="AH479" s="5" t="inlineStr"/>
      <c r="AI479" s="5" t="inlineStr"/>
      <c r="AJ479" s="5" t="inlineStr"/>
    </row>
    <row r="480">
      <c r="A480" s="5" t="inlineStr">
        <is>
          <t>b6-ogrenci-kulubu</t>
        </is>
      </c>
      <c r="B480" s="5" t="n">
        <v>1</v>
      </c>
      <c r="C480" s="6" t="inlineStr">
        <is>
          <t>Bir kulübe yazıl, bir daha gitme</t>
        </is>
      </c>
      <c r="D480" s="5" t="inlineStr"/>
      <c r="E480" s="5" t="inlineStr"/>
      <c r="F480" s="5" t="inlineStr">
        <is>
          <t>Kurnazlık +1</t>
        </is>
      </c>
      <c r="G480" s="6" t="inlineStr">
        <is>
          <t>Üye listesinde adın hâlâ duruyor. Aidat hatırlatmaları da.</t>
        </is>
      </c>
      <c r="H480" s="6" t="inlineStr"/>
      <c r="I480" s="6" t="inlineStr"/>
      <c r="J480" s="6" t="inlineStr"/>
      <c r="K480" s="6" t="inlineStr"/>
      <c r="L480" s="6" t="inlineStr"/>
      <c r="M480" s="5" t="inlineStr"/>
      <c r="N480" s="5" t="inlineStr"/>
      <c r="O480" s="6" t="inlineStr"/>
      <c r="P480" s="6" t="inlineStr"/>
      <c r="Q480" s="5" t="inlineStr"/>
      <c r="R480" s="5" t="inlineStr"/>
      <c r="S480" s="5" t="inlineStr"/>
      <c r="T480" s="5" t="inlineStr"/>
      <c r="U480" s="5" t="inlineStr"/>
      <c r="V480" s="5" t="inlineStr"/>
      <c r="W480" s="5" t="inlineStr"/>
      <c r="X480" s="5" t="inlineStr"/>
      <c r="Y480" s="5" t="inlineStr"/>
      <c r="Z480" s="6" t="inlineStr"/>
      <c r="AA480" s="5" t="inlineStr"/>
      <c r="AB480" s="5" t="inlineStr"/>
      <c r="AC480" s="5" t="inlineStr"/>
      <c r="AD480" s="5" t="inlineStr"/>
      <c r="AE480" s="5" t="inlineStr"/>
      <c r="AF480" s="5" t="inlineStr"/>
      <c r="AG480" s="5" t="inlineStr"/>
      <c r="AH480" s="5" t="inlineStr"/>
      <c r="AI480" s="5" t="inlineStr"/>
      <c r="AJ480" s="5" t="inlineStr"/>
    </row>
    <row r="481">
      <c r="A481" s="5" t="inlineStr">
        <is>
          <t>b6-ogrenci-kulubu</t>
        </is>
      </c>
      <c r="B481" s="5" t="n">
        <v>2</v>
      </c>
      <c r="C481" s="6" t="inlineStr">
        <is>
          <t>Doğa yürüyüşü kulübüne katıl</t>
        </is>
      </c>
      <c r="D481" s="5" t="inlineStr">
        <is>
          <t>Dayanıklılık</t>
        </is>
      </c>
      <c r="E481" s="5" t="inlineStr">
        <is>
          <t>Orta</t>
        </is>
      </c>
      <c r="F481" s="5" t="inlineStr"/>
      <c r="G481" s="6" t="inlineStr"/>
      <c r="H481" s="6" t="inlineStr">
        <is>
          <t>İlk yürüyüşü bitirdin. Fotoğraflarda hep önde, hep ter içinde.</t>
        </is>
      </c>
      <c r="I481" s="6" t="inlineStr">
        <is>
          <t>İlk yürüyüşte en önden gittin; rehber bile arkanda kaldı. Dönüşte kulüp başkanı haritayı sana uzattı: “Bundan sonra sen götür.” Haritayı ters tutuyordun; kimse söylemedi.</t>
        </is>
      </c>
      <c r="J481" s="6" t="inlineStr">
        <is>
          <t>Otobüste uyudun, döndüğünde 'Harikaydı' dedin.</t>
        </is>
      </c>
      <c r="K481" s="6" t="inlineStr">
        <is>
          <t>Yürüyüşte kayboldun. Kulüp seni dört saat aradı; köy kahvesinde muhtarla tavla oynarken buldular. Sonraki bütün yürüyüşlerde ipin ucu sana bağlı.</t>
        </is>
      </c>
      <c r="L481" s="6" t="inlineStr"/>
      <c r="M481" s="5" t="inlineStr"/>
      <c r="N481" s="5" t="inlineStr"/>
      <c r="O481" s="6" t="inlineStr"/>
      <c r="P481" s="6" t="inlineStr"/>
      <c r="Q481" s="5" t="inlineStr"/>
      <c r="R481" s="5" t="inlineStr"/>
      <c r="S481" s="5" t="inlineStr"/>
      <c r="T481" s="5" t="inlineStr"/>
      <c r="U481" s="5" t="inlineStr"/>
      <c r="V481" s="5" t="inlineStr"/>
      <c r="W481" s="5" t="inlineStr"/>
      <c r="X481" s="5" t="inlineStr"/>
      <c r="Y481" s="5" t="inlineStr"/>
      <c r="Z481" s="6" t="inlineStr"/>
      <c r="AA481" s="5" t="inlineStr"/>
      <c r="AB481" s="5" t="inlineStr"/>
      <c r="AC481" s="5" t="inlineStr"/>
      <c r="AD481" s="5" t="inlineStr"/>
      <c r="AE481" s="5" t="inlineStr"/>
      <c r="AF481" s="5" t="inlineStr"/>
      <c r="AG481" s="5" t="inlineStr"/>
      <c r="AH481" s="5" t="inlineStr"/>
      <c r="AI481" s="5" t="inlineStr"/>
      <c r="AJ481" s="5" t="inlineStr"/>
    </row>
    <row r="482">
      <c r="A482" s="5" t="inlineStr">
        <is>
          <t>b6-ogrenci-kulubu</t>
        </is>
      </c>
      <c r="B482" s="5" t="n">
        <v>3</v>
      </c>
      <c r="C482" s="6" t="inlineStr">
        <is>
          <t>Tiyatro kulübünde rol al</t>
        </is>
      </c>
      <c r="D482" s="5" t="inlineStr">
        <is>
          <t>Pişkinlik</t>
        </is>
      </c>
      <c r="E482" s="5" t="inlineStr">
        <is>
          <t>Orta</t>
        </is>
      </c>
      <c r="F482" s="5" t="inlineStr"/>
      <c r="G482" s="6" t="inlineStr"/>
      <c r="H482" s="6" t="inlineStr">
        <is>
          <t>Sekiz satırlık rolün dördünü söyledin, dördünü doğaçladın. Alkış eşitti.</t>
        </is>
      </c>
      <c r="I482" s="6" t="inlineStr">
        <is>
          <t>Yan rolle başladın; ikinci perdede başrolün sesi kısılınca repliklerini sen söyledin. Annen oyunu üç akşam izledi, her akşam başka bir teyzeyi getirdi. Afişi buzdolabına mıknatısla astı.</t>
        </is>
      </c>
      <c r="J482" s="6" t="inlineStr">
        <is>
          <t>Rolün: 'Ağaç 2'. Ağaç 1 daha çok sahnedeydi.</t>
        </is>
      </c>
      <c r="K482" s="6" t="inlineStr">
        <is>
          <t>Sahneye erken çıktın, perde daha kapalıydı. Perde açıldığında seni dekorun ortasında ayakkabını bağlarken buldu. Salon güldü; oyun dramdı.</t>
        </is>
      </c>
      <c r="L482" s="6" t="inlineStr"/>
      <c r="M482" s="5" t="inlineStr"/>
      <c r="N482" s="5" t="inlineStr"/>
      <c r="O482" s="6" t="inlineStr"/>
      <c r="P482" s="6" t="inlineStr"/>
      <c r="Q482" s="5" t="inlineStr"/>
      <c r="R482" s="5" t="inlineStr"/>
      <c r="S482" s="5" t="inlineStr"/>
      <c r="T482" s="5" t="inlineStr">
        <is>
          <t>Sahne Sever</t>
        </is>
      </c>
      <c r="U482" s="5" t="inlineStr"/>
      <c r="V482" s="5" t="inlineStr"/>
      <c r="W482" s="5" t="inlineStr"/>
      <c r="X482" s="5" t="inlineStr"/>
      <c r="Y482" s="5" t="inlineStr"/>
      <c r="Z482" s="6" t="inlineStr"/>
      <c r="AA482" s="5" t="inlineStr"/>
      <c r="AB482" s="5" t="inlineStr"/>
      <c r="AC482" s="5" t="inlineStr"/>
      <c r="AD482" s="5" t="inlineStr"/>
      <c r="AE482" s="5" t="inlineStr"/>
      <c r="AF482" s="5" t="inlineStr"/>
      <c r="AG482" s="5" t="inlineStr"/>
      <c r="AH482" s="5" t="inlineStr"/>
      <c r="AI482" s="5" t="inlineStr"/>
      <c r="AJ482" s="5" t="inlineStr"/>
    </row>
    <row r="483">
      <c r="A483" s="5" t="inlineStr">
        <is>
          <t>b6-ogrenci-kulubu</t>
        </is>
      </c>
      <c r="B483" s="5" t="n">
        <v>4</v>
      </c>
      <c r="C483" s="6" t="inlineStr">
        <is>
          <t>Başkanlığa aday ol</t>
        </is>
      </c>
      <c r="D483" s="5" t="inlineStr">
        <is>
          <t>İtibar</t>
        </is>
      </c>
      <c r="E483" s="5" t="inlineStr">
        <is>
          <t>Zor</t>
        </is>
      </c>
      <c r="F483" s="5" t="inlineStr"/>
      <c r="G483" s="6" t="inlineStr"/>
      <c r="H483" s="6" t="inlineStr">
        <is>
          <t>Seçimi kazandın. İlk icraatın bir sonraki toplantıyı ertelemek oldu.</t>
        </is>
      </c>
      <c r="I483" s="6" t="inlineStr">
        <is>
          <t>Oy birliğiyle seçildin; rakibin bile sana oy verdi, sonra yardımcın oldu. Annen haberi duyunca ilkokuldaki sınıf başkanlığı kokartını çekmeceden çıkarıp kargoyla yolladı.</t>
        </is>
      </c>
      <c r="J483" s="6" t="inlineStr">
        <is>
          <t>Kaybettin. Kazanan senin broşürünü kullanmıştı.</t>
        </is>
      </c>
      <c r="K483" s="6" t="inlineStr">
        <is>
          <t>Seçimde tek oy aldın: kendi oyun. Sayımda o da geçersiz çıktı; pusulaya kendi adını yanlış yazmışsın.</t>
        </is>
      </c>
      <c r="L483" s="6" t="inlineStr"/>
      <c r="M483" s="5" t="inlineStr"/>
      <c r="N483" s="5" t="inlineStr"/>
      <c r="O483" s="6" t="inlineStr"/>
      <c r="P483" s="6" t="inlineStr"/>
      <c r="Q483" s="5" t="inlineStr"/>
      <c r="R483" s="5" t="inlineStr">
        <is>
          <t>baskan</t>
        </is>
      </c>
      <c r="S483" s="5" t="inlineStr"/>
      <c r="T483" s="5" t="inlineStr"/>
      <c r="U483" s="5" t="inlineStr"/>
      <c r="V483" s="5" t="inlineStr"/>
      <c r="W483" s="5" t="inlineStr"/>
      <c r="X483" s="5" t="inlineStr"/>
      <c r="Y483" s="5" t="inlineStr"/>
      <c r="Z483" s="6" t="inlineStr"/>
      <c r="AA483" s="5" t="inlineStr"/>
      <c r="AB483" s="5" t="inlineStr"/>
      <c r="AC483" s="5" t="inlineStr"/>
      <c r="AD483" s="5" t="inlineStr"/>
      <c r="AE483" s="5" t="inlineStr"/>
      <c r="AF483" s="5" t="inlineStr"/>
      <c r="AG483" s="5" t="inlineStr"/>
      <c r="AH483" s="5" t="inlineStr"/>
      <c r="AI483" s="5" t="inlineStr"/>
      <c r="AJ483" s="5" t="inlineStr"/>
    </row>
    <row r="484">
      <c r="A484" s="5" t="inlineStr">
        <is>
          <t>b6-gece-motor</t>
        </is>
      </c>
      <c r="B484" s="5" t="n">
        <v>1</v>
      </c>
      <c r="C484" s="6" t="inlineStr">
        <is>
          <t>Kaskı tak, yavaş sür</t>
        </is>
      </c>
      <c r="D484" s="5" t="inlineStr"/>
      <c r="E484" s="5" t="inlineStr"/>
      <c r="F484" s="5" t="inlineStr">
        <is>
          <t>İtibar +1, Dayanıklılık +1</t>
        </is>
      </c>
      <c r="G484" s="6" t="inlineStr">
        <is>
          <t>Yarışa girmedin. Sahilde saatte otuzla tur attın. Martılar seni geçti.</t>
        </is>
      </c>
      <c r="H484" s="6" t="inlineStr"/>
      <c r="I484" s="6" t="inlineStr"/>
      <c r="J484" s="6" t="inlineStr"/>
      <c r="K484" s="6" t="inlineStr"/>
      <c r="L484" s="6" t="inlineStr"/>
      <c r="M484" s="5" t="inlineStr"/>
      <c r="N484" s="5" t="inlineStr"/>
      <c r="O484" s="6" t="inlineStr"/>
      <c r="P484" s="6" t="inlineStr"/>
      <c r="Q484" s="5" t="inlineStr"/>
      <c r="R484" s="5" t="inlineStr"/>
      <c r="S484" s="5" t="inlineStr"/>
      <c r="T484" s="5" t="inlineStr"/>
      <c r="U484" s="5" t="inlineStr"/>
      <c r="V484" s="5" t="inlineStr"/>
      <c r="W484" s="5" t="inlineStr"/>
      <c r="X484" s="5" t="inlineStr"/>
      <c r="Y484" s="5" t="inlineStr"/>
      <c r="Z484" s="6" t="inlineStr"/>
      <c r="AA484" s="5" t="inlineStr"/>
      <c r="AB484" s="5" t="inlineStr"/>
      <c r="AC484" s="5" t="inlineStr"/>
      <c r="AD484" s="5" t="inlineStr"/>
      <c r="AE484" s="5" t="inlineStr"/>
      <c r="AF484" s="5" t="inlineStr"/>
      <c r="AG484" s="5" t="inlineStr"/>
      <c r="AH484" s="5" t="inlineStr"/>
      <c r="AI484" s="5" t="inlineStr"/>
      <c r="AJ484" s="5" t="inlineStr"/>
    </row>
    <row r="485">
      <c r="A485" s="5" t="inlineStr">
        <is>
          <t>b6-gece-motor</t>
        </is>
      </c>
      <c r="B485" s="5" t="n">
        <v>2</v>
      </c>
      <c r="C485" s="6" t="inlineStr">
        <is>
          <t>Yarışa katıl</t>
        </is>
      </c>
      <c r="D485" s="5" t="inlineStr">
        <is>
          <t>Cesaret</t>
        </is>
      </c>
      <c r="E485" s="5" t="inlineStr">
        <is>
          <t>Zor</t>
        </is>
      </c>
      <c r="F485" s="5" t="inlineStr"/>
      <c r="G485" s="6" t="inlineStr"/>
      <c r="H485" s="6" t="inlineStr">
        <is>
          <t>Yarışı kazandın. Ödül: sabaha kadar anlatılan bir hikâye ve bir hız cezası.</t>
        </is>
      </c>
      <c r="I485" s="6" t="inlineStr">
        <is>
          <t>Köprüye herkesten önce vardın; öbür motorlar daha virajdaydı. Motorun sahibi kaskını çıkarıp sana sarıldı: “Kanka, bu motor seni beklemiş!” Motoru geri verdin, eve yürüdün; dizlerin hâlâ titriyordu ama bunu kimse bilmiyor.</t>
        </is>
      </c>
      <c r="J485" s="6" t="inlineStr">
        <is>
          <t>Motor son düzlükte stop etti. Onu köprüye kadar ittin.</t>
        </is>
      </c>
      <c r="K485" s="6" t="inlineStr">
        <is>
          <t>Virajı alamadın, kumsala daldın. Motor kuma yarıya kadar gömüldü, sen bir balıkçının oltasının dibine indin; dirseğin sıyrık. Balıkçı “Bugün de bu tuttu” dedi; motorun tamir parası senden.</t>
        </is>
      </c>
      <c r="L485" s="6" t="inlineStr"/>
      <c r="M485" s="5" t="inlineStr"/>
      <c r="N485" s="5" t="inlineStr"/>
      <c r="O485" s="6" t="inlineStr"/>
      <c r="P485" s="6" t="inlineStr"/>
      <c r="Q485" s="5" t="inlineStr"/>
      <c r="R485" s="5" t="inlineStr"/>
      <c r="S485" s="5" t="inlineStr"/>
      <c r="T485" s="5" t="inlineStr"/>
      <c r="U485" s="5" t="inlineStr"/>
      <c r="V485" s="5" t="inlineStr"/>
      <c r="W485" s="5" t="inlineStr"/>
      <c r="X485" s="5" t="inlineStr"/>
      <c r="Y485" s="5" t="n">
        <v>5</v>
      </c>
      <c r="Z485" s="6" t="inlineStr">
        <is>
          <t>Sahil yolundaki gece yarışında, 'Son viraj' dediği virajda.</t>
        </is>
      </c>
      <c r="AA485" s="5" t="inlineStr"/>
      <c r="AB485" s="5" t="inlineStr"/>
      <c r="AC485" s="5" t="inlineStr"/>
      <c r="AD485" s="5" t="inlineStr"/>
      <c r="AE485" s="5" t="inlineStr"/>
      <c r="AF485" s="5" t="inlineStr"/>
      <c r="AG485" s="5" t="inlineStr"/>
      <c r="AH485" s="5" t="inlineStr"/>
      <c r="AI485" s="5" t="inlineStr"/>
      <c r="AJ485" s="5" t="inlineStr"/>
    </row>
    <row r="486">
      <c r="A486" s="5" t="inlineStr">
        <is>
          <t>b6-gece-motor</t>
        </is>
      </c>
      <c r="B486" s="5" t="n">
        <v>3</v>
      </c>
      <c r="C486" s="6" t="inlineStr">
        <is>
          <t>Yarışı organize et, sürme</t>
        </is>
      </c>
      <c r="D486" s="5" t="inlineStr">
        <is>
          <t>Kurnazlık</t>
        </is>
      </c>
      <c r="E486" s="5" t="inlineStr">
        <is>
          <t>Orta</t>
        </is>
      </c>
      <c r="F486" s="5" t="inlineStr"/>
      <c r="G486" s="6" t="inlineStr"/>
      <c r="H486" s="6" t="inlineStr">
        <is>
          <t>Başlangıç bayrağını sen salladın. Kimse seni fark etmedi ama hikâyede sen vardın.</t>
        </is>
      </c>
      <c r="I486" s="6" t="inlineStr">
        <is>
          <t>Kazananı önceden bildin. Herkesin gözünde kâhin oldun ve yarış bir daha yapılmadı.</t>
        </is>
      </c>
      <c r="J486" s="6" t="inlineStr">
        <is>
          <t>Bayrak diye salladığın şey birinin montuydu. Mont sahibi yarışı bıraktı.</t>
        </is>
      </c>
      <c r="K486" s="6" t="inlineStr">
        <is>
          <t>Trafik ekibi geldi ve organizatörü sordu. Herkes aynı anda seni gösterdi. Babana ilk kez karakoldan telefon açtın.</t>
        </is>
      </c>
      <c r="L486" s="6" t="inlineStr"/>
      <c r="M486" s="5" t="inlineStr"/>
      <c r="N486" s="5" t="inlineStr"/>
      <c r="O486" s="6" t="inlineStr"/>
      <c r="P486" s="6" t="inlineStr"/>
      <c r="Q486" s="5" t="inlineStr"/>
      <c r="R486" s="5" t="inlineStr"/>
      <c r="S486" s="5" t="inlineStr"/>
      <c r="T486" s="5" t="inlineStr"/>
      <c r="U486" s="5" t="inlineStr"/>
      <c r="V486" s="5" t="inlineStr"/>
      <c r="W486" s="5" t="inlineStr"/>
      <c r="X486" s="5" t="inlineStr"/>
      <c r="Y486" s="5" t="inlineStr"/>
      <c r="Z486" s="6" t="inlineStr"/>
      <c r="AA486" s="5" t="inlineStr"/>
      <c r="AB486" s="5" t="inlineStr"/>
      <c r="AC486" s="5" t="inlineStr"/>
      <c r="AD486" s="5" t="inlineStr"/>
      <c r="AE486" s="5" t="inlineStr"/>
      <c r="AF486" s="5" t="inlineStr"/>
      <c r="AG486" s="5" t="inlineStr"/>
      <c r="AH486" s="5" t="inlineStr"/>
      <c r="AI486" s="5" t="inlineStr"/>
      <c r="AJ486" s="5" t="inlineStr"/>
    </row>
    <row r="487">
      <c r="A487" s="5" t="inlineStr">
        <is>
          <t>b6-gece-motor</t>
        </is>
      </c>
      <c r="B487" s="5" t="n">
        <v>4</v>
      </c>
      <c r="C487" s="6" t="inlineStr">
        <is>
          <t>Arkadaşını vazgeçir</t>
        </is>
      </c>
      <c r="D487" s="5" t="inlineStr">
        <is>
          <t>Çene</t>
        </is>
      </c>
      <c r="E487" s="5" t="inlineStr">
        <is>
          <t>Orta</t>
        </is>
      </c>
      <c r="F487" s="5" t="inlineStr"/>
      <c r="G487" s="6" t="inlineStr"/>
      <c r="H487" s="6" t="inlineStr">
        <is>
          <t>İkna ettin. Yarış yerine sahilde çay içtiniz. Üçüncü çayda itiraf etti: “İyi ki dedin. Frenler de yok zaten.”</t>
        </is>
      </c>
      <c r="I487" s="6" t="inlineStr">
        <is>
          <t>Arkadaşın motoru sattı, parasıyla ikinize akşam yemeği ısmarladı.</t>
        </is>
      </c>
      <c r="J487" s="6" t="inlineStr">
        <is>
          <t>İkna edemedin. Sahilde bekledin. Döndü, hiçbir şey anlatmadı.</t>
        </is>
      </c>
      <c r="K487" s="6" t="inlineStr">
        <is>
          <t>İkna ederken motora oturdun. Arkadaşın “O zaman sen sür” dedi; herkes alkışladı, kaçış kalmadı. Köprüye en son sen vardın; motorun aynası hiç varamadı.</t>
        </is>
      </c>
      <c r="L487" s="6" t="inlineStr"/>
      <c r="M487" s="5" t="inlineStr"/>
      <c r="N487" s="5" t="inlineStr"/>
      <c r="O487" s="6" t="inlineStr"/>
      <c r="P487" s="6" t="inlineStr"/>
      <c r="Q487" s="5" t="inlineStr"/>
      <c r="R487" s="5" t="inlineStr"/>
      <c r="S487" s="5" t="inlineStr"/>
      <c r="T487" s="5" t="inlineStr"/>
      <c r="U487" s="5" t="inlineStr"/>
      <c r="V487" s="5" t="inlineStr"/>
      <c r="W487" s="5" t="inlineStr"/>
      <c r="X487" s="5" t="inlineStr"/>
      <c r="Y487" s="5" t="inlineStr"/>
      <c r="Z487" s="6" t="inlineStr"/>
      <c r="AA487" s="5" t="inlineStr"/>
      <c r="AB487" s="5" t="inlineStr"/>
      <c r="AC487" s="5" t="inlineStr"/>
      <c r="AD487" s="5" t="inlineStr"/>
      <c r="AE487" s="5" t="inlineStr"/>
      <c r="AF487" s="5" t="inlineStr"/>
      <c r="AG487" s="5" t="inlineStr"/>
      <c r="AH487" s="5" t="inlineStr"/>
      <c r="AI487" s="5" t="inlineStr"/>
      <c r="AJ487" s="5" t="inlineStr"/>
    </row>
    <row r="488">
      <c r="A488" s="5" t="inlineStr">
        <is>
          <t>b6-gece-vardiyasi</t>
        </is>
      </c>
      <c r="B488" s="5" t="n">
        <v>1</v>
      </c>
      <c r="C488" s="6" t="inlineStr">
        <is>
          <t>Raf diz, zamanı öldür</t>
        </is>
      </c>
      <c r="D488" s="5" t="inlineStr"/>
      <c r="E488" s="5" t="inlineStr"/>
      <c r="F488" s="5" t="inlineStr">
        <is>
          <t>Dayanıklılık +1</t>
        </is>
      </c>
      <c r="G488" s="6" t="inlineStr">
        <is>
          <t>Bütün raflar dizildi, etiketler hizalandı. Saat hâlâ üç buçuk.</t>
        </is>
      </c>
      <c r="H488" s="6" t="inlineStr"/>
      <c r="I488" s="6" t="inlineStr"/>
      <c r="J488" s="6" t="inlineStr"/>
      <c r="K488" s="6" t="inlineStr"/>
      <c r="L488" s="6" t="inlineStr"/>
      <c r="M488" s="5" t="inlineStr"/>
      <c r="N488" s="5" t="inlineStr"/>
      <c r="O488" s="6" t="inlineStr"/>
      <c r="P488" s="6" t="inlineStr"/>
      <c r="Q488" s="5" t="inlineStr"/>
      <c r="R488" s="5" t="inlineStr"/>
      <c r="S488" s="5" t="inlineStr"/>
      <c r="T488" s="5" t="inlineStr"/>
      <c r="U488" s="5" t="inlineStr"/>
      <c r="V488" s="5" t="inlineStr"/>
      <c r="W488" s="5" t="inlineStr"/>
      <c r="X488" s="5" t="inlineStr"/>
      <c r="Y488" s="5" t="inlineStr"/>
      <c r="Z488" s="6" t="inlineStr"/>
      <c r="AA488" s="5" t="inlineStr"/>
      <c r="AB488" s="5" t="inlineStr"/>
      <c r="AC488" s="5" t="inlineStr"/>
      <c r="AD488" s="5" t="inlineStr"/>
      <c r="AE488" s="5" t="inlineStr"/>
      <c r="AF488" s="5" t="inlineStr"/>
      <c r="AG488" s="5" t="inlineStr"/>
      <c r="AH488" s="5" t="inlineStr"/>
      <c r="AI488" s="5" t="inlineStr"/>
      <c r="AJ488" s="5" t="inlineStr"/>
    </row>
    <row r="489">
      <c r="A489" s="5" t="inlineStr">
        <is>
          <t>b6-gece-vardiyasi</t>
        </is>
      </c>
      <c r="B489" s="5" t="n">
        <v>2</v>
      </c>
      <c r="C489" s="6" t="inlineStr">
        <is>
          <t>Dörtteki duvarı geç</t>
        </is>
      </c>
      <c r="D489" s="5" t="inlineStr">
        <is>
          <t>Dayanıklılık</t>
        </is>
      </c>
      <c r="E489" s="5" t="inlineStr">
        <is>
          <t>Zor</t>
        </is>
      </c>
      <c r="F489" s="5" t="inlineStr"/>
      <c r="G489" s="6" t="inlineStr"/>
      <c r="H489" s="6" t="inlineStr">
        <is>
          <t>Duvarı geçtin. Sabah altıda güneş doğarken ikinci nefes geldi.</t>
        </is>
      </c>
      <c r="I489" s="6" t="inlineStr">
        <is>
          <t>Dörtteki duvarı geçtin, altıda ikinci nefes geldi, sekizde sabah vardiyasına çay demledin. Müdür ertesi gün seni vardiya sorumlusu yaptı.</t>
        </is>
      </c>
      <c r="J489" s="6" t="inlineStr">
        <is>
          <t>Kasada uyuyakaldın. Müşteri para üstünü kendi aldı, fişini de kendi kesti.</t>
        </is>
      </c>
      <c r="K489" s="6" t="inlineStr">
        <is>
          <t>Saat dörtte rafa yaslanıp uyudun. Sabah vardiyası seni konserve reyonunda, alnında fiyat etiketiyle buldu. Etikette “İndirimli” yazıyordu; fotoğrafı bütün şubeleri dolaştı.</t>
        </is>
      </c>
      <c r="L489" s="6" t="inlineStr"/>
      <c r="M489" s="5" t="inlineStr"/>
      <c r="N489" s="5" t="inlineStr"/>
      <c r="O489" s="6" t="inlineStr"/>
      <c r="P489" s="6" t="inlineStr"/>
      <c r="Q489" s="5" t="inlineStr"/>
      <c r="R489" s="5" t="inlineStr"/>
      <c r="S489" s="5" t="inlineStr">
        <is>
          <t>Dayanıklılık</t>
        </is>
      </c>
      <c r="T489" s="5" t="inlineStr">
        <is>
          <t>Nöbet Disiplini</t>
        </is>
      </c>
      <c r="U489" s="5" t="inlineStr"/>
      <c r="V489" s="5" t="inlineStr"/>
      <c r="W489" s="5" t="inlineStr"/>
      <c r="X489" s="5" t="inlineStr"/>
      <c r="Y489" s="5" t="inlineStr"/>
      <c r="Z489" s="6" t="inlineStr"/>
      <c r="AA489" s="5" t="inlineStr"/>
      <c r="AB489" s="5" t="inlineStr"/>
      <c r="AC489" s="5" t="inlineStr"/>
      <c r="AD489" s="5" t="inlineStr"/>
      <c r="AE489" s="5" t="inlineStr"/>
      <c r="AF489" s="5" t="inlineStr"/>
      <c r="AG489" s="5" t="inlineStr"/>
      <c r="AH489" s="5" t="inlineStr"/>
      <c r="AI489" s="5" t="inlineStr"/>
      <c r="AJ489" s="5" t="inlineStr"/>
    </row>
    <row r="490">
      <c r="A490" s="5" t="inlineStr">
        <is>
          <t>b6-gece-vardiyasi</t>
        </is>
      </c>
      <c r="B490" s="5" t="n">
        <v>3</v>
      </c>
      <c r="C490" s="6" t="inlineStr">
        <is>
          <t>Gece müşterisiyle sohbet et</t>
        </is>
      </c>
      <c r="D490" s="5" t="inlineStr">
        <is>
          <t>Sosyal Radar</t>
        </is>
      </c>
      <c r="E490" s="5" t="inlineStr">
        <is>
          <t>Kolay</t>
        </is>
      </c>
      <c r="F490" s="5" t="inlineStr"/>
      <c r="G490" s="6" t="inlineStr"/>
      <c r="H490" s="6" t="inlineStr">
        <is>
          <t>Sakız alan amca eşini geçen kış kaybetmiş; geceleri uyuyamıyormuş. Sen de kendini anlattın. Sakızın parasını almadın. Ertesi gece sana bir termos çay getirdi.</t>
        </is>
      </c>
      <c r="I490" s="6" t="inlineStr">
        <is>
          <t>Sakızcı bir işletme sahibiymiş. Kartını bıraktı: 'Gündüz çalışmak istersen.'</t>
        </is>
      </c>
      <c r="J490" s="6" t="inlineStr">
        <is>
          <t>Sohbet açtın. Adam sadece sakız istiyordu.</t>
        </is>
      </c>
      <c r="K490" s="6" t="inlineStr">
        <is>
          <t>İki saat bir hayat hikâyesi dinledin; bu arada üç müşteri kasada bekleyip gitti. Müdür kamerayı izledi, sabah tek şey sordu: “Sonu nasıl bitti?” Sonra o iki saati maaşından kesti.</t>
        </is>
      </c>
      <c r="L490" s="6" t="inlineStr"/>
      <c r="M490" s="5" t="inlineStr"/>
      <c r="N490" s="5" t="inlineStr"/>
      <c r="O490" s="6" t="inlineStr"/>
      <c r="P490" s="6" t="inlineStr"/>
      <c r="Q490" s="5" t="inlineStr"/>
      <c r="R490" s="5" t="inlineStr"/>
      <c r="S490" s="5" t="inlineStr"/>
      <c r="T490" s="5" t="inlineStr"/>
      <c r="U490" s="5" t="inlineStr"/>
      <c r="V490" s="5" t="inlineStr"/>
      <c r="W490" s="5" t="inlineStr"/>
      <c r="X490" s="5" t="inlineStr"/>
      <c r="Y490" s="5" t="inlineStr"/>
      <c r="Z490" s="6" t="inlineStr"/>
      <c r="AA490" s="5" t="inlineStr"/>
      <c r="AB490" s="5" t="inlineStr"/>
      <c r="AC490" s="5" t="inlineStr"/>
      <c r="AD490" s="5" t="inlineStr"/>
      <c r="AE490" s="5" t="inlineStr"/>
      <c r="AF490" s="5" t="inlineStr"/>
      <c r="AG490" s="5" t="inlineStr"/>
      <c r="AH490" s="5" t="inlineStr"/>
      <c r="AI490" s="5" t="inlineStr"/>
      <c r="AJ490" s="5" t="inlineStr"/>
    </row>
    <row r="491">
      <c r="A491" s="5" t="inlineStr">
        <is>
          <t>b6-gece-vardiyasi</t>
        </is>
      </c>
      <c r="B491" s="5" t="n">
        <v>4</v>
      </c>
      <c r="C491" s="6" t="inlineStr">
        <is>
          <t>Gündüz vardiyasına geçmeyi iste</t>
        </is>
      </c>
      <c r="D491" s="5" t="inlineStr">
        <is>
          <t>Cesaret</t>
        </is>
      </c>
      <c r="E491" s="5" t="inlineStr">
        <is>
          <t>Zor</t>
        </is>
      </c>
      <c r="F491" s="5" t="inlineStr"/>
      <c r="G491" s="6" t="inlineStr"/>
      <c r="H491" s="6" t="inlineStr">
        <is>
          <t>Gündüze geçtin. Gün ışığı biraz fazla parlak geldi.</t>
        </is>
      </c>
      <c r="I491" s="6" t="inlineStr">
        <is>
          <t>Gündüze geçtin, hafta sonları da izinlisin. İlk pazar sabahı kahvaltıya oturdun; annen seni görünce “Aa, sen gündüz de oluyormuşsun” dedi.</t>
        </is>
      </c>
      <c r="J491" s="6" t="inlineStr">
        <is>
          <t>Talebin 'değerlendirmeye' alındı. Değerlendirme de gece vardiyasında yapılıyor.</t>
        </is>
      </c>
      <c r="K491" s="6" t="inlineStr">
        <is>
          <t>Müdür seni hafta sonu gece vardiyasına da ekledi. Teşekkür ederek.</t>
        </is>
      </c>
      <c r="L491" s="6" t="inlineStr"/>
      <c r="M491" s="5" t="inlineStr"/>
      <c r="N491" s="5" t="inlineStr"/>
      <c r="O491" s="6" t="inlineStr"/>
      <c r="P491" s="6" t="inlineStr"/>
      <c r="Q491" s="5" t="inlineStr"/>
      <c r="R491" s="5" t="inlineStr"/>
      <c r="S491" s="5" t="inlineStr"/>
      <c r="T491" s="5" t="inlineStr"/>
      <c r="U491" s="5" t="inlineStr"/>
      <c r="V491" s="5" t="inlineStr"/>
      <c r="W491" s="5" t="inlineStr"/>
      <c r="X491" s="5" t="inlineStr"/>
      <c r="Y491" s="5" t="inlineStr"/>
      <c r="Z491" s="6" t="inlineStr"/>
      <c r="AA491" s="5" t="inlineStr"/>
      <c r="AB491" s="5" t="inlineStr"/>
      <c r="AC491" s="5" t="inlineStr"/>
      <c r="AD491" s="5" t="inlineStr"/>
      <c r="AE491" s="5" t="inlineStr"/>
      <c r="AF491" s="5" t="inlineStr"/>
      <c r="AG491" s="5" t="inlineStr"/>
      <c r="AH491" s="5" t="inlineStr"/>
      <c r="AI491" s="5" t="inlineStr"/>
      <c r="AJ491" s="5" t="inlineStr"/>
    </row>
    <row r="492">
      <c r="A492" s="5" t="inlineStr">
        <is>
          <t>b6-kiralik-ev</t>
        </is>
      </c>
      <c r="B492" s="5" t="n">
        <v>1</v>
      </c>
      <c r="C492" s="6" t="inlineStr">
        <is>
          <t>Söylenen fiyata tut</t>
        </is>
      </c>
      <c r="D492" s="5" t="inlineStr"/>
      <c r="E492" s="5" t="inlineStr"/>
      <c r="F492" s="5" t="inlineStr">
        <is>
          <t>Dayanıklılık +1</t>
        </is>
      </c>
      <c r="G492" s="6" t="inlineStr">
        <is>
          <t>Ev sahibi o kadar mutlu oldu ki sana iki anahtar verdi. Biri kilide uymuyor. Hangisi, belirsiz.</t>
        </is>
      </c>
      <c r="H492" s="6" t="inlineStr"/>
      <c r="I492" s="6" t="inlineStr"/>
      <c r="J492" s="6" t="inlineStr"/>
      <c r="K492" s="6" t="inlineStr"/>
      <c r="L492" s="6" t="inlineStr"/>
      <c r="M492" s="5" t="inlineStr"/>
      <c r="N492" s="5" t="inlineStr"/>
      <c r="O492" s="6" t="inlineStr"/>
      <c r="P492" s="6" t="inlineStr"/>
      <c r="Q492" s="5" t="inlineStr"/>
      <c r="R492" s="5" t="inlineStr"/>
      <c r="S492" s="5" t="inlineStr"/>
      <c r="T492" s="5" t="inlineStr"/>
      <c r="U492" s="5" t="inlineStr"/>
      <c r="V492" s="5" t="inlineStr"/>
      <c r="W492" s="5" t="inlineStr"/>
      <c r="X492" s="5" t="inlineStr"/>
      <c r="Y492" s="5" t="inlineStr"/>
      <c r="Z492" s="6" t="inlineStr"/>
      <c r="AA492" s="5" t="inlineStr"/>
      <c r="AB492" s="5" t="inlineStr"/>
      <c r="AC492" s="5" t="inlineStr"/>
      <c r="AD492" s="5" t="inlineStr"/>
      <c r="AE492" s="5" t="inlineStr"/>
      <c r="AF492" s="5" t="inlineStr"/>
      <c r="AG492" s="5" t="inlineStr"/>
      <c r="AH492" s="5" t="inlineStr"/>
      <c r="AI492" s="5" t="inlineStr"/>
      <c r="AJ492" s="5" t="inlineStr"/>
    </row>
    <row r="493">
      <c r="A493" s="5" t="inlineStr">
        <is>
          <t>b6-kiralik-ev</t>
        </is>
      </c>
      <c r="B493" s="5" t="n">
        <v>2</v>
      </c>
      <c r="C493" s="6" t="inlineStr">
        <is>
          <t>Kirayı pazarlık et</t>
        </is>
      </c>
      <c r="D493" s="5" t="inlineStr">
        <is>
          <t>Çene</t>
        </is>
      </c>
      <c r="E493" s="5" t="inlineStr">
        <is>
          <t>Orta</t>
        </is>
      </c>
      <c r="F493" s="5" t="inlineStr"/>
      <c r="G493" s="6" t="inlineStr"/>
      <c r="H493" s="6" t="inlineStr">
        <is>
          <t>Kirayı biraz indirdin. Ev sahibi 'Gençlere güvenirim' dedi. Sen ona güvenmedin.</t>
        </is>
      </c>
      <c r="I493" s="6" t="inlineStr">
        <is>
          <t>Kira indi, depozito yarıya düştü, kombi bakımı ev sahibine yazıldı. Ev sahibi merdivende karısına “Bu çocuk beni soydu” dedi; sesi gururluydu.</t>
        </is>
      </c>
      <c r="J493" s="6" t="inlineStr">
        <is>
          <t>Fiyat aynı kaldı ama ev sahibi seni 'hareketli genç' olarak tanımladı.</t>
        </is>
      </c>
      <c r="K493" s="6" t="inlineStr">
        <is>
          <t>Pazarlık uzadı, ev sahibi daha yüksek teklif veren birini buldu. 'Kusura bakma' dedi. Kusura baktın.</t>
        </is>
      </c>
      <c r="L493" s="6" t="inlineStr">
        <is>
          <t>Kira aynı kaldı ama aidatı ev sahibi ödeyecek. Yarım zafer, tam aidat.</t>
        </is>
      </c>
      <c r="M493" s="5" t="inlineStr">
        <is>
          <t>duel</t>
        </is>
      </c>
      <c r="N493" s="5" t="inlineStr">
        <is>
          <t>Kira Pazarlığı</t>
        </is>
      </c>
      <c r="O493" s="6" t="inlineStr">
        <is>
          <t>Karşındakinin sabrı bitmeden en iyi cevabı seç.</t>
        </is>
      </c>
      <c r="P493" s="6" t="inlineStr">
        <is>
          <t>{"who": "Ev sahibi", "item": "kira", "mode": "buy"}</t>
        </is>
      </c>
      <c r="Q493" s="5" t="inlineStr"/>
      <c r="R493" s="5" t="inlineStr"/>
      <c r="S493" s="5" t="inlineStr"/>
      <c r="T493" s="5" t="inlineStr"/>
      <c r="U493" s="5" t="inlineStr"/>
      <c r="V493" s="5" t="inlineStr"/>
      <c r="W493" s="5" t="inlineStr"/>
      <c r="X493" s="5" t="inlineStr"/>
      <c r="Y493" s="5" t="inlineStr"/>
      <c r="Z493" s="6" t="inlineStr"/>
      <c r="AA493" s="5" t="inlineStr"/>
      <c r="AB493" s="5" t="inlineStr"/>
      <c r="AC493" s="5" t="inlineStr"/>
      <c r="AD493" s="5" t="inlineStr"/>
      <c r="AE493" s="5" t="inlineStr"/>
      <c r="AF493" s="5" t="inlineStr"/>
      <c r="AG493" s="5" t="inlineStr"/>
      <c r="AH493" s="5" t="inlineStr"/>
      <c r="AI493" s="5" t="inlineStr"/>
      <c r="AJ493" s="5" t="inlineStr"/>
    </row>
    <row r="494">
      <c r="A494" s="5" t="inlineStr">
        <is>
          <t>b6-kiralik-ev</t>
        </is>
      </c>
      <c r="B494" s="5" t="n">
        <v>3</v>
      </c>
      <c r="C494" s="6" t="inlineStr">
        <is>
          <t>Önceki kiracıyı bul</t>
        </is>
      </c>
      <c r="D494" s="5" t="inlineStr">
        <is>
          <t>Sosyal Radar</t>
        </is>
      </c>
      <c r="E494" s="5" t="inlineStr">
        <is>
          <t>Zor</t>
        </is>
      </c>
      <c r="F494" s="5" t="inlineStr"/>
      <c r="G494" s="6" t="inlineStr"/>
      <c r="H494" s="6" t="inlineStr">
        <is>
          <t>Önceki kiracı tek kelime söyledi: 'Kombi.' Sözleşmeye bir madde ekledin.</t>
        </is>
      </c>
      <c r="I494" s="6" t="inlineStr">
        <is>
          <t>Önceki kiracıyla bir saat konuştun: rutubeti, gece üçte çamaşır makinesi çalıştıran üst komşuyu ve ev sahibinin oğlunun düğünü için paraya sıkıştığını öğrendin. Ev sahibine sadece “Düğün ne zaman?” dedin; kira kendiliğinden indi.</t>
        </is>
      </c>
      <c r="J494" s="6" t="inlineStr">
        <is>
          <t>Önceki kiracı 'Güzel ev' dedi ve telefonu çok hızlı kapattı.</t>
        </is>
      </c>
      <c r="K494" s="6" t="inlineStr">
        <is>
          <t>Önceki kiracıyı ararken ev sahibini aradın: “Bu evde neden kimse bir yıl kalmıyor?” Ev sahibi bir süre sustu: “Sen de kalmayacaksın.” Kalmadın; daha taşınmadan.</t>
        </is>
      </c>
      <c r="L494" s="6" t="inlineStr"/>
      <c r="M494" s="5" t="inlineStr"/>
      <c r="N494" s="5" t="inlineStr"/>
      <c r="O494" s="6" t="inlineStr"/>
      <c r="P494" s="6" t="inlineStr"/>
      <c r="Q494" s="5" t="inlineStr"/>
      <c r="R494" s="5" t="inlineStr"/>
      <c r="S494" s="5" t="inlineStr"/>
      <c r="T494" s="5" t="inlineStr"/>
      <c r="U494" s="5" t="inlineStr"/>
      <c r="V494" s="5" t="inlineStr"/>
      <c r="W494" s="5" t="inlineStr"/>
      <c r="X494" s="5" t="inlineStr"/>
      <c r="Y494" s="5" t="inlineStr"/>
      <c r="Z494" s="6" t="inlineStr"/>
      <c r="AA494" s="5" t="inlineStr"/>
      <c r="AB494" s="5" t="inlineStr"/>
      <c r="AC494" s="5" t="inlineStr"/>
      <c r="AD494" s="5" t="inlineStr"/>
      <c r="AE494" s="5" t="inlineStr"/>
      <c r="AF494" s="5" t="inlineStr"/>
      <c r="AG494" s="5" t="inlineStr"/>
      <c r="AH494" s="5" t="inlineStr"/>
      <c r="AI494" s="5" t="inlineStr"/>
      <c r="AJ494" s="5" t="inlineStr"/>
    </row>
    <row r="495">
      <c r="A495" s="5" t="inlineStr">
        <is>
          <t>b6-tasinma</t>
        </is>
      </c>
      <c r="B495" s="5" t="n">
        <v>1</v>
      </c>
      <c r="C495" s="6" t="inlineStr">
        <is>
          <t>Nakliyeci çağır</t>
        </is>
      </c>
      <c r="D495" s="5" t="inlineStr"/>
      <c r="E495" s="5" t="inlineStr"/>
      <c r="F495" s="5" t="inlineStr">
        <is>
          <t>Kurnazlık +1</t>
        </is>
      </c>
      <c r="G495" s="6" t="inlineStr">
        <is>
          <t>Nakliyeci eşyaları taşıdı, fatura kiradan yüksek geldi. En azından kolların yerinde.</t>
        </is>
      </c>
      <c r="H495" s="6" t="inlineStr"/>
      <c r="I495" s="6" t="inlineStr"/>
      <c r="J495" s="6" t="inlineStr"/>
      <c r="K495" s="6" t="inlineStr"/>
      <c r="L495" s="6" t="inlineStr"/>
      <c r="M495" s="5" t="inlineStr"/>
      <c r="N495" s="5" t="inlineStr"/>
      <c r="O495" s="6" t="inlineStr"/>
      <c r="P495" s="6" t="inlineStr"/>
      <c r="Q495" s="5" t="inlineStr"/>
      <c r="R495" s="5" t="inlineStr"/>
      <c r="S495" s="5" t="inlineStr"/>
      <c r="T495" s="5" t="inlineStr"/>
      <c r="U495" s="5" t="inlineStr"/>
      <c r="V495" s="5" t="inlineStr"/>
      <c r="W495" s="5" t="inlineStr"/>
      <c r="X495" s="5" t="inlineStr"/>
      <c r="Y495" s="5" t="inlineStr"/>
      <c r="Z495" s="6" t="inlineStr"/>
      <c r="AA495" s="5" t="inlineStr"/>
      <c r="AB495" s="5" t="inlineStr"/>
      <c r="AC495" s="5" t="inlineStr"/>
      <c r="AD495" s="5" t="inlineStr"/>
      <c r="AE495" s="5" t="inlineStr"/>
      <c r="AF495" s="5" t="inlineStr"/>
      <c r="AG495" s="5" t="inlineStr"/>
      <c r="AH495" s="5" t="inlineStr"/>
      <c r="AI495" s="5" t="inlineStr"/>
      <c r="AJ495" s="5" t="inlineStr"/>
    </row>
    <row r="496">
      <c r="A496" s="5" t="inlineStr">
        <is>
          <t>b6-tasinma</t>
        </is>
      </c>
      <c r="B496" s="5" t="n">
        <v>2</v>
      </c>
      <c r="C496" s="6" t="inlineStr">
        <is>
          <t>Buzdolabını merdivenden çıkar</t>
        </is>
      </c>
      <c r="D496" s="5" t="inlineStr">
        <is>
          <t>Dayanıklılık</t>
        </is>
      </c>
      <c r="E496" s="5" t="inlineStr">
        <is>
          <t>Orta</t>
        </is>
      </c>
      <c r="F496" s="5" t="inlineStr"/>
      <c r="G496" s="6" t="inlineStr"/>
      <c r="H496" s="6" t="inlineStr">
        <is>
          <t>Buzdolabı dördüncü kata çıktı. Sen dördüncü katta bir süre yattın.</t>
        </is>
      </c>
      <c r="I496" s="6" t="inlineStr">
        <is>
          <t>Buzdolabını sırtına aldın; kapıcı alttan tuttu, dördüncü kata hiç durmadan çıktınız. Üçüncü kattaki teyze balkondan alkışladı, karşı apartmandan biri video çekti. Akşam annen videonun altına yazdı: “Belini koru evladım.”</t>
        </is>
      </c>
      <c r="J496" s="6" t="inlineStr">
        <is>
          <t>Buzdolabı üçüncü katta kaldı. Üçüncü kattaki komşuyla artık tanışıyorsun.</t>
        </is>
      </c>
      <c r="K496" s="6" t="inlineStr">
        <is>
          <t>Buzdolabı üçüncü katta elinden kaydı, merdivenden geri indi, duvarda bir metrelik çizik bıraktı. Ev sahibi balkondan izliyordu. Depozitoyu sormadın; o da söylemedi, sadece çiziğin fotoğrafını çekti.</t>
        </is>
      </c>
      <c r="L496" s="6" t="inlineStr">
        <is>
          <t>Buzdolabı yukarıda ama kapısı ters takılı. Artık duvara doğru açılıyor.</t>
        </is>
      </c>
      <c r="M496" s="5" t="inlineStr">
        <is>
          <t>tower</t>
        </is>
      </c>
      <c r="N496" s="5" t="inlineStr">
        <is>
          <t>Dördüncü Kat</t>
        </is>
      </c>
      <c r="O496" s="6" t="inlineStr">
        <is>
          <t>Kaymadan üst üste dizmek için doğru anda BIRAK'a bas.</t>
        </is>
      </c>
      <c r="P496" s="6" t="inlineStr">
        <is>
          <t>{"item": "🧊"}</t>
        </is>
      </c>
      <c r="Q496" s="5" t="inlineStr"/>
      <c r="R496" s="5" t="inlineStr"/>
      <c r="S496" s="5" t="inlineStr"/>
      <c r="T496" s="5" t="inlineStr"/>
      <c r="U496" s="5" t="inlineStr"/>
      <c r="V496" s="5" t="inlineStr"/>
      <c r="W496" s="5" t="inlineStr">
        <is>
          <t>depozito-yandi</t>
        </is>
      </c>
      <c r="X496" s="5" t="inlineStr"/>
      <c r="Y496" s="5" t="inlineStr"/>
      <c r="Z496" s="6" t="inlineStr"/>
      <c r="AA496" s="5" t="inlineStr"/>
      <c r="AB496" s="5" t="inlineStr"/>
      <c r="AC496" s="5" t="inlineStr"/>
      <c r="AD496" s="5" t="inlineStr"/>
      <c r="AE496" s="5" t="inlineStr"/>
      <c r="AF496" s="5" t="inlineStr"/>
      <c r="AG496" s="5" t="inlineStr"/>
      <c r="AH496" s="5" t="inlineStr"/>
      <c r="AI496" s="5" t="inlineStr"/>
      <c r="AJ496" s="5" t="inlineStr"/>
    </row>
    <row r="497">
      <c r="A497" s="5" t="inlineStr">
        <is>
          <t>b6-tasinma</t>
        </is>
      </c>
      <c r="B497" s="5" t="n">
        <v>3</v>
      </c>
      <c r="C497" s="6" t="inlineStr">
        <is>
          <t>Arkadaşları pizza sözüyle topla</t>
        </is>
      </c>
      <c r="D497" s="5" t="inlineStr">
        <is>
          <t>Çene</t>
        </is>
      </c>
      <c r="E497" s="5" t="inlineStr">
        <is>
          <t>Kolay</t>
        </is>
      </c>
      <c r="F497" s="5" t="inlineStr"/>
      <c r="G497" s="6" t="inlineStr"/>
      <c r="H497" s="6" t="inlineStr">
        <is>
          <t>Beş kişi geldi. Taşınma üç saat, pizza beş dakika sürdü.</t>
        </is>
      </c>
      <c r="I497" s="6" t="inlineStr">
        <is>
          <t>Arkadaşlar kolileri taşıdı, açtı, perdeleri taktı. Pizzayı da onlar ısmarladı.</t>
        </is>
      </c>
      <c r="J497" s="6" t="inlineStr">
        <is>
          <t>Pizza bitince gittiler. Kanepe merdivende kaldı.</t>
        </is>
      </c>
      <c r="K497" s="6" t="inlineStr">
        <is>
          <t>Kanepe kapıdan girmedi. Ayaklarını söktünüz, girmedi. Kapıyı söktünüz, girdi. Kapı şimdi kanepenin arkasında duruyor; ev sahibi pazartesi geliyor.</t>
        </is>
      </c>
      <c r="L497" s="6" t="inlineStr"/>
      <c r="M497" s="5" t="inlineStr"/>
      <c r="N497" s="5" t="inlineStr"/>
      <c r="O497" s="6" t="inlineStr"/>
      <c r="P497" s="6" t="inlineStr"/>
      <c r="Q497" s="5" t="inlineStr"/>
      <c r="R497" s="5" t="inlineStr"/>
      <c r="S497" s="5" t="inlineStr"/>
      <c r="T497" s="5" t="inlineStr"/>
      <c r="U497" s="5" t="inlineStr"/>
      <c r="V497" s="5" t="inlineStr"/>
      <c r="W497" s="5" t="inlineStr"/>
      <c r="X497" s="5" t="inlineStr"/>
      <c r="Y497" s="5" t="inlineStr"/>
      <c r="Z497" s="6" t="inlineStr"/>
      <c r="AA497" s="5" t="inlineStr"/>
      <c r="AB497" s="5" t="inlineStr"/>
      <c r="AC497" s="5" t="inlineStr"/>
      <c r="AD497" s="5" t="inlineStr"/>
      <c r="AE497" s="5" t="inlineStr"/>
      <c r="AF497" s="5" t="inlineStr"/>
      <c r="AG497" s="5" t="inlineStr"/>
      <c r="AH497" s="5" t="inlineStr"/>
      <c r="AI497" s="5" t="inlineStr"/>
      <c r="AJ497" s="5" t="inlineStr"/>
    </row>
    <row r="498">
      <c r="A498" s="5" t="inlineStr">
        <is>
          <t>b6-ev-arkadasi</t>
        </is>
      </c>
      <c r="B498" s="5" t="n">
        <v>1</v>
      </c>
      <c r="C498" s="6" t="inlineStr">
        <is>
          <t>Bulaşığı sen yap</t>
        </is>
      </c>
      <c r="D498" s="5" t="inlineStr"/>
      <c r="E498" s="5" t="inlineStr"/>
      <c r="F498" s="5" t="inlineStr">
        <is>
          <t>İtibar +1</t>
        </is>
      </c>
      <c r="G498" s="6" t="inlineStr">
        <is>
          <t>Bulaşığı yine sen yıkadın. Ev arkadaşın temiz lavaboya baktı: “Bu ev kendini temizliyor kanka.” Annene anlattın; annen güldü, sonra babana baktı.</t>
        </is>
      </c>
      <c r="H498" s="6" t="inlineStr"/>
      <c r="I498" s="6" t="inlineStr"/>
      <c r="J498" s="6" t="inlineStr"/>
      <c r="K498" s="6" t="inlineStr"/>
      <c r="L498" s="6" t="inlineStr"/>
      <c r="M498" s="5" t="inlineStr"/>
      <c r="N498" s="5" t="inlineStr"/>
      <c r="O498" s="6" t="inlineStr"/>
      <c r="P498" s="6" t="inlineStr"/>
      <c r="Q498" s="5" t="inlineStr"/>
      <c r="R498" s="5" t="inlineStr"/>
      <c r="S498" s="5" t="inlineStr"/>
      <c r="T498" s="5" t="inlineStr"/>
      <c r="U498" s="5" t="inlineStr"/>
      <c r="V498" s="5" t="inlineStr"/>
      <c r="W498" s="5" t="inlineStr"/>
      <c r="X498" s="5" t="inlineStr"/>
      <c r="Y498" s="5" t="inlineStr"/>
      <c r="Z498" s="6" t="inlineStr"/>
      <c r="AA498" s="5" t="inlineStr"/>
      <c r="AB498" s="5" t="inlineStr"/>
      <c r="AC498" s="5" t="inlineStr"/>
      <c r="AD498" s="5" t="inlineStr"/>
      <c r="AE498" s="5" t="inlineStr"/>
      <c r="AF498" s="5" t="inlineStr"/>
      <c r="AG498" s="5" t="inlineStr"/>
      <c r="AH498" s="5" t="inlineStr"/>
      <c r="AI498" s="5" t="inlineStr"/>
      <c r="AJ498" s="5" t="inlineStr"/>
    </row>
    <row r="499">
      <c r="A499" s="5" t="inlineStr">
        <is>
          <t>b6-ev-arkadasi</t>
        </is>
      </c>
      <c r="B499" s="5" t="n">
        <v>2</v>
      </c>
      <c r="C499" s="6" t="inlineStr">
        <is>
          <t>Görev çizelgesi as</t>
        </is>
      </c>
      <c r="D499" s="5" t="inlineStr">
        <is>
          <t>Akıl</t>
        </is>
      </c>
      <c r="E499" s="5" t="inlineStr">
        <is>
          <t>Orta</t>
        </is>
      </c>
      <c r="F499" s="5" t="inlineStr"/>
      <c r="G499" s="6" t="inlineStr"/>
      <c r="H499" s="6" t="inlineStr">
        <is>
          <t>Çizelge ilk hafta işledi. İkinci hafta o da bulaşığın altında kaldı.</t>
        </is>
      </c>
      <c r="I499" s="6" t="inlineStr">
        <is>
          <t>Ev arkadaşın her pazar bulaşık yıkıyor ve bunu bir aile geleneği sanıyor.</t>
        </is>
      </c>
      <c r="J499" s="6" t="inlineStr">
        <is>
          <t>Ev arkadaşın çizelgenin altına gülen bir surat çizdi. Bulaşık aynı yerde.</t>
        </is>
      </c>
      <c r="K499" s="6" t="inlineStr">
        <is>
          <t>Çizelgeyi buzdolabına astın; isimlerin yanına renkli yıldızlar koydun. Ev arkadaşın çizelgeye baktı, sonra sana: “Annem gibisin.” O günden beri seninle konuşmuyor; bulaşığı zaten yıkamıyordu.</t>
        </is>
      </c>
      <c r="L499" s="6" t="inlineStr"/>
      <c r="M499" s="5" t="inlineStr"/>
      <c r="N499" s="5" t="inlineStr"/>
      <c r="O499" s="6" t="inlineStr"/>
      <c r="P499" s="6" t="inlineStr"/>
      <c r="Q499" s="5" t="inlineStr"/>
      <c r="R499" s="5" t="inlineStr"/>
      <c r="S499" s="5" t="inlineStr"/>
      <c r="T499" s="5" t="inlineStr"/>
      <c r="U499" s="5" t="inlineStr"/>
      <c r="V499" s="5" t="inlineStr"/>
      <c r="W499" s="5" t="inlineStr"/>
      <c r="X499" s="5" t="inlineStr"/>
      <c r="Y499" s="5" t="inlineStr"/>
      <c r="Z499" s="6" t="inlineStr"/>
      <c r="AA499" s="5" t="inlineStr"/>
      <c r="AB499" s="5" t="inlineStr"/>
      <c r="AC499" s="5" t="inlineStr"/>
      <c r="AD499" s="5" t="inlineStr"/>
      <c r="AE499" s="5" t="inlineStr"/>
      <c r="AF499" s="5" t="inlineStr"/>
      <c r="AG499" s="5" t="inlineStr"/>
      <c r="AH499" s="5" t="inlineStr"/>
      <c r="AI499" s="5" t="inlineStr"/>
      <c r="AJ499" s="5" t="inlineStr"/>
    </row>
    <row r="500">
      <c r="A500" s="5" t="inlineStr">
        <is>
          <t>b6-ev-arkadasi</t>
        </is>
      </c>
      <c r="B500" s="5" t="n">
        <v>3</v>
      </c>
      <c r="C500" s="6" t="inlineStr">
        <is>
          <t>Bütün tabakları sakla</t>
        </is>
      </c>
      <c r="D500" s="5" t="inlineStr">
        <is>
          <t>Kurnazlık</t>
        </is>
      </c>
      <c r="E500" s="5" t="inlineStr">
        <is>
          <t>Kolay</t>
        </is>
      </c>
      <c r="F500" s="5" t="inlineStr"/>
      <c r="G500" s="6" t="inlineStr"/>
      <c r="H500" s="6" t="inlineStr">
        <is>
          <t>İki gün sonra bulaşık yıkandı, çünkü evde tek tabak kalmıştı.</t>
        </is>
      </c>
      <c r="I500" s="6" t="inlineStr">
        <is>
          <t>İki gün sonra ev arkadaşın lavabonun dibini ilk kez gördü: “Ne güzel lavaboymuş.” O akşamdan beri her gün yıkıyor. Tabakların nereye gittiğini hâlâ sormadı.</t>
        </is>
      </c>
      <c r="J500" s="6" t="inlineStr">
        <is>
          <t>Ev arkadaşın tencereden yemeye başladı.</t>
        </is>
      </c>
      <c r="K500" s="6" t="inlineStr">
        <is>
          <t>Ev arkadaşın taşındığını sandı. Odanı kiraya vermek için ilan açtı.</t>
        </is>
      </c>
      <c r="L500" s="6" t="inlineStr"/>
      <c r="M500" s="5" t="inlineStr"/>
      <c r="N500" s="5" t="inlineStr"/>
      <c r="O500" s="6" t="inlineStr"/>
      <c r="P500" s="6" t="inlineStr"/>
      <c r="Q500" s="5" t="inlineStr"/>
      <c r="R500" s="5" t="inlineStr"/>
      <c r="S500" s="5" t="inlineStr">
        <is>
          <t>Sosyal Radar</t>
        </is>
      </c>
      <c r="T500" s="5" t="inlineStr"/>
      <c r="U500" s="5" t="inlineStr"/>
      <c r="V500" s="5" t="inlineStr"/>
      <c r="W500" s="5" t="inlineStr"/>
      <c r="X500" s="5" t="inlineStr"/>
      <c r="Y500" s="5" t="inlineStr"/>
      <c r="Z500" s="6" t="inlineStr"/>
      <c r="AA500" s="5" t="inlineStr"/>
      <c r="AB500" s="5" t="inlineStr"/>
      <c r="AC500" s="5" t="inlineStr"/>
      <c r="AD500" s="5" t="inlineStr"/>
      <c r="AE500" s="5" t="inlineStr"/>
      <c r="AF500" s="5" t="inlineStr"/>
      <c r="AG500" s="5" t="inlineStr"/>
      <c r="AH500" s="5" t="inlineStr"/>
      <c r="AI500" s="5" t="inlineStr"/>
      <c r="AJ500" s="5" t="inlineStr"/>
    </row>
    <row r="501">
      <c r="A501" s="5" t="inlineStr">
        <is>
          <t>b6-ev-arkadasi</t>
        </is>
      </c>
      <c r="B501" s="5" t="n">
        <v>4</v>
      </c>
      <c r="C501" s="6" t="inlineStr">
        <is>
          <t>Açık konuş</t>
        </is>
      </c>
      <c r="D501" s="5" t="inlineStr">
        <is>
          <t>Cesaret</t>
        </is>
      </c>
      <c r="E501" s="5" t="inlineStr">
        <is>
          <t>Orta</t>
        </is>
      </c>
      <c r="F501" s="5" t="inlineStr"/>
      <c r="G501" s="6" t="inlineStr"/>
      <c r="H501" s="6" t="inlineStr">
        <is>
          <t>Özür diledi ve üç hafta boyunca yıkadı. Sonra mevsim değişti.</t>
        </is>
      </c>
      <c r="I501" s="6" t="inlineStr">
        <is>
          <t>Açık konuştun. Ev arkadaşının annesi o hafta ziyarete geldi, lavaboyu gördü, sustu. Ertesi hafta kargoyla bir bulaşık makinesi geldi; kutunun üstünde “Kusura bakma evladım” yazıyordu.</t>
        </is>
      </c>
      <c r="J501" s="6" t="inlineStr">
        <is>
          <t>'Haklısın' dedi. Haklılık bulaşık yıkamıyor.</t>
        </is>
      </c>
      <c r="K501" s="6" t="inlineStr">
        <is>
          <t>Konuştun. O da gece üçte çalıştırdığın mikseri, banyoda söylediğin şarkıları ve geri vermediğin şarjı saydı. Onun listesi daha uzun çıktı; bulaşıkları artık sen yıkıyorsun.</t>
        </is>
      </c>
      <c r="L501" s="6" t="inlineStr"/>
      <c r="M501" s="5" t="inlineStr"/>
      <c r="N501" s="5" t="inlineStr"/>
      <c r="O501" s="6" t="inlineStr"/>
      <c r="P501" s="6" t="inlineStr"/>
      <c r="Q501" s="5" t="inlineStr"/>
      <c r="R501" s="5" t="inlineStr"/>
      <c r="S501" s="5" t="inlineStr"/>
      <c r="T501" s="5" t="inlineStr"/>
      <c r="U501" s="5" t="inlineStr"/>
      <c r="V501" s="5" t="inlineStr"/>
      <c r="W501" s="5" t="inlineStr"/>
      <c r="X501" s="5" t="inlineStr"/>
      <c r="Y501" s="5" t="inlineStr"/>
      <c r="Z501" s="6" t="inlineStr"/>
      <c r="AA501" s="5" t="inlineStr"/>
      <c r="AB501" s="5" t="inlineStr"/>
      <c r="AC501" s="5" t="inlineStr"/>
      <c r="AD501" s="5" t="inlineStr"/>
      <c r="AE501" s="5" t="inlineStr"/>
      <c r="AF501" s="5" t="inlineStr"/>
      <c r="AG501" s="5" t="inlineStr"/>
      <c r="AH501" s="5" t="inlineStr"/>
      <c r="AI501" s="5" t="inlineStr"/>
      <c r="AJ501" s="5" t="inlineStr"/>
    </row>
    <row r="502">
      <c r="A502" s="5" t="inlineStr">
        <is>
          <t>b6-staj</t>
        </is>
      </c>
      <c r="B502" s="5" t="n">
        <v>1</v>
      </c>
      <c r="C502" s="6" t="inlineStr">
        <is>
          <t>Fotokopi makinesini çöz</t>
        </is>
      </c>
      <c r="D502" s="5" t="inlineStr"/>
      <c r="E502" s="5" t="inlineStr"/>
      <c r="F502" s="5" t="inlineStr">
        <is>
          <t>Dayanıklılık +1, Akıl +1</t>
        </is>
      </c>
      <c r="G502" s="6" t="inlineStr">
        <is>
          <t>Sıkışan kâğıdı sadece sen çıkarabiliyorsun. Katta herkes sana “Fotokopi” diyor; asıl adını henüz bilen yok. Annen komşulara “Şirkette makinelerden bizimki sorumlu” diye anlattı.</t>
        </is>
      </c>
      <c r="H502" s="6" t="inlineStr"/>
      <c r="I502" s="6" t="inlineStr"/>
      <c r="J502" s="6" t="inlineStr"/>
      <c r="K502" s="6" t="inlineStr"/>
      <c r="L502" s="6" t="inlineStr"/>
      <c r="M502" s="5" t="inlineStr"/>
      <c r="N502" s="5" t="inlineStr"/>
      <c r="O502" s="6" t="inlineStr"/>
      <c r="P502" s="6" t="inlineStr"/>
      <c r="Q502" s="5" t="inlineStr"/>
      <c r="R502" s="5" t="inlineStr"/>
      <c r="S502" s="5" t="inlineStr"/>
      <c r="T502" s="5" t="inlineStr"/>
      <c r="U502" s="5" t="inlineStr"/>
      <c r="V502" s="5" t="inlineStr"/>
      <c r="W502" s="5" t="inlineStr"/>
      <c r="X502" s="5" t="inlineStr"/>
      <c r="Y502" s="5" t="inlineStr"/>
      <c r="Z502" s="6" t="inlineStr"/>
      <c r="AA502" s="5" t="inlineStr"/>
      <c r="AB502" s="5" t="inlineStr"/>
      <c r="AC502" s="5" t="inlineStr"/>
      <c r="AD502" s="5" t="inlineStr"/>
      <c r="AE502" s="5" t="inlineStr"/>
      <c r="AF502" s="5" t="inlineStr"/>
      <c r="AG502" s="5" t="inlineStr"/>
      <c r="AH502" s="5" t="inlineStr"/>
      <c r="AI502" s="5" t="inlineStr"/>
      <c r="AJ502" s="5" t="inlineStr"/>
    </row>
    <row r="503">
      <c r="A503" s="5" t="inlineStr">
        <is>
          <t>b6-staj</t>
        </is>
      </c>
      <c r="B503" s="5" t="n">
        <v>2</v>
      </c>
      <c r="C503" s="6" t="inlineStr">
        <is>
          <t>Kahve makinesindeki adamla sohbet et</t>
        </is>
      </c>
      <c r="D503" s="5" t="inlineStr">
        <is>
          <t>Sosyal Radar</t>
        </is>
      </c>
      <c r="E503" s="5" t="inlineStr">
        <is>
          <t>Zor</t>
        </is>
      </c>
      <c r="F503" s="5" t="inlineStr"/>
      <c r="G503" s="6" t="inlineStr"/>
      <c r="H503" s="6" t="inlineStr">
        <is>
          <t>Sohbetin sonunda seni bir toplantıya çağırdı. Not tutacaksın ama odadasın.</t>
        </is>
      </c>
      <c r="I503" s="6" t="inlineStr">
        <is>
          <t>Staj bitiminde kahve makinesindeki adam bir telefon açtı: “Bu çocuğu kaçırmayın.” Meğer şirketin ilk çalışanıymış; otuz yıldır sadece kahve içiyor, herkes onu dinliyor.</t>
        </is>
      </c>
      <c r="J503" s="6" t="inlineStr">
        <is>
          <t>Adam emekliliğine dört ay kaldığını anlattı. Dört ay boyunca.</t>
        </is>
      </c>
      <c r="K503" s="6" t="inlineStr">
        <is>
          <t>Adamla şirketin dedikodusunu yaptın; en çok da genel müdürünkini. Adam sonuna kadar dinledi, kahvesini aldı, asansöre bindi. En üst kata bastı.</t>
        </is>
      </c>
      <c r="L503" s="6" t="inlineStr"/>
      <c r="M503" s="5" t="inlineStr"/>
      <c r="N503" s="5" t="inlineStr"/>
      <c r="O503" s="6" t="inlineStr"/>
      <c r="P503" s="6" t="inlineStr"/>
      <c r="Q503" s="5" t="inlineStr"/>
      <c r="R503" s="5" t="inlineStr"/>
      <c r="S503" s="5" t="inlineStr">
        <is>
          <t>Sosyal Radar</t>
        </is>
      </c>
      <c r="T503" s="5" t="inlineStr">
        <is>
          <t>Selamı Var</t>
        </is>
      </c>
      <c r="U503" s="5" t="inlineStr"/>
      <c r="V503" s="5" t="inlineStr"/>
      <c r="W503" s="5" t="inlineStr"/>
      <c r="X503" s="5" t="inlineStr"/>
      <c r="Y503" s="5" t="inlineStr"/>
      <c r="Z503" s="6" t="inlineStr"/>
      <c r="AA503" s="5" t="inlineStr"/>
      <c r="AB503" s="5" t="inlineStr"/>
      <c r="AC503" s="5" t="inlineStr"/>
      <c r="AD503" s="5" t="inlineStr"/>
      <c r="AE503" s="5" t="inlineStr"/>
      <c r="AF503" s="5" t="inlineStr"/>
      <c r="AG503" s="5" t="inlineStr"/>
      <c r="AH503" s="5" t="inlineStr"/>
      <c r="AI503" s="5" t="inlineStr"/>
      <c r="AJ503" s="5" t="inlineStr"/>
    </row>
    <row r="504">
      <c r="A504" s="5" t="inlineStr">
        <is>
          <t>b6-staj</t>
        </is>
      </c>
      <c r="B504" s="5" t="n">
        <v>3</v>
      </c>
      <c r="C504" s="6" t="inlineStr">
        <is>
          <t>Şirketin dev tablosunu düzelt</t>
        </is>
      </c>
      <c r="D504" s="5" t="inlineStr">
        <is>
          <t>Akıl</t>
        </is>
      </c>
      <c r="E504" s="5" t="inlineStr">
        <is>
          <t>Orta</t>
        </is>
      </c>
      <c r="F504" s="5" t="inlineStr"/>
      <c r="G504" s="6" t="inlineStr"/>
      <c r="H504" s="6" t="inlineStr">
        <is>
          <t>Formül hatasını buldun. Şirket geçen yılı zararla kapatmamış.</t>
        </is>
      </c>
      <c r="I504" s="6" t="inlineStr">
        <is>
          <t>Tabloyu otomatikleştirdin. Bir çalışanın haftalık işi üç dakikaya indi. O çalışan seni hiç affetmedi.</t>
        </is>
      </c>
      <c r="J504" s="6" t="inlineStr">
        <is>
          <t>Düzelttin. Kimse fark etmedi, çünkü kimse açmıyormuş.</t>
        </is>
      </c>
      <c r="K504" s="6" t="inlineStr">
        <is>
          <t>Düzeltirken bütün sayfayı sildin. Yedek yokmuş. Muhasebedeki abla üç gece mesaiye kaldı, sen de yanında. Her sabah ona simit aldın; hiçbirini yemedi.</t>
        </is>
      </c>
      <c r="L504" s="6" t="inlineStr"/>
      <c r="M504" s="5" t="inlineStr"/>
      <c r="N504" s="5" t="inlineStr"/>
      <c r="O504" s="6" t="inlineStr"/>
      <c r="P504" s="6" t="inlineStr"/>
      <c r="Q504" s="5" t="inlineStr"/>
      <c r="R504" s="5" t="inlineStr"/>
      <c r="S504" s="5" t="inlineStr"/>
      <c r="T504" s="5" t="inlineStr"/>
      <c r="U504" s="5" t="inlineStr"/>
      <c r="V504" s="5" t="inlineStr"/>
      <c r="W504" s="5" t="inlineStr"/>
      <c r="X504" s="5" t="inlineStr"/>
      <c r="Y504" s="5" t="inlineStr"/>
      <c r="Z504" s="6" t="inlineStr"/>
      <c r="AA504" s="5" t="inlineStr"/>
      <c r="AB504" s="5" t="inlineStr"/>
      <c r="AC504" s="5" t="inlineStr"/>
      <c r="AD504" s="5" t="inlineStr"/>
      <c r="AE504" s="5" t="inlineStr"/>
      <c r="AF504" s="5" t="inlineStr"/>
      <c r="AG504" s="5" t="inlineStr"/>
      <c r="AH504" s="5" t="inlineStr"/>
      <c r="AI504" s="5" t="inlineStr"/>
      <c r="AJ504" s="5" t="inlineStr"/>
    </row>
    <row r="505">
      <c r="A505" s="5" t="inlineStr">
        <is>
          <t>b6-staj</t>
        </is>
      </c>
      <c r="B505" s="5" t="n">
        <v>4</v>
      </c>
      <c r="C505" s="6" t="inlineStr">
        <is>
          <t>Toplantıda söz iste</t>
        </is>
      </c>
      <c r="D505" s="5" t="inlineStr">
        <is>
          <t>Pişkinlik</t>
        </is>
      </c>
      <c r="E505" s="5" t="inlineStr">
        <is>
          <t>Zor</t>
        </is>
      </c>
      <c r="F505" s="5" t="inlineStr"/>
      <c r="G505" s="6" t="inlineStr"/>
      <c r="H505" s="6" t="inlineStr">
        <is>
          <t>Bir fikir söyledin. Müdür 'Güzel, not alalım' dedi. Not alan sen oldun.</t>
        </is>
      </c>
      <c r="I505" s="6" t="inlineStr">
        <is>
          <t>Fikrin uygulandı. Sunumda başka birinin adıyla, ama uygulandı.</t>
        </is>
      </c>
      <c r="J505" s="6" t="inlineStr">
        <is>
          <t>Söz istedin, toplantı bitti. Elin havada kaldı.</t>
        </is>
      </c>
      <c r="K505" s="6" t="inlineStr">
        <is>
          <t>Söz alıp konuştun, sonra mikrofonu kapattığını sandın. Yarım saat boyunca annene telefonda müdürü anlattığını bütün toplantı dinledi. Müdür sonunda “Annenize selam söyleyin” dedi.</t>
        </is>
      </c>
      <c r="L505" s="6" t="inlineStr"/>
      <c r="M505" s="5" t="inlineStr"/>
      <c r="N505" s="5" t="inlineStr"/>
      <c r="O505" s="6" t="inlineStr"/>
      <c r="P505" s="6" t="inlineStr"/>
      <c r="Q505" s="5" t="inlineStr"/>
      <c r="R505" s="5" t="inlineStr"/>
      <c r="S505" s="5" t="inlineStr"/>
      <c r="T505" s="5" t="inlineStr"/>
      <c r="U505" s="5" t="inlineStr"/>
      <c r="V505" s="5" t="inlineStr"/>
      <c r="W505" s="5" t="inlineStr"/>
      <c r="X505" s="5" t="inlineStr"/>
      <c r="Y505" s="5" t="inlineStr"/>
      <c r="Z505" s="6" t="inlineStr"/>
      <c r="AA505" s="5" t="inlineStr"/>
      <c r="AB505" s="5" t="inlineStr"/>
      <c r="AC505" s="5" t="inlineStr"/>
      <c r="AD505" s="5" t="inlineStr"/>
      <c r="AE505" s="5" t="inlineStr"/>
      <c r="AF505" s="5" t="inlineStr"/>
      <c r="AG505" s="5" t="inlineStr"/>
      <c r="AH505" s="5" t="inlineStr"/>
      <c r="AI505" s="5" t="inlineStr"/>
      <c r="AJ505" s="5" t="inlineStr"/>
    </row>
    <row r="506">
      <c r="A506" s="5" t="inlineStr">
        <is>
          <t>b6-spor-salonu</t>
        </is>
      </c>
      <c r="B506" s="5" t="n">
        <v>1</v>
      </c>
      <c r="C506" s="6" t="inlineStr">
        <is>
          <t>Yıllık al, ayda bir git</t>
        </is>
      </c>
      <c r="D506" s="5" t="inlineStr"/>
      <c r="E506" s="5" t="inlineStr"/>
      <c r="F506" s="5" t="inlineStr">
        <is>
          <t>Pişkinlik +1</t>
        </is>
      </c>
      <c r="G506" s="6" t="inlineStr">
        <is>
          <t>Salon her ay “Seni özledik” mesajı atıyor. Yıl sonunda bir kez gittin; turnike kartını tanımadı.</t>
        </is>
      </c>
      <c r="H506" s="6" t="inlineStr"/>
      <c r="I506" s="6" t="inlineStr"/>
      <c r="J506" s="6" t="inlineStr"/>
      <c r="K506" s="6" t="inlineStr"/>
      <c r="L506" s="6" t="inlineStr"/>
      <c r="M506" s="5" t="inlineStr"/>
      <c r="N506" s="5" t="inlineStr"/>
      <c r="O506" s="6" t="inlineStr"/>
      <c r="P506" s="6" t="inlineStr"/>
      <c r="Q506" s="5" t="inlineStr"/>
      <c r="R506" s="5" t="inlineStr"/>
      <c r="S506" s="5" t="inlineStr"/>
      <c r="T506" s="5" t="inlineStr"/>
      <c r="U506" s="5" t="inlineStr"/>
      <c r="V506" s="5" t="inlineStr"/>
      <c r="W506" s="5" t="inlineStr"/>
      <c r="X506" s="5" t="inlineStr"/>
      <c r="Y506" s="5" t="inlineStr"/>
      <c r="Z506" s="6" t="inlineStr"/>
      <c r="AA506" s="5" t="inlineStr"/>
      <c r="AB506" s="5" t="inlineStr"/>
      <c r="AC506" s="5" t="inlineStr"/>
      <c r="AD506" s="5" t="inlineStr"/>
      <c r="AE506" s="5" t="inlineStr"/>
      <c r="AF506" s="5" t="inlineStr"/>
      <c r="AG506" s="5" t="inlineStr"/>
      <c r="AH506" s="5" t="inlineStr"/>
      <c r="AI506" s="5" t="inlineStr"/>
      <c r="AJ506" s="5" t="inlineStr"/>
    </row>
    <row r="507">
      <c r="A507" s="5" t="inlineStr">
        <is>
          <t>b6-spor-salonu</t>
        </is>
      </c>
      <c r="B507" s="5" t="n">
        <v>2</v>
      </c>
      <c r="C507" s="6" t="inlineStr">
        <is>
          <t>Düzenli git</t>
        </is>
      </c>
      <c r="D507" s="5" t="inlineStr">
        <is>
          <t>Dayanıklılık</t>
        </is>
      </c>
      <c r="E507" s="5" t="inlineStr">
        <is>
          <t>Zor</t>
        </is>
      </c>
      <c r="F507" s="5" t="inlineStr"/>
      <c r="G507" s="6" t="inlineStr"/>
      <c r="H507" s="6" t="inlineStr">
        <is>
          <t>Üç ay boyunca haftada üç gün gittin. Merdivenler artık seni değil, sen onları yoruyorsun.</t>
        </is>
      </c>
      <c r="I507" s="6" t="inlineStr">
        <is>
          <t>Bir yıl hiç aksatmadın. Görevli seni yeni üyelere örnek gösteriyor. Adını hâlâ bilmiyor.</t>
        </is>
      </c>
      <c r="J507" s="6" t="inlineStr">
        <is>
          <t>İlk hafta beş gün gittin. İkinci hafta merdiveni tırabzana tutunarak indin; annen “Hasta mısın?” deyip çorba yaptı. Ara verdin; ara hâlâ sürüyor.</t>
        </is>
      </c>
      <c r="K507" s="6" t="inlineStr">
        <is>
          <t>İlk gün en ağır ağırlıkla başladın. Üç gün boyunca merdivenleri geri geri indin.</t>
        </is>
      </c>
      <c r="L507" s="6" t="inlineStr"/>
      <c r="M507" s="5" t="inlineStr"/>
      <c r="N507" s="5" t="inlineStr"/>
      <c r="O507" s="6" t="inlineStr"/>
      <c r="P507" s="6" t="inlineStr"/>
      <c r="Q507" s="5" t="inlineStr"/>
      <c r="R507" s="5" t="inlineStr"/>
      <c r="S507" s="5" t="inlineStr"/>
      <c r="T507" s="5" t="inlineStr"/>
      <c r="U507" s="5" t="inlineStr"/>
      <c r="V507" s="5" t="inlineStr">
        <is>
          <t>sporcu</t>
        </is>
      </c>
      <c r="W507" s="5" t="inlineStr"/>
      <c r="X507" s="5" t="inlineStr"/>
      <c r="Y507" s="5" t="inlineStr"/>
      <c r="Z507" s="6" t="inlineStr"/>
      <c r="AA507" s="5" t="inlineStr"/>
      <c r="AB507" s="5" t="inlineStr"/>
      <c r="AC507" s="5" t="inlineStr"/>
      <c r="AD507" s="5" t="inlineStr"/>
      <c r="AE507" s="5" t="inlineStr"/>
      <c r="AF507" s="5" t="inlineStr"/>
      <c r="AG507" s="5" t="inlineStr"/>
      <c r="AH507" s="5" t="inlineStr"/>
      <c r="AI507" s="5" t="inlineStr"/>
      <c r="AJ507" s="5" t="inlineStr"/>
    </row>
    <row r="508">
      <c r="A508" s="5" t="inlineStr">
        <is>
          <t>b6-spor-salonu</t>
        </is>
      </c>
      <c r="B508" s="5" t="n">
        <v>3</v>
      </c>
      <c r="C508" s="6" t="inlineStr">
        <is>
          <t>Antrenörle pazarlık et</t>
        </is>
      </c>
      <c r="D508" s="5" t="inlineStr">
        <is>
          <t>Çene</t>
        </is>
      </c>
      <c r="E508" s="5" t="inlineStr">
        <is>
          <t>Orta</t>
        </is>
      </c>
      <c r="F508" s="5" t="inlineStr"/>
      <c r="G508" s="6" t="inlineStr"/>
      <c r="H508" s="6" t="inlineStr">
        <is>
          <t>Antrenör sana ücretsiz bir program yazdı. Üç kelime: 'Sadece gel, lütfen.'</t>
        </is>
      </c>
      <c r="I508" s="6" t="inlineStr">
        <is>
          <t>Ücretsiz özel ders aldın, sonra antrenör seni koşu grubuna kattı. Hafta sonları koşuyorsun.</t>
        </is>
      </c>
      <c r="J508" s="6" t="inlineStr">
        <is>
          <t>Antrenör paket satmaya çalıştı. Almadın. O da seni görmemeye başladı.</t>
        </is>
      </c>
      <c r="K508" s="6" t="inlineStr">
        <is>
          <t>Pazarlığın sonunda maaşının yarısına bir özel ders paketi aldın. Derslere de gitmedin.</t>
        </is>
      </c>
      <c r="L508" s="6" t="inlineStr"/>
      <c r="M508" s="5" t="inlineStr"/>
      <c r="N508" s="5" t="inlineStr"/>
      <c r="O508" s="6" t="inlineStr"/>
      <c r="P508" s="6" t="inlineStr"/>
      <c r="Q508" s="5" t="inlineStr"/>
      <c r="R508" s="5" t="inlineStr"/>
      <c r="S508" s="5" t="inlineStr"/>
      <c r="T508" s="5" t="inlineStr"/>
      <c r="U508" s="5" t="inlineStr"/>
      <c r="V508" s="5" t="inlineStr">
        <is>
          <t>sporcu</t>
        </is>
      </c>
      <c r="W508" s="5" t="inlineStr"/>
      <c r="X508" s="5" t="inlineStr"/>
      <c r="Y508" s="5" t="inlineStr"/>
      <c r="Z508" s="6" t="inlineStr"/>
      <c r="AA508" s="5" t="inlineStr"/>
      <c r="AB508" s="5" t="inlineStr"/>
      <c r="AC508" s="5" t="inlineStr"/>
      <c r="AD508" s="5" t="inlineStr"/>
      <c r="AE508" s="5" t="inlineStr"/>
      <c r="AF508" s="5" t="inlineStr"/>
      <c r="AG508" s="5" t="inlineStr"/>
      <c r="AH508" s="5" t="inlineStr"/>
      <c r="AI508" s="5" t="inlineStr"/>
      <c r="AJ508" s="5" t="inlineStr"/>
    </row>
    <row r="509">
      <c r="A509" s="5" t="inlineStr">
        <is>
          <t>b6-spor-salonu</t>
        </is>
      </c>
      <c r="B509" s="5" t="n">
        <v>4</v>
      </c>
      <c r="C509" s="6" t="inlineStr">
        <is>
          <t>Parktaki aletlere geç</t>
        </is>
      </c>
      <c r="D509" s="5" t="inlineStr">
        <is>
          <t>Kurnazlık</t>
        </is>
      </c>
      <c r="E509" s="5" t="inlineStr">
        <is>
          <t>Kolay</t>
        </is>
      </c>
      <c r="F509" s="5" t="inlineStr"/>
      <c r="G509" s="6" t="inlineStr"/>
      <c r="H509" s="6" t="inlineStr">
        <is>
          <t>Ücretsiz, açık hava, rakipler emekli. Bir teyze aletin başından kalkıp sana yer verdi: “Gel yavrum, sen daha gençsin, sen çevir.”</t>
        </is>
      </c>
      <c r="I509" s="6" t="inlineStr">
        <is>
          <t>Sabah koşan emekliler seni gruplarına aldı. Hepsi senden hızlı; ama dönüşte simit sırası sende. Yetmiş iki yaşındaki amca seni parkta herkese “bizim çaylak” diye tanıtıyor.</t>
        </is>
      </c>
      <c r="J509" s="6" t="inlineStr">
        <is>
          <t>Bir emekli, aleti yanlış kullandığını yirmi dakika anlattı.</t>
        </is>
      </c>
      <c r="K509" s="6" t="inlineStr">
        <is>
          <t>Dönen alete bindin; alet seni çevirdi, çevirmeye devam etti. Emekliler sırayla tutup indirdi. Ertesi sabah parkta sana “Günaydın Fırıldak” dediler.</t>
        </is>
      </c>
      <c r="L509" s="6" t="inlineStr"/>
      <c r="M509" s="5" t="inlineStr"/>
      <c r="N509" s="5" t="inlineStr"/>
      <c r="O509" s="6" t="inlineStr"/>
      <c r="P509" s="6" t="inlineStr"/>
      <c r="Q509" s="5" t="inlineStr"/>
      <c r="R509" s="5" t="inlineStr"/>
      <c r="S509" s="5" t="inlineStr"/>
      <c r="T509" s="5" t="inlineStr"/>
      <c r="U509" s="5" t="inlineStr"/>
      <c r="V509" s="5" t="inlineStr">
        <is>
          <t>sporcu</t>
        </is>
      </c>
      <c r="W509" s="5" t="inlineStr"/>
      <c r="X509" s="5" t="inlineStr"/>
      <c r="Y509" s="5" t="inlineStr"/>
      <c r="Z509" s="6" t="inlineStr"/>
      <c r="AA509" s="5" t="inlineStr"/>
      <c r="AB509" s="5" t="inlineStr"/>
      <c r="AC509" s="5" t="inlineStr"/>
      <c r="AD509" s="5" t="inlineStr"/>
      <c r="AE509" s="5" t="inlineStr"/>
      <c r="AF509" s="5" t="inlineStr"/>
      <c r="AG509" s="5" t="inlineStr"/>
      <c r="AH509" s="5" t="inlineStr"/>
      <c r="AI509" s="5" t="inlineStr">
        <is>
          <t>Fırıldak</t>
        </is>
      </c>
      <c r="AJ509" s="5" t="inlineStr"/>
    </row>
    <row r="510">
      <c r="A510" s="5" t="inlineStr">
        <is>
          <t>b6-degisim-programi</t>
        </is>
      </c>
      <c r="B510" s="5" t="n">
        <v>1</v>
      </c>
      <c r="C510" s="6" t="inlineStr">
        <is>
          <t>Başvurma, burada kal</t>
        </is>
      </c>
      <c r="D510" s="5" t="inlineStr"/>
      <c r="E510" s="5" t="inlineStr"/>
      <c r="F510" s="5" t="inlineStr">
        <is>
          <t>İtibar +1</t>
        </is>
      </c>
      <c r="G510" s="6" t="inlineStr">
        <is>
          <t>Kaldın. Gidenlerin hikâyelerini bir yıl dinledin. Hepsinin bir 'O akşam' hikâyesi vardı.</t>
        </is>
      </c>
      <c r="H510" s="6" t="inlineStr"/>
      <c r="I510" s="6" t="inlineStr"/>
      <c r="J510" s="6" t="inlineStr"/>
      <c r="K510" s="6" t="inlineStr"/>
      <c r="L510" s="6" t="inlineStr"/>
      <c r="M510" s="5" t="inlineStr"/>
      <c r="N510" s="5" t="inlineStr"/>
      <c r="O510" s="6" t="inlineStr"/>
      <c r="P510" s="6" t="inlineStr"/>
      <c r="Q510" s="5" t="inlineStr"/>
      <c r="R510" s="5" t="inlineStr"/>
      <c r="S510" s="5" t="inlineStr"/>
      <c r="T510" s="5" t="inlineStr"/>
      <c r="U510" s="5" t="inlineStr"/>
      <c r="V510" s="5" t="inlineStr"/>
      <c r="W510" s="5" t="inlineStr"/>
      <c r="X510" s="5" t="inlineStr"/>
      <c r="Y510" s="5" t="inlineStr"/>
      <c r="Z510" s="6" t="inlineStr"/>
      <c r="AA510" s="5" t="inlineStr"/>
      <c r="AB510" s="5" t="inlineStr"/>
      <c r="AC510" s="5" t="inlineStr"/>
      <c r="AD510" s="5" t="inlineStr"/>
      <c r="AE510" s="5" t="inlineStr"/>
      <c r="AF510" s="5" t="inlineStr"/>
      <c r="AG510" s="5" t="inlineStr"/>
      <c r="AH510" s="5" t="inlineStr"/>
      <c r="AI510" s="5" t="inlineStr"/>
      <c r="AJ510" s="5" t="inlineStr"/>
    </row>
    <row r="511">
      <c r="A511" s="5" t="inlineStr">
        <is>
          <t>b6-degisim-programi</t>
        </is>
      </c>
      <c r="B511" s="5" t="n">
        <v>2</v>
      </c>
      <c r="C511" s="6" t="inlineStr">
        <is>
          <t>Başvur</t>
        </is>
      </c>
      <c r="D511" s="5" t="inlineStr">
        <is>
          <t>Akıl</t>
        </is>
      </c>
      <c r="E511" s="5" t="inlineStr">
        <is>
          <t>Orta</t>
        </is>
      </c>
      <c r="F511" s="5" t="inlineStr"/>
      <c r="G511" s="6" t="inlineStr"/>
      <c r="H511" s="6" t="inlineStr">
        <is>
          <t>Kabul edildin. Bir dönem boyunca kahvaltıda düzgün peynir aradın. Bulamadın.</t>
        </is>
      </c>
      <c r="I511" s="6" t="inlineStr">
        <is>
          <t>Kabul edildin, dili de söktün. Döndüğünde cümlelerinin arasına oranın kelimelerini serpiştiriyorsun. Babaannen bir akşam dayanamadı: “Ya hep oralı konuş ya hep bizden; arada ben kayboluyorum.”</t>
        </is>
      </c>
      <c r="J511" s="6" t="inlineStr">
        <is>
          <t>Formun dördüncü sayfası eksikti. Dördüncü sayfanın var olduğunu kimse söylememişti.</t>
        </is>
      </c>
      <c r="K511" s="6" t="inlineStr">
        <is>
          <t>Kabul edildin, bavulu hazırladın, annen kuru fasulyeyi poşet poşet vakumladı. Vize reddedildi. Bavul bir dönem boyunca odanın köşesinde açılmadan durdu; kuru fasulyeyi annen bir akşam sessizce pişirdi.</t>
        </is>
      </c>
      <c r="L511" s="6" t="inlineStr"/>
      <c r="M511" s="5" t="inlineStr"/>
      <c r="N511" s="5" t="inlineStr"/>
      <c r="O511" s="6" t="inlineStr"/>
      <c r="P511" s="6" t="inlineStr"/>
      <c r="Q511" s="5" t="inlineStr"/>
      <c r="R511" s="5" t="inlineStr"/>
      <c r="S511" s="5" t="inlineStr"/>
      <c r="T511" s="5" t="inlineStr"/>
      <c r="U511" s="5" t="inlineStr"/>
      <c r="V511" s="5" t="inlineStr">
        <is>
          <t>yurtdisi-gordu</t>
        </is>
      </c>
      <c r="W511" s="5" t="inlineStr"/>
      <c r="X511" s="5" t="inlineStr"/>
      <c r="Y511" s="5" t="inlineStr"/>
      <c r="Z511" s="6" t="inlineStr"/>
      <c r="AA511" s="5" t="inlineStr"/>
      <c r="AB511" s="5" t="inlineStr"/>
      <c r="AC511" s="5" t="inlineStr"/>
      <c r="AD511" s="5" t="inlineStr"/>
      <c r="AE511" s="5" t="inlineStr"/>
      <c r="AF511" s="5" t="inlineStr"/>
      <c r="AG511" s="5" t="inlineStr"/>
      <c r="AH511" s="5" t="inlineStr"/>
      <c r="AI511" s="5" t="inlineStr"/>
      <c r="AJ511" s="5" t="inlineStr"/>
    </row>
    <row r="512">
      <c r="A512" s="5" t="inlineStr">
        <is>
          <t>b6-degisim-programi</t>
        </is>
      </c>
      <c r="B512" s="5" t="n">
        <v>3</v>
      </c>
      <c r="C512" s="6" t="inlineStr">
        <is>
          <t>Bursu beklemeden aileden destek iste</t>
        </is>
      </c>
      <c r="D512" s="5" t="inlineStr">
        <is>
          <t>Çene</t>
        </is>
      </c>
      <c r="E512" s="5" t="inlineStr">
        <is>
          <t>Zor</t>
        </is>
      </c>
      <c r="F512" s="5" t="inlineStr"/>
      <c r="G512" s="6" t="inlineStr"/>
      <c r="H512" s="6" t="inlineStr">
        <is>
          <t>Akşam yemeğinde, çaylar gelince konuyu açtın. Baban uzun uzun sustu, sonra “Her akşam görüntülü arayacaksın” dedi. Bu evde “evet” böyle söylenir.</t>
        </is>
      </c>
      <c r="I512" s="6" t="inlineStr">
        <is>
          <t>Annen hemen “Git” dedi; baban ertesi sabah bir zarfı sessizce masaya bıraktı. Bavulun yarısı tarhana, salça ve kuru fasulyeyle doldu. Havalimanında bavul fazla kilodan takıldı.</t>
        </is>
      </c>
      <c r="J512" s="6" t="inlineStr">
        <is>
          <t>Baban gözlüğünü çıkardı: “Bir dahaki sefere.” Bir dahaki seferin mezuniyetten sonra olduğu sonradan anlaşıldı.</t>
        </is>
      </c>
      <c r="K512" s="6" t="inlineStr">
        <is>
          <t>Sofrada oradaki kirayı söyledin. Baban çatalını bıraktı, annen “Orada ev mi alıyorsun?” dedi. Konu kapandı; tatlı da gelmedi.</t>
        </is>
      </c>
      <c r="L512" s="6" t="inlineStr"/>
      <c r="M512" s="5" t="inlineStr"/>
      <c r="N512" s="5" t="inlineStr"/>
      <c r="O512" s="6" t="inlineStr"/>
      <c r="P512" s="6" t="inlineStr"/>
      <c r="Q512" s="5" t="inlineStr"/>
      <c r="R512" s="5" t="inlineStr"/>
      <c r="S512" s="5" t="inlineStr"/>
      <c r="T512" s="5" t="inlineStr"/>
      <c r="U512" s="5" t="inlineStr"/>
      <c r="V512" s="5" t="inlineStr">
        <is>
          <t>yurtdisi-gordu</t>
        </is>
      </c>
      <c r="W512" s="5" t="inlineStr"/>
      <c r="X512" s="5" t="inlineStr"/>
      <c r="Y512" s="5" t="inlineStr"/>
      <c r="Z512" s="6" t="inlineStr"/>
      <c r="AA512" s="5" t="inlineStr"/>
      <c r="AB512" s="5" t="inlineStr"/>
      <c r="AC512" s="5" t="inlineStr"/>
      <c r="AD512" s="5" t="inlineStr"/>
      <c r="AE512" s="5" t="inlineStr"/>
      <c r="AF512" s="5" t="inlineStr"/>
      <c r="AG512" s="5" t="inlineStr"/>
      <c r="AH512" s="5" t="inlineStr"/>
      <c r="AI512" s="5" t="inlineStr"/>
      <c r="AJ512" s="5" t="inlineStr"/>
    </row>
    <row r="513">
      <c r="A513" s="5" t="inlineStr">
        <is>
          <t>b6-askerlik</t>
        </is>
      </c>
      <c r="B513" s="5" t="n">
        <v>1</v>
      </c>
      <c r="C513" s="6" t="inlineStr">
        <is>
          <t>Celbe uy, git</t>
        </is>
      </c>
      <c r="D513" s="5" t="inlineStr"/>
      <c r="E513" s="5" t="inlineStr"/>
      <c r="F513" s="5" t="inlineStr">
        <is>
          <t>İtibar +1, Dayanıklılık +1</t>
        </is>
      </c>
      <c r="G513" s="6" t="inlineStr">
        <is>
          <t>Saçını annen kesti, berber düzeltti, kışla sıfırladı. Gittiğin sabah kapının önünde konvoy kuruldu, kuzenler otobüsün önünde halaya durdu. Annen arkandan bir tas su döktü.</t>
        </is>
      </c>
      <c r="H513" s="6" t="inlineStr"/>
      <c r="I513" s="6" t="inlineStr"/>
      <c r="J513" s="6" t="inlineStr"/>
      <c r="K513" s="6" t="inlineStr"/>
      <c r="L513" s="6" t="inlineStr"/>
      <c r="M513" s="5" t="inlineStr"/>
      <c r="N513" s="5" t="inlineStr"/>
      <c r="O513" s="6" t="inlineStr"/>
      <c r="P513" s="6" t="inlineStr"/>
      <c r="Q513" s="5" t="inlineStr"/>
      <c r="R513" s="5" t="inlineStr"/>
      <c r="S513" s="5" t="inlineStr"/>
      <c r="T513" s="5" t="inlineStr"/>
      <c r="U513" s="5" t="inlineStr">
        <is>
          <t>askerlik-yapti</t>
        </is>
      </c>
      <c r="V513" s="5" t="inlineStr"/>
      <c r="W513" s="5" t="inlineStr"/>
      <c r="X513" s="5" t="inlineStr"/>
      <c r="Y513" s="5" t="n">
        <v>1</v>
      </c>
      <c r="Z513" s="6" t="inlineStr">
        <is>
          <t>Kışlanın ilk nöbetinde, “Sağlam” denilen tahta merdiveni denerken. Merdiven rapor edildi.</t>
        </is>
      </c>
      <c r="AA513" s="5" t="inlineStr"/>
      <c r="AB513" s="5" t="inlineStr"/>
      <c r="AC513" s="5" t="inlineStr"/>
      <c r="AD513" s="5" t="inlineStr"/>
      <c r="AE513" s="5" t="inlineStr"/>
      <c r="AF513" s="5" t="inlineStr"/>
      <c r="AG513" s="5" t="inlineStr"/>
      <c r="AH513" s="5" t="inlineStr"/>
      <c r="AI513" s="5" t="inlineStr"/>
      <c r="AJ513" s="5" t="inlineStr"/>
    </row>
    <row r="514">
      <c r="A514" s="5" t="inlineStr">
        <is>
          <t>b6-askerlik</t>
        </is>
      </c>
      <c r="B514" s="5" t="n">
        <v>2</v>
      </c>
      <c r="C514" s="6" t="inlineStr">
        <is>
          <t>Bedelli öde</t>
        </is>
      </c>
      <c r="D514" s="5" t="inlineStr"/>
      <c r="E514" s="5" t="inlineStr"/>
      <c r="F514" s="5" t="inlineStr">
        <is>
          <t>Pişkinlik +1</t>
        </is>
      </c>
      <c r="G514" s="6" t="inlineStr">
        <is>
          <t>Parayı bankaya yatırdın, dekontu çerçeveletmedin ama neredeyse. Tek nöbetin banka kuyruğundaydı; tuttun.</t>
        </is>
      </c>
      <c r="H514" s="6" t="inlineStr"/>
      <c r="I514" s="6" t="inlineStr"/>
      <c r="J514" s="6" t="inlineStr"/>
      <c r="K514" s="6" t="inlineStr"/>
      <c r="L514" s="6" t="inlineStr"/>
      <c r="M514" s="5" t="inlineStr"/>
      <c r="N514" s="5" t="inlineStr"/>
      <c r="O514" s="6" t="inlineStr"/>
      <c r="P514" s="6" t="inlineStr"/>
      <c r="Q514" s="5" t="inlineStr"/>
      <c r="R514" s="5" t="inlineStr"/>
      <c r="S514" s="5" t="inlineStr"/>
      <c r="T514" s="5" t="inlineStr"/>
      <c r="U514" s="5" t="inlineStr">
        <is>
          <t>bedelli</t>
        </is>
      </c>
      <c r="V514" s="5" t="inlineStr"/>
      <c r="W514" s="5" t="inlineStr"/>
      <c r="X514" s="5" t="inlineStr"/>
      <c r="Y514" s="5" t="inlineStr"/>
      <c r="Z514" s="6" t="inlineStr"/>
      <c r="AA514" s="5" t="inlineStr">
        <is>
          <t>Yalçın -1, Şen -1</t>
        </is>
      </c>
      <c r="AB514" s="5" t="inlineStr"/>
      <c r="AC514" s="5" t="inlineStr">
        <is>
          <t>Orta</t>
        </is>
      </c>
      <c r="AD514" s="5" t="inlineStr"/>
      <c r="AE514" s="5" t="inlineStr"/>
      <c r="AF514" s="5" t="inlineStr"/>
      <c r="AG514" s="5" t="inlineStr"/>
      <c r="AH514" s="5" t="inlineStr"/>
      <c r="AI514" s="5" t="inlineStr"/>
      <c r="AJ514" s="5" t="inlineStr"/>
    </row>
    <row r="515">
      <c r="A515" s="5" t="inlineStr">
        <is>
          <t>b6-askerlik</t>
        </is>
      </c>
      <c r="B515" s="5" t="n">
        <v>3</v>
      </c>
      <c r="C515" s="6" t="inlineStr">
        <is>
          <t>Heyette düztabanlığını anlat</t>
        </is>
      </c>
      <c r="D515" s="5" t="inlineStr">
        <is>
          <t>Kurnazlık</t>
        </is>
      </c>
      <c r="E515" s="5" t="inlineStr">
        <is>
          <t>Zor</t>
        </is>
      </c>
      <c r="F515" s="5" t="inlineStr"/>
      <c r="G515" s="6" t="inlineStr"/>
      <c r="H515" s="6" t="inlineStr">
        <is>
          <t>Heyete öyle bir düztaban hikâyesi anlattın ki doktor kendi ayağına baktı. Rapor çıktı: “Elverişsiz.” Ayakların o günden beri sessiz.</t>
        </is>
      </c>
      <c r="I515" s="6" t="inlineStr">
        <is>
          <t>Hikâyeni öyle anlattın ki heyetteki iki doktor da ayakkabısını çıkarıp kendi tabanına baktı. Rapor çıktı: “Elverişsiz.” Kapıdan çıkarken topallamayı unutmadın; sokağın köşesine kadar.</t>
        </is>
      </c>
      <c r="J515" s="6" t="inlineStr">
        <is>
          <t>Heyet dinledi, not aldı, seni en uzak birliğe yazdı. Düztabanlık orada da konuşuldu; yürüyüşte.</t>
        </is>
      </c>
      <c r="K515" s="6" t="inlineStr">
        <is>
          <t>Anlatırken önce sağ ayak dedin, sonra sol. Doktor ikisine de baktı: “Ayaklar sağlam, hafıza düz.” Kâğıdına “Acil celp” yazıldı.</t>
        </is>
      </c>
      <c r="L515" s="6" t="inlineStr"/>
      <c r="M515" s="5" t="inlineStr"/>
      <c r="N515" s="5" t="inlineStr"/>
      <c r="O515" s="6" t="inlineStr"/>
      <c r="P515" s="6" t="inlineStr"/>
      <c r="Q515" s="5" t="inlineStr"/>
      <c r="R515" s="5" t="inlineStr">
        <is>
          <t>yalanci</t>
        </is>
      </c>
      <c r="S515" s="5" t="inlineStr"/>
      <c r="T515" s="5" t="inlineStr"/>
      <c r="U515" s="5" t="inlineStr"/>
      <c r="V515" s="5" t="inlineStr">
        <is>
          <t>curuk-rapor</t>
        </is>
      </c>
      <c r="W515" s="5" t="inlineStr"/>
      <c r="X515" s="5" t="inlineStr"/>
      <c r="Y515" s="5" t="inlineStr"/>
      <c r="Z515" s="6" t="inlineStr"/>
      <c r="AA515" s="5" t="inlineStr">
        <is>
          <t>hepsi -1</t>
        </is>
      </c>
      <c r="AB515" s="5" t="inlineStr">
        <is>
          <t>askerlik-yapti</t>
        </is>
      </c>
      <c r="AC515" s="5" t="inlineStr"/>
      <c r="AD515" s="5" t="inlineStr"/>
      <c r="AE515" s="5" t="inlineStr"/>
      <c r="AF515" s="5" t="inlineStr"/>
      <c r="AG515" s="5" t="inlineStr"/>
      <c r="AH515" s="5" t="inlineStr"/>
      <c r="AI515" s="5" t="inlineStr"/>
      <c r="AJ515" s="5" t="inlineStr"/>
    </row>
    <row r="516">
      <c r="A516" s="5" t="inlineStr">
        <is>
          <t>b6-okusaydin</t>
        </is>
      </c>
      <c r="B516" s="5" t="n">
        <v>1</v>
      </c>
      <c r="C516" s="6" t="inlineStr">
        <is>
          <t>Gülümse ve tatlı ye</t>
        </is>
      </c>
      <c r="D516" s="5" t="inlineStr"/>
      <c r="E516" s="5" t="inlineStr"/>
      <c r="F516" s="5" t="inlineStr">
        <is>
          <t>Dayanıklılık +1</t>
        </is>
      </c>
      <c r="G516" s="6" t="inlineStr">
        <is>
          <t>Dördüne de gülümsedin. Dört dilim yedin. Bu masada kimse kazanamadı.</t>
        </is>
      </c>
      <c r="H516" s="6" t="inlineStr"/>
      <c r="I516" s="6" t="inlineStr"/>
      <c r="J516" s="6" t="inlineStr"/>
      <c r="K516" s="6" t="inlineStr"/>
      <c r="L516" s="6" t="inlineStr"/>
      <c r="M516" s="5" t="inlineStr"/>
      <c r="N516" s="5" t="inlineStr"/>
      <c r="O516" s="6" t="inlineStr"/>
      <c r="P516" s="6" t="inlineStr"/>
      <c r="Q516" s="5" t="inlineStr"/>
      <c r="R516" s="5" t="inlineStr"/>
      <c r="S516" s="5" t="inlineStr"/>
      <c r="T516" s="5" t="inlineStr"/>
      <c r="U516" s="5" t="inlineStr"/>
      <c r="V516" s="5" t="inlineStr"/>
      <c r="W516" s="5" t="inlineStr"/>
      <c r="X516" s="5" t="inlineStr"/>
      <c r="Y516" s="5" t="inlineStr"/>
      <c r="Z516" s="6" t="inlineStr"/>
      <c r="AA516" s="5" t="inlineStr"/>
      <c r="AB516" s="5" t="inlineStr"/>
      <c r="AC516" s="5" t="inlineStr"/>
      <c r="AD516" s="5" t="inlineStr"/>
      <c r="AE516" s="5" t="inlineStr"/>
      <c r="AF516" s="5" t="inlineStr"/>
      <c r="AG516" s="5" t="inlineStr"/>
      <c r="AH516" s="5" t="inlineStr"/>
      <c r="AI516" s="5" t="inlineStr"/>
      <c r="AJ516" s="5" t="inlineStr"/>
    </row>
    <row r="517">
      <c r="A517" s="5" t="inlineStr">
        <is>
          <t>b6-okusaydin</t>
        </is>
      </c>
      <c r="B517" s="5" t="n">
        <v>2</v>
      </c>
      <c r="C517" s="6" t="inlineStr">
        <is>
          <t>Maaşını açıkla</t>
        </is>
      </c>
      <c r="D517" s="5" t="inlineStr">
        <is>
          <t>Pişkinlik</t>
        </is>
      </c>
      <c r="E517" s="5" t="inlineStr">
        <is>
          <t>Orta</t>
        </is>
      </c>
      <c r="F517" s="5" t="inlineStr"/>
      <c r="G517" s="6" t="inlineStr"/>
      <c r="H517" s="6" t="inlineStr">
        <is>
          <t>Maaşını söyledin. Masada kısa bir sessizlik oldu; teyzen çatalını bırakıp eniştene baktı. Eniştenin maaşından fazlaymış. Konu hızla gelinin elbisesine geçti.</t>
        </is>
      </c>
      <c r="I517" s="6" t="inlineStr">
        <is>
          <t>Teyze, üniversitedeki oğluna senin gibi çalışmasını önerdi. Oğlu duydu.</t>
        </is>
      </c>
      <c r="J517" s="6" t="inlineStr">
        <is>
          <t>Maaşını söyledin. Amcan telefonundan hesap makinesini açtı: “Okusaydın bunun iki katı olurdu.” Kaç olacağını sordun; o kısmı hesaplamadı.</t>
        </is>
      </c>
      <c r="K517" s="6" t="inlineStr">
        <is>
          <t>Maaşını söyledin. O gece iki akraba senden borç istedi.</t>
        </is>
      </c>
      <c r="L517" s="6" t="inlineStr"/>
      <c r="M517" s="5" t="inlineStr"/>
      <c r="N517" s="5" t="inlineStr"/>
      <c r="O517" s="6" t="inlineStr"/>
      <c r="P517" s="6" t="inlineStr"/>
      <c r="Q517" s="5" t="inlineStr"/>
      <c r="R517" s="5" t="inlineStr"/>
      <c r="S517" s="5" t="inlineStr"/>
      <c r="T517" s="5" t="inlineStr"/>
      <c r="U517" s="5" t="inlineStr"/>
      <c r="V517" s="5" t="inlineStr"/>
      <c r="W517" s="5" t="inlineStr"/>
      <c r="X517" s="5" t="inlineStr"/>
      <c r="Y517" s="5" t="inlineStr"/>
      <c r="Z517" s="6" t="inlineStr"/>
      <c r="AA517" s="5" t="inlineStr"/>
      <c r="AB517" s="5" t="inlineStr"/>
      <c r="AC517" s="5" t="inlineStr"/>
      <c r="AD517" s="5" t="inlineStr"/>
      <c r="AE517" s="5" t="inlineStr"/>
      <c r="AF517" s="5" t="inlineStr"/>
      <c r="AG517" s="5" t="inlineStr"/>
      <c r="AH517" s="5" t="inlineStr"/>
      <c r="AI517" s="5" t="inlineStr"/>
      <c r="AJ517" s="5" t="inlineStr"/>
    </row>
    <row r="518">
      <c r="A518" s="5" t="inlineStr">
        <is>
          <t>b6-okusaydin</t>
        </is>
      </c>
      <c r="B518" s="5" t="n">
        <v>3</v>
      </c>
      <c r="C518" s="6" t="inlineStr">
        <is>
          <t>Teyzenin oğlunu sor</t>
        </is>
      </c>
      <c r="D518" s="5" t="inlineStr">
        <is>
          <t>Sosyal Radar</t>
        </is>
      </c>
      <c r="E518" s="5" t="inlineStr">
        <is>
          <t>Kolay</t>
        </is>
      </c>
      <c r="F518" s="5" t="inlineStr"/>
      <c r="G518" s="6" t="inlineStr"/>
      <c r="H518" s="6" t="inlineStr">
        <is>
          <t>'Oğlunuz ne durumda?' dedin. Teyze konuyu hemen gelinliğe çevirdi.</t>
        </is>
      </c>
      <c r="I518" s="6" t="inlineStr">
        <is>
          <t>Bütün masa teyzeye döndü. Sen sessizce ikinci tatlıyı aldın.</t>
        </is>
      </c>
      <c r="J518" s="6" t="inlineStr">
        <is>
          <t>Oğlu yüksek lisansa başlamış. Yenildin.</t>
        </is>
      </c>
      <c r="K518" s="6" t="inlineStr">
        <is>
          <t>Oğlu yan masadaymış. Duydu, geldi, kendi hikâyesini anlattı. Kırk dakika.</t>
        </is>
      </c>
      <c r="L518" s="6" t="inlineStr"/>
      <c r="M518" s="5" t="inlineStr"/>
      <c r="N518" s="5" t="inlineStr"/>
      <c r="O518" s="6" t="inlineStr"/>
      <c r="P518" s="6" t="inlineStr"/>
      <c r="Q518" s="5" t="inlineStr"/>
      <c r="R518" s="5" t="inlineStr"/>
      <c r="S518" s="5" t="inlineStr">
        <is>
          <t>Sosyal Radar</t>
        </is>
      </c>
      <c r="T518" s="5" t="inlineStr"/>
      <c r="U518" s="5" t="inlineStr"/>
      <c r="V518" s="5" t="inlineStr"/>
      <c r="W518" s="5" t="inlineStr"/>
      <c r="X518" s="5" t="inlineStr"/>
      <c r="Y518" s="5" t="inlineStr"/>
      <c r="Z518" s="6" t="inlineStr"/>
      <c r="AA518" s="5" t="inlineStr"/>
      <c r="AB518" s="5" t="inlineStr"/>
      <c r="AC518" s="5" t="inlineStr"/>
      <c r="AD518" s="5" t="inlineStr"/>
      <c r="AE518" s="5" t="inlineStr"/>
      <c r="AF518" s="5" t="inlineStr"/>
      <c r="AG518" s="5" t="inlineStr"/>
      <c r="AH518" s="5" t="inlineStr"/>
      <c r="AI518" s="5" t="inlineStr"/>
      <c r="AJ518" s="5" t="inlineStr"/>
    </row>
    <row r="519">
      <c r="A519" s="5" t="inlineStr">
        <is>
          <t>b6-okusaydin</t>
        </is>
      </c>
      <c r="B519" s="5" t="n">
        <v>4</v>
      </c>
      <c r="C519" s="6" t="inlineStr">
        <is>
          <t>Kendinle dalga geç</t>
        </is>
      </c>
      <c r="D519" s="5" t="inlineStr">
        <is>
          <t>Pişkinlik</t>
        </is>
      </c>
      <c r="E519" s="5" t="inlineStr">
        <is>
          <t>Kolay</t>
        </is>
      </c>
      <c r="F519" s="5" t="inlineStr"/>
      <c r="G519" s="6" t="inlineStr"/>
      <c r="H519" s="6" t="inlineStr">
        <is>
          <t>'Ben okusaydım kim çalışacaktı?' dedin. Masa güldü, konu kapandı.</t>
        </is>
      </c>
      <c r="I519" s="6" t="inlineStr">
        <is>
          <t>Espri bütün düğün boyunca masadan masaya dolaştı. Gelin bile tekrarladı.</t>
        </is>
      </c>
      <c r="J519" s="6" t="inlineStr">
        <is>
          <t>Kimse gülmedi. Teyze başını salladı: 'Okusaydın espri de öğrenirdin.'</t>
        </is>
      </c>
      <c r="K519" s="6" t="inlineStr">
        <is>
          <t>Kendinle dalga geçtin; masa güldü. Sonra herkes kendi esprisini ekledi. Gece sonunda sağdıç mikrofonu aldı: “Okusaydı bunu da bilirdi!” Esprini sen başlattın; bitiremedin.</t>
        </is>
      </c>
      <c r="L519" s="6" t="inlineStr"/>
      <c r="M519" s="5" t="inlineStr"/>
      <c r="N519" s="5" t="inlineStr"/>
      <c r="O519" s="6" t="inlineStr"/>
      <c r="P519" s="6" t="inlineStr"/>
      <c r="Q519" s="5" t="inlineStr">
        <is>
          <t>Kendine Gülebilir</t>
        </is>
      </c>
      <c r="R519" s="5" t="inlineStr"/>
      <c r="S519" s="5" t="inlineStr"/>
      <c r="T519" s="5" t="inlineStr"/>
      <c r="U519" s="5" t="inlineStr"/>
      <c r="V519" s="5" t="inlineStr"/>
      <c r="W519" s="5" t="inlineStr"/>
      <c r="X519" s="5" t="inlineStr"/>
      <c r="Y519" s="5" t="inlineStr"/>
      <c r="Z519" s="6" t="inlineStr"/>
      <c r="AA519" s="5" t="inlineStr"/>
      <c r="AB519" s="5" t="inlineStr"/>
      <c r="AC519" s="5" t="inlineStr"/>
      <c r="AD519" s="5" t="inlineStr"/>
      <c r="AE519" s="5" t="inlineStr"/>
      <c r="AF519" s="5" t="inlineStr"/>
      <c r="AG519" s="5" t="inlineStr"/>
      <c r="AH519" s="5" t="inlineStr"/>
      <c r="AI519" s="5" t="inlineStr"/>
      <c r="AJ519" s="5" t="inlineStr"/>
    </row>
    <row r="520">
      <c r="A520" s="5" t="inlineStr">
        <is>
          <t>b6-mezuniyet</t>
        </is>
      </c>
      <c r="B520" s="5" t="n">
        <v>1</v>
      </c>
      <c r="C520" s="6" t="inlineStr">
        <is>
          <t>Kepi at, fotoğraf çek</t>
        </is>
      </c>
      <c r="D520" s="5" t="inlineStr"/>
      <c r="E520" s="5" t="inlineStr"/>
      <c r="F520" s="5" t="inlineStr">
        <is>
          <t>Sosyal Radar +1</t>
        </is>
      </c>
      <c r="G520" s="6" t="inlineStr">
        <is>
          <t>Kep havaya uçtu, geri başkasının kepi düştü. Annen fotoğrafları aile grubuna attı; teyzen üç dakika sonra yazdı: “Bu kep senin değil.”</t>
        </is>
      </c>
      <c r="H520" s="6" t="inlineStr"/>
      <c r="I520" s="6" t="inlineStr"/>
      <c r="J520" s="6" t="inlineStr"/>
      <c r="K520" s="6" t="inlineStr"/>
      <c r="L520" s="6" t="inlineStr"/>
      <c r="M520" s="5" t="inlineStr"/>
      <c r="N520" s="5" t="inlineStr"/>
      <c r="O520" s="6" t="inlineStr"/>
      <c r="P520" s="6" t="inlineStr"/>
      <c r="Q520" s="5" t="inlineStr"/>
      <c r="R520" s="5" t="inlineStr"/>
      <c r="S520" s="5" t="inlineStr"/>
      <c r="T520" s="5" t="inlineStr"/>
      <c r="U520" s="5" t="inlineStr"/>
      <c r="V520" s="5" t="inlineStr"/>
      <c r="W520" s="5" t="inlineStr"/>
      <c r="X520" s="5" t="inlineStr"/>
      <c r="Y520" s="5" t="inlineStr"/>
      <c r="Z520" s="6" t="inlineStr"/>
      <c r="AA520" s="5" t="inlineStr"/>
      <c r="AB520" s="5" t="inlineStr"/>
      <c r="AC520" s="5" t="inlineStr"/>
      <c r="AD520" s="5" t="inlineStr"/>
      <c r="AE520" s="5" t="inlineStr"/>
      <c r="AF520" s="5" t="inlineStr"/>
      <c r="AG520" s="5" t="inlineStr"/>
      <c r="AH520" s="5" t="inlineStr"/>
      <c r="AI520" s="5" t="inlineStr"/>
      <c r="AJ520" s="5" t="inlineStr"/>
    </row>
    <row r="521">
      <c r="A521" s="5" t="inlineStr">
        <is>
          <t>b6-mezuniyet</t>
        </is>
      </c>
      <c r="B521" s="5" t="n">
        <v>2</v>
      </c>
      <c r="C521" s="6" t="inlineStr">
        <is>
          <t>Konuşmayı sen yap</t>
        </is>
      </c>
      <c r="D521" s="5" t="inlineStr">
        <is>
          <t>Çene</t>
        </is>
      </c>
      <c r="E521" s="5" t="inlineStr">
        <is>
          <t>Zor</t>
        </is>
      </c>
      <c r="F521" s="5" t="inlineStr"/>
      <c r="G521" s="6" t="inlineStr"/>
      <c r="H521" s="6" t="inlineStr">
        <is>
          <t>Hocalar gülümsedi, dekan saatine baktı. Annen ön sırada ağladı; ne dediğini duymadı, ağlamak için duymaya gerek yoktu.</t>
        </is>
      </c>
      <c r="I521" s="6" t="inlineStr">
        <is>
          <t>Konuşmanı bir hocanın taklidiyle bitirdin. Hoca ön sırada kahkaha attı, kalkıp sana sarıldı. Video aile grubunda yüz kez paylaşıldı; yüzüncüyü teyzen attı.</t>
        </is>
      </c>
      <c r="J521" s="6" t="inlineStr">
        <is>
          <t>Mikrofon kapalıydı. Dudak okuyanlar beğendi.</t>
        </is>
      </c>
      <c r="K521" s="6" t="inlineStr">
        <is>
          <t>Konuşmanda hocalara tek tek teşekkür ettin; sonuncusu seni üç kez bırakan hocaydı: “Bana en çok emeği geçen hocam!” Salon bir an sustu, sonra arka sıralardan kahkaha yükseldi. Hoca ayağa kalkıp selam verdi; alkışı o aldı.</t>
        </is>
      </c>
      <c r="L521" s="6" t="inlineStr"/>
      <c r="M521" s="5" t="inlineStr"/>
      <c r="N521" s="5" t="inlineStr"/>
      <c r="O521" s="6" t="inlineStr"/>
      <c r="P521" s="6" t="inlineStr"/>
      <c r="Q521" s="5" t="inlineStr"/>
      <c r="R521" s="5" t="inlineStr"/>
      <c r="S521" s="5" t="inlineStr"/>
      <c r="T521" s="5" t="inlineStr"/>
      <c r="U521" s="5" t="inlineStr"/>
      <c r="V521" s="5" t="inlineStr"/>
      <c r="W521" s="5" t="inlineStr"/>
      <c r="X521" s="5" t="inlineStr"/>
      <c r="Y521" s="5" t="inlineStr"/>
      <c r="Z521" s="6" t="inlineStr"/>
      <c r="AA521" s="5" t="inlineStr"/>
      <c r="AB521" s="5" t="inlineStr"/>
      <c r="AC521" s="5" t="inlineStr"/>
      <c r="AD521" s="5" t="inlineStr"/>
      <c r="AE521" s="5" t="inlineStr"/>
      <c r="AF521" s="5" t="inlineStr"/>
      <c r="AG521" s="5" t="inlineStr"/>
      <c r="AH521" s="5" t="inlineStr"/>
      <c r="AI521" s="5" t="inlineStr"/>
      <c r="AJ521" s="5" t="inlineStr"/>
    </row>
    <row r="522">
      <c r="A522" s="5" t="inlineStr">
        <is>
          <t>b6-mezuniyet</t>
        </is>
      </c>
      <c r="B522" s="5" t="n">
        <v>3</v>
      </c>
      <c r="C522" s="6" t="inlineStr">
        <is>
          <t>Diplomayı aynı gün almaya çalış</t>
        </is>
      </c>
      <c r="D522" s="5" t="inlineStr">
        <is>
          <t>Kurnazlık</t>
        </is>
      </c>
      <c r="E522" s="5" t="inlineStr">
        <is>
          <t>Orta</t>
        </is>
      </c>
      <c r="F522" s="5" t="inlineStr"/>
      <c r="G522" s="6" t="inlineStr"/>
      <c r="H522" s="6" t="inlineStr">
        <is>
          <t>Öğrenci işlerindeki memura annenin sana ayırdığı börekten uzattın. Memur böreğe baktı, sana baktı; diploma aynı gün elindeydi.</t>
        </is>
      </c>
      <c r="I522" s="6" t="inlineStr">
        <is>
          <t>Diplomayı aldın, üstelik yanlışlıkla iki nüsha. Biri babanın duvarında, biri babaannenin vitrininde. İkisi de “Asıl nüsha bende” diyor.</t>
        </is>
      </c>
      <c r="J522" s="6" t="inlineStr">
        <is>
          <t>Önünde bütün mezunlar vardı. Arkanda da.</t>
        </is>
      </c>
      <c r="K522" s="6" t="inlineStr">
        <is>
          <t>Adın diplomada bir harf eksik yazılmış. Düzeltme için dilekçe, dilekçe için harç, harç için sıra. Annen diplomayı yine de çerçeveletti; eksik harfi camın üstüne kalemle kendi ekledi.</t>
        </is>
      </c>
      <c r="L522" s="6" t="inlineStr"/>
      <c r="M522" s="5" t="inlineStr"/>
      <c r="N522" s="5" t="inlineStr"/>
      <c r="O522" s="6" t="inlineStr"/>
      <c r="P522" s="6" t="inlineStr"/>
      <c r="Q522" s="5" t="inlineStr"/>
      <c r="R522" s="5" t="inlineStr"/>
      <c r="S522" s="5" t="inlineStr"/>
      <c r="T522" s="5" t="inlineStr"/>
      <c r="U522" s="5" t="inlineStr"/>
      <c r="V522" s="5" t="inlineStr"/>
      <c r="W522" s="5" t="inlineStr"/>
      <c r="X522" s="5" t="inlineStr"/>
      <c r="Y522" s="5" t="inlineStr"/>
      <c r="Z522" s="6" t="inlineStr"/>
      <c r="AA522" s="5" t="inlineStr"/>
      <c r="AB522" s="5" t="inlineStr"/>
      <c r="AC522" s="5" t="inlineStr"/>
      <c r="AD522" s="5" t="inlineStr"/>
      <c r="AE522" s="5" t="inlineStr"/>
      <c r="AF522" s="5" t="inlineStr"/>
      <c r="AG522" s="5" t="inlineStr"/>
      <c r="AH522" s="5" t="inlineStr"/>
      <c r="AI522" s="5" t="inlineStr"/>
      <c r="AJ522" s="5" t="inlineStr"/>
    </row>
    <row r="523">
      <c r="A523" s="5" t="inlineStr">
        <is>
          <t>b6-mezuniyet</t>
        </is>
      </c>
      <c r="B523" s="5" t="n">
        <v>4</v>
      </c>
      <c r="C523" s="6" t="inlineStr">
        <is>
          <t>Ailenle poz ver</t>
        </is>
      </c>
      <c r="D523" s="5" t="inlineStr"/>
      <c r="E523" s="5" t="inlineStr"/>
      <c r="F523" s="5" t="inlineStr">
        <is>
          <t>Gönül +1</t>
        </is>
      </c>
      <c r="G523" s="6" t="inlineStr">
        <is>
          <t>On yedi açıdan aynı fotoğraf çekildi; hepsinde birinin gözü kapalı. Annen en güzelini seçip büyüttü, salona astı: senin gözünün kapalı olduğu kareyi.</t>
        </is>
      </c>
      <c r="H523" s="6" t="inlineStr"/>
      <c r="I523" s="6" t="inlineStr"/>
      <c r="J523" s="6" t="inlineStr"/>
      <c r="K523" s="6" t="inlineStr"/>
      <c r="L523" s="6" t="inlineStr"/>
      <c r="M523" s="5" t="inlineStr"/>
      <c r="N523" s="5" t="inlineStr"/>
      <c r="O523" s="6" t="inlineStr"/>
      <c r="P523" s="6" t="inlineStr"/>
      <c r="Q523" s="5" t="inlineStr"/>
      <c r="R523" s="5" t="inlineStr"/>
      <c r="S523" s="5" t="inlineStr"/>
      <c r="T523" s="5" t="inlineStr"/>
      <c r="U523" s="5" t="inlineStr"/>
      <c r="V523" s="5" t="inlineStr"/>
      <c r="W523" s="5" t="inlineStr"/>
      <c r="X523" s="5" t="inlineStr"/>
      <c r="Y523" s="5" t="inlineStr"/>
      <c r="Z523" s="6" t="inlineStr"/>
      <c r="AA523" s="5" t="inlineStr"/>
      <c r="AB523" s="5" t="inlineStr"/>
      <c r="AC523" s="5" t="inlineStr"/>
      <c r="AD523" s="5" t="inlineStr"/>
      <c r="AE523" s="5" t="inlineStr"/>
      <c r="AF523" s="5" t="inlineStr"/>
      <c r="AG523" s="5" t="inlineStr"/>
      <c r="AH523" s="5" t="inlineStr"/>
      <c r="AI523" s="5" t="inlineStr"/>
      <c r="AJ523" s="5" t="inlineStr"/>
    </row>
    <row r="524">
      <c r="A524" s="5" t="inlineStr">
        <is>
          <t>b6-meslek-secimi</t>
        </is>
      </c>
      <c r="B524" s="5" t="n">
        <v>1</v>
      </c>
      <c r="C524" s="6" t="inlineStr">
        <is>
          <t>Beyaz yaka: özgeçmişini her yere gönder</t>
        </is>
      </c>
      <c r="D524" s="5" t="inlineStr">
        <is>
          <t>Çene</t>
        </is>
      </c>
      <c r="E524" s="5" t="inlineStr">
        <is>
          <t>Orta</t>
        </is>
      </c>
      <c r="F524" s="5" t="inlineStr"/>
      <c r="G524" s="6" t="inlineStr"/>
      <c r="H524" s="6" t="inlineStr">
        <is>
          <t>Yüz on iki başvuru, üç görüşme, bir teklif. Plazada bir masan, bir kartın ve “uyum haftası” denen, kimsenin ne yaptığını bilmediği bir haftan var.</t>
        </is>
      </c>
      <c r="I524" s="6" t="inlineStr">
        <is>
          <t>İki şirket seni istedi; ikisini birbirine karşı oynattın. Kazanan şirketin kartvizitinde unvanın sen istemeden “uzman.”</t>
        </is>
      </c>
      <c r="J524" s="6" t="inlineStr">
        <is>
          <t>Başvurulara cevap gelmedi. Bir ajans seni “proje bazlı” işe aldı. Proje bazlı, maaş da bazlı.</t>
        </is>
      </c>
      <c r="K524" s="6" t="inlineStr">
        <is>
          <t>Özgeçmişinde yazım hatası vardı: “Takım çalışmasına yatkın” yerine “Takım çalışmasına yatık.” Kimse aramadı; bir ajans hariç.</t>
        </is>
      </c>
      <c r="L524" s="6" t="inlineStr"/>
      <c r="M524" s="5" t="inlineStr"/>
      <c r="N524" s="5" t="inlineStr"/>
      <c r="O524" s="6" t="inlineStr"/>
      <c r="P524" s="6" t="inlineStr"/>
      <c r="Q524" s="5" t="inlineStr"/>
      <c r="R524" s="5" t="inlineStr"/>
      <c r="S524" s="5" t="inlineStr"/>
      <c r="T524" s="5" t="inlineStr"/>
      <c r="U524" s="5" t="inlineStr"/>
      <c r="V524" s="5" t="inlineStr">
        <is>
          <t>meslek-beyazyaka</t>
        </is>
      </c>
      <c r="W524" s="5" t="inlineStr"/>
      <c r="X524" s="5" t="inlineStr"/>
      <c r="Y524" s="5" t="inlineStr"/>
      <c r="Z524" s="6" t="inlineStr"/>
      <c r="AA524" s="5" t="inlineStr"/>
      <c r="AB524" s="5" t="inlineStr">
        <is>
          <t>meslek-serbest</t>
        </is>
      </c>
      <c r="AC524" s="5" t="inlineStr"/>
      <c r="AD524" s="5" t="inlineStr">
        <is>
          <t>Orta</t>
        </is>
      </c>
      <c r="AE524" s="5" t="inlineStr"/>
      <c r="AF524" s="5" t="inlineStr"/>
      <c r="AG524" s="5" t="inlineStr"/>
      <c r="AH524" s="5" t="inlineStr"/>
      <c r="AI524" s="5" t="inlineStr"/>
      <c r="AJ524" s="5" t="inlineStr"/>
    </row>
    <row r="525">
      <c r="A525" s="5" t="inlineStr">
        <is>
          <t>b6-meslek-secimi</t>
        </is>
      </c>
      <c r="B525" s="5" t="n">
        <v>2</v>
      </c>
      <c r="C525" s="6" t="inlineStr">
        <is>
          <t>Memur ol: devlet kadro sınavına çalış</t>
        </is>
      </c>
      <c r="D525" s="5" t="inlineStr">
        <is>
          <t>Akıl</t>
        </is>
      </c>
      <c r="E525" s="5" t="inlineStr">
        <is>
          <t>Orta</t>
        </is>
      </c>
      <c r="F525" s="5" t="inlineStr"/>
      <c r="G525" s="6" t="inlineStr"/>
      <c r="H525" s="6" t="inlineStr">
        <is>
          <t>Sınavı geçtin. Atama bekliyorsun. Annen komşulara “Devlet kapısı” dedi; kelimeleri tek tek, yavaşça söyledi.</t>
        </is>
      </c>
      <c r="I525" s="6" t="inlineStr">
        <is>
          <t>Derece yaptın. Atama listesinde istediğin şehir bile vardı. Aile grubu ilk kez hiç tartışmadı.</t>
        </is>
      </c>
      <c r="J525" s="6" t="inlineStr">
        <is>
          <t>Puanın bir tık altında kaldı. Seneye diye diye bir özel şirkette “geçici” olarak başladın. Geçici, bu ülkede kalıcının takma adıdır.</t>
        </is>
      </c>
      <c r="K525" s="6" t="inlineStr">
        <is>
          <t>Sınavda kitapçık türünü yanlış işaretledin. Bütün cevaplar başka bir kitapçığa göre değerlendirildi. Bir plaza seni kabul etti; kitapçık sormadı.</t>
        </is>
      </c>
      <c r="L525" s="6" t="inlineStr"/>
      <c r="M525" s="5" t="inlineStr"/>
      <c r="N525" s="5" t="inlineStr"/>
      <c r="O525" s="6" t="inlineStr"/>
      <c r="P525" s="6" t="inlineStr"/>
      <c r="Q525" s="5" t="inlineStr"/>
      <c r="R525" s="5" t="inlineStr"/>
      <c r="S525" s="5" t="inlineStr"/>
      <c r="T525" s="5" t="inlineStr"/>
      <c r="U525" s="5" t="inlineStr"/>
      <c r="V525" s="5" t="inlineStr">
        <is>
          <t>meslek-memur</t>
        </is>
      </c>
      <c r="W525" s="5" t="inlineStr"/>
      <c r="X525" s="5" t="inlineStr"/>
      <c r="Y525" s="5" t="inlineStr"/>
      <c r="Z525" s="6" t="inlineStr"/>
      <c r="AA525" s="5" t="inlineStr">
        <is>
          <t>Erdem +1, Yalçın +1</t>
        </is>
      </c>
      <c r="AB525" s="5" t="inlineStr">
        <is>
          <t>meslek-beyazyaka</t>
        </is>
      </c>
      <c r="AC525" s="5" t="inlineStr"/>
      <c r="AD525" s="5" t="inlineStr">
        <is>
          <t>Orta</t>
        </is>
      </c>
      <c r="AE525" s="5" t="inlineStr"/>
      <c r="AF525" s="5" t="inlineStr"/>
      <c r="AG525" s="5" t="inlineStr"/>
      <c r="AH525" s="5" t="inlineStr"/>
      <c r="AI525" s="5" t="inlineStr"/>
      <c r="AJ525" s="5" t="inlineStr"/>
    </row>
    <row r="526">
      <c r="A526" s="5" t="inlineStr">
        <is>
          <t>b6-meslek-secimi</t>
        </is>
      </c>
      <c r="B526" s="5" t="n">
        <v>3</v>
      </c>
      <c r="C526" s="6" t="inlineStr">
        <is>
          <t>Kendi şirketini kur</t>
        </is>
      </c>
      <c r="D526" s="5" t="inlineStr">
        <is>
          <t>Cesaret</t>
        </is>
      </c>
      <c r="E526" s="5" t="inlineStr">
        <is>
          <t>Zor</t>
        </is>
      </c>
      <c r="F526" s="5" t="inlineStr"/>
      <c r="G526" s="6" t="inlineStr"/>
      <c r="H526" s="6" t="inlineStr">
        <is>
          <t>Bir fikir, iki laptop, bir kafe masası. Şirket kuruldu. Logosu fikrinden daha iyi, ama fikir de fena değil.</t>
        </is>
      </c>
      <c r="I526" s="6" t="inlineStr">
        <is>
          <t>İlk ay bir yatırımcı kafeye oturdu, fikrini dinledi, çek defterini çıkardı. Kafe o günden beri senin “ofisin.”</t>
        </is>
      </c>
      <c r="J526" s="6" t="inlineStr">
        <is>
          <t>Şirketi kurdun, üç ayda kapattın. Özgeçmişe “girişimcilik deneyimi” olarak geçti; bir plaza seni bu satır için işe aldı.</t>
        </is>
      </c>
      <c r="K526" s="6" t="inlineStr">
        <is>
          <t>Kuruluş evrakına şirketin adını bir harf eksik yazdın. Tabela, kartvizit, logo; hepsi yeniden basılacaktı, para yetmedi. Bir plazaya girdin. Teyzen hâlâ her bayram şirketini o harfsiz adıyla kutluyor.</t>
        </is>
      </c>
      <c r="L526" s="6" t="inlineStr"/>
      <c r="M526" s="5" t="inlineStr"/>
      <c r="N526" s="5" t="inlineStr"/>
      <c r="O526" s="6" t="inlineStr"/>
      <c r="P526" s="6" t="inlineStr"/>
      <c r="Q526" s="5" t="inlineStr"/>
      <c r="R526" s="5" t="inlineStr"/>
      <c r="S526" s="5" t="inlineStr"/>
      <c r="T526" s="5" t="inlineStr"/>
      <c r="U526" s="5" t="inlineStr"/>
      <c r="V526" s="5" t="inlineStr">
        <is>
          <t>hat-girisimci, meslek-serbest</t>
        </is>
      </c>
      <c r="W526" s="5" t="inlineStr"/>
      <c r="X526" s="5" t="inlineStr"/>
      <c r="Y526" s="5" t="inlineStr"/>
      <c r="Z526" s="6" t="inlineStr"/>
      <c r="AA526" s="5" t="inlineStr">
        <is>
          <t>Keskin +1, Erdem -1</t>
        </is>
      </c>
      <c r="AB526" s="5" t="inlineStr">
        <is>
          <t>meslek-beyazyaka</t>
        </is>
      </c>
      <c r="AC526" s="5" t="inlineStr">
        <is>
          <t>Orta</t>
        </is>
      </c>
      <c r="AD526" s="5" t="inlineStr">
        <is>
          <t>Orta</t>
        </is>
      </c>
      <c r="AE526" s="5" t="inlineStr"/>
      <c r="AF526" s="5" t="inlineStr"/>
      <c r="AG526" s="5" t="inlineStr"/>
      <c r="AH526" s="5" t="inlineStr"/>
      <c r="AI526" s="5" t="inlineStr"/>
      <c r="AJ526" s="5" t="inlineStr"/>
    </row>
    <row r="527">
      <c r="A527" s="5" t="inlineStr">
        <is>
          <t>b6-meslek-secimi</t>
        </is>
      </c>
      <c r="B527" s="5" t="n">
        <v>4</v>
      </c>
      <c r="C527" s="6" t="inlineStr">
        <is>
          <t>Üniformayı giy: karakola ata</t>
        </is>
      </c>
      <c r="D527" s="5" t="inlineStr"/>
      <c r="E527" s="5" t="inlineStr"/>
      <c r="F527" s="5" t="inlineStr">
        <is>
          <t>Cesaret +1, İtibar +1</t>
        </is>
      </c>
      <c r="G527" s="6" t="inlineStr">
        <is>
          <t>Polis okulundan mezun oldun, üniformanı giydin. İlk görev yerin bir ilçe karakolu. Annen fotoğrafını çerçeveletti; çerçeve üniformadan ağır.</t>
        </is>
      </c>
      <c r="H527" s="6" t="inlineStr"/>
      <c r="I527" s="6" t="inlineStr"/>
      <c r="J527" s="6" t="inlineStr"/>
      <c r="K527" s="6" t="inlineStr"/>
      <c r="L527" s="6" t="inlineStr"/>
      <c r="M527" s="5" t="inlineStr"/>
      <c r="N527" s="5" t="inlineStr"/>
      <c r="O527" s="6" t="inlineStr"/>
      <c r="P527" s="6" t="inlineStr"/>
      <c r="Q527" s="5" t="inlineStr"/>
      <c r="R527" s="5" t="inlineStr">
        <is>
          <t>bolum-emniyet</t>
        </is>
      </c>
      <c r="S527" s="5" t="inlineStr"/>
      <c r="T527" s="5" t="inlineStr"/>
      <c r="U527" s="5" t="inlineStr">
        <is>
          <t>hat-polis, meslek-memur</t>
        </is>
      </c>
      <c r="V527" s="5" t="inlineStr"/>
      <c r="W527" s="5" t="inlineStr"/>
      <c r="X527" s="5" t="inlineStr"/>
      <c r="Y527" s="5" t="inlineStr"/>
      <c r="Z527" s="6" t="inlineStr"/>
      <c r="AA527" s="5" t="inlineStr">
        <is>
          <t>Erdem +1, Yalçın +1</t>
        </is>
      </c>
      <c r="AB527" s="5" t="inlineStr"/>
      <c r="AC527" s="5" t="inlineStr"/>
      <c r="AD527" s="5" t="inlineStr">
        <is>
          <t>Orta</t>
        </is>
      </c>
      <c r="AE527" s="5" t="inlineStr"/>
      <c r="AF527" s="5" t="inlineStr"/>
      <c r="AG527" s="5" t="inlineStr"/>
      <c r="AH527" s="5" t="inlineStr"/>
      <c r="AI527" s="5" t="inlineStr"/>
      <c r="AJ527" s="5" t="inlineStr"/>
    </row>
    <row r="528">
      <c r="A528" s="5" t="inlineStr">
        <is>
          <t>b6-meslek-secimi</t>
        </is>
      </c>
      <c r="B528" s="5" t="n">
        <v>5</v>
      </c>
      <c r="C528" s="6" t="inlineStr">
        <is>
          <t>Hâkimlik sınavına gir</t>
        </is>
      </c>
      <c r="D528" s="5" t="inlineStr">
        <is>
          <t>Akıl</t>
        </is>
      </c>
      <c r="E528" s="5" t="inlineStr">
        <is>
          <t>Zor</t>
        </is>
      </c>
      <c r="F528" s="5" t="inlineStr"/>
      <c r="G528" s="6" t="inlineStr"/>
      <c r="H528" s="6" t="inlineStr">
        <is>
          <t>Sınavı geçtin. Cübbeyi ilk kez giydiğinde biraz büyük geldi; terzi “Büyürsün” dedi. Kürsüye doğru giden yol açıldı.</t>
        </is>
      </c>
      <c r="I528" s="6" t="inlineStr">
        <is>
          <t>Derece yaptın. Mülakatta kurulun sorduğu soruya, soruyu soranın kendi kitabından cevap verdin. Kurul güldü; sen de hâkim adayısın.</t>
        </is>
      </c>
      <c r="J528" s="6" t="inlineStr">
        <is>
          <t>Sınav olmadı. Bir hukuk bürosunda avukat olarak başladın. Cübben var, kürsün yok.</t>
        </is>
      </c>
      <c r="K528" s="6" t="inlineStr">
        <is>
          <t>Sınav sabahı kimliğini evde unuttun. Salona girmene izin verilmedi. Bir büro seni işe aldı; kimliğini sordular, vardı.</t>
        </is>
      </c>
      <c r="L528" s="6" t="inlineStr"/>
      <c r="M528" s="5" t="inlineStr"/>
      <c r="N528" s="5" t="inlineStr"/>
      <c r="O528" s="6" t="inlineStr"/>
      <c r="P528" s="6" t="inlineStr"/>
      <c r="Q528" s="5" t="inlineStr"/>
      <c r="R528" s="5" t="inlineStr">
        <is>
          <t>bolum-hukuk</t>
        </is>
      </c>
      <c r="S528" s="5" t="inlineStr"/>
      <c r="T528" s="5" t="inlineStr"/>
      <c r="U528" s="5" t="inlineStr"/>
      <c r="V528" s="5" t="inlineStr">
        <is>
          <t>hat-yargi, meslek-memur</t>
        </is>
      </c>
      <c r="W528" s="5" t="inlineStr"/>
      <c r="X528" s="5" t="inlineStr"/>
      <c r="Y528" s="5" t="inlineStr"/>
      <c r="Z528" s="6" t="inlineStr"/>
      <c r="AA528" s="5" t="inlineStr">
        <is>
          <t>Erdem +1, Tan +1</t>
        </is>
      </c>
      <c r="AB528" s="5" t="inlineStr">
        <is>
          <t>meslek-beyazyaka</t>
        </is>
      </c>
      <c r="AC528" s="5" t="inlineStr"/>
      <c r="AD528" s="5" t="inlineStr">
        <is>
          <t>Rahat</t>
        </is>
      </c>
      <c r="AE528" s="5" t="inlineStr"/>
      <c r="AF528" s="5" t="inlineStr"/>
      <c r="AG528" s="5" t="inlineStr"/>
      <c r="AH528" s="5" t="inlineStr"/>
      <c r="AI528" s="5" t="inlineStr"/>
      <c r="AJ528" s="5" t="inlineStr"/>
    </row>
    <row r="529">
      <c r="A529" s="5" t="inlineStr">
        <is>
          <t>b6-meslek-secimi</t>
        </is>
      </c>
      <c r="B529" s="5" t="n">
        <v>6</v>
      </c>
      <c r="C529" s="6" t="inlineStr">
        <is>
          <t>Seçmelere git, sahneye çık</t>
        </is>
      </c>
      <c r="D529" s="5" t="inlineStr">
        <is>
          <t>Pişkinlik</t>
        </is>
      </c>
      <c r="E529" s="5" t="inlineStr">
        <is>
          <t>Zor</t>
        </is>
      </c>
      <c r="F529" s="5" t="inlineStr"/>
      <c r="G529" s="6" t="inlineStr"/>
      <c r="H529" s="6" t="inlineStr">
        <is>
          <t>Bir dizinin seçmesinden rolle döndün. Üç sahne, iki repliğin var. Birinde “Evet”, diğerinde “Hayır” diyorsun.</t>
        </is>
      </c>
      <c r="I529" s="6" t="inlineStr">
        <is>
          <t>Yönetmen seni o kadar beğendi ki rolünü büyüttü. Artık dizide bir ismin var; ailen de sokakta bir ismi olan çocuğun ailesi.</t>
        </is>
      </c>
      <c r="J529" s="6" t="inlineStr">
        <is>
          <t>Seçmelerden eli boş döndün. Düğünlerde sunuculuk yapmaya başladın. Sahne sahnedir; pilavlı olsa da.</t>
        </is>
      </c>
      <c r="K529" s="6" t="inlineStr">
        <is>
          <t>Seçmede yönetmene yanlış isimle hitap ettin; rakip dizinin yönetmeninin ismiyle. Düğün sunuculuğu seni bekliyor.</t>
        </is>
      </c>
      <c r="L529" s="6" t="inlineStr"/>
      <c r="M529" s="5" t="inlineStr"/>
      <c r="N529" s="5" t="inlineStr"/>
      <c r="O529" s="6" t="inlineStr"/>
      <c r="P529" s="6" t="inlineStr"/>
      <c r="Q529" s="5" t="inlineStr"/>
      <c r="R529" s="5" t="inlineStr">
        <is>
          <t>bolum-iletisim</t>
        </is>
      </c>
      <c r="S529" s="5" t="inlineStr"/>
      <c r="T529" s="5" t="inlineStr"/>
      <c r="U529" s="5" t="inlineStr"/>
      <c r="V529" s="5" t="inlineStr">
        <is>
          <t>hat-sohret, meslek-serbest</t>
        </is>
      </c>
      <c r="W529" s="5" t="inlineStr"/>
      <c r="X529" s="5" t="inlineStr"/>
      <c r="Y529" s="5" t="inlineStr"/>
      <c r="Z529" s="6" t="inlineStr"/>
      <c r="AA529" s="5" t="inlineStr">
        <is>
          <t>Varlı +1, Erdem -1</t>
        </is>
      </c>
      <c r="AB529" s="5" t="inlineStr">
        <is>
          <t>meslek-serbest</t>
        </is>
      </c>
      <c r="AC529" s="5" t="inlineStr"/>
      <c r="AD529" s="5" t="inlineStr">
        <is>
          <t>Orta</t>
        </is>
      </c>
      <c r="AE529" s="5" t="inlineStr"/>
      <c r="AF529" s="5" t="inlineStr"/>
      <c r="AG529" s="5" t="inlineStr"/>
      <c r="AH529" s="5" t="inlineStr"/>
      <c r="AI529" s="5" t="inlineStr"/>
      <c r="AJ529" s="5" t="inlineStr"/>
    </row>
    <row r="530">
      <c r="A530" s="5" t="inlineStr">
        <is>
          <t>b6-meslek-secimi</t>
        </is>
      </c>
      <c r="B530" s="5" t="n">
        <v>7</v>
      </c>
      <c r="C530" s="6" t="inlineStr">
        <is>
          <t>Yatırım gurusu kartviziti bastır</t>
        </is>
      </c>
      <c r="D530" s="5" t="inlineStr">
        <is>
          <t>Kurnazlık</t>
        </is>
      </c>
      <c r="E530" s="5" t="inlineStr">
        <is>
          <t>Zor</t>
        </is>
      </c>
      <c r="F530" s="5" t="inlineStr"/>
      <c r="G530" s="6" t="inlineStr"/>
      <c r="H530" s="6" t="inlineStr">
        <is>
          <t>Kartvizitte “Finansal özgürlük koçu” yazıyor. İlk seminerine kırk kişi geldi, kırkı da not aldı. Akşam annen kartı okudu, gözlüğünü çıkardı: “Özgürlüğü kime satıyorsun evladım?”</t>
        </is>
      </c>
      <c r="I530" s="6" t="inlineStr">
        <is>
          <t>Seminerin videosu yayıldı. Kiraladığın salon küçük geldi, kiraladığın araba büyük. Nereye gittiğini sorarsan: yukarı; şimdilik.</t>
        </is>
      </c>
      <c r="J530" s="6" t="inlineStr">
        <is>
          <t>Seminere üç kişi geldi; ikisi annenle teyzen. Kartvizitleri bir çağrı merkezine başvururken kullandın.</t>
        </is>
      </c>
      <c r="K530" s="6" t="inlineStr">
        <is>
          <t>Seminere gelenlerden biri gerçek bir finansçıydı. Sorularına cevap veremedin. Bir çağrı merkezi seni aldı; orada sorular yazılı.</t>
        </is>
      </c>
      <c r="L530" s="6" t="inlineStr"/>
      <c r="M530" s="5" t="inlineStr"/>
      <c r="N530" s="5" t="inlineStr"/>
      <c r="O530" s="6" t="inlineStr"/>
      <c r="P530" s="6" t="inlineStr"/>
      <c r="Q530" s="5" t="inlineStr"/>
      <c r="R530" s="5" t="inlineStr">
        <is>
          <t>yalanci</t>
        </is>
      </c>
      <c r="S530" s="5" t="inlineStr"/>
      <c r="T530" s="5" t="inlineStr"/>
      <c r="U530" s="5" t="inlineStr"/>
      <c r="V530" s="5" t="inlineStr">
        <is>
          <t>hat-dolandirici, meslek-serbest</t>
        </is>
      </c>
      <c r="W530" s="5" t="inlineStr"/>
      <c r="X530" s="5" t="inlineStr"/>
      <c r="Y530" s="5" t="inlineStr"/>
      <c r="Z530" s="6" t="inlineStr"/>
      <c r="AA530" s="5" t="inlineStr">
        <is>
          <t>hepsi -1</t>
        </is>
      </c>
      <c r="AB530" s="5" t="inlineStr">
        <is>
          <t>meslek-beyazyaka</t>
        </is>
      </c>
      <c r="AC530" s="5" t="inlineStr"/>
      <c r="AD530" s="5" t="inlineStr">
        <is>
          <t>Orta</t>
        </is>
      </c>
      <c r="AE530" s="5" t="inlineStr"/>
      <c r="AF530" s="5" t="inlineStr"/>
      <c r="AG530" s="5" t="inlineStr"/>
      <c r="AH530" s="5" t="inlineStr"/>
      <c r="AI530" s="5" t="inlineStr"/>
      <c r="AJ530" s="5" t="inlineStr"/>
    </row>
    <row r="531">
      <c r="A531" s="5" t="inlineStr">
        <is>
          <t>b6-meslek-secimi</t>
        </is>
      </c>
      <c r="B531" s="5" t="n">
        <v>8</v>
      </c>
      <c r="C531" s="6" t="inlineStr">
        <is>
          <t>Hocanın referans mektubuyla başvur</t>
        </is>
      </c>
      <c r="D531" s="5" t="inlineStr">
        <is>
          <t>İtibar</t>
        </is>
      </c>
      <c r="E531" s="5" t="inlineStr">
        <is>
          <t>Orta</t>
        </is>
      </c>
      <c r="F531" s="5" t="inlineStr"/>
      <c r="G531" s="6" t="inlineStr"/>
      <c r="H531" s="6" t="inlineStr">
        <is>
          <t>Bölüm hocan mektubu bir akşamda yazdı. İlk başvurduğun şirket seni ertesi gün aradı; mektubu okumak için değil, hocayı sormak için.</t>
        </is>
      </c>
      <c r="I531" s="6" t="inlineStr">
        <is>
          <t>Hocan mektubu öyle yazmıştı ki şirket seni mülakatsız aldı. İnsan kaynaklarındaki kadın mektubu okurken gözünü sildi, sonra hocanı aradı: “Bizim oğlan için de yazar mısınız?”</t>
        </is>
      </c>
      <c r="J531" s="6" t="inlineStr">
        <is>
          <t>Mektup geç ulaştı; pozisyon dolmuştu. Bir ajans seni proje bazlı aldı. Mektup bir sonraki sefere.</t>
        </is>
      </c>
      <c r="K531" s="6" t="inlineStr">
        <is>
          <t>Mektupta adın yanlış yazılmıştı; başkasının referansı sanıldı. Bir ajans seni aldı; adını orada da yanlış yazıyorlar.</t>
        </is>
      </c>
      <c r="L531" s="6" t="inlineStr"/>
      <c r="M531" s="5" t="inlineStr"/>
      <c r="N531" s="5" t="inlineStr"/>
      <c r="O531" s="6" t="inlineStr"/>
      <c r="P531" s="6" t="inlineStr"/>
      <c r="Q531" s="5" t="inlineStr"/>
      <c r="R531" s="5" t="inlineStr"/>
      <c r="S531" s="5" t="inlineStr"/>
      <c r="T531" s="5" t="inlineStr"/>
      <c r="U531" s="5" t="inlineStr"/>
      <c r="V531" s="5" t="inlineStr">
        <is>
          <t>meslek-beyazyaka</t>
        </is>
      </c>
      <c r="W531" s="5" t="inlineStr"/>
      <c r="X531" s="5" t="inlineStr"/>
      <c r="Y531" s="5" t="inlineStr"/>
      <c r="Z531" s="6" t="inlineStr"/>
      <c r="AA531" s="5" t="inlineStr"/>
      <c r="AB531" s="5" t="inlineStr">
        <is>
          <t>meslek-serbest</t>
        </is>
      </c>
      <c r="AC531" s="5" t="inlineStr"/>
      <c r="AD531" s="5" t="inlineStr">
        <is>
          <t>Orta</t>
        </is>
      </c>
      <c r="AE531" s="5" t="inlineStr"/>
      <c r="AF531" s="5" t="inlineStr"/>
      <c r="AG531" s="5" t="inlineStr"/>
      <c r="AH531" s="5" t="inlineStr">
        <is>
          <t>İtibar 40</t>
        </is>
      </c>
      <c r="AI531" s="5" t="inlineStr"/>
      <c r="AJ531" s="5" t="inlineStr"/>
    </row>
    <row r="532">
      <c r="A532" s="5" t="inlineStr">
        <is>
          <t>b6-flort-uygulamasi</t>
        </is>
      </c>
      <c r="B532" s="5" t="n">
        <v>1</v>
      </c>
      <c r="C532" s="6" t="inlineStr">
        <is>
          <t>Kuzenli fotoğrafı koy</t>
        </is>
      </c>
      <c r="D532" s="5" t="inlineStr"/>
      <c r="E532" s="5" t="inlineStr"/>
      <c r="F532" s="5" t="inlineStr">
        <is>
          <t>Sosyal Radar +1</t>
        </is>
      </c>
      <c r="G532" s="6" t="inlineStr">
        <is>
          <t>Bütün eşleşmeler kuzenine yazdı. Kuzen artık bir ilişkide.</t>
        </is>
      </c>
      <c r="H532" s="6" t="inlineStr"/>
      <c r="I532" s="6" t="inlineStr"/>
      <c r="J532" s="6" t="inlineStr"/>
      <c r="K532" s="6" t="inlineStr"/>
      <c r="L532" s="6" t="inlineStr"/>
      <c r="M532" s="5" t="inlineStr"/>
      <c r="N532" s="5" t="inlineStr"/>
      <c r="O532" s="6" t="inlineStr"/>
      <c r="P532" s="6" t="inlineStr"/>
      <c r="Q532" s="5" t="inlineStr"/>
      <c r="R532" s="5" t="inlineStr"/>
      <c r="S532" s="5" t="inlineStr"/>
      <c r="T532" s="5" t="inlineStr"/>
      <c r="U532" s="5" t="inlineStr"/>
      <c r="V532" s="5" t="inlineStr"/>
      <c r="W532" s="5" t="inlineStr"/>
      <c r="X532" s="5" t="inlineStr"/>
      <c r="Y532" s="5" t="inlineStr"/>
      <c r="Z532" s="6" t="inlineStr"/>
      <c r="AA532" s="5" t="inlineStr"/>
      <c r="AB532" s="5" t="inlineStr"/>
      <c r="AC532" s="5" t="inlineStr"/>
      <c r="AD532" s="5" t="inlineStr"/>
      <c r="AE532" s="5" t="inlineStr"/>
      <c r="AF532" s="5" t="inlineStr"/>
      <c r="AG532" s="5" t="inlineStr"/>
      <c r="AH532" s="5" t="inlineStr"/>
      <c r="AI532" s="5" t="inlineStr"/>
      <c r="AJ532" s="5" t="inlineStr"/>
    </row>
    <row r="533">
      <c r="A533" s="5" t="inlineStr">
        <is>
          <t>b6-flort-uygulamasi</t>
        </is>
      </c>
      <c r="B533" s="5" t="n">
        <v>2</v>
      </c>
      <c r="C533" s="6" t="inlineStr">
        <is>
          <t>Çatıda gün batımı fotoğrafı çek</t>
        </is>
      </c>
      <c r="D533" s="5" t="inlineStr">
        <is>
          <t>Cesaret</t>
        </is>
      </c>
      <c r="E533" s="5" t="inlineStr">
        <is>
          <t>Zor</t>
        </is>
      </c>
      <c r="F533" s="5" t="inlineStr"/>
      <c r="G533" s="6" t="inlineStr"/>
      <c r="H533" s="6" t="inlineStr">
        <is>
          <t>Fotoğraf muhteşem. Eşleşmeler geldi. Hepsi 'Bu hangi çatı?' diye soruyor.</t>
        </is>
      </c>
      <c r="I533" s="6" t="inlineStr">
        <is>
          <t>Öyle güzel çıktı ki uygulama reklamda kullandı. Seni kimse tanımadı ama gün batımını herkes tanıdı.</t>
        </is>
      </c>
      <c r="J533" s="6" t="inlineStr">
        <is>
          <t>Güneş çoktan batmıştı. Fotoğrafta karanlıkta parlayan bir yüz var.</t>
        </is>
      </c>
      <c r="K533" s="6" t="inlineStr">
        <is>
          <t>Çatı kapısı arkandan kapandı. Gün batımını, gün doğumunu ve apartman yöneticisini aynı karede gördün.</t>
        </is>
      </c>
      <c r="L533" s="6" t="inlineStr"/>
      <c r="M533" s="5" t="inlineStr"/>
      <c r="N533" s="5" t="inlineStr"/>
      <c r="O533" s="6" t="inlineStr"/>
      <c r="P533" s="6" t="inlineStr"/>
      <c r="Q533" s="5" t="inlineStr"/>
      <c r="R533" s="5" t="inlineStr"/>
      <c r="S533" s="5" t="inlineStr"/>
      <c r="T533" s="5" t="inlineStr"/>
      <c r="U533" s="5" t="inlineStr"/>
      <c r="V533" s="5" t="inlineStr"/>
      <c r="W533" s="5" t="inlineStr"/>
      <c r="X533" s="5" t="inlineStr"/>
      <c r="Y533" s="5" t="n">
        <v>3</v>
      </c>
      <c r="Z533" s="6" t="inlineStr">
        <is>
          <t>Profil fotoğrafı için çatının kenarında, 'Son bir kare daha' derken.</t>
        </is>
      </c>
      <c r="AA533" s="5" t="inlineStr"/>
      <c r="AB533" s="5" t="inlineStr"/>
      <c r="AC533" s="5" t="inlineStr"/>
      <c r="AD533" s="5" t="inlineStr"/>
      <c r="AE533" s="5" t="inlineStr"/>
      <c r="AF533" s="5" t="inlineStr"/>
      <c r="AG533" s="5" t="inlineStr"/>
      <c r="AH533" s="5" t="inlineStr"/>
      <c r="AI533" s="5" t="inlineStr"/>
      <c r="AJ533" s="5" t="inlineStr"/>
    </row>
    <row r="534">
      <c r="A534" s="5" t="inlineStr">
        <is>
          <t>b6-flort-uygulamasi</t>
        </is>
      </c>
      <c r="B534" s="5" t="n">
        <v>3</v>
      </c>
      <c r="C534" s="6" t="inlineStr">
        <is>
          <t>İlk mesajı yaz</t>
        </is>
      </c>
      <c r="D534" s="5" t="inlineStr">
        <is>
          <t>Gönül</t>
        </is>
      </c>
      <c r="E534" s="5" t="inlineStr">
        <is>
          <t>Orta</t>
        </is>
      </c>
      <c r="F534" s="5" t="inlineStr"/>
      <c r="G534" s="6" t="inlineStr"/>
      <c r="H534" s="6" t="inlineStr">
        <is>
          <t>'Merhaba' yazdın. 'Merhaba' geldi. Sohbet üç gün sürdü, konusu hâlâ belirsiz.</t>
        </is>
      </c>
      <c r="I534" s="6" t="inlineStr">
        <is>
          <t>Buluşma ayarlandı. Kafede iki saat konuştunuz, kimse telefonuna bakmadı.</t>
        </is>
      </c>
      <c r="J534" s="6" t="inlineStr">
        <is>
          <t>Uzun, düşünülmüş bir mesaj yazdın. Cevap: 'hahaha'.</t>
        </is>
      </c>
      <c r="K534" s="6" t="inlineStr">
        <is>
          <t>Saatlerce düşündüğün “Gülüşün çok güzel” mesajını eşleşmene değil, aile grubuna attın. İlk teyzen yazdı: “Kim bu?” Sonra annen: “Bana mı yazdın yavrum?” Baban kalp attı.</t>
        </is>
      </c>
      <c r="L534" s="6" t="inlineStr"/>
      <c r="M534" s="5" t="inlineStr"/>
      <c r="N534" s="5" t="inlineStr"/>
      <c r="O534" s="6" t="inlineStr"/>
      <c r="P534" s="6" t="inlineStr"/>
      <c r="Q534" s="5" t="inlineStr"/>
      <c r="R534" s="5" t="inlineStr"/>
      <c r="S534" s="5" t="inlineStr"/>
      <c r="T534" s="5" t="inlineStr"/>
      <c r="U534" s="5" t="inlineStr"/>
      <c r="V534" s="5" t="inlineStr"/>
      <c r="W534" s="5" t="inlineStr"/>
      <c r="X534" s="5" t="inlineStr"/>
      <c r="Y534" s="5" t="inlineStr"/>
      <c r="Z534" s="6" t="inlineStr"/>
      <c r="AA534" s="5" t="inlineStr"/>
      <c r="AB534" s="5" t="inlineStr"/>
      <c r="AC534" s="5" t="inlineStr"/>
      <c r="AD534" s="5" t="inlineStr"/>
      <c r="AE534" s="5" t="inlineStr"/>
      <c r="AF534" s="5" t="inlineStr"/>
      <c r="AG534" s="5" t="inlineStr"/>
      <c r="AH534" s="5" t="inlineStr"/>
      <c r="AI534" s="5" t="inlineStr"/>
      <c r="AJ534" s="5" t="inlineStr"/>
    </row>
    <row r="535">
      <c r="A535" s="5" t="inlineStr">
        <is>
          <t>b6-flort-uygulamasi</t>
        </is>
      </c>
      <c r="B535" s="5" t="n">
        <v>4</v>
      </c>
      <c r="C535" s="6" t="inlineStr">
        <is>
          <t>Videolarını profile koy</t>
        </is>
      </c>
      <c r="D535" s="5" t="inlineStr">
        <is>
          <t>Pişkinlik</t>
        </is>
      </c>
      <c r="E535" s="5" t="inlineStr">
        <is>
          <t>Kolay</t>
        </is>
      </c>
      <c r="F535" s="5" t="inlineStr"/>
      <c r="G535" s="6" t="inlineStr"/>
      <c r="H535" s="6" t="inlineStr">
        <is>
          <t>Eşleşmeler yağdı. Hepsi zaten takipçinmiş.</t>
        </is>
      </c>
      <c r="I535" s="6" t="inlineStr">
        <is>
          <t>Bir takipçin seni kafeye çağırdı. Kamerasız, kendin olarak gittin. Buna şaşırdı, hoşuna gitti.</t>
        </is>
      </c>
      <c r="J535" s="6" t="inlineStr">
        <is>
          <t>Videolarını gören eşleşmen seni takipten çıktı.</t>
        </is>
      </c>
      <c r="K535" s="6" t="inlineStr">
        <is>
          <t>Eşleşmen seni tanıdı: eski bir videonun arka planında balkonda çamaşır asan komşuymuş. İlk mesajı: “Kedini benim balkonuma sen mi yolluyordun?” Eşleşme bitti; kedi hâlâ gidiyor.</t>
        </is>
      </c>
      <c r="L535" s="6" t="inlineStr"/>
      <c r="M535" s="5" t="inlineStr"/>
      <c r="N535" s="5" t="inlineStr"/>
      <c r="O535" s="6" t="inlineStr"/>
      <c r="P535" s="6" t="inlineStr"/>
      <c r="Q535" s="5" t="inlineStr"/>
      <c r="R535" s="5" t="inlineStr">
        <is>
          <t>fenomen</t>
        </is>
      </c>
      <c r="S535" s="5" t="inlineStr"/>
      <c r="T535" s="5" t="inlineStr"/>
      <c r="U535" s="5" t="inlineStr"/>
      <c r="V535" s="5" t="inlineStr"/>
      <c r="W535" s="5" t="inlineStr"/>
      <c r="X535" s="5" t="inlineStr"/>
      <c r="Y535" s="5" t="inlineStr"/>
      <c r="Z535" s="6" t="inlineStr"/>
      <c r="AA535" s="5" t="inlineStr"/>
      <c r="AB535" s="5" t="inlineStr"/>
      <c r="AC535" s="5" t="inlineStr"/>
      <c r="AD535" s="5" t="inlineStr"/>
      <c r="AE535" s="5" t="inlineStr"/>
      <c r="AF535" s="5" t="inlineStr"/>
      <c r="AG535" s="5" t="inlineStr"/>
      <c r="AH535" s="5" t="inlineStr"/>
      <c r="AI535" s="5" t="inlineStr"/>
      <c r="AJ535" s="5" t="inlineStr"/>
    </row>
    <row r="536">
      <c r="A536" s="5" t="inlineStr">
        <is>
          <t>b6-kamp-atesi</t>
        </is>
      </c>
      <c r="B536" s="5" t="n">
        <v>1</v>
      </c>
      <c r="C536" s="6" t="inlineStr">
        <is>
          <t>Kovayı doldur, yanında bekle</t>
        </is>
      </c>
      <c r="D536" s="5" t="inlineStr"/>
      <c r="E536" s="5" t="inlineStr"/>
      <c r="F536" s="5" t="inlineStr">
        <is>
          <t>İtibar +1, Akıl +1</t>
        </is>
      </c>
      <c r="G536" s="6" t="inlineStr">
        <is>
          <t>Dolu kovayı ateşin yanına koydun. Kimse fark etmedi. Kova gece boyu nöbet tuttu.</t>
        </is>
      </c>
      <c r="H536" s="6" t="inlineStr"/>
      <c r="I536" s="6" t="inlineStr"/>
      <c r="J536" s="6" t="inlineStr"/>
      <c r="K536" s="6" t="inlineStr"/>
      <c r="L536" s="6" t="inlineStr"/>
      <c r="M536" s="5" t="inlineStr"/>
      <c r="N536" s="5" t="inlineStr"/>
      <c r="O536" s="6" t="inlineStr"/>
      <c r="P536" s="6" t="inlineStr"/>
      <c r="Q536" s="5" t="inlineStr"/>
      <c r="R536" s="5" t="inlineStr"/>
      <c r="S536" s="5" t="inlineStr"/>
      <c r="T536" s="5" t="inlineStr"/>
      <c r="U536" s="5" t="inlineStr"/>
      <c r="V536" s="5" t="inlineStr"/>
      <c r="W536" s="5" t="inlineStr"/>
      <c r="X536" s="5" t="inlineStr"/>
      <c r="Y536" s="5" t="inlineStr"/>
      <c r="Z536" s="6" t="inlineStr"/>
      <c r="AA536" s="5" t="inlineStr"/>
      <c r="AB536" s="5" t="inlineStr"/>
      <c r="AC536" s="5" t="inlineStr"/>
      <c r="AD536" s="5" t="inlineStr"/>
      <c r="AE536" s="5" t="inlineStr"/>
      <c r="AF536" s="5" t="inlineStr"/>
      <c r="AG536" s="5" t="inlineStr"/>
      <c r="AH536" s="5" t="inlineStr"/>
      <c r="AI536" s="5" t="inlineStr"/>
      <c r="AJ536" s="5" t="inlineStr"/>
    </row>
    <row r="537">
      <c r="A537" s="5" t="inlineStr">
        <is>
          <t>b6-kamp-atesi</t>
        </is>
      </c>
      <c r="B537" s="5" t="n">
        <v>2</v>
      </c>
      <c r="C537" s="6" t="inlineStr">
        <is>
          <t>Ateşi 'kesin güvenli' arkadaşa bırak</t>
        </is>
      </c>
      <c r="D537" s="5" t="inlineStr">
        <is>
          <t>Sosyal Radar</t>
        </is>
      </c>
      <c r="E537" s="5" t="inlineStr">
        <is>
          <t>Zor</t>
        </is>
      </c>
      <c r="F537" s="5" t="inlineStr"/>
      <c r="G537" s="6" t="inlineStr"/>
      <c r="H537" s="6" t="inlineStr">
        <is>
          <t>Ateş yandı, sadece bir kamp sandalyesi biraz eridi. Gece güzel geçti.</t>
        </is>
      </c>
      <c r="I537" s="6" t="inlineStr">
        <is>
          <t>Arkadaş gerçekten biliyormuş. Harika bir ateş, harika sohbet, tek bir yanık mısır.</t>
        </is>
      </c>
      <c r="J537" s="6" t="inlineStr">
        <is>
          <t>Ateş bir türlü yanmadı. Arkadaş gece boyunca rüzgârı suçladı.</t>
        </is>
      </c>
      <c r="K537" s="6" t="inlineStr">
        <is>
          <t>Ateş biraz fazla yandı; çadırın yarısı gökyüzüne karıştı. “Kesin güvenli” diyen arkadaş kovayla koştu; kovada su yoktu. Kalan yarım çadırda dört kişi uyudunuz; o dışarıda.</t>
        </is>
      </c>
      <c r="L537" s="6" t="inlineStr"/>
      <c r="M537" s="5" t="inlineStr"/>
      <c r="N537" s="5" t="inlineStr"/>
      <c r="O537" s="6" t="inlineStr"/>
      <c r="P537" s="6" t="inlineStr"/>
      <c r="Q537" s="5" t="inlineStr"/>
      <c r="R537" s="5" t="inlineStr"/>
      <c r="S537" s="5" t="inlineStr"/>
      <c r="T537" s="5" t="inlineStr"/>
      <c r="U537" s="5" t="inlineStr"/>
      <c r="V537" s="5" t="inlineStr"/>
      <c r="W537" s="5" t="inlineStr"/>
      <c r="X537" s="5" t="inlineStr"/>
      <c r="Y537" s="5" t="n">
        <v>2</v>
      </c>
      <c r="Z537" s="6" t="inlineStr">
        <is>
          <t>Arkadaşının 'Kesin güvenli' dediği kamp ateşinin başında. Arkadaş fikrini değiştirmedi.</t>
        </is>
      </c>
      <c r="AA537" s="5" t="inlineStr"/>
      <c r="AB537" s="5" t="inlineStr"/>
      <c r="AC537" s="5" t="inlineStr"/>
      <c r="AD537" s="5" t="inlineStr"/>
      <c r="AE537" s="5" t="inlineStr"/>
      <c r="AF537" s="5" t="inlineStr"/>
      <c r="AG537" s="5" t="inlineStr"/>
      <c r="AH537" s="5" t="inlineStr"/>
      <c r="AI537" s="5" t="inlineStr"/>
      <c r="AJ537" s="5" t="inlineStr"/>
    </row>
    <row r="538">
      <c r="A538" s="5" t="inlineStr">
        <is>
          <t>b6-kamp-atesi</t>
        </is>
      </c>
      <c r="B538" s="5" t="n">
        <v>3</v>
      </c>
      <c r="C538" s="6" t="inlineStr">
        <is>
          <t>Ateşi sen yak</t>
        </is>
      </c>
      <c r="D538" s="5" t="inlineStr">
        <is>
          <t>Dayanıklılık</t>
        </is>
      </c>
      <c r="E538" s="5" t="inlineStr">
        <is>
          <t>Orta</t>
        </is>
      </c>
      <c r="F538" s="5" t="inlineStr"/>
      <c r="G538" s="6" t="inlineStr"/>
      <c r="H538" s="6" t="inlineStr">
        <is>
          <t>Tek kibritle yaktın. Gecenin kalanı senin hikâyelerinle geçti.</t>
        </is>
      </c>
      <c r="I538" s="6" t="inlineStr">
        <is>
          <t>Ateşi tek kibritle yaktın, üstüne çaydanlığı oturttun. O gece kimse “Ben bilirim” demedi; o arkadaş bile çayını sana doldurttu.</t>
        </is>
      </c>
      <c r="J538" s="6" t="inlineStr">
        <is>
          <t>On yedi kibrit yaktın. On sekizincisi kutunun kendisiydi.</t>
        </is>
      </c>
      <c r="K538" s="6" t="inlineStr">
        <is>
          <t>Ateş tutmayınca bütün çakmak gazını odunlara boşalttın. Ateş bir anda parladı; kaşların da gitti. Kampta adın artık “Kaşsız”; o yazın bütün fotoğraflarında şaşkın bakıyorsun.</t>
        </is>
      </c>
      <c r="L538" s="6" t="inlineStr"/>
      <c r="M538" s="5" t="inlineStr"/>
      <c r="N538" s="5" t="inlineStr"/>
      <c r="O538" s="6" t="inlineStr"/>
      <c r="P538" s="6" t="inlineStr"/>
      <c r="Q538" s="5" t="inlineStr"/>
      <c r="R538" s="5" t="inlineStr"/>
      <c r="S538" s="5" t="inlineStr"/>
      <c r="T538" s="5" t="inlineStr"/>
      <c r="U538" s="5" t="inlineStr"/>
      <c r="V538" s="5" t="inlineStr"/>
      <c r="W538" s="5" t="inlineStr"/>
      <c r="X538" s="5" t="inlineStr"/>
      <c r="Y538" s="5" t="inlineStr"/>
      <c r="Z538" s="6" t="inlineStr"/>
      <c r="AA538" s="5" t="inlineStr"/>
      <c r="AB538" s="5" t="inlineStr"/>
      <c r="AC538" s="5" t="inlineStr"/>
      <c r="AD538" s="5" t="inlineStr"/>
      <c r="AE538" s="5" t="inlineStr"/>
      <c r="AF538" s="5" t="inlineStr"/>
      <c r="AG538" s="5" t="inlineStr"/>
      <c r="AH538" s="5" t="inlineStr"/>
      <c r="AI538" s="5" t="inlineStr">
        <is>
          <t>Kaşsız</t>
        </is>
      </c>
      <c r="AJ538" s="5" t="inlineStr"/>
    </row>
    <row r="539">
      <c r="A539" s="5" t="inlineStr">
        <is>
          <t>mb-ilk-gun-karti</t>
        </is>
      </c>
      <c r="B539" s="5" t="n">
        <v>1</v>
      </c>
      <c r="C539" s="6" t="inlineStr">
        <is>
          <t>Lobide bekle</t>
        </is>
      </c>
      <c r="D539" s="5" t="inlineStr"/>
      <c r="E539" s="5" t="inlineStr"/>
      <c r="F539" s="5" t="inlineStr">
        <is>
          <t>Dayanıklılık +1</t>
        </is>
      </c>
      <c r="G539" s="6" t="inlineStr">
        <is>
          <t>İlk günün lobide geçti. Yakana 'ZİYARETÇİ' kartı takıldı. Sonraki üç ay kendini de öyle hissettin.</t>
        </is>
      </c>
      <c r="H539" s="6" t="inlineStr"/>
      <c r="I539" s="6" t="inlineStr"/>
      <c r="J539" s="6" t="inlineStr"/>
      <c r="K539" s="6" t="inlineStr"/>
      <c r="L539" s="6" t="inlineStr"/>
      <c r="M539" s="5" t="inlineStr"/>
      <c r="N539" s="5" t="inlineStr"/>
      <c r="O539" s="6" t="inlineStr"/>
      <c r="P539" s="6" t="inlineStr"/>
      <c r="Q539" s="5" t="inlineStr"/>
      <c r="R539" s="5" t="inlineStr"/>
      <c r="S539" s="5" t="inlineStr"/>
      <c r="T539" s="5" t="inlineStr"/>
      <c r="U539" s="5" t="inlineStr"/>
      <c r="V539" s="5" t="inlineStr"/>
      <c r="W539" s="5" t="inlineStr"/>
      <c r="X539" s="5" t="inlineStr"/>
      <c r="Y539" s="5" t="inlineStr"/>
      <c r="Z539" s="6" t="inlineStr"/>
      <c r="AA539" s="5" t="inlineStr"/>
      <c r="AB539" s="5" t="inlineStr"/>
      <c r="AC539" s="5" t="inlineStr"/>
      <c r="AD539" s="5" t="inlineStr"/>
      <c r="AE539" s="5" t="inlineStr"/>
      <c r="AF539" s="5" t="inlineStr"/>
      <c r="AG539" s="5" t="inlineStr"/>
      <c r="AH539" s="5" t="inlineStr"/>
      <c r="AI539" s="5" t="inlineStr"/>
      <c r="AJ539" s="5" t="inlineStr"/>
    </row>
    <row r="540">
      <c r="A540" s="5" t="inlineStr">
        <is>
          <t>mb-ilk-gun-karti</t>
        </is>
      </c>
      <c r="B540" s="5" t="n">
        <v>2</v>
      </c>
      <c r="C540" s="6" t="inlineStr">
        <is>
          <t>İnsan kaynaklarını ara</t>
        </is>
      </c>
      <c r="D540" s="5" t="inlineStr">
        <is>
          <t>Çene</t>
        </is>
      </c>
      <c r="E540" s="5" t="inlineStr">
        <is>
          <t>Kolay</t>
        </is>
      </c>
      <c r="F540" s="5" t="inlineStr"/>
      <c r="G540" s="6" t="inlineStr"/>
      <c r="H540" s="6" t="inlineStr">
        <is>
          <t>İnsan kaynaklarını aradın; on dakikada kartın tanımlandı. Turnike ilk kez yeşil yandı, güvenlik görevlisi kısa bir alkış tuttu. Akşam annen “Kartını verdiler mi?” diye sordu; fotoğrafını çekip yolladın.</t>
        </is>
      </c>
      <c r="I540" s="6" t="inlineStr">
        <is>
          <t>Kartın tanımlandı; yanlışlıkla yönetim katına da yetki verildi. Kimseye söylemedin.</t>
        </is>
      </c>
      <c r="J540" s="6" t="inlineStr">
        <is>
          <t>İnsan kaynakları “Sistemde görünmüyorsunuz” dedi. Öğle yemeğini lobide güvenlik görevlisiyle yedin. Annen iki kez arayıp “Patron ne dedi?” diye sordu; patronu henüz görmemiştin.</t>
        </is>
      </c>
      <c r="K540" s="6" t="inlineStr">
        <is>
          <t>Seni işe alan kişinin dün ayrıldığını öğrendin. Sistemde o yok, sen de yoksun. Güvenlik görevlisi öğle yemeğini seninle paylaştı: “Ben de ilk gün böyleydim. On iki yıl önce.”</t>
        </is>
      </c>
      <c r="L540" s="6" t="inlineStr"/>
      <c r="M540" s="5" t="inlineStr"/>
      <c r="N540" s="5" t="inlineStr"/>
      <c r="O540" s="6" t="inlineStr"/>
      <c r="P540" s="6" t="inlineStr"/>
      <c r="Q540" s="5" t="inlineStr"/>
      <c r="R540" s="5" t="inlineStr"/>
      <c r="S540" s="5" t="inlineStr"/>
      <c r="T540" s="5" t="inlineStr"/>
      <c r="U540" s="5" t="inlineStr"/>
      <c r="V540" s="5" t="inlineStr"/>
      <c r="W540" s="5" t="inlineStr"/>
      <c r="X540" s="5" t="inlineStr"/>
      <c r="Y540" s="5" t="inlineStr"/>
      <c r="Z540" s="6" t="inlineStr"/>
      <c r="AA540" s="5" t="inlineStr"/>
      <c r="AB540" s="5" t="inlineStr"/>
      <c r="AC540" s="5" t="inlineStr"/>
      <c r="AD540" s="5" t="inlineStr"/>
      <c r="AE540" s="5" t="inlineStr"/>
      <c r="AF540" s="5" t="inlineStr"/>
      <c r="AG540" s="5" t="inlineStr"/>
      <c r="AH540" s="5" t="inlineStr"/>
      <c r="AI540" s="5" t="inlineStr"/>
      <c r="AJ540" s="5" t="inlineStr"/>
    </row>
    <row r="541">
      <c r="A541" s="5" t="inlineStr">
        <is>
          <t>mb-ilk-gun-karti</t>
        </is>
      </c>
      <c r="B541" s="5" t="n">
        <v>3</v>
      </c>
      <c r="C541" s="6" t="inlineStr">
        <is>
          <t>Kuryenin arkasından geç</t>
        </is>
      </c>
      <c r="D541" s="5" t="inlineStr">
        <is>
          <t>Kurnazlık</t>
        </is>
      </c>
      <c r="E541" s="5" t="inlineStr">
        <is>
          <t>Orta</t>
        </is>
      </c>
      <c r="F541" s="5" t="inlineStr"/>
      <c r="G541" s="6" t="inlineStr"/>
      <c r="H541" s="6" t="inlineStr">
        <is>
          <t>Turnikeden ikişer geçtiniz. Kurumsal hayata arka kapıdan, ama zamanında girdin.</t>
        </is>
      </c>
      <c r="I541" s="6" t="inlineStr">
        <is>
          <t>Kuryeyle geçtin, kurye de sana bir yemek siparişi teslim etti. İlk gün öğle yemeği çözüldü.</t>
        </is>
      </c>
      <c r="J541" s="6" t="inlineStr">
        <is>
          <t>Turnike ikinizi birden sıkıştırdı. Güvenlik kamerası ilk gününü arşivledi.</t>
        </is>
      </c>
      <c r="K541" s="6" t="inlineStr">
        <is>
          <t>Alarm çaldı. Oryantasyon eğitimin güvenlik odasında, ifade vererek başladı.</t>
        </is>
      </c>
      <c r="L541" s="6" t="inlineStr"/>
      <c r="M541" s="5" t="inlineStr"/>
      <c r="N541" s="5" t="inlineStr"/>
      <c r="O541" s="6" t="inlineStr"/>
      <c r="P541" s="6" t="inlineStr"/>
      <c r="Q541" s="5" t="inlineStr"/>
      <c r="R541" s="5" t="inlineStr"/>
      <c r="S541" s="5" t="inlineStr">
        <is>
          <t>Kurnazlık</t>
        </is>
      </c>
      <c r="T541" s="5" t="inlineStr"/>
      <c r="U541" s="5" t="inlineStr"/>
      <c r="V541" s="5" t="inlineStr"/>
      <c r="W541" s="5" t="inlineStr"/>
      <c r="X541" s="5" t="inlineStr"/>
      <c r="Y541" s="5" t="inlineStr"/>
      <c r="Z541" s="6" t="inlineStr"/>
      <c r="AA541" s="5" t="inlineStr"/>
      <c r="AB541" s="5" t="inlineStr"/>
      <c r="AC541" s="5" t="inlineStr"/>
      <c r="AD541" s="5" t="inlineStr"/>
      <c r="AE541" s="5" t="inlineStr"/>
      <c r="AF541" s="5" t="inlineStr"/>
      <c r="AG541" s="5" t="inlineStr"/>
      <c r="AH541" s="5" t="inlineStr"/>
      <c r="AI541" s="5" t="inlineStr"/>
      <c r="AJ541" s="5" t="inlineStr"/>
    </row>
    <row r="542">
      <c r="A542" s="5" t="inlineStr">
        <is>
          <t>me-dukkan-acilisi</t>
        </is>
      </c>
      <c r="B542" s="5" t="n">
        <v>1</v>
      </c>
      <c r="C542" s="6" t="inlineStr">
        <is>
          <t>Cama 'Açılışa özel' yaz</t>
        </is>
      </c>
      <c r="D542" s="5" t="inlineStr"/>
      <c r="E542" s="5" t="inlineStr"/>
      <c r="F542" s="5" t="inlineStr">
        <is>
          <t>Çene +1, Kurnazlık +1</t>
        </is>
      </c>
      <c r="G542" s="6" t="inlineStr">
        <is>
          <t>Camına 'Açılışa özel' yazdın. Yazı on yedi yıl orada kalacak.</t>
        </is>
      </c>
      <c r="H542" s="6" t="inlineStr"/>
      <c r="I542" s="6" t="inlineStr"/>
      <c r="J542" s="6" t="inlineStr"/>
      <c r="K542" s="6" t="inlineStr"/>
      <c r="L542" s="6" t="inlineStr"/>
      <c r="M542" s="5" t="inlineStr"/>
      <c r="N542" s="5" t="inlineStr"/>
      <c r="O542" s="6" t="inlineStr"/>
      <c r="P542" s="6" t="inlineStr"/>
      <c r="Q542" s="5" t="inlineStr"/>
      <c r="R542" s="5" t="inlineStr"/>
      <c r="S542" s="5" t="inlineStr"/>
      <c r="T542" s="5" t="inlineStr"/>
      <c r="U542" s="5" t="inlineStr"/>
      <c r="V542" s="5" t="inlineStr"/>
      <c r="W542" s="5" t="inlineStr"/>
      <c r="X542" s="5" t="inlineStr"/>
      <c r="Y542" s="5" t="inlineStr"/>
      <c r="Z542" s="6" t="inlineStr"/>
      <c r="AA542" s="5" t="inlineStr"/>
      <c r="AB542" s="5" t="inlineStr"/>
      <c r="AC542" s="5" t="inlineStr"/>
      <c r="AD542" s="5" t="inlineStr"/>
      <c r="AE542" s="5" t="inlineStr"/>
      <c r="AF542" s="5" t="inlineStr"/>
      <c r="AG542" s="5" t="inlineStr"/>
      <c r="AH542" s="5" t="inlineStr"/>
      <c r="AI542" s="5" t="inlineStr"/>
      <c r="AJ542" s="5" t="inlineStr"/>
    </row>
    <row r="543">
      <c r="A543" s="5" t="inlineStr">
        <is>
          <t>me-dukkan-acilisi</t>
        </is>
      </c>
      <c r="B543" s="5" t="n">
        <v>2</v>
      </c>
      <c r="C543" s="6" t="inlineStr">
        <is>
          <t>Vitrini düzenle</t>
        </is>
      </c>
      <c r="D543" s="5" t="inlineStr">
        <is>
          <t>Akıl</t>
        </is>
      </c>
      <c r="E543" s="5" t="inlineStr">
        <is>
          <t>Orta</t>
        </is>
      </c>
      <c r="F543" s="5" t="inlineStr"/>
      <c r="G543" s="6" t="inlineStr"/>
      <c r="H543" s="6" t="inlineStr">
        <is>
          <t>Vitrin kusursuz. Yoldan geçenler durup baktı, sonra yürümeye devam etti. Ama durdular.</t>
        </is>
      </c>
      <c r="I543" s="6" t="inlineStr">
        <is>
          <t>Vitrin o kadar güzel oldu ki karşı dükkânın çırağı gizlice fotoğrafını çekti. Ertesi sabah onların vitrini de aynıydı; sadece kapıda senin kedin yoktu.</t>
        </is>
      </c>
      <c r="J543" s="6" t="inlineStr">
        <is>
          <t>Kutular yamuk durdu. Müşteriler bunu 'samimi bir işletme' olarak yorumladı.</t>
        </is>
      </c>
      <c r="K543" s="6" t="inlineStr">
        <is>
          <t>Vitrin açılıştan on dakika önce çöktü; kutular kaldırıma kadar yuvarlandı. Karşı kaldırımdaki esnaflar çaylarını bırakmadan izledi. Siftahı ezilmiş bir kutuyla, yarı fiyatına yaptın.</t>
        </is>
      </c>
      <c r="L543" s="6" t="inlineStr">
        <is>
          <t>Vitrin ayakta ama bir kutu hafif eğik. Her sabah düzelteceksin; her akşam yine eğilecek.</t>
        </is>
      </c>
      <c r="M543" s="5" t="inlineStr">
        <is>
          <t>tower</t>
        </is>
      </c>
      <c r="N543" s="5" t="inlineStr">
        <is>
          <t>Vitrin Düzeni</t>
        </is>
      </c>
      <c r="O543" s="6" t="inlineStr">
        <is>
          <t>Kaymadan üst üste dizmek için doğru anda BIRAK'a bas.</t>
        </is>
      </c>
      <c r="P543" s="6" t="inlineStr">
        <is>
          <t>{"item": "📦"}</t>
        </is>
      </c>
      <c r="Q543" s="5" t="inlineStr"/>
      <c r="R543" s="5" t="inlineStr"/>
      <c r="S543" s="5" t="inlineStr"/>
      <c r="T543" s="5" t="inlineStr"/>
      <c r="U543" s="5" t="inlineStr"/>
      <c r="V543" s="5" t="inlineStr"/>
      <c r="W543" s="5" t="inlineStr"/>
      <c r="X543" s="5" t="inlineStr"/>
      <c r="Y543" s="5" t="inlineStr"/>
      <c r="Z543" s="6" t="inlineStr"/>
      <c r="AA543" s="5" t="inlineStr"/>
      <c r="AB543" s="5" t="inlineStr"/>
      <c r="AC543" s="5" t="inlineStr"/>
      <c r="AD543" s="5" t="inlineStr"/>
      <c r="AE543" s="5" t="inlineStr"/>
      <c r="AF543" s="5" t="inlineStr"/>
      <c r="AG543" s="5" t="inlineStr"/>
      <c r="AH543" s="5" t="inlineStr"/>
      <c r="AI543" s="5" t="inlineStr"/>
      <c r="AJ543" s="5" t="inlineStr"/>
    </row>
    <row r="544">
      <c r="A544" s="5" t="inlineStr">
        <is>
          <t>me-dukkan-acilisi</t>
        </is>
      </c>
      <c r="B544" s="5" t="n">
        <v>3</v>
      </c>
      <c r="C544" s="6" t="inlineStr">
        <is>
          <t>Kapıda müşteri çevir</t>
        </is>
      </c>
      <c r="D544" s="5" t="inlineStr">
        <is>
          <t>Çene</t>
        </is>
      </c>
      <c r="E544" s="5" t="inlineStr">
        <is>
          <t>Kolay</t>
        </is>
      </c>
      <c r="F544" s="5" t="inlineStr"/>
      <c r="G544" s="6" t="inlineStr"/>
      <c r="H544" s="6" t="inlineStr">
        <is>
          <t>Geçen üç kişiden ikisini içeri aldın. Biri gerçekten bir şey aldı.</t>
        </is>
      </c>
      <c r="I544" s="6" t="inlineStr">
        <is>
          <t>Sokaktan geçen herkesi içeri aldın. Kira toplamaya gelen dükkân sahibi bile bir şey aldı.</t>
        </is>
      </c>
      <c r="J544" s="6" t="inlineStr">
        <is>
          <t>Seslendin, çağırdın. Sokak seni bir süre izledi, sonra karşı kaldırıma geçti.</t>
        </is>
      </c>
      <c r="K544" s="6" t="inlineStr">
        <is>
          <t>O kadar ısrarcı oldun ki mahallenin mesaj grubunda 'Dikkat, kapıda çeviren dükkân' uyarısı dolaşıma girdi.</t>
        </is>
      </c>
      <c r="L544" s="6" t="inlineStr"/>
      <c r="M544" s="5" t="inlineStr"/>
      <c r="N544" s="5" t="inlineStr"/>
      <c r="O544" s="6" t="inlineStr"/>
      <c r="P544" s="6" t="inlineStr"/>
      <c r="Q544" s="5" t="inlineStr"/>
      <c r="R544" s="5" t="inlineStr"/>
      <c r="S544" s="5" t="inlineStr"/>
      <c r="T544" s="5" t="inlineStr"/>
      <c r="U544" s="5" t="inlineStr"/>
      <c r="V544" s="5" t="inlineStr"/>
      <c r="W544" s="5" t="inlineStr"/>
      <c r="X544" s="5" t="inlineStr"/>
      <c r="Y544" s="5" t="inlineStr"/>
      <c r="Z544" s="6" t="inlineStr"/>
      <c r="AA544" s="5" t="inlineStr"/>
      <c r="AB544" s="5" t="inlineStr"/>
      <c r="AC544" s="5" t="inlineStr"/>
      <c r="AD544" s="5" t="inlineStr"/>
      <c r="AE544" s="5" t="inlineStr"/>
      <c r="AF544" s="5" t="inlineStr"/>
      <c r="AG544" s="5" t="inlineStr"/>
      <c r="AH544" s="5" t="inlineStr"/>
      <c r="AI544" s="5" t="inlineStr"/>
      <c r="AJ544" s="5" t="inlineStr"/>
    </row>
    <row r="545">
      <c r="A545" s="5" t="inlineStr">
        <is>
          <t>me-dukkan-acilisi</t>
        </is>
      </c>
      <c r="B545" s="5" t="n">
        <v>4</v>
      </c>
      <c r="C545" s="6" t="inlineStr">
        <is>
          <t>Siftahı törenle yap</t>
        </is>
      </c>
      <c r="D545" s="5" t="inlineStr">
        <is>
          <t>Çene</t>
        </is>
      </c>
      <c r="E545" s="5" t="inlineStr">
        <is>
          <t>Kolay</t>
        </is>
      </c>
      <c r="F545" s="5" t="inlineStr"/>
      <c r="G545" s="6" t="inlineStr"/>
      <c r="H545" s="6" t="inlineStr">
        <is>
          <t>İlk müşteriye bereket indirimi yaptın, parayı alnına değdirip kasaya koydun. Karşıdaki yaşlı esnaf uzaktan başını salladı: “Usul biliyor.”</t>
        </is>
      </c>
      <c r="I545" s="6" t="inlineStr">
        <is>
          <t>Siftah parasını çerçeveletip kasanın üstüne astın. Annen dükkâna geldiğinde önce paraya, sonra sana baktı; gözleri doldu. Akşama kadar kapı boş kalmadı.</t>
        </is>
      </c>
      <c r="J545" s="6" t="inlineStr">
        <is>
          <t>Siftah parasını çerçevelemek istedin; o parayla para üstü vermen gerekti. Çerçeve boş kaldı.</t>
        </is>
      </c>
      <c r="K545" s="6" t="inlineStr">
        <is>
          <t>İlk müşteriye bereket indirimi yaptın. Müşteri hesabı kendi yaptı. Siftah zararla açıldı.</t>
        </is>
      </c>
      <c r="L545" s="6" t="inlineStr"/>
      <c r="M545" s="5" t="inlineStr"/>
      <c r="N545" s="5" t="inlineStr"/>
      <c r="O545" s="6" t="inlineStr"/>
      <c r="P545" s="6" t="inlineStr"/>
      <c r="Q545" s="5" t="inlineStr">
        <is>
          <t>Küçük Tüccar</t>
        </is>
      </c>
      <c r="R545" s="5" t="inlineStr"/>
      <c r="S545" s="5" t="inlineStr"/>
      <c r="T545" s="5" t="inlineStr"/>
      <c r="U545" s="5" t="inlineStr"/>
      <c r="V545" s="5" t="inlineStr"/>
      <c r="W545" s="5" t="inlineStr"/>
      <c r="X545" s="5" t="inlineStr"/>
      <c r="Y545" s="5" t="inlineStr"/>
      <c r="Z545" s="6" t="inlineStr"/>
      <c r="AA545" s="5" t="inlineStr"/>
      <c r="AB545" s="5" t="inlineStr"/>
      <c r="AC545" s="5" t="inlineStr"/>
      <c r="AD545" s="5" t="inlineStr"/>
      <c r="AE545" s="5" t="inlineStr"/>
      <c r="AF545" s="5" t="inlineStr"/>
      <c r="AG545" s="5" t="inlineStr"/>
      <c r="AH545" s="5" t="inlineStr"/>
      <c r="AI545" s="5" t="inlineStr"/>
      <c r="AJ545" s="5" t="inlineStr"/>
    </row>
    <row r="546">
      <c r="A546" s="5" t="inlineStr">
        <is>
          <t>mm-ilk-atama</t>
        </is>
      </c>
      <c r="B546" s="5" t="n">
        <v>1</v>
      </c>
      <c r="C546" s="6" t="inlineStr">
        <is>
          <t>Göreve başlama belgesini imzala</t>
        </is>
      </c>
      <c r="D546" s="5" t="inlineStr">
        <is>
          <t>Dayanıklılık</t>
        </is>
      </c>
      <c r="E546" s="5" t="inlineStr">
        <is>
          <t>Kolay</t>
        </is>
      </c>
      <c r="F546" s="5" t="inlineStr"/>
      <c r="G546" s="6" t="inlineStr"/>
      <c r="H546" s="6" t="inlineStr">
        <is>
          <t>Göreve başlama belgesini imzaladın. Şef mürekkebi üfledi, belgeyi rafa kaldırdı: “Geçmiş olsun. Otuz yıl.”</t>
        </is>
      </c>
      <c r="I546" s="6" t="inlineStr">
        <is>
          <t>İmzan o kadar düzgün çıktı ki şube şefi fotokopisini 'örnek imza' klasörüne koydu.</t>
        </is>
      </c>
      <c r="J546" s="6" t="inlineStr">
        <is>
          <t>İmzan yamuk çıktı. Otuz yıl boyunca her imzayı bu yamuğa sadık atman gerekecek.</t>
        </is>
      </c>
      <c r="K546" s="6" t="inlineStr">
        <is>
          <t>İmzayı yanlış satıra attın. Kayıtlara göre kasabanın yeni temizlik malzemesi sorumlususun.</t>
        </is>
      </c>
      <c r="L546" s="6" t="inlineStr">
        <is>
          <t>İmza tuttu ama biraz titrek. Kurum bunu 'heyecan' olarak dosyaladı.</t>
        </is>
      </c>
      <c r="M546" s="5" t="inlineStr">
        <is>
          <t>trace</t>
        </is>
      </c>
      <c r="N546" s="5" t="inlineStr">
        <is>
          <t>İlk Resmî İmza</t>
        </is>
      </c>
      <c r="O546" s="6" t="inlineStr">
        <is>
          <t>İmzanı çizgiden taşmadan tek hamlede at. Bu imza otuz yıl boyunca her şeyin altında olacak.</t>
        </is>
      </c>
      <c r="P546" s="6" t="inlineStr">
        <is>
          <t>{"shape": "imza"}</t>
        </is>
      </c>
      <c r="Q546" s="5" t="inlineStr"/>
      <c r="R546" s="5" t="inlineStr"/>
      <c r="S546" s="5" t="inlineStr"/>
      <c r="T546" s="5" t="inlineStr"/>
      <c r="U546" s="5" t="inlineStr"/>
      <c r="V546" s="5" t="inlineStr"/>
      <c r="W546" s="5" t="inlineStr"/>
      <c r="X546" s="5" t="inlineStr"/>
      <c r="Y546" s="5" t="inlineStr"/>
      <c r="Z546" s="6" t="inlineStr"/>
      <c r="AA546" s="5" t="inlineStr"/>
      <c r="AB546" s="5" t="inlineStr"/>
      <c r="AC546" s="5" t="inlineStr"/>
      <c r="AD546" s="5" t="inlineStr"/>
      <c r="AE546" s="5" t="inlineStr"/>
      <c r="AF546" s="5" t="inlineStr"/>
      <c r="AG546" s="5" t="inlineStr"/>
      <c r="AH546" s="5" t="inlineStr"/>
      <c r="AI546" s="5" t="inlineStr"/>
      <c r="AJ546" s="5" t="inlineStr"/>
    </row>
    <row r="547">
      <c r="A547" s="5" t="inlineStr">
        <is>
          <t>mm-ilk-atama</t>
        </is>
      </c>
      <c r="B547" s="5" t="n">
        <v>2</v>
      </c>
      <c r="C547" s="6" t="inlineStr">
        <is>
          <t>İlk gün tayin dilekçesi ver</t>
        </is>
      </c>
      <c r="D547" s="5" t="inlineStr">
        <is>
          <t>Akıl</t>
        </is>
      </c>
      <c r="E547" s="5" t="inlineStr">
        <is>
          <t>Orta</t>
        </is>
      </c>
      <c r="F547" s="5" t="inlineStr"/>
      <c r="G547" s="6" t="inlineStr"/>
      <c r="H547" s="6" t="inlineStr">
        <is>
          <t>Dilekçen kayda girdi, sıra numarası aldı. İki yıl sonra değerlendirilecek. Sen de öyle.</t>
        </is>
      </c>
      <c r="I547" s="6" t="inlineStr">
        <is>
          <t>Dilekçen o kadar iyi yazılmıştı ki müdürlük onu örnek dilekçe olarak arşivledi. Tayinini de iki yıl sonraya.</t>
        </is>
      </c>
      <c r="J547" s="6" t="inlineStr">
        <is>
          <t>Şef 'Yeni gelen herkes verir' dedi ve dilekçeni, yeni gelen herkesin dilekçesinin üstüne koydu.</t>
        </is>
      </c>
      <c r="K547" s="6" t="inlineStr">
        <is>
          <t>Dilekçeyi yanlış birime verdin. Kasabanın içinde, daha da uzak bir mahalleye tayin edildin.</t>
        </is>
      </c>
      <c r="L547" s="6" t="inlineStr"/>
      <c r="M547" s="5" t="inlineStr"/>
      <c r="N547" s="5" t="inlineStr"/>
      <c r="O547" s="6" t="inlineStr"/>
      <c r="P547" s="6" t="inlineStr"/>
      <c r="Q547" s="5" t="inlineStr"/>
      <c r="R547" s="5" t="inlineStr"/>
      <c r="S547" s="5" t="inlineStr"/>
      <c r="T547" s="5" t="inlineStr"/>
      <c r="U547" s="5" t="inlineStr"/>
      <c r="V547" s="5" t="inlineStr"/>
      <c r="W547" s="5" t="inlineStr"/>
      <c r="X547" s="5" t="inlineStr"/>
      <c r="Y547" s="5" t="inlineStr"/>
      <c r="Z547" s="6" t="inlineStr"/>
      <c r="AA547" s="5" t="inlineStr"/>
      <c r="AB547" s="5" t="inlineStr"/>
      <c r="AC547" s="5" t="inlineStr"/>
      <c r="AD547" s="5" t="inlineStr"/>
      <c r="AE547" s="5" t="inlineStr"/>
      <c r="AF547" s="5" t="inlineStr"/>
      <c r="AG547" s="5" t="inlineStr"/>
      <c r="AH547" s="5" t="inlineStr"/>
      <c r="AI547" s="5" t="inlineStr"/>
      <c r="AJ547" s="5" t="inlineStr"/>
    </row>
    <row r="548">
      <c r="A548" s="5" t="inlineStr">
        <is>
          <t>mm-ilk-atama</t>
        </is>
      </c>
      <c r="B548" s="5" t="n">
        <v>3</v>
      </c>
      <c r="C548" s="6" t="inlineStr">
        <is>
          <t>Fırıncıyla tanış</t>
        </is>
      </c>
      <c r="D548" s="5" t="inlineStr">
        <is>
          <t>Sosyal Radar</t>
        </is>
      </c>
      <c r="E548" s="5" t="inlineStr">
        <is>
          <t>Kolay</t>
        </is>
      </c>
      <c r="F548" s="5" t="inlineStr"/>
      <c r="G548" s="6" t="inlineStr"/>
      <c r="H548" s="6" t="inlineStr">
        <is>
          <t>Fırıncıyla dost oldun. Ekmeğin sıcak, dosyaların hızlı.</t>
        </is>
      </c>
      <c r="I548" s="6" t="inlineStr">
        <is>
          <t>Fırıncı müdürün kayınbiraderi çıktı. Her sabah ekmeğinin yanında bir de müdürün selamı geliyor. İlk yıl hiç geç kalmadın; kalsan da kimse fark etmezdi.</t>
        </is>
      </c>
      <c r="J548" s="6" t="inlineStr">
        <is>
          <t>Fırıncı yeni gelen memurlara ekmeği biraz daha pahalı veriyormuş. Tanışmak da dahil.</t>
        </is>
      </c>
      <c r="K548" s="6" t="inlineStr">
        <is>
          <t>Fırıncıya müdürü çekiştirdin. Kasabada tek fırın var; akşama kadar bütün kasaba, ertesi sabah da müdür biliyordu. Ekmeğin o günden beri bayat geliyor.</t>
        </is>
      </c>
      <c r="L548" s="6" t="inlineStr"/>
      <c r="M548" s="5" t="inlineStr"/>
      <c r="N548" s="5" t="inlineStr"/>
      <c r="O548" s="6" t="inlineStr"/>
      <c r="P548" s="6" t="inlineStr"/>
      <c r="Q548" s="5" t="inlineStr"/>
      <c r="R548" s="5" t="inlineStr"/>
      <c r="S548" s="5" t="inlineStr">
        <is>
          <t>Kurnazlık</t>
        </is>
      </c>
      <c r="T548" s="5" t="inlineStr"/>
      <c r="U548" s="5" t="inlineStr"/>
      <c r="V548" s="5" t="inlineStr"/>
      <c r="W548" s="5" t="inlineStr">
        <is>
          <t>memur-mudur-dusmani</t>
        </is>
      </c>
      <c r="X548" s="5" t="inlineStr"/>
      <c r="Y548" s="5" t="inlineStr"/>
      <c r="Z548" s="6" t="inlineStr"/>
      <c r="AA548" s="5" t="inlineStr"/>
      <c r="AB548" s="5" t="inlineStr"/>
      <c r="AC548" s="5" t="inlineStr"/>
      <c r="AD548" s="5" t="inlineStr"/>
      <c r="AE548" s="5" t="inlineStr"/>
      <c r="AF548" s="5" t="inlineStr"/>
      <c r="AG548" s="5" t="inlineStr"/>
      <c r="AH548" s="5" t="inlineStr"/>
      <c r="AI548" s="5" t="inlineStr"/>
      <c r="AJ548" s="5" t="inlineStr"/>
    </row>
    <row r="549">
      <c r="A549" s="5" t="inlineStr">
        <is>
          <t>mm-ilk-atama</t>
        </is>
      </c>
      <c r="B549" s="5" t="n">
        <v>4</v>
      </c>
      <c r="C549" s="6" t="inlineStr">
        <is>
          <t>Lojmana yerleş</t>
        </is>
      </c>
      <c r="D549" s="5" t="inlineStr"/>
      <c r="E549" s="5" t="inlineStr"/>
      <c r="F549" s="5" t="inlineStr">
        <is>
          <t>Dayanıklılık +1, İtibar +1</t>
        </is>
      </c>
      <c r="G549" s="6" t="inlineStr">
        <is>
          <t>Musluktan ilk gün yalnızca ses geldi. Akşam alt kattaki memurun eşi bir bidon suyla bir tabak börek getirdi: “Biz de ilk yıl böyleydik.”</t>
        </is>
      </c>
      <c r="H549" s="6" t="inlineStr"/>
      <c r="I549" s="6" t="inlineStr"/>
      <c r="J549" s="6" t="inlineStr"/>
      <c r="K549" s="6" t="inlineStr"/>
      <c r="L549" s="6" t="inlineStr"/>
      <c r="M549" s="5" t="inlineStr"/>
      <c r="N549" s="5" t="inlineStr"/>
      <c r="O549" s="6" t="inlineStr"/>
      <c r="P549" s="6" t="inlineStr"/>
      <c r="Q549" s="5" t="inlineStr"/>
      <c r="R549" s="5" t="inlineStr"/>
      <c r="S549" s="5" t="inlineStr"/>
      <c r="T549" s="5" t="inlineStr"/>
      <c r="U549" s="5" t="inlineStr"/>
      <c r="V549" s="5" t="inlineStr"/>
      <c r="W549" s="5" t="inlineStr"/>
      <c r="X549" s="5" t="inlineStr"/>
      <c r="Y549" s="5" t="inlineStr"/>
      <c r="Z549" s="6" t="inlineStr"/>
      <c r="AA549" s="5" t="inlineStr"/>
      <c r="AB549" s="5" t="inlineStr"/>
      <c r="AC549" s="5" t="inlineStr"/>
      <c r="AD549" s="5" t="inlineStr"/>
      <c r="AE549" s="5" t="inlineStr"/>
      <c r="AF549" s="5" t="inlineStr"/>
      <c r="AG549" s="5" t="inlineStr"/>
      <c r="AH549" s="5" t="inlineStr"/>
      <c r="AI549" s="5" t="inlineStr"/>
      <c r="AJ549" s="5" t="inlineStr"/>
    </row>
    <row r="550">
      <c r="A550" s="5" t="inlineStr">
        <is>
          <t>ms-ilk-musteri</t>
        </is>
      </c>
      <c r="B550" s="5" t="n">
        <v>1</v>
      </c>
      <c r="C550" s="6" t="inlineStr">
        <is>
          <t>Fiyat ver</t>
        </is>
      </c>
      <c r="D550" s="5" t="inlineStr">
        <is>
          <t>Çene</t>
        </is>
      </c>
      <c r="E550" s="5" t="inlineStr">
        <is>
          <t>Orta</t>
        </is>
      </c>
      <c r="F550" s="5" t="inlineStr"/>
      <c r="G550" s="6" t="inlineStr"/>
      <c r="H550" s="6" t="inlineStr">
        <is>
          <t>Makul bir rakamda anlaştınız. Akşam ilk faturanı kestin; annen fotoğrafını isteyip aile grubuna attı. Teyzen sordu: “Fatura ödüyor mu, kesiyor mu?”</t>
        </is>
      </c>
      <c r="I550" s="6" t="inlineStr">
        <is>
          <t>Rakamını söyledin, müşteri hiç düşünmeden kabul etti. O an iki katını söylemen gerektiğini anladın. Neyse ki üstüne iki iş daha verdi.</t>
        </is>
      </c>
      <c r="J550" s="6" t="inlineStr">
        <is>
          <t>Anlaştınız. Ücret, kafede içtiğiniz iki kahveyi karşılamadı.</t>
        </is>
      </c>
      <c r="K550" s="6" t="inlineStr">
        <is>
          <t>Pazarlık bittiğinde müşteriye para ödemeyi kabul etmiştin. Kahveleri de sen ödedin.</t>
        </is>
      </c>
      <c r="L550" s="6" t="inlineStr">
        <is>
          <t>Ortada buluştunuz. Senin ortan biraz daha aşağıdaydı.</t>
        </is>
      </c>
      <c r="M550" s="5" t="inlineStr">
        <is>
          <t>duel</t>
        </is>
      </c>
      <c r="N550" s="5" t="inlineStr">
        <is>
          <t>İlk Teklif</t>
        </is>
      </c>
      <c r="O550" s="6" t="inlineStr">
        <is>
          <t>Karşındakinin sabrı bitmeden en iyi cevabı seç.</t>
        </is>
      </c>
      <c r="P550" s="6" t="inlineStr">
        <is>
          <t>{"who": "Müşteri", "item": "ilk iş", "mode": "sell"}</t>
        </is>
      </c>
      <c r="Q550" s="5" t="inlineStr"/>
      <c r="R550" s="5" t="inlineStr"/>
      <c r="S550" s="5" t="inlineStr"/>
      <c r="T550" s="5" t="inlineStr"/>
      <c r="U550" s="5" t="inlineStr"/>
      <c r="V550" s="5" t="inlineStr"/>
      <c r="W550" s="5" t="inlineStr"/>
      <c r="X550" s="5" t="inlineStr"/>
      <c r="Y550" s="5" t="inlineStr"/>
      <c r="Z550" s="6" t="inlineStr"/>
      <c r="AA550" s="5" t="inlineStr"/>
      <c r="AB550" s="5" t="inlineStr"/>
      <c r="AC550" s="5" t="inlineStr"/>
      <c r="AD550" s="5" t="inlineStr"/>
      <c r="AE550" s="5" t="inlineStr"/>
      <c r="AF550" s="5" t="inlineStr"/>
      <c r="AG550" s="5" t="inlineStr"/>
      <c r="AH550" s="5" t="inlineStr"/>
      <c r="AI550" s="5" t="inlineStr"/>
      <c r="AJ550" s="5" t="inlineStr"/>
    </row>
    <row r="551">
      <c r="A551" s="5" t="inlineStr">
        <is>
          <t>ms-ilk-musteri</t>
        </is>
      </c>
      <c r="B551" s="5" t="n">
        <v>2</v>
      </c>
      <c r="C551" s="6" t="inlineStr">
        <is>
          <t>Arkadaş fiyatı yap</t>
        </is>
      </c>
      <c r="D551" s="5" t="inlineStr"/>
      <c r="E551" s="5" t="inlineStr"/>
      <c r="F551" s="5" t="inlineStr">
        <is>
          <t>İtibar +1</t>
        </is>
      </c>
      <c r="G551" s="6" t="inlineStr">
        <is>
          <t>Arkadaş fiyatı verdin. Müşteri arkadaşın değildi. Artık onun bütün arkadaşlarına da arkadaş fiyatın var.</t>
        </is>
      </c>
      <c r="H551" s="6" t="inlineStr"/>
      <c r="I551" s="6" t="inlineStr"/>
      <c r="J551" s="6" t="inlineStr"/>
      <c r="K551" s="6" t="inlineStr"/>
      <c r="L551" s="6" t="inlineStr"/>
      <c r="M551" s="5" t="inlineStr"/>
      <c r="N551" s="5" t="inlineStr"/>
      <c r="O551" s="6" t="inlineStr"/>
      <c r="P551" s="6" t="inlineStr"/>
      <c r="Q551" s="5" t="inlineStr"/>
      <c r="R551" s="5" t="inlineStr"/>
      <c r="S551" s="5" t="inlineStr"/>
      <c r="T551" s="5" t="inlineStr"/>
      <c r="U551" s="5" t="inlineStr"/>
      <c r="V551" s="5" t="inlineStr"/>
      <c r="W551" s="5" t="inlineStr"/>
      <c r="X551" s="5" t="inlineStr"/>
      <c r="Y551" s="5" t="inlineStr"/>
      <c r="Z551" s="6" t="inlineStr"/>
      <c r="AA551" s="5" t="inlineStr"/>
      <c r="AB551" s="5" t="inlineStr"/>
      <c r="AC551" s="5" t="inlineStr"/>
      <c r="AD551" s="5" t="inlineStr"/>
      <c r="AE551" s="5" t="inlineStr"/>
      <c r="AF551" s="5" t="inlineStr"/>
      <c r="AG551" s="5" t="inlineStr"/>
      <c r="AH551" s="5" t="inlineStr"/>
      <c r="AI551" s="5" t="inlineStr"/>
      <c r="AJ551" s="5" t="inlineStr"/>
    </row>
    <row r="552">
      <c r="A552" s="5" t="inlineStr">
        <is>
          <t>ms-ilk-musteri</t>
        </is>
      </c>
      <c r="B552" s="5" t="n">
        <v>3</v>
      </c>
      <c r="C552" s="6" t="inlineStr">
        <is>
          <t>Rakibin rakamının biraz altını söyle</t>
        </is>
      </c>
      <c r="D552" s="5" t="inlineStr">
        <is>
          <t>Kurnazlık</t>
        </is>
      </c>
      <c r="E552" s="5" t="inlineStr">
        <is>
          <t>Kolay</t>
        </is>
      </c>
      <c r="F552" s="5" t="inlineStr"/>
      <c r="G552" s="6" t="inlineStr"/>
      <c r="H552" s="6" t="inlineStr">
        <is>
          <t>Rakibin teklifinin bir tık altına girdin. İş senin, rakip şaşkın.</t>
        </is>
      </c>
      <c r="I552" s="6" t="inlineStr">
        <is>
          <t>Rakibin bir tık altına girdin, bir de erken teslim sözü verdin. Üç gün erken teslim ettin. Müşteri telefonda sesini alçalttı: “Kimseye söylemeyin, sizi saklıyorum.”</t>
        </is>
      </c>
      <c r="J552" s="6" t="inlineStr">
        <is>
          <t>Rakibin teklifinin altına girdin; müşteri ikinizi birden bir tık daha aşağıya çekti.</t>
        </is>
      </c>
      <c r="K552" s="6" t="inlineStr">
        <is>
          <t>Ekranda gördüğün rakam aylık değil, saatlikmiş. Kendini aylığa sattın.</t>
        </is>
      </c>
      <c r="L552" s="6" t="inlineStr"/>
      <c r="M552" s="5" t="inlineStr"/>
      <c r="N552" s="5" t="inlineStr"/>
      <c r="O552" s="6" t="inlineStr"/>
      <c r="P552" s="6" t="inlineStr"/>
      <c r="Q552" s="5" t="inlineStr"/>
      <c r="R552" s="5" t="inlineStr"/>
      <c r="S552" s="5" t="inlineStr">
        <is>
          <t>Kurnazlık</t>
        </is>
      </c>
      <c r="T552" s="5" t="inlineStr"/>
      <c r="U552" s="5" t="inlineStr"/>
      <c r="V552" s="5" t="inlineStr"/>
      <c r="W552" s="5" t="inlineStr"/>
      <c r="X552" s="5" t="inlineStr"/>
      <c r="Y552" s="5" t="inlineStr"/>
      <c r="Z552" s="6" t="inlineStr"/>
      <c r="AA552" s="5" t="inlineStr"/>
      <c r="AB552" s="5" t="inlineStr"/>
      <c r="AC552" s="5" t="inlineStr"/>
      <c r="AD552" s="5" t="inlineStr"/>
      <c r="AE552" s="5" t="inlineStr"/>
      <c r="AF552" s="5" t="inlineStr"/>
      <c r="AG552" s="5" t="inlineStr"/>
      <c r="AH552" s="5" t="inlineStr"/>
      <c r="AI552" s="5" t="inlineStr"/>
      <c r="AJ552" s="5" t="inlineStr"/>
    </row>
    <row r="553">
      <c r="A553" s="5" t="inlineStr">
        <is>
          <t>b6-is-gorusmesi</t>
        </is>
      </c>
      <c r="B553" s="5" t="n">
        <v>1</v>
      </c>
      <c r="C553" s="6" t="inlineStr">
        <is>
          <t>Dürüst cevap ver</t>
        </is>
      </c>
      <c r="D553" s="5" t="inlineStr"/>
      <c r="E553" s="5" t="inlineStr"/>
      <c r="F553" s="5" t="inlineStr">
        <is>
          <t>İtibar +1</t>
        </is>
      </c>
      <c r="G553" s="6" t="inlineStr">
        <is>
          <t>'Emekliliği planlarken' dedin. Gülüştüler. Başka adayı aldılar ama seni sevdiler.</t>
        </is>
      </c>
      <c r="H553" s="6" t="inlineStr"/>
      <c r="I553" s="6" t="inlineStr"/>
      <c r="J553" s="6" t="inlineStr"/>
      <c r="K553" s="6" t="inlineStr"/>
      <c r="L553" s="6" t="inlineStr"/>
      <c r="M553" s="5" t="inlineStr"/>
      <c r="N553" s="5" t="inlineStr"/>
      <c r="O553" s="6" t="inlineStr"/>
      <c r="P553" s="6" t="inlineStr"/>
      <c r="Q553" s="5" t="inlineStr"/>
      <c r="R553" s="5" t="inlineStr"/>
      <c r="S553" s="5" t="inlineStr"/>
      <c r="T553" s="5" t="inlineStr"/>
      <c r="U553" s="5" t="inlineStr"/>
      <c r="V553" s="5" t="inlineStr"/>
      <c r="W553" s="5" t="inlineStr"/>
      <c r="X553" s="5" t="inlineStr"/>
      <c r="Y553" s="5" t="inlineStr"/>
      <c r="Z553" s="6" t="inlineStr"/>
      <c r="AA553" s="5" t="inlineStr"/>
      <c r="AB553" s="5" t="inlineStr"/>
      <c r="AC553" s="5" t="inlineStr"/>
      <c r="AD553" s="5" t="inlineStr"/>
      <c r="AE553" s="5" t="inlineStr"/>
      <c r="AF553" s="5" t="inlineStr"/>
      <c r="AG553" s="5" t="inlineStr"/>
      <c r="AH553" s="5" t="inlineStr"/>
      <c r="AI553" s="5" t="inlineStr"/>
      <c r="AJ553" s="5" t="inlineStr"/>
    </row>
    <row r="554">
      <c r="A554" s="5" t="inlineStr">
        <is>
          <t>b6-is-gorusmesi</t>
        </is>
      </c>
      <c r="B554" s="5" t="n">
        <v>2</v>
      </c>
      <c r="C554" s="6" t="inlineStr">
        <is>
          <t>Soğukkanlılığını koru</t>
        </is>
      </c>
      <c r="D554" s="5" t="inlineStr">
        <is>
          <t>Dayanıklılık</t>
        </is>
      </c>
      <c r="E554" s="5" t="inlineStr">
        <is>
          <t>Orta</t>
        </is>
      </c>
      <c r="F554" s="5" t="inlineStr"/>
      <c r="G554" s="6" t="inlineStr"/>
      <c r="H554" s="6" t="inlineStr">
        <is>
          <t>Her soruyu sakin karşıladın. 'Size döneceğiz' dediler. Döndüler de.</t>
        </is>
      </c>
      <c r="I554" s="6" t="inlineStr">
        <is>
          <t>Görüşmenin sonunda seni onlar ikna etmeye çalıştı. Beklediğinden fazlasını teklif ettiler.</t>
        </is>
      </c>
      <c r="J554" s="6" t="inlineStr">
        <is>
          <t>Dördüncü soruda 'Neden bu şirket?' dediler. Şirketin adını unuttun.</t>
        </is>
      </c>
      <c r="K554" s="6" t="inlineStr">
        <is>
          <t>Zayıf yönünü sordular. 'Gerilince terlerim' dedin. Kanıt masadaydı.</t>
        </is>
      </c>
      <c r="L554" s="6" t="inlineStr">
        <is>
          <t>Bir soruda takıldın, sonra toparlandın. 'İkinci görüşmeye çağıracağız' dediler. Takvim belirsiz.</t>
        </is>
      </c>
      <c r="M554" s="5" t="inlineStr">
        <is>
          <t>lie</t>
        </is>
      </c>
      <c r="N554" s="5" t="inlineStr">
        <is>
          <t>Mülakat Soruları</t>
        </is>
      </c>
      <c r="O554" s="6" t="inlineStr">
        <is>
          <t>Söylediklerini aklında tut; sorulara çelişmeden cevap ver.</t>
        </is>
      </c>
      <c r="P554" s="6" t="inlineStr">
        <is>
          <t>{"who": "Mülakatçı", "facts": ["Önceki işimden kendi isteğimle ayrıldım.", "Beş yıllık tecrübem var.", "Maaş beklentim piyasa düzeyinde."], "qs": [{"q": "Neden ayrıldınız?", "o": ["Kendi isteğimle, yeni hedefler için.", "Beni çıkardılar.", "Patron beni sevmiyordu."]}, {"q": "Kaç yıllık tecrübeniz var?", "o": ["Beş yıl.", "Üç yıl.", "On yıl."]}, {"q": "Maaş beklentiniz?", "o": ["Piyasa düzeyinde.", "Ne verirseniz.", "İki katı."]}]}</t>
        </is>
      </c>
      <c r="Q554" s="5" t="inlineStr"/>
      <c r="R554" s="5" t="inlineStr"/>
      <c r="S554" s="5" t="inlineStr"/>
      <c r="T554" s="5" t="inlineStr"/>
      <c r="U554" s="5" t="inlineStr"/>
      <c r="V554" s="5" t="inlineStr"/>
      <c r="W554" s="5" t="inlineStr"/>
      <c r="X554" s="5" t="inlineStr"/>
      <c r="Y554" s="5" t="inlineStr"/>
      <c r="Z554" s="6" t="inlineStr"/>
      <c r="AA554" s="5" t="inlineStr"/>
      <c r="AB554" s="5" t="inlineStr"/>
      <c r="AC554" s="5" t="inlineStr"/>
      <c r="AD554" s="5" t="inlineStr"/>
      <c r="AE554" s="5" t="inlineStr"/>
      <c r="AF554" s="5" t="inlineStr"/>
      <c r="AG554" s="5" t="inlineStr"/>
      <c r="AH554" s="5" t="inlineStr"/>
      <c r="AI554" s="5" t="inlineStr"/>
      <c r="AJ554" s="5" t="inlineStr"/>
    </row>
    <row r="555">
      <c r="A555" s="5" t="inlineStr">
        <is>
          <t>b6-is-gorusmesi</t>
        </is>
      </c>
      <c r="B555" s="5" t="n">
        <v>3</v>
      </c>
      <c r="C555" s="6" t="inlineStr">
        <is>
          <t>Sessiz olana oyna</t>
        </is>
      </c>
      <c r="D555" s="5" t="inlineStr">
        <is>
          <t>Sosyal Radar</t>
        </is>
      </c>
      <c r="E555" s="5" t="inlineStr">
        <is>
          <t>Kolay</t>
        </is>
      </c>
      <c r="F555" s="5" t="inlineStr"/>
      <c r="G555" s="6" t="inlineStr"/>
      <c r="H555" s="6" t="inlineStr">
        <is>
          <t>Cevaplarını ortadaki sessiz kişiye yönelttin. Görüşme bittiğinde sadece o gülümsüyordu. Yetti.</t>
        </is>
      </c>
      <c r="I555" s="6" t="inlineStr">
        <is>
          <t>Sessiz olan şirketin kurucusuymuş. Ertesi gün aradı: 'Ne zaman başlarsın?'</t>
        </is>
      </c>
      <c r="J555" s="6" t="inlineStr">
        <is>
          <t>Ortadakine baktın, o da sana. Kimse konuşmadı. Görüşme erken bitti.</t>
        </is>
      </c>
      <c r="K555" s="6" t="inlineStr">
        <is>
          <t>Sessiz olana öyle dikkatle baktın ki kalemini bıraktı: “Yüzümde bir şey mi var?” Diğer ikisi not aldı. Adının yanında tek kelime vardı: “Tuhaf.”</t>
        </is>
      </c>
      <c r="L555" s="6" t="inlineStr"/>
      <c r="M555" s="5" t="inlineStr"/>
      <c r="N555" s="5" t="inlineStr"/>
      <c r="O555" s="6" t="inlineStr"/>
      <c r="P555" s="6" t="inlineStr"/>
      <c r="Q555" s="5" t="inlineStr"/>
      <c r="R555" s="5" t="inlineStr"/>
      <c r="S555" s="5" t="inlineStr">
        <is>
          <t>Sosyal Radar</t>
        </is>
      </c>
      <c r="T555" s="5" t="inlineStr"/>
      <c r="U555" s="5" t="inlineStr"/>
      <c r="V555" s="5" t="inlineStr"/>
      <c r="W555" s="5" t="inlineStr"/>
      <c r="X555" s="5" t="inlineStr"/>
      <c r="Y555" s="5" t="inlineStr"/>
      <c r="Z555" s="6" t="inlineStr"/>
      <c r="AA555" s="5" t="inlineStr"/>
      <c r="AB555" s="5" t="inlineStr"/>
      <c r="AC555" s="5" t="inlineStr"/>
      <c r="AD555" s="5" t="inlineStr"/>
      <c r="AE555" s="5" t="inlineStr"/>
      <c r="AF555" s="5" t="inlineStr"/>
      <c r="AG555" s="5" t="inlineStr"/>
      <c r="AH555" s="5" t="inlineStr"/>
      <c r="AI555" s="5" t="inlineStr"/>
      <c r="AJ555" s="5" t="inlineStr"/>
    </row>
    <row r="556">
      <c r="A556" s="5" t="inlineStr">
        <is>
          <t>b6-is-gorusmesi</t>
        </is>
      </c>
      <c r="B556" s="5" t="n">
        <v>4</v>
      </c>
      <c r="C556" s="6" t="inlineStr">
        <is>
          <t>Öte Diyar deneyimini anlat</t>
        </is>
      </c>
      <c r="D556" s="5" t="inlineStr">
        <is>
          <t>Çene</t>
        </is>
      </c>
      <c r="E556" s="5" t="inlineStr">
        <is>
          <t>Kolay</t>
        </is>
      </c>
      <c r="F556" s="5" t="inlineStr"/>
      <c r="G556" s="6" t="inlineStr"/>
      <c r="H556" s="6" t="inlineStr">
        <is>
          <t>Bir dönemlik değişim programını anlattıkça bir yıla uzattın. Görüşmecilerden biri dayanamayıp kendi değişim hikâyesini anlattı. Görüşmenin kalanı onun dönemiyle geçti; iş senin.</t>
        </is>
      </c>
      <c r="I556" s="6" t="inlineStr">
        <is>
          <t>Seni Öte Diyar'daki projelere önerdiler. Oradaki peynir hâlâ kötü, maaşsa iyi. Annen “Peynirini ben yollarım” dedi bile.</t>
        </is>
      </c>
      <c r="J556" s="6" t="inlineStr">
        <is>
          <t>Görüşmeci aynı şehirde iki yıl yaşamış. Anlattığın yerlerin hiçbirini tanımadı.</t>
        </is>
      </c>
      <c r="K556" s="6" t="inlineStr">
        <is>
          <t>Görüşmeci senin orada mikrodalgada yumurta patlattığın hikâyeyi zaten duymuş. Dünya küçük.</t>
        </is>
      </c>
      <c r="L556" s="6" t="inlineStr"/>
      <c r="M556" s="5" t="inlineStr"/>
      <c r="N556" s="5" t="inlineStr"/>
      <c r="O556" s="6" t="inlineStr"/>
      <c r="P556" s="6" t="inlineStr"/>
      <c r="Q556" s="5" t="inlineStr"/>
      <c r="R556" s="5" t="inlineStr">
        <is>
          <t>yurtdisi-gordu</t>
        </is>
      </c>
      <c r="S556" s="5" t="inlineStr"/>
      <c r="T556" s="5" t="inlineStr"/>
      <c r="U556" s="5" t="inlineStr"/>
      <c r="V556" s="5" t="inlineStr"/>
      <c r="W556" s="5" t="inlineStr"/>
      <c r="X556" s="5" t="inlineStr"/>
      <c r="Y556" s="5" t="inlineStr"/>
      <c r="Z556" s="6" t="inlineStr"/>
      <c r="AA556" s="5" t="inlineStr"/>
      <c r="AB556" s="5" t="inlineStr"/>
      <c r="AC556" s="5" t="inlineStr"/>
      <c r="AD556" s="5" t="inlineStr"/>
      <c r="AE556" s="5" t="inlineStr"/>
      <c r="AF556" s="5" t="inlineStr"/>
      <c r="AG556" s="5" t="inlineStr"/>
      <c r="AH556" s="5" t="inlineStr"/>
      <c r="AI556" s="5" t="inlineStr"/>
      <c r="AJ556" s="5" t="inlineStr"/>
    </row>
    <row r="557">
      <c r="A557" s="5" t="inlineStr">
        <is>
          <t>mb-acik-ofis</t>
        </is>
      </c>
      <c r="B557" s="5" t="n">
        <v>1</v>
      </c>
      <c r="C557" s="6" t="inlineStr">
        <is>
          <t>Kulaklığı tak</t>
        </is>
      </c>
      <c r="D557" s="5" t="inlineStr"/>
      <c r="E557" s="5" t="inlineStr"/>
      <c r="F557" s="5" t="inlineStr">
        <is>
          <t>Dayanıklılık +1</t>
        </is>
      </c>
      <c r="G557" s="6" t="inlineStr">
        <is>
          <t>Kulaklığı taktın; içinde hiçbir şey çalmıyor. Yan masadaki ikisi seni duymuyor sanıp maaşlarını konuştu. İkisininki de seninkinden yüksek.</t>
        </is>
      </c>
      <c r="H557" s="6" t="inlineStr"/>
      <c r="I557" s="6" t="inlineStr"/>
      <c r="J557" s="6" t="inlineStr"/>
      <c r="K557" s="6" t="inlineStr"/>
      <c r="L557" s="6" t="inlineStr"/>
      <c r="M557" s="5" t="inlineStr"/>
      <c r="N557" s="5" t="inlineStr"/>
      <c r="O557" s="6" t="inlineStr"/>
      <c r="P557" s="6" t="inlineStr"/>
      <c r="Q557" s="5" t="inlineStr"/>
      <c r="R557" s="5" t="inlineStr"/>
      <c r="S557" s="5" t="inlineStr"/>
      <c r="T557" s="5" t="inlineStr"/>
      <c r="U557" s="5" t="inlineStr"/>
      <c r="V557" s="5" t="inlineStr"/>
      <c r="W557" s="5" t="inlineStr"/>
      <c r="X557" s="5" t="inlineStr"/>
      <c r="Y557" s="5" t="inlineStr"/>
      <c r="Z557" s="6" t="inlineStr"/>
      <c r="AA557" s="5" t="inlineStr"/>
      <c r="AB557" s="5" t="inlineStr"/>
      <c r="AC557" s="5" t="inlineStr"/>
      <c r="AD557" s="5" t="inlineStr"/>
      <c r="AE557" s="5" t="inlineStr"/>
      <c r="AF557" s="5" t="inlineStr"/>
      <c r="AG557" s="5" t="inlineStr"/>
      <c r="AH557" s="5" t="inlineStr"/>
      <c r="AI557" s="5" t="inlineStr"/>
      <c r="AJ557" s="5" t="inlineStr"/>
    </row>
    <row r="558">
      <c r="A558" s="5" t="inlineStr">
        <is>
          <t>mb-acik-ofis</t>
        </is>
      </c>
      <c r="B558" s="5" t="n">
        <v>2</v>
      </c>
      <c r="C558" s="6" t="inlineStr">
        <is>
          <t>Masaya bitki koy, alan kazan</t>
        </is>
      </c>
      <c r="D558" s="5" t="inlineStr">
        <is>
          <t>Kurnazlık</t>
        </is>
      </c>
      <c r="E558" s="5" t="inlineStr">
        <is>
          <t>Kolay</t>
        </is>
      </c>
      <c r="F558" s="5" t="inlineStr"/>
      <c r="G558" s="6" t="inlineStr"/>
      <c r="H558" s="6" t="inlineStr">
        <is>
          <t>Bitkiyle başladın, dosya dolabıyla devam ettin. Açık ofiste kendi duvarını ördün.</t>
        </is>
      </c>
      <c r="I558" s="6" t="inlineStr">
        <is>
          <t>Masan öyle yeşillendi ki tesis yönetimi orayı 'dinlenme alanı' ilan etti. Tek kişilik.</t>
        </is>
      </c>
      <c r="J558" s="6" t="inlineStr">
        <is>
          <t>Bitki bir haftada kurudu. Klimanın tam altındaymışsın.</t>
        </is>
      </c>
      <c r="K558" s="6" t="inlineStr">
        <is>
          <t>Bitkiyi sularken klavyeye döktün. Katın geri kalanı için artık 'sulu masa' sensin.</t>
        </is>
      </c>
      <c r="L558" s="6" t="inlineStr"/>
      <c r="M558" s="5" t="inlineStr"/>
      <c r="N558" s="5" t="inlineStr"/>
      <c r="O558" s="6" t="inlineStr"/>
      <c r="P558" s="6" t="inlineStr"/>
      <c r="Q558" s="5" t="inlineStr"/>
      <c r="R558" s="5" t="inlineStr"/>
      <c r="S558" s="5" t="inlineStr"/>
      <c r="T558" s="5" t="inlineStr"/>
      <c r="U558" s="5" t="inlineStr"/>
      <c r="V558" s="5" t="inlineStr"/>
      <c r="W558" s="5" t="inlineStr"/>
      <c r="X558" s="5" t="inlineStr"/>
      <c r="Y558" s="5" t="inlineStr"/>
      <c r="Z558" s="6" t="inlineStr"/>
      <c r="AA558" s="5" t="inlineStr"/>
      <c r="AB558" s="5" t="inlineStr"/>
      <c r="AC558" s="5" t="inlineStr"/>
      <c r="AD558" s="5" t="inlineStr"/>
      <c r="AE558" s="5" t="inlineStr"/>
      <c r="AF558" s="5" t="inlineStr"/>
      <c r="AG558" s="5" t="inlineStr"/>
      <c r="AH558" s="5" t="inlineStr"/>
      <c r="AI558" s="5" t="inlineStr"/>
      <c r="AJ558" s="5" t="inlineStr"/>
    </row>
    <row r="559">
      <c r="A559" s="5" t="inlineStr">
        <is>
          <t>mb-acik-ofis</t>
        </is>
      </c>
      <c r="B559" s="5" t="n">
        <v>3</v>
      </c>
      <c r="C559" s="6" t="inlineStr">
        <is>
          <t>Herkesle kaynaş</t>
        </is>
      </c>
      <c r="D559" s="5" t="inlineStr">
        <is>
          <t>Sosyal Radar</t>
        </is>
      </c>
      <c r="E559" s="5" t="inlineStr">
        <is>
          <t>Zor</t>
        </is>
      </c>
      <c r="F559" s="5" t="inlineStr"/>
      <c r="G559" s="6" t="inlineStr"/>
      <c r="H559" s="6" t="inlineStr">
        <is>
          <t>Üç günde katın bütün dedikodu ağına bağlandın. Bilgi artık sende toplanıyor.</t>
        </is>
      </c>
      <c r="I559" s="6" t="inlineStr">
        <is>
          <t>Üç haftada kimin kime küs, kimin kiminle gizlice öğle yemeğine çıktığını çözdün. Bir gün müdürün masana eğildi, fısıldadı: “Bizim katta ben kime küsüm?”</t>
        </is>
      </c>
      <c r="J559" s="6" t="inlineStr">
        <is>
          <t>Kaynaşmaya çalıştın; herkes kulaklığını işaret etti.</t>
        </is>
      </c>
      <c r="K559" s="6" t="inlineStr">
        <is>
          <t>Kaynaşırken birini dedikodu yaparken yakaladın. O da seni. Aynı dedikoduyu yapıyordunuz.</t>
        </is>
      </c>
      <c r="L559" s="6" t="inlineStr"/>
      <c r="M559" s="5" t="inlineStr"/>
      <c r="N559" s="5" t="inlineStr"/>
      <c r="O559" s="6" t="inlineStr"/>
      <c r="P559" s="6" t="inlineStr"/>
      <c r="Q559" s="5" t="inlineStr"/>
      <c r="R559" s="5" t="inlineStr"/>
      <c r="S559" s="5" t="inlineStr"/>
      <c r="T559" s="5" t="inlineStr">
        <is>
          <t>Plaza Diplomatı</t>
        </is>
      </c>
      <c r="U559" s="5" t="inlineStr"/>
      <c r="V559" s="5" t="inlineStr"/>
      <c r="W559" s="5" t="inlineStr"/>
      <c r="X559" s="5" t="inlineStr"/>
      <c r="Y559" s="5" t="inlineStr"/>
      <c r="Z559" s="6" t="inlineStr"/>
      <c r="AA559" s="5" t="inlineStr"/>
      <c r="AB559" s="5" t="inlineStr"/>
      <c r="AC559" s="5" t="inlineStr"/>
      <c r="AD559" s="5" t="inlineStr"/>
      <c r="AE559" s="5" t="inlineStr"/>
      <c r="AF559" s="5" t="inlineStr"/>
      <c r="AG559" s="5" t="inlineStr"/>
      <c r="AH559" s="5" t="inlineStr"/>
      <c r="AI559" s="5" t="inlineStr"/>
      <c r="AJ559" s="5" t="inlineStr"/>
    </row>
    <row r="560">
      <c r="A560" s="5" t="inlineStr">
        <is>
          <t>b6-dugun-yagmuru</t>
        </is>
      </c>
      <c r="B560" s="5" t="n">
        <v>1</v>
      </c>
      <c r="C560" s="6" t="inlineStr">
        <is>
          <t>'Yakında' de ve gülümse</t>
        </is>
      </c>
      <c r="D560" s="5" t="inlineStr"/>
      <c r="E560" s="5" t="inlineStr"/>
      <c r="F560" s="5" t="inlineStr">
        <is>
          <t>Pişkinlik +1</t>
        </is>
      </c>
      <c r="G560" s="6" t="inlineStr">
        <is>
          <t>“Yakında” dedin. Teyze telefonunu çıkarıp takvime yazdı. Bir sonraki düğünde ilk sorusu şu oldu: “Ee, yakın geldi mi?”</t>
        </is>
      </c>
      <c r="H560" s="6" t="inlineStr"/>
      <c r="I560" s="6" t="inlineStr"/>
      <c r="J560" s="6" t="inlineStr"/>
      <c r="K560" s="6" t="inlineStr"/>
      <c r="L560" s="6" t="inlineStr"/>
      <c r="M560" s="5" t="inlineStr"/>
      <c r="N560" s="5" t="inlineStr"/>
      <c r="O560" s="6" t="inlineStr"/>
      <c r="P560" s="6" t="inlineStr"/>
      <c r="Q560" s="5" t="inlineStr"/>
      <c r="R560" s="5" t="inlineStr"/>
      <c r="S560" s="5" t="inlineStr"/>
      <c r="T560" s="5" t="inlineStr"/>
      <c r="U560" s="5" t="inlineStr"/>
      <c r="V560" s="5" t="inlineStr"/>
      <c r="W560" s="5" t="inlineStr"/>
      <c r="X560" s="5" t="inlineStr"/>
      <c r="Y560" s="5" t="inlineStr"/>
      <c r="Z560" s="6" t="inlineStr"/>
      <c r="AA560" s="5" t="inlineStr"/>
      <c r="AB560" s="5" t="inlineStr"/>
      <c r="AC560" s="5" t="inlineStr"/>
      <c r="AD560" s="5" t="inlineStr"/>
      <c r="AE560" s="5" t="inlineStr"/>
      <c r="AF560" s="5" t="inlineStr"/>
      <c r="AG560" s="5" t="inlineStr"/>
      <c r="AH560" s="5" t="inlineStr"/>
      <c r="AI560" s="5" t="inlineStr"/>
      <c r="AJ560" s="5" t="inlineStr"/>
    </row>
    <row r="561">
      <c r="A561" s="5" t="inlineStr">
        <is>
          <t>b6-dugun-yagmuru</t>
        </is>
      </c>
      <c r="B561" s="5" t="n">
        <v>2</v>
      </c>
      <c r="C561" s="6" t="inlineStr">
        <is>
          <t>Halayın başına geç</t>
        </is>
      </c>
      <c r="D561" s="5" t="inlineStr">
        <is>
          <t>Cesaret</t>
        </is>
      </c>
      <c r="E561" s="5" t="inlineStr">
        <is>
          <t>Orta</t>
        </is>
      </c>
      <c r="F561" s="5" t="inlineStr"/>
      <c r="G561" s="6" t="inlineStr"/>
      <c r="H561" s="6" t="inlineStr">
        <is>
          <t>Mendili aldın, halayı başa çektin; dedeler bile kalktı. Halay bitince gelinin teyzesi doğruca annene gidip numaranı istedi.</t>
        </is>
      </c>
      <c r="I561" s="6" t="inlineStr">
        <is>
          <t>Halayı öyle çektin ki gelin damadı bırakıp arkana geçti, damat da gelinin arkasına. Kırk dakikalık halay bir saat sürdü; orkestra mola istedi, vermedin.</t>
        </is>
      </c>
      <c r="J561" s="6" t="inlineStr">
        <is>
          <t>Mendili aldın, adımları unuttun. Halay bir süre yerinde saydı.</t>
        </is>
      </c>
      <c r="K561" s="6" t="inlineStr">
        <is>
          <t>Mendili sallarken orkestranın mikrofonunu devirdin. Düğünün kalanı akustik devam etti.</t>
        </is>
      </c>
      <c r="L561" s="6" t="inlineStr">
        <is>
          <t>Halay iki kez yön değiştirdi ama kopmadı. Arkadaki dayın “Fena değil” dedi; dayından bundan fazlası çıkmaz.</t>
        </is>
      </c>
      <c r="M561" s="5" t="inlineStr">
        <is>
          <t>simon</t>
        </is>
      </c>
      <c r="N561" s="5" t="inlineStr">
        <is>
          <t>Halay Başı</t>
        </is>
      </c>
      <c r="O561" s="6" t="inlineStr">
        <is>
          <t>Sırayı dinle, aynı sırayla tekrar et.</t>
        </is>
      </c>
      <c r="P561" s="6" t="inlineStr">
        <is>
          <t>{"items": ["👣", "👏", "🪘", "🕺"]}</t>
        </is>
      </c>
      <c r="Q561" s="5" t="inlineStr"/>
      <c r="R561" s="5" t="inlineStr"/>
      <c r="S561" s="5" t="inlineStr"/>
      <c r="T561" s="5" t="inlineStr"/>
      <c r="U561" s="5" t="inlineStr"/>
      <c r="V561" s="5" t="inlineStr"/>
      <c r="W561" s="5" t="inlineStr"/>
      <c r="X561" s="5" t="inlineStr"/>
      <c r="Y561" s="5" t="inlineStr"/>
      <c r="Z561" s="6" t="inlineStr"/>
      <c r="AA561" s="5" t="inlineStr"/>
      <c r="AB561" s="5" t="inlineStr"/>
      <c r="AC561" s="5" t="inlineStr"/>
      <c r="AD561" s="5" t="inlineStr"/>
      <c r="AE561" s="5" t="inlineStr"/>
      <c r="AF561" s="5" t="inlineStr"/>
      <c r="AG561" s="5" t="inlineStr"/>
      <c r="AH561" s="5" t="inlineStr"/>
      <c r="AI561" s="5" t="inlineStr"/>
      <c r="AJ561" s="5" t="inlineStr"/>
    </row>
    <row r="562">
      <c r="A562" s="5" t="inlineStr">
        <is>
          <t>b6-dugun-yagmuru</t>
        </is>
      </c>
      <c r="B562" s="5" t="n">
        <v>3</v>
      </c>
      <c r="C562" s="6" t="inlineStr">
        <is>
          <t>Teyzelerden kaç</t>
        </is>
      </c>
      <c r="D562" s="5" t="inlineStr">
        <is>
          <t>Kurnazlık</t>
        </is>
      </c>
      <c r="E562" s="5" t="inlineStr">
        <is>
          <t>Orta</t>
        </is>
      </c>
      <c r="F562" s="5" t="inlineStr"/>
      <c r="G562" s="6" t="inlineStr"/>
      <c r="H562" s="6" t="inlineStr">
        <is>
          <t>Tatlı servisinin kalabalığında kayboldun. Döndüğünde teyzeler yeğen fotoğraflarını başka birine gösteriyordu.</t>
        </is>
      </c>
      <c r="I562" s="6" t="inlineStr">
        <is>
          <t>Kaçarken teyzeleri bekâr kuzenine yönlendirdin. Kuzen bu yıl evleniyor. Sana davetiye verdi, teşekkür etmedi.</t>
        </is>
      </c>
      <c r="J562" s="6" t="inlineStr">
        <is>
          <t>Teyzeler seni otoparkta yakaladı. Yanlarında biri vardı. Daha selam vermeden adını, mesleğini ve annesinin memleketini biliyordun.</t>
        </is>
      </c>
      <c r="K562" s="6" t="inlineStr">
        <is>
          <t>Yanlış kapıdan çıktın, damadın odasına girdin. Aile fotoğrafına dahil edildin.</t>
        </is>
      </c>
      <c r="L562" s="6" t="inlineStr"/>
      <c r="M562" s="5" t="inlineStr"/>
      <c r="N562" s="5" t="inlineStr"/>
      <c r="O562" s="6" t="inlineStr"/>
      <c r="P562" s="6" t="inlineStr"/>
      <c r="Q562" s="5" t="inlineStr"/>
      <c r="R562" s="5" t="inlineStr"/>
      <c r="S562" s="5" t="inlineStr"/>
      <c r="T562" s="5" t="inlineStr"/>
      <c r="U562" s="5" t="inlineStr"/>
      <c r="V562" s="5" t="inlineStr"/>
      <c r="W562" s="5" t="inlineStr"/>
      <c r="X562" s="5" t="inlineStr"/>
      <c r="Y562" s="5" t="inlineStr"/>
      <c r="Z562" s="6" t="inlineStr"/>
      <c r="AA562" s="5" t="inlineStr"/>
      <c r="AB562" s="5" t="inlineStr"/>
      <c r="AC562" s="5" t="inlineStr"/>
      <c r="AD562" s="5" t="inlineStr"/>
      <c r="AE562" s="5" t="inlineStr"/>
      <c r="AF562" s="5" t="inlineStr"/>
      <c r="AG562" s="5" t="inlineStr"/>
      <c r="AH562" s="5" t="inlineStr"/>
      <c r="AI562" s="5" t="inlineStr"/>
      <c r="AJ562" s="5" t="inlineStr"/>
    </row>
    <row r="563">
      <c r="A563" s="5" t="inlineStr">
        <is>
          <t>b6-dugun-yagmuru</t>
        </is>
      </c>
      <c r="B563" s="5" t="n">
        <v>4</v>
      </c>
      <c r="C563" s="6" t="inlineStr">
        <is>
          <t>Mikrofonu al, şarkı söyle</t>
        </is>
      </c>
      <c r="D563" s="5" t="inlineStr">
        <is>
          <t>Pişkinlik</t>
        </is>
      </c>
      <c r="E563" s="5" t="inlineStr">
        <is>
          <t>Kolay</t>
        </is>
      </c>
      <c r="F563" s="5" t="inlineStr"/>
      <c r="G563" s="6" t="inlineStr"/>
      <c r="H563" s="6" t="inlineStr">
        <is>
          <t>Orkestra sana eşlik etti, salon nakarata katıldı. Gelinin annesi masasından kalkıp seni öptü; çıkarken cebinde iki düğün davetiyesi vardı.</t>
        </is>
      </c>
      <c r="I563" s="6" t="inlineStr">
        <is>
          <t>Üç ayrı düğüne davet edildin. Misafir olarak değil, sanatçı olarak.</t>
        </is>
      </c>
      <c r="J563" s="6" t="inlineStr">
        <is>
          <t>Sözleri unuttun, 'nanana' ile bitirdin. Alkış aldın, merhametten.</t>
        </is>
      </c>
      <c r="K563" s="6" t="inlineStr">
        <is>
          <t>Mikrofonu alıp gelinle damada konuşma yaptın; damadı, gelinin eski nişanlısının adıyla andın. Davul bile sustu. Damadın annesi o geceden beri seni “o arkadaş” diye anıyor.</t>
        </is>
      </c>
      <c r="L563" s="6" t="inlineStr"/>
      <c r="M563" s="5" t="inlineStr"/>
      <c r="N563" s="5" t="inlineStr"/>
      <c r="O563" s="6" t="inlineStr"/>
      <c r="P563" s="6" t="inlineStr"/>
      <c r="Q563" s="5" t="inlineStr">
        <is>
          <t>Sahne Sever</t>
        </is>
      </c>
      <c r="R563" s="5" t="inlineStr"/>
      <c r="S563" s="5" t="inlineStr"/>
      <c r="T563" s="5" t="inlineStr"/>
      <c r="U563" s="5" t="inlineStr"/>
      <c r="V563" s="5" t="inlineStr"/>
      <c r="W563" s="5" t="inlineStr"/>
      <c r="X563" s="5" t="inlineStr"/>
      <c r="Y563" s="5" t="inlineStr"/>
      <c r="Z563" s="6" t="inlineStr"/>
      <c r="AA563" s="5" t="inlineStr"/>
      <c r="AB563" s="5" t="inlineStr"/>
      <c r="AC563" s="5" t="inlineStr"/>
      <c r="AD563" s="5" t="inlineStr"/>
      <c r="AE563" s="5" t="inlineStr"/>
      <c r="AF563" s="5" t="inlineStr"/>
      <c r="AG563" s="5" t="inlineStr"/>
      <c r="AH563" s="5" t="inlineStr"/>
      <c r="AI563" s="5" t="inlineStr"/>
      <c r="AJ563" s="5" t="inlineStr"/>
    </row>
    <row r="564">
      <c r="A564" s="5" t="inlineStr">
        <is>
          <t>b6-dukkan-anahtari</t>
        </is>
      </c>
      <c r="B564" s="5" t="n">
        <v>1</v>
      </c>
      <c r="C564" s="6" t="inlineStr">
        <is>
          <t>Olduğu gibi işlet</t>
        </is>
      </c>
      <c r="D564" s="5" t="inlineStr"/>
      <c r="E564" s="5" t="inlineStr"/>
      <c r="F564" s="5" t="inlineStr">
        <is>
          <t>İtibar +1</t>
        </is>
      </c>
      <c r="G564" s="6" t="inlineStr">
        <is>
          <t>Bir hafta her şey yolunda gitti. Usta döndü: 'Hiç aramadın.' Hem övgü hem sitem.</t>
        </is>
      </c>
      <c r="H564" s="6" t="inlineStr"/>
      <c r="I564" s="6" t="inlineStr"/>
      <c r="J564" s="6" t="inlineStr"/>
      <c r="K564" s="6" t="inlineStr"/>
      <c r="L564" s="6" t="inlineStr"/>
      <c r="M564" s="5" t="inlineStr"/>
      <c r="N564" s="5" t="inlineStr"/>
      <c r="O564" s="6" t="inlineStr"/>
      <c r="P564" s="6" t="inlineStr"/>
      <c r="Q564" s="5" t="inlineStr"/>
      <c r="R564" s="5" t="inlineStr"/>
      <c r="S564" s="5" t="inlineStr"/>
      <c r="T564" s="5" t="inlineStr"/>
      <c r="U564" s="5" t="inlineStr"/>
      <c r="V564" s="5" t="inlineStr"/>
      <c r="W564" s="5" t="inlineStr"/>
      <c r="X564" s="5" t="inlineStr"/>
      <c r="Y564" s="5" t="inlineStr"/>
      <c r="Z564" s="6" t="inlineStr"/>
      <c r="AA564" s="5" t="inlineStr"/>
      <c r="AB564" s="5" t="inlineStr"/>
      <c r="AC564" s="5" t="inlineStr"/>
      <c r="AD564" s="5" t="inlineStr"/>
      <c r="AE564" s="5" t="inlineStr"/>
      <c r="AF564" s="5" t="inlineStr"/>
      <c r="AG564" s="5" t="inlineStr"/>
      <c r="AH564" s="5" t="inlineStr"/>
      <c r="AI564" s="5" t="inlineStr"/>
      <c r="AJ564" s="5" t="inlineStr"/>
    </row>
    <row r="565">
      <c r="A565" s="5" t="inlineStr">
        <is>
          <t>b6-dukkan-anahtari</t>
        </is>
      </c>
      <c r="B565" s="5" t="n">
        <v>2</v>
      </c>
      <c r="C565" s="6" t="inlineStr">
        <is>
          <t>Vitrini yeniden düzenle</t>
        </is>
      </c>
      <c r="D565" s="5" t="inlineStr">
        <is>
          <t>Kurnazlık</t>
        </is>
      </c>
      <c r="E565" s="5" t="inlineStr">
        <is>
          <t>Orta</t>
        </is>
      </c>
      <c r="F565" s="5" t="inlineStr"/>
      <c r="G565" s="6" t="inlineStr"/>
      <c r="H565" s="6" t="inlineStr">
        <is>
          <t>Satışlar arttı. Usta döndüğünde vitrine bakıp uzun uzun sustu.</t>
        </is>
      </c>
      <c r="I565" s="6" t="inlineStr">
        <is>
          <t>Vitrini baştan dizdin; mahalleli durup fotoğraf çekti. Usta dönünce kapıda uzun uzun baktı: “Bunu kim yaptı?” Cevabı bildiği hâlde üç kişiye daha sordu.</t>
        </is>
      </c>
      <c r="J565" s="6" t="inlineStr">
        <is>
          <t>Vitrini baştan dizdin. Otuz yıllık müşteriler girip aradığını bulamadı; biri dışarı çıkıp tabelaya baktı: “Usta dükkânı değiştirmiş mi?”</t>
        </is>
      </c>
      <c r="K565" s="6" t="inlineStr">
        <is>
          <t>Ustanın babasından kalma tabelayı düşürdün. Eskiden “USTA” yazıyordu, şimdi “UST”. Usta döndüğünde tabelaya baktı, sana baktı, tek kelime etmedi; o harfi bir daha hiç taktırmadı.</t>
        </is>
      </c>
      <c r="L565" s="6" t="inlineStr"/>
      <c r="M565" s="5" t="inlineStr"/>
      <c r="N565" s="5" t="inlineStr"/>
      <c r="O565" s="6" t="inlineStr"/>
      <c r="P565" s="6" t="inlineStr"/>
      <c r="Q565" s="5" t="inlineStr"/>
      <c r="R565" s="5" t="inlineStr"/>
      <c r="S565" s="5" t="inlineStr"/>
      <c r="T565" s="5" t="inlineStr"/>
      <c r="U565" s="5" t="inlineStr"/>
      <c r="V565" s="5" t="inlineStr"/>
      <c r="W565" s="5" t="inlineStr"/>
      <c r="X565" s="5" t="inlineStr"/>
      <c r="Y565" s="5" t="inlineStr"/>
      <c r="Z565" s="6" t="inlineStr"/>
      <c r="AA565" s="5" t="inlineStr"/>
      <c r="AB565" s="5" t="inlineStr"/>
      <c r="AC565" s="5" t="inlineStr"/>
      <c r="AD565" s="5" t="inlineStr"/>
      <c r="AE565" s="5" t="inlineStr"/>
      <c r="AF565" s="5" t="inlineStr"/>
      <c r="AG565" s="5" t="inlineStr"/>
      <c r="AH565" s="5" t="inlineStr"/>
      <c r="AI565" s="5" t="inlineStr"/>
      <c r="AJ565" s="5" t="inlineStr"/>
    </row>
    <row r="566">
      <c r="A566" s="5" t="inlineStr">
        <is>
          <t>b6-dukkan-anahtari</t>
        </is>
      </c>
      <c r="B566" s="5" t="n">
        <v>3</v>
      </c>
      <c r="C566" s="6" t="inlineStr">
        <is>
          <t>Büyük işi tek başına al</t>
        </is>
      </c>
      <c r="D566" s="5" t="inlineStr">
        <is>
          <t>Cesaret</t>
        </is>
      </c>
      <c r="E566" s="5" t="inlineStr">
        <is>
          <t>Zor</t>
        </is>
      </c>
      <c r="F566" s="5" t="inlineStr"/>
      <c r="G566" s="6" t="inlineStr"/>
      <c r="H566" s="6" t="inlineStr">
        <is>
          <t>İşi bitirdin. Usta döndüğünde müşteri seni sordu. Onu değil.</t>
        </is>
      </c>
      <c r="I566" s="6" t="inlineStr">
        <is>
          <t>Zamanından önce bitirdin. Usta tabelanın altına küçük bir tahta ekledi: senin adın.</t>
        </is>
      </c>
      <c r="J566" s="6" t="inlineStr">
        <is>
          <t>İşin yarısında ustayı aradın. Memlekette telefon çekmiyormuş.</t>
        </is>
      </c>
      <c r="K566" s="6" t="inlineStr">
        <is>
          <t>İşi yarıda bıraktın, müşteri ustayı memleketten aradı. Usta yeğeninin düğününden kalkıp otobüse bindi. Döndüğünde sana tek kelime etmedi; üç gün boyunca çayını kendisi koydu.</t>
        </is>
      </c>
      <c r="L566" s="6" t="inlineStr"/>
      <c r="M566" s="5" t="inlineStr"/>
      <c r="N566" s="5" t="inlineStr"/>
      <c r="O566" s="6" t="inlineStr"/>
      <c r="P566" s="6" t="inlineStr"/>
      <c r="Q566" s="5" t="inlineStr"/>
      <c r="R566" s="5" t="inlineStr">
        <is>
          <t>usta-eli</t>
        </is>
      </c>
      <c r="S566" s="5" t="inlineStr"/>
      <c r="T566" s="5" t="inlineStr"/>
      <c r="U566" s="5" t="inlineStr"/>
      <c r="V566" s="5" t="inlineStr"/>
      <c r="W566" s="5" t="inlineStr"/>
      <c r="X566" s="5" t="inlineStr"/>
      <c r="Y566" s="5" t="inlineStr"/>
      <c r="Z566" s="6" t="inlineStr"/>
      <c r="AA566" s="5" t="inlineStr"/>
      <c r="AB566" s="5" t="inlineStr"/>
      <c r="AC566" s="5" t="inlineStr"/>
      <c r="AD566" s="5" t="inlineStr"/>
      <c r="AE566" s="5" t="inlineStr"/>
      <c r="AF566" s="5" t="inlineStr"/>
      <c r="AG566" s="5" t="inlineStr"/>
      <c r="AH566" s="5" t="inlineStr"/>
      <c r="AI566" s="5" t="inlineStr"/>
      <c r="AJ566" s="5" t="inlineStr"/>
    </row>
    <row r="567">
      <c r="A567" s="5" t="inlineStr">
        <is>
          <t>b6-dukkan-anahtari</t>
        </is>
      </c>
      <c r="B567" s="5" t="n">
        <v>4</v>
      </c>
      <c r="C567" s="6" t="inlineStr">
        <is>
          <t>Kendi müşterini bul</t>
        </is>
      </c>
      <c r="D567" s="5" t="inlineStr">
        <is>
          <t>Çene</t>
        </is>
      </c>
      <c r="E567" s="5" t="inlineStr">
        <is>
          <t>Orta</t>
        </is>
      </c>
      <c r="F567" s="5" t="inlineStr"/>
      <c r="G567" s="6" t="inlineStr"/>
      <c r="H567" s="6" t="inlineStr">
        <is>
          <t>Arkadaşlarını müşteri yaptın. Hepsi indirim bekledi, hepsine yaptın.</t>
        </is>
      </c>
      <c r="I567" s="6" t="inlineStr">
        <is>
          <t>Üç yeni müşteri getirdin. Usta seni çıraklıktan kalfalığa terfi ettirdi. Maaş aynı.</t>
        </is>
      </c>
      <c r="J567" s="6" t="inlineStr">
        <is>
          <t>Getirdiğin müşteri ustayı istedi.</t>
        </is>
      </c>
      <c r="K567" s="6" t="inlineStr">
        <is>
          <t>Arkadaşına veresiye yaptın. Defterde yeni bir sayfa açıldı: senin adınla.</t>
        </is>
      </c>
      <c r="L567" s="6" t="inlineStr"/>
      <c r="M567" s="5" t="inlineStr"/>
      <c r="N567" s="5" t="inlineStr"/>
      <c r="O567" s="6" t="inlineStr"/>
      <c r="P567" s="6" t="inlineStr"/>
      <c r="Q567" s="5" t="inlineStr"/>
      <c r="R567" s="5" t="inlineStr"/>
      <c r="S567" s="5" t="inlineStr"/>
      <c r="T567" s="5" t="inlineStr"/>
      <c r="U567" s="5" t="inlineStr"/>
      <c r="V567" s="5" t="inlineStr"/>
      <c r="W567" s="5" t="inlineStr"/>
      <c r="X567" s="5" t="inlineStr"/>
      <c r="Y567" s="5" t="inlineStr"/>
      <c r="Z567" s="6" t="inlineStr"/>
      <c r="AA567" s="5" t="inlineStr"/>
      <c r="AB567" s="5" t="inlineStr"/>
      <c r="AC567" s="5" t="inlineStr"/>
      <c r="AD567" s="5" t="inlineStr"/>
      <c r="AE567" s="5" t="inlineStr"/>
      <c r="AF567" s="5" t="inlineStr"/>
      <c r="AG567" s="5" t="inlineStr"/>
      <c r="AH567" s="5" t="inlineStr"/>
      <c r="AI567" s="5" t="inlineStr"/>
      <c r="AJ567" s="5" t="inlineStr"/>
    </row>
    <row r="568">
      <c r="A568" s="5" t="inlineStr">
        <is>
          <t>me-veresiye-defteri</t>
        </is>
      </c>
      <c r="B568" s="5" t="n">
        <v>1</v>
      </c>
      <c r="C568" s="6" t="inlineStr">
        <is>
          <t>Deftere yaz</t>
        </is>
      </c>
      <c r="D568" s="5" t="inlineStr"/>
      <c r="E568" s="5" t="inlineStr"/>
      <c r="F568" s="5" t="inlineStr">
        <is>
          <t>İtibar +1</t>
        </is>
      </c>
      <c r="G568" s="6" t="inlineStr">
        <is>
          <t>Kırmızı kapaklı bir defter aldın, ilk satırı yazdın. Ay başı geldi, geçti. Defterin ikinci sayfası açıldı; birinci sayfa hâlâ kapanmadı.</t>
        </is>
      </c>
      <c r="H568" s="6" t="inlineStr"/>
      <c r="I568" s="6" t="inlineStr"/>
      <c r="J568" s="6" t="inlineStr"/>
      <c r="K568" s="6" t="inlineStr"/>
      <c r="L568" s="6" t="inlineStr"/>
      <c r="M568" s="5" t="inlineStr"/>
      <c r="N568" s="5" t="inlineStr"/>
      <c r="O568" s="6" t="inlineStr"/>
      <c r="P568" s="6" t="inlineStr"/>
      <c r="Q568" s="5" t="inlineStr"/>
      <c r="R568" s="5" t="inlineStr"/>
      <c r="S568" s="5" t="inlineStr"/>
      <c r="T568" s="5" t="inlineStr"/>
      <c r="U568" s="5" t="inlineStr">
        <is>
          <t>esnaf-veresiye-batagi</t>
        </is>
      </c>
      <c r="V568" s="5" t="inlineStr"/>
      <c r="W568" s="5" t="inlineStr"/>
      <c r="X568" s="5" t="inlineStr"/>
      <c r="Y568" s="5" t="inlineStr"/>
      <c r="Z568" s="6" t="inlineStr"/>
      <c r="AA568" s="5" t="inlineStr"/>
      <c r="AB568" s="5" t="inlineStr"/>
      <c r="AC568" s="5" t="inlineStr"/>
      <c r="AD568" s="5" t="inlineStr"/>
      <c r="AE568" s="5" t="inlineStr"/>
      <c r="AF568" s="5" t="inlineStr"/>
      <c r="AG568" s="5" t="inlineStr"/>
      <c r="AH568" s="5" t="inlineStr"/>
      <c r="AI568" s="5" t="inlineStr"/>
      <c r="AJ568" s="5" t="inlineStr"/>
    </row>
    <row r="569">
      <c r="A569" s="5" t="inlineStr">
        <is>
          <t>me-veresiye-defteri</t>
        </is>
      </c>
      <c r="B569" s="5" t="n">
        <v>2</v>
      </c>
      <c r="C569" s="6" t="inlineStr">
        <is>
          <t>Kibarca reddet</t>
        </is>
      </c>
      <c r="D569" s="5" t="inlineStr">
        <is>
          <t>İtibar</t>
        </is>
      </c>
      <c r="E569" s="5" t="inlineStr">
        <is>
          <t>Orta</t>
        </is>
      </c>
      <c r="F569" s="5" t="inlineStr"/>
      <c r="G569" s="6" t="inlineStr"/>
      <c r="H569" s="6" t="inlineStr">
        <is>
          <t>'Veresiye yok ama indirim var' dedin. Nakit ödedi, indirimi de bütün mahalleye anlattı.</t>
        </is>
      </c>
      <c r="I569" s="6" t="inlineStr">
        <is>
          <t>Öyle kibar reddettin ki müşteri teşekkür edip peşin ödedi, bir de 'Kalsın' dedi.</t>
        </is>
      </c>
      <c r="J569" s="6" t="inlineStr">
        <is>
          <t>Reddettin. Müşteri karşı dükkâna gidip oraya borçlandı. Borç senden gitti, dedikodusu kaldı.</t>
        </is>
      </c>
      <c r="K569" s="6" t="inlineStr">
        <is>
          <t>Reddettin; müşteri mahalle grubuna 'Eskiden esnaf başkaydı' yazdı. Mesaj kırk üç beğeni aldı.</t>
        </is>
      </c>
      <c r="L569" s="6" t="inlineStr"/>
      <c r="M569" s="5" t="inlineStr"/>
      <c r="N569" s="5" t="inlineStr"/>
      <c r="O569" s="6" t="inlineStr"/>
      <c r="P569" s="6" t="inlineStr"/>
      <c r="Q569" s="5" t="inlineStr"/>
      <c r="R569" s="5" t="inlineStr"/>
      <c r="S569" s="5" t="inlineStr"/>
      <c r="T569" s="5" t="inlineStr"/>
      <c r="U569" s="5" t="inlineStr"/>
      <c r="V569" s="5" t="inlineStr"/>
      <c r="W569" s="5" t="inlineStr"/>
      <c r="X569" s="5" t="inlineStr"/>
      <c r="Y569" s="5" t="inlineStr"/>
      <c r="Z569" s="6" t="inlineStr"/>
      <c r="AA569" s="5" t="inlineStr"/>
      <c r="AB569" s="5" t="inlineStr"/>
      <c r="AC569" s="5" t="inlineStr"/>
      <c r="AD569" s="5" t="inlineStr"/>
      <c r="AE569" s="5" t="inlineStr"/>
      <c r="AF569" s="5" t="inlineStr"/>
      <c r="AG569" s="5" t="inlineStr"/>
      <c r="AH569" s="5" t="inlineStr"/>
      <c r="AI569" s="5" t="inlineStr"/>
      <c r="AJ569" s="5" t="inlineStr"/>
    </row>
    <row r="570">
      <c r="A570" s="5" t="inlineStr">
        <is>
          <t>me-veresiye-defteri</t>
        </is>
      </c>
      <c r="B570" s="5" t="n">
        <v>3</v>
      </c>
      <c r="C570" s="6" t="inlineStr">
        <is>
          <t>'Öbür defterler nasıl gidiyor?' diye sor</t>
        </is>
      </c>
      <c r="D570" s="5" t="inlineStr">
        <is>
          <t>Sosyal Radar</t>
        </is>
      </c>
      <c r="E570" s="5" t="inlineStr">
        <is>
          <t>Kolay</t>
        </is>
      </c>
      <c r="F570" s="5" t="inlineStr"/>
      <c r="G570" s="6" t="inlineStr"/>
      <c r="H570" s="6" t="inlineStr">
        <is>
          <t>Sordun. Müşteri cüzdanı çıkardı, peşin ödedi ve bir daha deftere yazdırmayı teklif etmedi.</t>
        </is>
      </c>
      <c r="I570" s="6" t="inlineStr">
        <is>
          <t>Müşteri öyle utandı ki o gün üç dükkândaki borcunu birden kapattı; seninkinden başladı. Köşedeki esnaf sana çay yolladı: “Bunu nasıl yaptın?”</t>
        </is>
      </c>
      <c r="J570" s="6" t="inlineStr">
        <is>
          <t>İma anlaşılmadı. Müşteri 'Evet, herkes bana güvenir' dedi ve deftere adını kendi yazdı.</t>
        </is>
      </c>
      <c r="K570" s="6" t="inlineStr">
        <is>
          <t>Soruyu yüksek sesle sordun. Kasadaki sırada bekleyen iki kişi de aynı defterlerdeydi.</t>
        </is>
      </c>
      <c r="L570" s="6" t="inlineStr"/>
      <c r="M570" s="5" t="inlineStr"/>
      <c r="N570" s="5" t="inlineStr"/>
      <c r="O570" s="6" t="inlineStr"/>
      <c r="P570" s="6" t="inlineStr"/>
      <c r="Q570" s="5" t="inlineStr"/>
      <c r="R570" s="5" t="inlineStr"/>
      <c r="S570" s="5" t="inlineStr">
        <is>
          <t>Sosyal Radar</t>
        </is>
      </c>
      <c r="T570" s="5" t="inlineStr"/>
      <c r="U570" s="5" t="inlineStr"/>
      <c r="V570" s="5" t="inlineStr"/>
      <c r="W570" s="5" t="inlineStr"/>
      <c r="X570" s="5" t="inlineStr"/>
      <c r="Y570" s="5" t="inlineStr"/>
      <c r="Z570" s="6" t="inlineStr"/>
      <c r="AA570" s="5" t="inlineStr"/>
      <c r="AB570" s="5" t="inlineStr"/>
      <c r="AC570" s="5" t="inlineStr"/>
      <c r="AD570" s="5" t="inlineStr"/>
      <c r="AE570" s="5" t="inlineStr"/>
      <c r="AF570" s="5" t="inlineStr"/>
      <c r="AG570" s="5" t="inlineStr"/>
      <c r="AH570" s="5" t="inlineStr"/>
      <c r="AI570" s="5" t="inlineStr"/>
      <c r="AJ570" s="5" t="inlineStr"/>
    </row>
    <row r="571">
      <c r="A571" s="5" t="inlineStr">
        <is>
          <t>me-veresiye-defteri</t>
        </is>
      </c>
      <c r="B571" s="5" t="n">
        <v>4</v>
      </c>
      <c r="C571" s="6" t="inlineStr">
        <is>
          <t>Ödeme planı çıkar</t>
        </is>
      </c>
      <c r="D571" s="5" t="inlineStr">
        <is>
          <t>Akıl</t>
        </is>
      </c>
      <c r="E571" s="5" t="inlineStr">
        <is>
          <t>Kolay</t>
        </is>
      </c>
      <c r="F571" s="5" t="inlineStr"/>
      <c r="G571" s="6" t="inlineStr"/>
      <c r="H571" s="6" t="inlineStr">
        <is>
          <t>Borcu üç taksite böldün, tarihleri müşterinin telefonuna kaydettin. Sistem çalıştı.</t>
        </is>
      </c>
      <c r="I571" s="6" t="inlineStr">
        <is>
          <t>Plan o kadar netti ki müşteri ilk taksiti iki gün erken getirdi; yanında annesi vardı. Annesi deftere baktı, sana döndü: “Benim oğlana da biri böyle hesap sormalıydı.”</t>
        </is>
      </c>
      <c r="J571" s="6" t="inlineStr">
        <is>
          <t>Plan mükemmeldi. Müşteri planı sonuna kadar dinledi ve 'Sen yine deftere yaz' dedi.</t>
        </is>
      </c>
      <c r="K571" s="6" t="inlineStr">
        <is>
          <t>Hesabı yaparken kendi aleyhine yuvarladın. Kâğıt üstünde müşteri sana borçlu değil, alacaklı çıktı.</t>
        </is>
      </c>
      <c r="L571" s="6" t="inlineStr"/>
      <c r="M571" s="5" t="inlineStr"/>
      <c r="N571" s="5" t="inlineStr"/>
      <c r="O571" s="6" t="inlineStr"/>
      <c r="P571" s="6" t="inlineStr"/>
      <c r="Q571" s="5" t="inlineStr">
        <is>
          <t>Para Üstü Radarı</t>
        </is>
      </c>
      <c r="R571" s="5" t="inlineStr"/>
      <c r="S571" s="5" t="inlineStr"/>
      <c r="T571" s="5" t="inlineStr"/>
      <c r="U571" s="5" t="inlineStr"/>
      <c r="V571" s="5" t="inlineStr"/>
      <c r="W571" s="5" t="inlineStr">
        <is>
          <t>esnaf-veresiye-batagi</t>
        </is>
      </c>
      <c r="X571" s="5" t="inlineStr"/>
      <c r="Y571" s="5" t="inlineStr"/>
      <c r="Z571" s="6" t="inlineStr"/>
      <c r="AA571" s="5" t="inlineStr"/>
      <c r="AB571" s="5" t="inlineStr"/>
      <c r="AC571" s="5" t="inlineStr"/>
      <c r="AD571" s="5" t="inlineStr"/>
      <c r="AE571" s="5" t="inlineStr"/>
      <c r="AF571" s="5" t="inlineStr"/>
      <c r="AG571" s="5" t="inlineStr"/>
      <c r="AH571" s="5" t="inlineStr"/>
      <c r="AI571" s="5" t="inlineStr"/>
      <c r="AJ571" s="5" t="inlineStr"/>
    </row>
    <row r="572">
      <c r="A572" s="5" t="inlineStr">
        <is>
          <t>mm-islak-imza</t>
        </is>
      </c>
      <c r="B572" s="5" t="n">
        <v>1</v>
      </c>
      <c r="C572" s="6" t="inlineStr">
        <is>
          <t>Evrakları ayıkla</t>
        </is>
      </c>
      <c r="D572" s="5" t="inlineStr">
        <is>
          <t>Akıl</t>
        </is>
      </c>
      <c r="E572" s="5" t="inlineStr">
        <is>
          <t>Zor</t>
        </is>
      </c>
      <c r="F572" s="5" t="inlineStr"/>
      <c r="G572" s="6" t="inlineStr"/>
      <c r="H572" s="6" t="inlineStr">
        <is>
          <t>Evrakları ayırdın; masan boşaldı, koridor doldu. İade ettiğin dilekçenin sahibi teyze sana uzun uzun baktı: “Annen biliyor mu böyle yaptığını?”</t>
        </is>
      </c>
      <c r="I572" s="6" t="inlineStr">
        <is>
          <t>Hepsi doğru. Şef masana gelip “Sen bu işi biliyorsun” dedi. Ertesi sabah masanda bütün katın evrakı vardı.</t>
        </is>
      </c>
      <c r="J572" s="6" t="inlineStr">
        <is>
          <t>Eksik bir dilekçeyi imzaladın. Üst makama gitti, sana geri döndü; üstünde senin adınla.</t>
        </is>
      </c>
      <c r="K572" s="6" t="inlineStr">
        <is>
          <t>Hepsini ters ayırdın. Gün sonunda iade ettiğin tek eksiksiz evrak, kendi izin dilekçendi.</t>
        </is>
      </c>
      <c r="L572" s="6" t="inlineStr">
        <is>
          <t>Çoğu doğru. Yanlışları kimse fark etmez; ta ki denetime kadar.</t>
        </is>
      </c>
      <c r="M572" s="5" t="inlineStr">
        <is>
          <t>diff</t>
        </is>
      </c>
      <c r="N572" s="5" t="inlineStr">
        <is>
          <t>Eksik Evrak</t>
        </is>
      </c>
      <c r="O572" s="6" t="inlineStr">
        <is>
          <t>İki evrak yığını aynı olmalı: farklı olan kâğıtları bul.</t>
        </is>
      </c>
      <c r="P572" s="6" t="inlineStr">
        <is>
          <t>{"set": ["📄", "📑", "📝", "🗂️", "🖋️"]}</t>
        </is>
      </c>
      <c r="Q572" s="5" t="inlineStr"/>
      <c r="R572" s="5" t="inlineStr"/>
      <c r="S572" s="5" t="inlineStr"/>
      <c r="T572" s="5" t="inlineStr">
        <is>
          <t>Islak İmza Ustası</t>
        </is>
      </c>
      <c r="U572" s="5" t="inlineStr"/>
      <c r="V572" s="5" t="inlineStr"/>
      <c r="W572" s="5" t="inlineStr"/>
      <c r="X572" s="5" t="inlineStr"/>
      <c r="Y572" s="5" t="inlineStr"/>
      <c r="Z572" s="6" t="inlineStr"/>
      <c r="AA572" s="5" t="inlineStr"/>
      <c r="AB572" s="5" t="inlineStr"/>
      <c r="AC572" s="5" t="inlineStr"/>
      <c r="AD572" s="5" t="inlineStr"/>
      <c r="AE572" s="5" t="inlineStr"/>
      <c r="AF572" s="5" t="inlineStr"/>
      <c r="AG572" s="5" t="inlineStr"/>
      <c r="AH572" s="5" t="inlineStr"/>
      <c r="AI572" s="5" t="inlineStr"/>
      <c r="AJ572" s="5" t="inlineStr"/>
    </row>
    <row r="573">
      <c r="A573" s="5" t="inlineStr">
        <is>
          <t>mm-islak-imza</t>
        </is>
      </c>
      <c r="B573" s="5" t="n">
        <v>2</v>
      </c>
      <c r="C573" s="6" t="inlineStr">
        <is>
          <t>Hepsini imzala</t>
        </is>
      </c>
      <c r="D573" s="5" t="inlineStr">
        <is>
          <t>Pişkinlik</t>
        </is>
      </c>
      <c r="E573" s="5" t="inlineStr">
        <is>
          <t>Kolay</t>
        </is>
      </c>
      <c r="F573" s="5" t="inlineStr"/>
      <c r="G573" s="6" t="inlineStr"/>
      <c r="H573" s="6" t="inlineStr">
        <is>
          <t>Hepsini imzaladın. Hiçbiri geri dönmedi. Henüz.</t>
        </is>
      </c>
      <c r="I573" s="6" t="inlineStr">
        <is>
          <t>Hepsini imzaladın; tek bir tanesi bile geri dönmedi. Şef dosyaları kontrol etti, gözlüğünü çıkardı, bir daha taktı. Öğleden sonra seni odasına çağırdı; sadece yüzüne bakmak için.</t>
        </is>
      </c>
      <c r="J573" s="6" t="inlineStr">
        <is>
          <t>İçlerinden biri, kendi tayin dilekçene yapılmış bir itirazmış.</t>
        </is>
      </c>
      <c r="K573" s="6" t="inlineStr">
        <is>
          <t>Birinin altında 'Masanın koridora taşınmasına onay veriyorum' yazıyordu. Masan koridorda.</t>
        </is>
      </c>
      <c r="L573" s="6" t="inlineStr"/>
      <c r="M573" s="5" t="inlineStr"/>
      <c r="N573" s="5" t="inlineStr"/>
      <c r="O573" s="6" t="inlineStr"/>
      <c r="P573" s="6" t="inlineStr"/>
      <c r="Q573" s="5" t="inlineStr"/>
      <c r="R573" s="5" t="inlineStr"/>
      <c r="S573" s="5" t="inlineStr"/>
      <c r="T573" s="5" t="inlineStr"/>
      <c r="U573" s="5" t="inlineStr"/>
      <c r="V573" s="5" t="inlineStr"/>
      <c r="W573" s="5" t="inlineStr"/>
      <c r="X573" s="5" t="inlineStr"/>
      <c r="Y573" s="5" t="inlineStr"/>
      <c r="Z573" s="6" t="inlineStr"/>
      <c r="AA573" s="5" t="inlineStr"/>
      <c r="AB573" s="5" t="inlineStr"/>
      <c r="AC573" s="5" t="inlineStr"/>
      <c r="AD573" s="5" t="inlineStr"/>
      <c r="AE573" s="5" t="inlineStr"/>
      <c r="AF573" s="5" t="inlineStr"/>
      <c r="AG573" s="5" t="inlineStr"/>
      <c r="AH573" s="5" t="inlineStr"/>
      <c r="AI573" s="5" t="inlineStr"/>
      <c r="AJ573" s="5" t="inlineStr"/>
    </row>
    <row r="574">
      <c r="A574" s="5" t="inlineStr">
        <is>
          <t>mm-islak-imza</t>
        </is>
      </c>
      <c r="B574" s="5" t="n">
        <v>3</v>
      </c>
      <c r="C574" s="6" t="inlineStr">
        <is>
          <t>Evrakı yarına bırak</t>
        </is>
      </c>
      <c r="D574" s="5" t="inlineStr"/>
      <c r="E574" s="5" t="inlineStr"/>
      <c r="F574" s="5" t="inlineStr">
        <is>
          <t>Dayanıklılık +1</t>
        </is>
      </c>
      <c r="G574" s="6" t="inlineStr">
        <is>
          <t>Evrakı yarına bıraktın. Yarın da onları yarına bırakacak. Bu, dairenin en köklü geleneği.</t>
        </is>
      </c>
      <c r="H574" s="6" t="inlineStr"/>
      <c r="I574" s="6" t="inlineStr"/>
      <c r="J574" s="6" t="inlineStr"/>
      <c r="K574" s="6" t="inlineStr"/>
      <c r="L574" s="6" t="inlineStr"/>
      <c r="M574" s="5" t="inlineStr"/>
      <c r="N574" s="5" t="inlineStr"/>
      <c r="O574" s="6" t="inlineStr"/>
      <c r="P574" s="6" t="inlineStr"/>
      <c r="Q574" s="5" t="inlineStr"/>
      <c r="R574" s="5" t="inlineStr"/>
      <c r="S574" s="5" t="inlineStr"/>
      <c r="T574" s="5" t="inlineStr"/>
      <c r="U574" s="5" t="inlineStr"/>
      <c r="V574" s="5" t="inlineStr"/>
      <c r="W574" s="5" t="inlineStr"/>
      <c r="X574" s="5" t="inlineStr"/>
      <c r="Y574" s="5" t="inlineStr"/>
      <c r="Z574" s="6" t="inlineStr"/>
      <c r="AA574" s="5" t="inlineStr"/>
      <c r="AB574" s="5" t="inlineStr"/>
      <c r="AC574" s="5" t="inlineStr"/>
      <c r="AD574" s="5" t="inlineStr"/>
      <c r="AE574" s="5" t="inlineStr"/>
      <c r="AF574" s="5" t="inlineStr"/>
      <c r="AG574" s="5" t="inlineStr"/>
      <c r="AH574" s="5" t="inlineStr"/>
      <c r="AI574" s="5" t="inlineStr"/>
      <c r="AJ574" s="5" t="inlineStr"/>
    </row>
    <row r="575">
      <c r="A575" s="5" t="inlineStr">
        <is>
          <t>ms-gorunurluk-teklifi</t>
        </is>
      </c>
      <c r="B575" s="5" t="n">
        <v>1</v>
      </c>
      <c r="C575" s="6" t="inlineStr">
        <is>
          <t>Kabul et</t>
        </is>
      </c>
      <c r="D575" s="5" t="inlineStr"/>
      <c r="E575" s="5" t="inlineStr"/>
      <c r="F575" s="5" t="inlineStr">
        <is>
          <t>Dayanıklılık +1</t>
        </is>
      </c>
      <c r="G575" s="6" t="inlineStr">
        <is>
          <t>İşi teslim ettin. Adın afişte en alta, tuvaleti gösteren okun hemen üstüne yazıldı.</t>
        </is>
      </c>
      <c r="H575" s="6" t="inlineStr"/>
      <c r="I575" s="6" t="inlineStr"/>
      <c r="J575" s="6" t="inlineStr"/>
      <c r="K575" s="6" t="inlineStr"/>
      <c r="L575" s="6" t="inlineStr"/>
      <c r="M575" s="5" t="inlineStr"/>
      <c r="N575" s="5" t="inlineStr"/>
      <c r="O575" s="6" t="inlineStr"/>
      <c r="P575" s="6" t="inlineStr"/>
      <c r="Q575" s="5" t="inlineStr"/>
      <c r="R575" s="5" t="inlineStr"/>
      <c r="S575" s="5" t="inlineStr"/>
      <c r="T575" s="5" t="inlineStr"/>
      <c r="U575" s="5" t="inlineStr"/>
      <c r="V575" s="5" t="inlineStr"/>
      <c r="W575" s="5" t="inlineStr"/>
      <c r="X575" s="5" t="inlineStr"/>
      <c r="Y575" s="5" t="inlineStr"/>
      <c r="Z575" s="6" t="inlineStr"/>
      <c r="AA575" s="5" t="inlineStr"/>
      <c r="AB575" s="5" t="inlineStr"/>
      <c r="AC575" s="5" t="inlineStr"/>
      <c r="AD575" s="5" t="inlineStr"/>
      <c r="AE575" s="5" t="inlineStr"/>
      <c r="AF575" s="5" t="inlineStr"/>
      <c r="AG575" s="5" t="inlineStr"/>
      <c r="AH575" s="5" t="inlineStr"/>
      <c r="AI575" s="5" t="inlineStr"/>
      <c r="AJ575" s="5" t="inlineStr"/>
    </row>
    <row r="576">
      <c r="A576" s="5" t="inlineStr">
        <is>
          <t>ms-gorunurluk-teklifi</t>
        </is>
      </c>
      <c r="B576" s="5" t="n">
        <v>2</v>
      </c>
      <c r="C576" s="6" t="inlineStr">
        <is>
          <t>Görünürlük karşılığı fatura kes</t>
        </is>
      </c>
      <c r="D576" s="5" t="inlineStr">
        <is>
          <t>Pişkinlik</t>
        </is>
      </c>
      <c r="E576" s="5" t="inlineStr">
        <is>
          <t>Orta</t>
        </is>
      </c>
      <c r="F576" s="5" t="inlineStr"/>
      <c r="G576" s="6" t="inlineStr"/>
      <c r="H576" s="6" t="inlineStr">
        <is>
          <t>Faturaya 'görünürlük bedeli' yazdın. Utandılar ve küçük bir ücret ödediler.</t>
        </is>
      </c>
      <c r="I576" s="6" t="inlineStr">
        <is>
          <t>Faturanı paylaştın: “Görünürlük bedeli: 1 adet görünürlük.” Paylaşım yayıldı; üç şirket gerçek ücretle teklif yolladı. Biri aynı şirketti.</t>
        </is>
      </c>
      <c r="J576" s="6" t="inlineStr">
        <is>
          <t>Faturayı gönderdin. Cevap geldi: “Faturanızı çok beğendik, sayfamızda paylaşabilir miyiz? Size görünürlük sağlar.”</t>
        </is>
      </c>
      <c r="K576" s="6" t="inlineStr">
        <is>
          <t>Yazışmanın ekran görüntüsü yayıldı. 'Zor çalışılan kişi' olarak nihayet görünür oldun.</t>
        </is>
      </c>
      <c r="L576" s="6" t="inlineStr"/>
      <c r="M576" s="5" t="inlineStr"/>
      <c r="N576" s="5" t="inlineStr"/>
      <c r="O576" s="6" t="inlineStr"/>
      <c r="P576" s="6" t="inlineStr"/>
      <c r="Q576" s="5" t="inlineStr"/>
      <c r="R576" s="5" t="inlineStr"/>
      <c r="S576" s="5" t="inlineStr"/>
      <c r="T576" s="5" t="inlineStr"/>
      <c r="U576" s="5" t="inlineStr"/>
      <c r="V576" s="5" t="inlineStr"/>
      <c r="W576" s="5" t="inlineStr"/>
      <c r="X576" s="5" t="inlineStr"/>
      <c r="Y576" s="5" t="inlineStr"/>
      <c r="Z576" s="6" t="inlineStr"/>
      <c r="AA576" s="5" t="inlineStr"/>
      <c r="AB576" s="5" t="inlineStr"/>
      <c r="AC576" s="5" t="inlineStr"/>
      <c r="AD576" s="5" t="inlineStr"/>
      <c r="AE576" s="5" t="inlineStr"/>
      <c r="AF576" s="5" t="inlineStr"/>
      <c r="AG576" s="5" t="inlineStr"/>
      <c r="AH576" s="5" t="inlineStr"/>
      <c r="AI576" s="5" t="inlineStr"/>
      <c r="AJ576" s="5" t="inlineStr"/>
    </row>
    <row r="577">
      <c r="A577" s="5" t="inlineStr">
        <is>
          <t>ms-gorunurluk-teklifi</t>
        </is>
      </c>
      <c r="B577" s="5" t="n">
        <v>3</v>
      </c>
      <c r="C577" s="6" t="inlineStr">
        <is>
          <t>Nazikçe ama net reddet</t>
        </is>
      </c>
      <c r="D577" s="5" t="inlineStr">
        <is>
          <t>Cesaret</t>
        </is>
      </c>
      <c r="E577" s="5" t="inlineStr">
        <is>
          <t>Zor</t>
        </is>
      </c>
      <c r="F577" s="5" t="inlineStr"/>
      <c r="G577" s="6" t="inlineStr"/>
      <c r="H577" s="6" t="inlineStr">
        <is>
          <t>'Ücretli işlerde görüşelim' dedin. Bir ay sonra ücretli bir teklifle döndüler.</t>
        </is>
      </c>
      <c r="I577" s="6" t="inlineStr">
        <is>
          <t>Reddedişin öyle netti ki bütçe bulundu. Bütçe hep varmış.</t>
        </is>
      </c>
      <c r="J577" s="6" t="inlineStr">
        <is>
          <t>Reddettin; işi ücretsiz yapacak başka birini buldular. Kuyruk uzun.</t>
        </is>
      </c>
      <c r="K577" s="6" t="inlineStr">
        <is>
          <t>Reddettin; ertesi gün aynı şirket seni 'kötü örnek' diye bir panelde andı. Ücretsiz görünürlük.</t>
        </is>
      </c>
      <c r="L577" s="6" t="inlineStr"/>
      <c r="M577" s="5" t="inlineStr"/>
      <c r="N577" s="5" t="inlineStr"/>
      <c r="O577" s="6" t="inlineStr"/>
      <c r="P577" s="6" t="inlineStr"/>
      <c r="Q577" s="5" t="inlineStr"/>
      <c r="R577" s="5" t="inlineStr"/>
      <c r="S577" s="5" t="inlineStr"/>
      <c r="T577" s="5" t="inlineStr">
        <is>
          <t>Kendi Patronu</t>
        </is>
      </c>
      <c r="U577" s="5" t="inlineStr"/>
      <c r="V577" s="5" t="inlineStr"/>
      <c r="W577" s="5" t="inlineStr"/>
      <c r="X577" s="5" t="inlineStr"/>
      <c r="Y577" s="5" t="inlineStr"/>
      <c r="Z577" s="6" t="inlineStr"/>
      <c r="AA577" s="5" t="inlineStr"/>
      <c r="AB577" s="5" t="inlineStr"/>
      <c r="AC577" s="5" t="inlineStr"/>
      <c r="AD577" s="5" t="inlineStr"/>
      <c r="AE577" s="5" t="inlineStr"/>
      <c r="AF577" s="5" t="inlineStr"/>
      <c r="AG577" s="5" t="inlineStr"/>
      <c r="AH577" s="5" t="inlineStr"/>
      <c r="AI577" s="5" t="inlineStr"/>
      <c r="AJ577" s="5" t="inlineStr"/>
    </row>
    <row r="578">
      <c r="A578" s="5" t="inlineStr">
        <is>
          <t>ms-gorunurluk-teklifi</t>
        </is>
      </c>
      <c r="B578" s="5" t="n">
        <v>4</v>
      </c>
      <c r="C578" s="6" t="inlineStr">
        <is>
          <t>Takipçilerine sor: 'Ücretsiz çalışmalı mıyım?'</t>
        </is>
      </c>
      <c r="D578" s="5" t="inlineStr">
        <is>
          <t>Sosyal Radar</t>
        </is>
      </c>
      <c r="E578" s="5" t="inlineStr">
        <is>
          <t>Kolay</t>
        </is>
      </c>
      <c r="F578" s="5" t="inlineStr"/>
      <c r="G578" s="6" t="inlineStr"/>
      <c r="H578" s="6" t="inlineStr">
        <is>
          <t>Takipçilerin şirkete yorum yağdırdı. Bütçe mucizevi biçimde bulundu.</t>
        </is>
      </c>
      <c r="I578" s="6" t="inlineStr">
        <is>
          <t>Anket o kadar yayıldı ki şirket özür diledi ve ücretini iki katıyla ödedi.</t>
        </is>
      </c>
      <c r="J578" s="6" t="inlineStr">
        <is>
          <t>Takipçilerinin yüzde altmışı 'Evet, görünürlük önemli' dedi. Hepsi de serbest çalışan.</t>
        </is>
      </c>
      <c r="K578" s="6" t="inlineStr">
        <is>
          <t>Şirket anketini görüp seni etiketledi: 'Tabii ki gelin, görünürlük sağlarız.' Daha fazla görünürlük.</t>
        </is>
      </c>
      <c r="L578" s="6" t="inlineStr"/>
      <c r="M578" s="5" t="inlineStr"/>
      <c r="N578" s="5" t="inlineStr"/>
      <c r="O578" s="6" t="inlineStr"/>
      <c r="P578" s="6" t="inlineStr"/>
      <c r="Q578" s="5" t="inlineStr"/>
      <c r="R578" s="5" t="inlineStr">
        <is>
          <t>fenomen</t>
        </is>
      </c>
      <c r="S578" s="5" t="inlineStr"/>
      <c r="T578" s="5" t="inlineStr"/>
      <c r="U578" s="5" t="inlineStr"/>
      <c r="V578" s="5" t="inlineStr"/>
      <c r="W578" s="5" t="inlineStr"/>
      <c r="X578" s="5" t="inlineStr"/>
      <c r="Y578" s="5" t="inlineStr"/>
      <c r="Z578" s="6" t="inlineStr"/>
      <c r="AA578" s="5" t="inlineStr"/>
      <c r="AB578" s="5" t="inlineStr"/>
      <c r="AC578" s="5" t="inlineStr"/>
      <c r="AD578" s="5" t="inlineStr"/>
      <c r="AE578" s="5" t="inlineStr"/>
      <c r="AF578" s="5" t="inlineStr"/>
      <c r="AG578" s="5" t="inlineStr"/>
      <c r="AH578" s="5" t="inlineStr"/>
      <c r="AI578" s="5" t="inlineStr"/>
      <c r="AJ578" s="5" t="inlineStr"/>
    </row>
    <row r="579">
      <c r="A579" s="5" t="inlineStr">
        <is>
          <t>b6-taki-butcesi</t>
        </is>
      </c>
      <c r="B579" s="5" t="n">
        <v>1</v>
      </c>
      <c r="C579" s="6" t="inlineStr">
        <is>
          <t>Her düğüne çeyrek tak</t>
        </is>
      </c>
      <c r="D579" s="5" t="inlineStr"/>
      <c r="E579" s="5" t="inlineStr"/>
      <c r="F579" s="5" t="inlineStr">
        <is>
          <t>İtibar +1</t>
        </is>
      </c>
      <c r="G579" s="6" t="inlineStr">
        <is>
          <t>Üç çeyrek taktın. Kuyumcu seni tanıyıp gülümsüyor. Hesabın gülümsemiyor.</t>
        </is>
      </c>
      <c r="H579" s="6" t="inlineStr"/>
      <c r="I579" s="6" t="inlineStr"/>
      <c r="J579" s="6" t="inlineStr"/>
      <c r="K579" s="6" t="inlineStr"/>
      <c r="L579" s="6" t="inlineStr"/>
      <c r="M579" s="5" t="inlineStr"/>
      <c r="N579" s="5" t="inlineStr"/>
      <c r="O579" s="6" t="inlineStr"/>
      <c r="P579" s="6" t="inlineStr"/>
      <c r="Q579" s="5" t="inlineStr"/>
      <c r="R579" s="5" t="inlineStr"/>
      <c r="S579" s="5" t="inlineStr"/>
      <c r="T579" s="5" t="inlineStr"/>
      <c r="U579" s="5" t="inlineStr"/>
      <c r="V579" s="5" t="inlineStr"/>
      <c r="W579" s="5" t="inlineStr"/>
      <c r="X579" s="5" t="inlineStr"/>
      <c r="Y579" s="5" t="inlineStr"/>
      <c r="Z579" s="6" t="inlineStr"/>
      <c r="AA579" s="5" t="inlineStr"/>
      <c r="AB579" s="5" t="inlineStr"/>
      <c r="AC579" s="5" t="inlineStr"/>
      <c r="AD579" s="5" t="inlineStr"/>
      <c r="AE579" s="5" t="inlineStr"/>
      <c r="AF579" s="5" t="inlineStr"/>
      <c r="AG579" s="5" t="inlineStr"/>
      <c r="AH579" s="5" t="inlineStr"/>
      <c r="AI579" s="5" t="inlineStr"/>
      <c r="AJ579" s="5" t="inlineStr"/>
    </row>
    <row r="580">
      <c r="A580" s="5" t="inlineStr">
        <is>
          <t>b6-taki-butcesi</t>
        </is>
      </c>
      <c r="B580" s="5" t="n">
        <v>2</v>
      </c>
      <c r="C580" s="6" t="inlineStr">
        <is>
          <t>Zarfa para koy, kalın kâğıt seç</t>
        </is>
      </c>
      <c r="D580" s="5" t="inlineStr">
        <is>
          <t>Kurnazlık</t>
        </is>
      </c>
      <c r="E580" s="5" t="inlineStr">
        <is>
          <t>Orta</t>
        </is>
      </c>
      <c r="F580" s="5" t="inlineStr"/>
      <c r="G580" s="6" t="inlineStr"/>
      <c r="H580" s="6" t="inlineStr">
        <is>
          <t>Zarf kalın, içerik makul. Kimse saymadı, çünkü herkes zarfları sayıyordu.</t>
        </is>
      </c>
      <c r="I580" s="6" t="inlineStr">
        <is>
          <t>Zarf o kadar şıktı ki gelin çerçeveletti. İçine hiç bakmadı.</t>
        </is>
      </c>
      <c r="J580" s="6" t="inlineStr">
        <is>
          <t>Zarfı gelinin annesi açtı, önünde. Parayı saydı, sonra zarfı çevirip bir daha baktı; arkasında da vardır diye.</t>
        </is>
      </c>
      <c r="K580" s="6" t="inlineStr">
        <is>
          <t>Zarfa adını yazmayı unuttun. Anonim bağışçı oldun; herkes o cimrinin kim olduğunu tartıştı.</t>
        </is>
      </c>
      <c r="L580" s="6" t="inlineStr"/>
      <c r="M580" s="5" t="inlineStr"/>
      <c r="N580" s="5" t="inlineStr"/>
      <c r="O580" s="6" t="inlineStr"/>
      <c r="P580" s="6" t="inlineStr"/>
      <c r="Q580" s="5" t="inlineStr"/>
      <c r="R580" s="5" t="inlineStr"/>
      <c r="S580" s="5" t="inlineStr"/>
      <c r="T580" s="5" t="inlineStr"/>
      <c r="U580" s="5" t="inlineStr"/>
      <c r="V580" s="5" t="inlineStr"/>
      <c r="W580" s="5" t="inlineStr"/>
      <c r="X580" s="5" t="inlineStr"/>
      <c r="Y580" s="5" t="inlineStr"/>
      <c r="Z580" s="6" t="inlineStr"/>
      <c r="AA580" s="5" t="inlineStr"/>
      <c r="AB580" s="5" t="inlineStr"/>
      <c r="AC580" s="5" t="inlineStr"/>
      <c r="AD580" s="5" t="inlineStr"/>
      <c r="AE580" s="5" t="inlineStr"/>
      <c r="AF580" s="5" t="inlineStr"/>
      <c r="AG580" s="5" t="inlineStr"/>
      <c r="AH580" s="5" t="inlineStr"/>
      <c r="AI580" s="5" t="inlineStr"/>
      <c r="AJ580" s="5" t="inlineStr"/>
    </row>
    <row r="581">
      <c r="A581" s="5" t="inlineStr">
        <is>
          <t>b6-taki-butcesi</t>
        </is>
      </c>
      <c r="B581" s="5" t="n">
        <v>3</v>
      </c>
      <c r="C581" s="6" t="inlineStr">
        <is>
          <t>Arkadaşlarla toplu hediye organize et</t>
        </is>
      </c>
      <c r="D581" s="5" t="inlineStr">
        <is>
          <t>Çene</t>
        </is>
      </c>
      <c r="E581" s="5" t="inlineStr">
        <is>
          <t>Kolay</t>
        </is>
      </c>
      <c r="F581" s="5" t="inlineStr"/>
      <c r="G581" s="6" t="inlineStr"/>
      <c r="H581" s="6" t="inlineStr">
        <is>
          <t>Altı arkadaş birleşip tek bir bilezik aldınız. Takı sırasında sunucu “Arkadaşlarından bilezik!” diye bağırdı; salon alkışladı. Kimse kişi başı kaça geldiğini sormadı.</t>
        </is>
      </c>
      <c r="I581" s="6" t="inlineStr">
        <is>
          <t>Hediye düğünün en çok alkışlanan anı oldu. Artanla bir sonraki düğün de karşılandı.</t>
        </is>
      </c>
      <c r="J581" s="6" t="inlineStr">
        <is>
          <t>Herkes 'Tamam' dedi. Parayı ödeyen sen oldun. Tahsilat sürüyor.</t>
        </is>
      </c>
      <c r="K581" s="6" t="inlineStr">
        <is>
          <t>İki kişi parayı iki kez yatırdı, biri hiç yatırmadı. Aradaki fark senin cebinden çıktı; arkadaş grubunun adı o günden beri “Borç Defteri”.</t>
        </is>
      </c>
      <c r="L581" s="6" t="inlineStr"/>
      <c r="M581" s="5" t="inlineStr"/>
      <c r="N581" s="5" t="inlineStr"/>
      <c r="O581" s="6" t="inlineStr"/>
      <c r="P581" s="6" t="inlineStr"/>
      <c r="Q581" s="5" t="inlineStr">
        <is>
          <t>Kuralı Koyan</t>
        </is>
      </c>
      <c r="R581" s="5" t="inlineStr"/>
      <c r="S581" s="5" t="inlineStr"/>
      <c r="T581" s="5" t="inlineStr"/>
      <c r="U581" s="5" t="inlineStr"/>
      <c r="V581" s="5" t="inlineStr"/>
      <c r="W581" s="5" t="inlineStr"/>
      <c r="X581" s="5" t="inlineStr"/>
      <c r="Y581" s="5" t="inlineStr"/>
      <c r="Z581" s="6" t="inlineStr"/>
      <c r="AA581" s="5" t="inlineStr"/>
      <c r="AB581" s="5" t="inlineStr"/>
      <c r="AC581" s="5" t="inlineStr"/>
      <c r="AD581" s="5" t="inlineStr"/>
      <c r="AE581" s="5" t="inlineStr"/>
      <c r="AF581" s="5" t="inlineStr"/>
      <c r="AG581" s="5" t="inlineStr"/>
      <c r="AH581" s="5" t="inlineStr"/>
      <c r="AI581" s="5" t="inlineStr"/>
      <c r="AJ581" s="5" t="inlineStr"/>
    </row>
    <row r="582">
      <c r="A582" s="5" t="inlineStr">
        <is>
          <t>b6-taki-butcesi</t>
        </is>
      </c>
      <c r="B582" s="5" t="n">
        <v>4</v>
      </c>
      <c r="C582" s="6" t="inlineStr">
        <is>
          <t>Kuyumcuyla pazarlık et</t>
        </is>
      </c>
      <c r="D582" s="5" t="inlineStr">
        <is>
          <t>Çene</t>
        </is>
      </c>
      <c r="E582" s="5" t="inlineStr">
        <is>
          <t>Orta</t>
        </is>
      </c>
      <c r="F582" s="5" t="inlineStr"/>
      <c r="G582" s="6" t="inlineStr"/>
      <c r="H582" s="6" t="inlineStr">
        <is>
          <t>Kuyumcu işçilikten indirdi ve seni 'bizim düğüncü' diye kaydetti.</t>
        </is>
      </c>
      <c r="I582" s="6" t="inlineStr">
        <is>
          <t>Kuyumcuyla yılın bütün düğünleri için sabit fiyatta anlaştın. Kuyumcu artık seni kapıda görünce davetiyeyi soruyor: “Bu hafta kim evleniyor?”</t>
        </is>
      </c>
      <c r="J582" s="6" t="inlineStr">
        <is>
          <t>Kuyumcu 'Fiyat benim elimde değil' dedi. Haklıydı.</t>
        </is>
      </c>
      <c r="K582" s="6" t="inlineStr">
        <is>
          <t>Pazarlık ederken çeyreği düşürdün. Vitrinin altına kaçtı. Yirmi dakika birlikte yerde aradınız.</t>
        </is>
      </c>
      <c r="L582" s="6" t="inlineStr"/>
      <c r="M582" s="5" t="inlineStr"/>
      <c r="N582" s="5" t="inlineStr"/>
      <c r="O582" s="6" t="inlineStr"/>
      <c r="P582" s="6" t="inlineStr"/>
      <c r="Q582" s="5" t="inlineStr">
        <is>
          <t>Küçük Tüccar</t>
        </is>
      </c>
      <c r="R582" s="5" t="inlineStr"/>
      <c r="S582" s="5" t="inlineStr"/>
      <c r="T582" s="5" t="inlineStr"/>
      <c r="U582" s="5" t="inlineStr"/>
      <c r="V582" s="5" t="inlineStr"/>
      <c r="W582" s="5" t="inlineStr"/>
      <c r="X582" s="5" t="inlineStr"/>
      <c r="Y582" s="5" t="inlineStr"/>
      <c r="Z582" s="6" t="inlineStr"/>
      <c r="AA582" s="5" t="inlineStr"/>
      <c r="AB582" s="5" t="inlineStr"/>
      <c r="AC582" s="5" t="inlineStr"/>
      <c r="AD582" s="5" t="inlineStr"/>
      <c r="AE582" s="5" t="inlineStr"/>
      <c r="AF582" s="5" t="inlineStr"/>
      <c r="AG582" s="5" t="inlineStr"/>
      <c r="AH582" s="5" t="inlineStr"/>
      <c r="AI582" s="5" t="inlineStr"/>
      <c r="AJ582" s="5" t="inlineStr"/>
    </row>
    <row r="583">
      <c r="A583" s="5" t="inlineStr">
        <is>
          <t>b6-taki-butcesi</t>
        </is>
      </c>
      <c r="B583" s="5" t="n">
        <v>5</v>
      </c>
      <c r="C583" s="6" t="inlineStr">
        <is>
          <t>Takıyı sahnede, anonsla tak</t>
        </is>
      </c>
      <c r="D583" s="5" t="inlineStr">
        <is>
          <t>Pişkinlik</t>
        </is>
      </c>
      <c r="E583" s="5" t="inlineStr">
        <is>
          <t>Orta</t>
        </is>
      </c>
      <c r="F583" s="5" t="inlineStr"/>
      <c r="G583" s="6" t="inlineStr"/>
      <c r="H583" s="6" t="inlineStr">
        <is>
          <t>Çeyreği gelinin yakasına iğneledin, sunucu adını iki kez okudu. Teyzeler kimin ne taktığını aklına yazdı; sen iyi bir satıra düştün.</t>
        </is>
      </c>
      <c r="I583" s="6" t="inlineStr">
        <is>
          <t>Sunucu mikrofona eğildi: “Damadın can dostundan… bir bilezik!” Salon ayağa kalktı. Bileziğin yarısı kredi kartından, alkışın tamamı senin.</t>
        </is>
      </c>
      <c r="J583" s="6" t="inlineStr">
        <is>
          <t>Sırada önündeki bilezik taktı. Senin çeyreğin anons edilirken salon hâlâ bileziği konuşuyordu.</t>
        </is>
      </c>
      <c r="K583" s="6" t="inlineStr">
        <is>
          <t>Çeyreği iğnelerken gelinin elbisesine taktın; kumaş yırtıldı. Sunucu mikrofona “Bu da bir hatıra!” dedi. Gelinin annesi bu hatırayı hiç unutmadı.</t>
        </is>
      </c>
      <c r="L583" s="6" t="inlineStr"/>
      <c r="M583" s="5" t="inlineStr"/>
      <c r="N583" s="5" t="inlineStr"/>
      <c r="O583" s="6" t="inlineStr"/>
      <c r="P583" s="6" t="inlineStr"/>
      <c r="Q583" s="5" t="inlineStr"/>
      <c r="R583" s="5" t="inlineStr"/>
      <c r="S583" s="5" t="inlineStr"/>
      <c r="T583" s="5" t="inlineStr"/>
      <c r="U583" s="5" t="inlineStr"/>
      <c r="V583" s="5" t="inlineStr"/>
      <c r="W583" s="5" t="inlineStr"/>
      <c r="X583" s="5" t="inlineStr"/>
      <c r="Y583" s="5" t="inlineStr"/>
      <c r="Z583" s="6" t="inlineStr"/>
      <c r="AA583" s="5" t="inlineStr"/>
      <c r="AB583" s="5" t="inlineStr"/>
      <c r="AC583" s="5" t="inlineStr"/>
      <c r="AD583" s="5" t="inlineStr"/>
      <c r="AE583" s="5" t="inlineStr"/>
      <c r="AF583" s="5" t="inlineStr"/>
      <c r="AG583" s="5" t="inlineStr"/>
      <c r="AH583" s="5" t="inlineStr"/>
      <c r="AI583" s="5" t="inlineStr"/>
      <c r="AJ583" s="5" t="inlineStr"/>
    </row>
    <row r="584">
      <c r="A584" s="5" t="inlineStr">
        <is>
          <t>b6-ilk-araba</t>
        </is>
      </c>
      <c r="B584" s="5" t="n">
        <v>1</v>
      </c>
      <c r="C584" s="6" t="inlineStr">
        <is>
          <t>İlana güvenip al</t>
        </is>
      </c>
      <c r="D584" s="5" t="inlineStr"/>
      <c r="E584" s="5" t="inlineStr"/>
      <c r="F584" s="5" t="inlineStr">
        <is>
          <t>İtibar +1</t>
        </is>
      </c>
      <c r="G584" s="6" t="inlineStr">
        <is>
          <t>İlana güvendin, aldın. İlk hafta sanayideki usta seni adınla tanıdı, ikinci hafta sen onun çocuklarının adını. Üçüncü hafta usta sordu: “Doktordan mı aldın bunu?” “Evet” dedin; güldü.</t>
        </is>
      </c>
      <c r="H584" s="6" t="inlineStr"/>
      <c r="I584" s="6" t="inlineStr"/>
      <c r="J584" s="6" t="inlineStr"/>
      <c r="K584" s="6" t="inlineStr"/>
      <c r="L584" s="6" t="inlineStr"/>
      <c r="M584" s="5" t="inlineStr"/>
      <c r="N584" s="5" t="inlineStr"/>
      <c r="O584" s="6" t="inlineStr"/>
      <c r="P584" s="6" t="inlineStr"/>
      <c r="Q584" s="5" t="inlineStr"/>
      <c r="R584" s="5" t="inlineStr"/>
      <c r="S584" s="5" t="inlineStr"/>
      <c r="T584" s="5" t="inlineStr"/>
      <c r="U584" s="5" t="inlineStr"/>
      <c r="V584" s="5" t="inlineStr"/>
      <c r="W584" s="5" t="inlineStr"/>
      <c r="X584" s="5" t="inlineStr"/>
      <c r="Y584" s="5" t="inlineStr"/>
      <c r="Z584" s="6" t="inlineStr"/>
      <c r="AA584" s="5" t="inlineStr"/>
      <c r="AB584" s="5" t="inlineStr"/>
      <c r="AC584" s="5" t="inlineStr"/>
      <c r="AD584" s="5" t="inlineStr"/>
      <c r="AE584" s="5" t="inlineStr"/>
      <c r="AF584" s="5" t="inlineStr"/>
      <c r="AG584" s="5" t="inlineStr"/>
      <c r="AH584" s="5" t="inlineStr"/>
      <c r="AI584" s="5" t="inlineStr"/>
      <c r="AJ584" s="5" t="inlineStr"/>
    </row>
    <row r="585">
      <c r="A585" s="5" t="inlineStr">
        <is>
          <t>b6-ilk-araba</t>
        </is>
      </c>
      <c r="B585" s="5" t="n">
        <v>2</v>
      </c>
      <c r="C585" s="6" t="inlineStr">
        <is>
          <t>Test sürüşünde yokuş seç</t>
        </is>
      </c>
      <c r="D585" s="5" t="inlineStr">
        <is>
          <t>Cesaret</t>
        </is>
      </c>
      <c r="E585" s="5" t="inlineStr">
        <is>
          <t>Orta</t>
        </is>
      </c>
      <c r="F585" s="5" t="inlineStr"/>
      <c r="G585" s="6" t="inlineStr"/>
      <c r="H585" s="6" t="inlineStr">
        <is>
          <t>Araba yokuşta mükemmeldi. Satıcının yüzü öyle değildi. Fiyattan indi.</t>
        </is>
      </c>
      <c r="I585" s="6" t="inlineStr">
        <is>
          <t>Bütün kusurları tek sürüşte buldun. Fiyat yarıya indi. Satıcı hâlâ nerede hata yaptığını düşünüyor.</t>
        </is>
      </c>
      <c r="J585" s="6" t="inlineStr">
        <is>
          <t>Araba yokuşta stop etti. Satıcı “Motor soğuk” dedi. Araba sabahtan beri güneşin altındaydı.</t>
        </is>
      </c>
      <c r="K585" s="6" t="inlineStr">
        <is>
          <t>El freni elinde kaldı. Araba sessizce aşağı indi, bir çöp konteynerinde durdu. Satıcı yine de fiyattan inmedi.</t>
        </is>
      </c>
      <c r="L585" s="6" t="inlineStr"/>
      <c r="M585" s="5" t="inlineStr"/>
      <c r="N585" s="5" t="inlineStr"/>
      <c r="O585" s="6" t="inlineStr"/>
      <c r="P585" s="6" t="inlineStr"/>
      <c r="Q585" s="5" t="inlineStr"/>
      <c r="R585" s="5" t="inlineStr">
        <is>
          <t>ehliyetli</t>
        </is>
      </c>
      <c r="S585" s="5" t="inlineStr"/>
      <c r="T585" s="5" t="inlineStr"/>
      <c r="U585" s="5" t="inlineStr"/>
      <c r="V585" s="5" t="inlineStr"/>
      <c r="W585" s="5" t="inlineStr"/>
      <c r="X585" s="5" t="inlineStr"/>
      <c r="Y585" s="5" t="inlineStr"/>
      <c r="Z585" s="6" t="inlineStr"/>
      <c r="AA585" s="5" t="inlineStr"/>
      <c r="AB585" s="5" t="inlineStr"/>
      <c r="AC585" s="5" t="inlineStr"/>
      <c r="AD585" s="5" t="inlineStr"/>
      <c r="AE585" s="5" t="inlineStr"/>
      <c r="AF585" s="5" t="inlineStr"/>
      <c r="AG585" s="5" t="inlineStr"/>
      <c r="AH585" s="5" t="inlineStr"/>
      <c r="AI585" s="5" t="inlineStr"/>
      <c r="AJ585" s="5" t="inlineStr"/>
    </row>
    <row r="586">
      <c r="A586" s="5" t="inlineStr">
        <is>
          <t>b6-ilk-araba</t>
        </is>
      </c>
      <c r="B586" s="5" t="n">
        <v>3</v>
      </c>
      <c r="C586" s="6" t="inlineStr">
        <is>
          <t>Boya ölçtür</t>
        </is>
      </c>
      <c r="D586" s="5" t="inlineStr">
        <is>
          <t>Kurnazlık</t>
        </is>
      </c>
      <c r="E586" s="5" t="inlineStr">
        <is>
          <t>Kolay</t>
        </is>
      </c>
      <c r="F586" s="5" t="inlineStr"/>
      <c r="G586" s="6" t="inlineStr"/>
      <c r="H586" s="6" t="inlineStr">
        <is>
          <t>Kaput üç kat boyalı çıktı. Satıcı 'Boya değil, cila' dedi. Yirmi dakika sonra fiyattan indi.</t>
        </is>
      </c>
      <c r="I586" s="6" t="inlineStr">
        <is>
          <t>Arabanın bütün geçmişini çıkardın. Satıcı seni bir ekspertiz firmasına iş teklifiyle uğurladı.</t>
        </is>
      </c>
      <c r="J586" s="6" t="inlineStr">
        <is>
          <t>Ölçtün. Boya yok, çünkü kaportanın yarısı macun.</t>
        </is>
      </c>
      <c r="K586" s="6" t="inlineStr">
        <is>
          <t>Araba kusursuz çıktı. Yine de inanmadın, almadın. Ertesi gün iki katına satıldı.</t>
        </is>
      </c>
      <c r="L586" s="6" t="inlineStr"/>
      <c r="M586" s="5" t="inlineStr"/>
      <c r="N586" s="5" t="inlineStr"/>
      <c r="O586" s="6" t="inlineStr"/>
      <c r="P586" s="6" t="inlineStr"/>
      <c r="Q586" s="5" t="inlineStr"/>
      <c r="R586" s="5" t="inlineStr"/>
      <c r="S586" s="5" t="inlineStr">
        <is>
          <t>Kurnazlık</t>
        </is>
      </c>
      <c r="T586" s="5" t="inlineStr"/>
      <c r="U586" s="5" t="inlineStr"/>
      <c r="V586" s="5" t="inlineStr"/>
      <c r="W586" s="5" t="inlineStr"/>
      <c r="X586" s="5" t="inlineStr"/>
      <c r="Y586" s="5" t="inlineStr"/>
      <c r="Z586" s="6" t="inlineStr"/>
      <c r="AA586" s="5" t="inlineStr"/>
      <c r="AB586" s="5" t="inlineStr"/>
      <c r="AC586" s="5" t="inlineStr"/>
      <c r="AD586" s="5" t="inlineStr"/>
      <c r="AE586" s="5" t="inlineStr"/>
      <c r="AF586" s="5" t="inlineStr"/>
      <c r="AG586" s="5" t="inlineStr"/>
      <c r="AH586" s="5" t="inlineStr"/>
      <c r="AI586" s="5" t="inlineStr"/>
      <c r="AJ586" s="5" t="inlineStr"/>
    </row>
    <row r="587">
      <c r="A587" s="5" t="inlineStr">
        <is>
          <t>b6-ilk-araba</t>
        </is>
      </c>
      <c r="B587" s="5" t="n">
        <v>4</v>
      </c>
      <c r="C587" s="6" t="inlineStr">
        <is>
          <t>Kredi çek, sıfır al</t>
        </is>
      </c>
      <c r="D587" s="5" t="inlineStr">
        <is>
          <t>Pişkinlik</t>
        </is>
      </c>
      <c r="E587" s="5" t="inlineStr">
        <is>
          <t>Orta</t>
        </is>
      </c>
      <c r="F587" s="5" t="inlineStr"/>
      <c r="G587" s="6" t="inlineStr"/>
      <c r="H587" s="6" t="inlineStr">
        <is>
          <t>Sıfır araba aldın. Kokusu bir ay sürdü, kredisi altmış ay.</t>
        </is>
      </c>
      <c r="I587" s="6" t="inlineStr">
        <is>
          <t>Kampanyayla ilk üç ay taksit yok. Dördüncü ayı düşünmemeye karar verdin.</t>
        </is>
      </c>
      <c r="J587" s="6" t="inlineStr">
        <is>
          <t>Bayiden çıktığı an değeri düştü. Seninki de.</t>
        </is>
      </c>
      <c r="K587" s="6" t="inlineStr">
        <is>
          <t>İlk gün kaldırıma sürttün; çamurlukta bir karış çizik. Baban eğilip baktı: “Benim ilk arabamda da vardı.” Onunki ikinci eldi.</t>
        </is>
      </c>
      <c r="L587" s="6" t="inlineStr"/>
      <c r="M587" s="5" t="inlineStr"/>
      <c r="N587" s="5" t="inlineStr"/>
      <c r="O587" s="6" t="inlineStr"/>
      <c r="P587" s="6" t="inlineStr"/>
      <c r="Q587" s="5" t="inlineStr"/>
      <c r="R587" s="5" t="inlineStr"/>
      <c r="S587" s="5" t="inlineStr"/>
      <c r="T587" s="5" t="inlineStr"/>
      <c r="U587" s="5" t="inlineStr">
        <is>
          <t>borclu</t>
        </is>
      </c>
      <c r="V587" s="5" t="inlineStr"/>
      <c r="W587" s="5" t="inlineStr"/>
      <c r="X587" s="5" t="inlineStr"/>
      <c r="Y587" s="5" t="inlineStr"/>
      <c r="Z587" s="6" t="inlineStr"/>
      <c r="AA587" s="5" t="inlineStr"/>
      <c r="AB587" s="5" t="inlineStr"/>
      <c r="AC587" s="5" t="inlineStr"/>
      <c r="AD587" s="5" t="inlineStr"/>
      <c r="AE587" s="5" t="inlineStr"/>
      <c r="AF587" s="5" t="inlineStr"/>
      <c r="AG587" s="5" t="inlineStr"/>
      <c r="AH587" s="5" t="inlineStr"/>
      <c r="AI587" s="5" t="inlineStr"/>
      <c r="AJ587" s="5" t="inlineStr"/>
    </row>
    <row r="588">
      <c r="A588" s="5" t="inlineStr">
        <is>
          <t>b6-uzaktan-calisma</t>
        </is>
      </c>
      <c r="B588" s="5" t="n">
        <v>1</v>
      </c>
      <c r="C588" s="6" t="inlineStr">
        <is>
          <t>Düzenli rutin kur</t>
        </is>
      </c>
      <c r="D588" s="5" t="inlineStr"/>
      <c r="E588" s="5" t="inlineStr"/>
      <c r="F588" s="5" t="inlineStr">
        <is>
          <t>Dayanıklılık +1</t>
        </is>
      </c>
      <c r="G588" s="6" t="inlineStr">
        <is>
          <t>Her sabah giyinip masaya oturdun. Akşam altıda “Ben çıktım” deyip odanın kapısını kapattın; salona yürümen beş saniye sürdü.</t>
        </is>
      </c>
      <c r="H588" s="6" t="inlineStr"/>
      <c r="I588" s="6" t="inlineStr"/>
      <c r="J588" s="6" t="inlineStr"/>
      <c r="K588" s="6" t="inlineStr"/>
      <c r="L588" s="6" t="inlineStr"/>
      <c r="M588" s="5" t="inlineStr"/>
      <c r="N588" s="5" t="inlineStr"/>
      <c r="O588" s="6" t="inlineStr"/>
      <c r="P588" s="6" t="inlineStr"/>
      <c r="Q588" s="5" t="inlineStr"/>
      <c r="R588" s="5" t="inlineStr"/>
      <c r="S588" s="5" t="inlineStr"/>
      <c r="T588" s="5" t="inlineStr"/>
      <c r="U588" s="5" t="inlineStr"/>
      <c r="V588" s="5" t="inlineStr"/>
      <c r="W588" s="5" t="inlineStr"/>
      <c r="X588" s="5" t="inlineStr"/>
      <c r="Y588" s="5" t="inlineStr"/>
      <c r="Z588" s="6" t="inlineStr"/>
      <c r="AA588" s="5" t="inlineStr"/>
      <c r="AB588" s="5" t="inlineStr"/>
      <c r="AC588" s="5" t="inlineStr"/>
      <c r="AD588" s="5" t="inlineStr"/>
      <c r="AE588" s="5" t="inlineStr"/>
      <c r="AF588" s="5" t="inlineStr"/>
      <c r="AG588" s="5" t="inlineStr"/>
      <c r="AH588" s="5" t="inlineStr"/>
      <c r="AI588" s="5" t="inlineStr"/>
      <c r="AJ588" s="5" t="inlineStr"/>
    </row>
    <row r="589">
      <c r="A589" s="5" t="inlineStr">
        <is>
          <t>b6-uzaktan-calisma</t>
        </is>
      </c>
      <c r="B589" s="5" t="n">
        <v>2</v>
      </c>
      <c r="C589" s="6" t="inlineStr">
        <is>
          <t>Kamerayı kapalı tut</t>
        </is>
      </c>
      <c r="D589" s="5" t="inlineStr">
        <is>
          <t>Kurnazlık</t>
        </is>
      </c>
      <c r="E589" s="5" t="inlineStr">
        <is>
          <t>Orta</t>
        </is>
      </c>
      <c r="F589" s="5" t="inlineStr"/>
      <c r="G589" s="6" t="inlineStr"/>
      <c r="H589" s="6" t="inlineStr">
        <is>
          <t>'Bağlantım zayıf' dedin. Üç ay kimse yüzünü görmedi. Terfi alan senin sesindi.</t>
        </is>
      </c>
      <c r="I589" s="6" t="inlineStr">
        <is>
          <t>Yöneticin seni ekibin en çalışkanı sandı. Toplantı boyunca kahvaltı ediyordun.</t>
        </is>
      </c>
      <c r="J589" s="6" t="inlineStr">
        <is>
          <t>Yönetici 'Sesin çok net geliyor ama' dedi.</t>
        </is>
      </c>
      <c r="K589" s="6" t="inlineStr">
        <is>
          <t>Kameran açıktı. Ekip seni pijamayla buzdolabını açıp kavanozdan kaşıkla reçel yerken izledi. O günden beri toplantı davetlerinin altında bir not var: “Lütfen giyinik katılın.”</t>
        </is>
      </c>
      <c r="L589" s="6" t="inlineStr"/>
      <c r="M589" s="5" t="inlineStr"/>
      <c r="N589" s="5" t="inlineStr"/>
      <c r="O589" s="6" t="inlineStr"/>
      <c r="P589" s="6" t="inlineStr"/>
      <c r="Q589" s="5" t="inlineStr"/>
      <c r="R589" s="5" t="inlineStr"/>
      <c r="S589" s="5" t="inlineStr"/>
      <c r="T589" s="5" t="inlineStr"/>
      <c r="U589" s="5" t="inlineStr"/>
      <c r="V589" s="5" t="inlineStr"/>
      <c r="W589" s="5" t="inlineStr"/>
      <c r="X589" s="5" t="inlineStr"/>
      <c r="Y589" s="5" t="inlineStr"/>
      <c r="Z589" s="6" t="inlineStr"/>
      <c r="AA589" s="5" t="inlineStr"/>
      <c r="AB589" s="5" t="inlineStr"/>
      <c r="AC589" s="5" t="inlineStr"/>
      <c r="AD589" s="5" t="inlineStr"/>
      <c r="AE589" s="5" t="inlineStr"/>
      <c r="AF589" s="5" t="inlineStr"/>
      <c r="AG589" s="5" t="inlineStr"/>
      <c r="AH589" s="5" t="inlineStr"/>
      <c r="AI589" s="5" t="inlineStr"/>
      <c r="AJ589" s="5" t="inlineStr"/>
    </row>
    <row r="590">
      <c r="A590" s="5" t="inlineStr">
        <is>
          <t>b6-uzaktan-calisma</t>
        </is>
      </c>
      <c r="B590" s="5" t="n">
        <v>3</v>
      </c>
      <c r="C590" s="6" t="inlineStr">
        <is>
          <t>Sahildeki kafeden bağlan</t>
        </is>
      </c>
      <c r="D590" s="5" t="inlineStr">
        <is>
          <t>Pişkinlik</t>
        </is>
      </c>
      <c r="E590" s="5" t="inlineStr">
        <is>
          <t>Zor</t>
        </is>
      </c>
      <c r="F590" s="5" t="inlineStr"/>
      <c r="G590" s="6" t="inlineStr"/>
      <c r="H590" s="6" t="inlineStr">
        <is>
          <t>Arkanda deniz, önünde tablo. Toplantıda kimse sunuma bakmadı; herkes arkandaki dalgaya baktı. Bir sonraki toplantıya müdürün de sahilden bağlandı.</t>
        </is>
      </c>
      <c r="I590" s="6" t="inlineStr">
        <is>
          <t>Verimliliğin arttı. Şirket uzaktan çalışma yönergesine senin fotoğrafını koydu.</t>
        </is>
      </c>
      <c r="J590" s="6" t="inlineStr">
        <is>
          <t>Rüzgâr sesinden başka kimse bir şey duymadı.</t>
        </is>
      </c>
      <c r="K590" s="6" t="inlineStr">
        <is>
          <t>Bir martı tostunu kaptı. Kamera açıktı. Video şirketin yıl sonu sunumunda.</t>
        </is>
      </c>
      <c r="L590" s="6" t="inlineStr"/>
      <c r="M590" s="5" t="inlineStr"/>
      <c r="N590" s="5" t="inlineStr"/>
      <c r="O590" s="6" t="inlineStr"/>
      <c r="P590" s="6" t="inlineStr"/>
      <c r="Q590" s="5" t="inlineStr"/>
      <c r="R590" s="5" t="inlineStr"/>
      <c r="S590" s="5" t="inlineStr"/>
      <c r="T590" s="5" t="inlineStr"/>
      <c r="U590" s="5" t="inlineStr"/>
      <c r="V590" s="5" t="inlineStr"/>
      <c r="W590" s="5" t="inlineStr"/>
      <c r="X590" s="5" t="inlineStr"/>
      <c r="Y590" s="5" t="inlineStr"/>
      <c r="Z590" s="6" t="inlineStr"/>
      <c r="AA590" s="5" t="inlineStr"/>
      <c r="AB590" s="5" t="inlineStr"/>
      <c r="AC590" s="5" t="inlineStr"/>
      <c r="AD590" s="5" t="inlineStr"/>
      <c r="AE590" s="5" t="inlineStr"/>
      <c r="AF590" s="5" t="inlineStr"/>
      <c r="AG590" s="5" t="inlineStr"/>
      <c r="AH590" s="5" t="inlineStr"/>
      <c r="AI590" s="5" t="inlineStr"/>
      <c r="AJ590" s="5" t="inlineStr"/>
    </row>
    <row r="591">
      <c r="A591" s="5" t="inlineStr">
        <is>
          <t>mb-kamera-kapali</t>
        </is>
      </c>
      <c r="B591" s="5" t="n">
        <v>1</v>
      </c>
      <c r="C591" s="6" t="inlineStr">
        <is>
          <t>Kamerayı aç</t>
        </is>
      </c>
      <c r="D591" s="5" t="inlineStr"/>
      <c r="E591" s="5" t="inlineStr"/>
      <c r="F591" s="5" t="inlineStr">
        <is>
          <t>Cesaret +1</t>
        </is>
      </c>
      <c r="G591" s="6" t="inlineStr">
        <is>
          <t>Kamerayı açtın: üstte gömlek, altta pijama. Toplantı boyunca hiç kalkmadın. Yöneticin sonunda “Bugün çok derli toplusun” dedi; kalkmadığın için.</t>
        </is>
      </c>
      <c r="H591" s="6" t="inlineStr"/>
      <c r="I591" s="6" t="inlineStr"/>
      <c r="J591" s="6" t="inlineStr"/>
      <c r="K591" s="6" t="inlineStr"/>
      <c r="L591" s="6" t="inlineStr"/>
      <c r="M591" s="5" t="inlineStr"/>
      <c r="N591" s="5" t="inlineStr"/>
      <c r="O591" s="6" t="inlineStr"/>
      <c r="P591" s="6" t="inlineStr"/>
      <c r="Q591" s="5" t="inlineStr"/>
      <c r="R591" s="5" t="inlineStr"/>
      <c r="S591" s="5" t="inlineStr"/>
      <c r="T591" s="5" t="inlineStr"/>
      <c r="U591" s="5" t="inlineStr"/>
      <c r="V591" s="5" t="inlineStr"/>
      <c r="W591" s="5" t="inlineStr"/>
      <c r="X591" s="5" t="inlineStr"/>
      <c r="Y591" s="5" t="inlineStr"/>
      <c r="Z591" s="6" t="inlineStr"/>
      <c r="AA591" s="5" t="inlineStr"/>
      <c r="AB591" s="5" t="inlineStr"/>
      <c r="AC591" s="5" t="inlineStr"/>
      <c r="AD591" s="5" t="inlineStr"/>
      <c r="AE591" s="5" t="inlineStr"/>
      <c r="AF591" s="5" t="inlineStr"/>
      <c r="AG591" s="5" t="inlineStr"/>
      <c r="AH591" s="5" t="inlineStr"/>
      <c r="AI591" s="5" t="inlineStr"/>
      <c r="AJ591" s="5" t="inlineStr"/>
    </row>
    <row r="592">
      <c r="A592" s="5" t="inlineStr">
        <is>
          <t>mb-kamera-kapali</t>
        </is>
      </c>
      <c r="B592" s="5" t="n">
        <v>2</v>
      </c>
      <c r="C592" s="6" t="inlineStr">
        <is>
          <t>Mikrofonu aç, cevap ver</t>
        </is>
      </c>
      <c r="D592" s="5" t="inlineStr">
        <is>
          <t>Akıl</t>
        </is>
      </c>
      <c r="E592" s="5" t="inlineStr">
        <is>
          <t>Orta</t>
        </is>
      </c>
      <c r="F592" s="5" t="inlineStr"/>
      <c r="G592" s="6" t="inlineStr"/>
      <c r="H592" s="6" t="inlineStr">
        <is>
          <t>Soruyu duymadın ama 'Katılıyorum, ölçeklenmeli' dedin. Herkes katıldı.</t>
        </is>
      </c>
      <c r="I592" s="6" t="inlineStr">
        <is>
          <t>Duymadığın soruya öyle genel bir cevap verdin ki toplantı notlarına 'vizyon' olarak geçti.</t>
        </is>
      </c>
      <c r="J592" s="6" t="inlineStr">
        <is>
          <t>Cevap verdin; soru aynı adı taşıyan başka birineymiş.</t>
        </is>
      </c>
      <c r="K592" s="6" t="inlineStr">
        <is>
          <t>Mikrofonu açtın. Tam o an ziyarete gelen annen mutfaktan seslendi: “Kuzum, yemek soğuyor!” Şirkette adın artık “Kuzum”.</t>
        </is>
      </c>
      <c r="L592" s="6" t="inlineStr"/>
      <c r="M592" s="5" t="inlineStr"/>
      <c r="N592" s="5" t="inlineStr"/>
      <c r="O592" s="6" t="inlineStr"/>
      <c r="P592" s="6" t="inlineStr"/>
      <c r="Q592" s="5" t="inlineStr"/>
      <c r="R592" s="5" t="inlineStr"/>
      <c r="S592" s="5" t="inlineStr"/>
      <c r="T592" s="5" t="inlineStr"/>
      <c r="U592" s="5" t="inlineStr"/>
      <c r="V592" s="5" t="inlineStr"/>
      <c r="W592" s="5" t="inlineStr"/>
      <c r="X592" s="5" t="inlineStr"/>
      <c r="Y592" s="5" t="inlineStr"/>
      <c r="Z592" s="6" t="inlineStr"/>
      <c r="AA592" s="5" t="inlineStr"/>
      <c r="AB592" s="5" t="inlineStr"/>
      <c r="AC592" s="5" t="inlineStr"/>
      <c r="AD592" s="5" t="inlineStr"/>
      <c r="AE592" s="5" t="inlineStr"/>
      <c r="AF592" s="5" t="inlineStr"/>
      <c r="AG592" s="5" t="inlineStr"/>
      <c r="AH592" s="5" t="inlineStr"/>
      <c r="AI592" s="5" t="inlineStr">
        <is>
          <t>Kuzum</t>
        </is>
      </c>
      <c r="AJ592" s="5" t="inlineStr"/>
    </row>
    <row r="593">
      <c r="A593" s="5" t="inlineStr">
        <is>
          <t>mb-kamera-kapali</t>
        </is>
      </c>
      <c r="B593" s="5" t="n">
        <v>3</v>
      </c>
      <c r="C593" s="6" t="inlineStr">
        <is>
          <t>'Sesiniz gidip geliyor' de</t>
        </is>
      </c>
      <c r="D593" s="5" t="inlineStr">
        <is>
          <t>Pişkinlik</t>
        </is>
      </c>
      <c r="E593" s="5" t="inlineStr">
        <is>
          <t>Zor</t>
        </is>
      </c>
      <c r="F593" s="5" t="inlineStr"/>
      <c r="G593" s="6" t="inlineStr"/>
      <c r="H593" s="6" t="inlineStr">
        <is>
          <t>Bağlantın “düzelene” kadar toplantı bitti. Akşam yöneticin yazdı: “Senin internet hep toplantıda mı bozuluyor?” Cevap yazacaktın; bağlantın koptu.</t>
        </is>
      </c>
      <c r="I593" s="6" t="inlineStr">
        <is>
          <t>Senin sesin gidip geldi, yöneticinin bağlantısı gerçekten koptu. Toplantı iptal.</t>
        </is>
      </c>
      <c r="J593" s="6" t="inlineStr">
        <is>
          <t>'Sesiniz gidip geliyor' dedin. Çok net duyuldu.</t>
        </is>
      </c>
      <c r="K593" s="6" t="inlineStr">
        <is>
          <t>Sesini kesik kesik verdin: “Se… ni… duy…” Yönetici “Ekranını paylaşıyorsun” dedi. Ekranda “kopuk ses efekti” diye bir video açıktı.</t>
        </is>
      </c>
      <c r="L593" s="6" t="inlineStr"/>
      <c r="M593" s="5" t="inlineStr"/>
      <c r="N593" s="5" t="inlineStr"/>
      <c r="O593" s="6" t="inlineStr"/>
      <c r="P593" s="6" t="inlineStr"/>
      <c r="Q593" s="5" t="inlineStr"/>
      <c r="R593" s="5" t="inlineStr"/>
      <c r="S593" s="5" t="inlineStr">
        <is>
          <t>Pişkinlik</t>
        </is>
      </c>
      <c r="T593" s="5" t="inlineStr">
        <is>
          <t>Sessize Alma Ustası</t>
        </is>
      </c>
      <c r="U593" s="5" t="inlineStr"/>
      <c r="V593" s="5" t="inlineStr"/>
      <c r="W593" s="5" t="inlineStr"/>
      <c r="X593" s="5" t="inlineStr"/>
      <c r="Y593" s="5" t="inlineStr"/>
      <c r="Z593" s="6" t="inlineStr"/>
      <c r="AA593" s="5" t="inlineStr"/>
      <c r="AB593" s="5" t="inlineStr"/>
      <c r="AC593" s="5" t="inlineStr"/>
      <c r="AD593" s="5" t="inlineStr"/>
      <c r="AE593" s="5" t="inlineStr"/>
      <c r="AF593" s="5" t="inlineStr"/>
      <c r="AG593" s="5" t="inlineStr"/>
      <c r="AH593" s="5" t="inlineStr"/>
      <c r="AI593" s="5" t="inlineStr"/>
      <c r="AJ593" s="5" t="inlineStr"/>
    </row>
    <row r="594">
      <c r="A594" s="5" t="inlineStr">
        <is>
          <t>mb-kamera-kapali</t>
        </is>
      </c>
      <c r="B594" s="5" t="n">
        <v>4</v>
      </c>
      <c r="C594" s="6" t="inlineStr">
        <is>
          <t>Yapay avatarını toplantıya gönder</t>
        </is>
      </c>
      <c r="D594" s="5" t="inlineStr">
        <is>
          <t>Kurnazlık</t>
        </is>
      </c>
      <c r="E594" s="5" t="inlineStr">
        <is>
          <t>Orta</t>
        </is>
      </c>
      <c r="F594" s="5" t="inlineStr"/>
      <c r="G594" s="6" t="inlineStr"/>
      <c r="H594" s="6" t="inlineStr">
        <is>
          <t>Avatarın başıyla onayladı, sen kahvaltı ettin. Verimlilik rekor.</t>
        </is>
      </c>
      <c r="I594" s="6" t="inlineStr">
        <is>
          <t>Avatarın o kadar iyi katıldı ki terfi listesine girdi. Sen giremedin.</t>
        </is>
      </c>
      <c r="J594" s="6" t="inlineStr">
        <is>
          <t>Avatar donunca yöneticin 'İyi misin?' diye sordu. Avatara.</t>
        </is>
      </c>
      <c r="K594" s="6" t="inlineStr">
        <is>
          <t>Avatarın bir soruya 'Ben bir yapay zekâyım' diye cevap verdi. Dürüstlükte seni geçti.</t>
        </is>
      </c>
      <c r="L594" s="6" t="inlineStr"/>
      <c r="M594" s="5" t="inlineStr"/>
      <c r="N594" s="5" t="inlineStr"/>
      <c r="O594" s="6" t="inlineStr"/>
      <c r="P594" s="6" t="inlineStr"/>
      <c r="Q594" s="5" t="inlineStr">
        <is>
          <t>Şifreyi Bilen</t>
        </is>
      </c>
      <c r="R594" s="5" t="inlineStr"/>
      <c r="S594" s="5" t="inlineStr"/>
      <c r="T594" s="5" t="inlineStr"/>
      <c r="U594" s="5" t="inlineStr"/>
      <c r="V594" s="5" t="inlineStr"/>
      <c r="W594" s="5" t="inlineStr"/>
      <c r="X594" s="5" t="inlineStr"/>
      <c r="Y594" s="5" t="inlineStr"/>
      <c r="Z594" s="6" t="inlineStr"/>
      <c r="AA594" s="5" t="inlineStr"/>
      <c r="AB594" s="5" t="inlineStr"/>
      <c r="AC594" s="5" t="inlineStr"/>
      <c r="AD594" s="5" t="inlineStr"/>
      <c r="AE594" s="5" t="inlineStr"/>
      <c r="AF594" s="5" t="inlineStr"/>
      <c r="AG594" s="5" t="inlineStr"/>
      <c r="AH594" s="5" t="inlineStr"/>
      <c r="AI594" s="5" t="inlineStr"/>
      <c r="AJ594" s="5" t="inlineStr"/>
    </row>
    <row r="595">
      <c r="A595" s="5" t="inlineStr">
        <is>
          <t>me-karsi-dukkan</t>
        </is>
      </c>
      <c r="B595" s="5" t="n">
        <v>1</v>
      </c>
      <c r="C595" s="6" t="inlineStr">
        <is>
          <t>Lokumla “Kolay gelsin” demeye git</t>
        </is>
      </c>
      <c r="D595" s="5" t="inlineStr"/>
      <c r="E595" s="5" t="inlineStr"/>
      <c r="F595" s="5" t="inlineStr">
        <is>
          <t>İtibar +1, Sosyal Radar +1</t>
        </is>
      </c>
      <c r="G595" s="6" t="inlineStr">
        <is>
          <t>Bir kutu lokumla karşıya geçtin: “Kolay gelsin.” “Size de” dediler. Çaylar içildi; iki taraf da öbürüne hiç kolay gelmemesini diliyordu.</t>
        </is>
      </c>
      <c r="H595" s="6" t="inlineStr"/>
      <c r="I595" s="6" t="inlineStr"/>
      <c r="J595" s="6" t="inlineStr"/>
      <c r="K595" s="6" t="inlineStr"/>
      <c r="L595" s="6" t="inlineStr"/>
      <c r="M595" s="5" t="inlineStr"/>
      <c r="N595" s="5" t="inlineStr"/>
      <c r="O595" s="6" t="inlineStr"/>
      <c r="P595" s="6" t="inlineStr"/>
      <c r="Q595" s="5" t="inlineStr"/>
      <c r="R595" s="5" t="inlineStr"/>
      <c r="S595" s="5" t="inlineStr"/>
      <c r="T595" s="5" t="inlineStr"/>
      <c r="U595" s="5" t="inlineStr"/>
      <c r="V595" s="5" t="inlineStr"/>
      <c r="W595" s="5" t="inlineStr"/>
      <c r="X595" s="5" t="inlineStr"/>
      <c r="Y595" s="5" t="inlineStr"/>
      <c r="Z595" s="6" t="inlineStr"/>
      <c r="AA595" s="5" t="inlineStr"/>
      <c r="AB595" s="5" t="inlineStr"/>
      <c r="AC595" s="5" t="inlineStr"/>
      <c r="AD595" s="5" t="inlineStr"/>
      <c r="AE595" s="5" t="inlineStr"/>
      <c r="AF595" s="5" t="inlineStr"/>
      <c r="AG595" s="5" t="inlineStr"/>
      <c r="AH595" s="5" t="inlineStr"/>
      <c r="AI595" s="5" t="inlineStr"/>
      <c r="AJ595" s="5" t="inlineStr"/>
    </row>
    <row r="596">
      <c r="A596" s="5" t="inlineStr">
        <is>
          <t>me-karsi-dukkan</t>
        </is>
      </c>
      <c r="B596" s="5" t="n">
        <v>2</v>
      </c>
      <c r="C596" s="6" t="inlineStr">
        <is>
          <t>Toptancıyla pazarlık et</t>
        </is>
      </c>
      <c r="D596" s="5" t="inlineStr">
        <is>
          <t>Çene</t>
        </is>
      </c>
      <c r="E596" s="5" t="inlineStr">
        <is>
          <t>Orta</t>
        </is>
      </c>
      <c r="F596" s="5" t="inlineStr"/>
      <c r="G596" s="6" t="inlineStr"/>
      <c r="H596" s="6" t="inlineStr">
        <is>
          <t>Toptancıdan iyi fiyat kopardın. Etiketleri karşı dükkânın bir tık altına çektin.</t>
        </is>
      </c>
      <c r="I596" s="6" t="inlineStr">
        <is>
          <t>Toptancı seni en eski müşterisi gibi karşıladı; aynı fiyatı karşıya vermedi. Karşı dükkânın balonları ertesi sabah sönmüştü, tabelası bir ay sonra indi.</t>
        </is>
      </c>
      <c r="J596" s="6" t="inlineStr">
        <is>
          <t>Toptancı 'Bu fiyata ben de senden alırım' dedi. Pazarlık çay faslında bitti.</t>
        </is>
      </c>
      <c r="K596" s="6" t="inlineStr">
        <is>
          <t>Fazla ısrar ettin; toptancı karşı dükkânı 'daha makul esnaf' olarak kaydetti. Artık onlar senden ucuz.</t>
        </is>
      </c>
      <c r="L596" s="6" t="inlineStr">
        <is>
          <t>Fiyat biraz düştü. Etiketi değiştirmeye yetti, kâra yetmedi.</t>
        </is>
      </c>
      <c r="M596" s="5" t="inlineStr">
        <is>
          <t>duel</t>
        </is>
      </c>
      <c r="N596" s="5" t="inlineStr">
        <is>
          <t>Toptancı Pazarlığı</t>
        </is>
      </c>
      <c r="O596" s="6" t="inlineStr">
        <is>
          <t>Karşındakinin sabrı bitmeden en iyi cevabı seç.</t>
        </is>
      </c>
      <c r="P596" s="6" t="inlineStr">
        <is>
          <t>{"who": "Toptancı", "item": "toptan mal", "mode": "buy"}</t>
        </is>
      </c>
      <c r="Q596" s="5" t="inlineStr"/>
      <c r="R596" s="5" t="inlineStr"/>
      <c r="S596" s="5" t="inlineStr"/>
      <c r="T596" s="5" t="inlineStr"/>
      <c r="U596" s="5" t="inlineStr"/>
      <c r="V596" s="5" t="inlineStr"/>
      <c r="W596" s="5" t="inlineStr">
        <is>
          <t>esnaf-komsu-rakip</t>
        </is>
      </c>
      <c r="X596" s="5" t="inlineStr"/>
      <c r="Y596" s="5" t="inlineStr"/>
      <c r="Z596" s="6" t="inlineStr"/>
      <c r="AA596" s="5" t="inlineStr"/>
      <c r="AB596" s="5" t="inlineStr"/>
      <c r="AC596" s="5" t="inlineStr"/>
      <c r="AD596" s="5" t="inlineStr"/>
      <c r="AE596" s="5" t="inlineStr"/>
      <c r="AF596" s="5" t="inlineStr"/>
      <c r="AG596" s="5" t="inlineStr"/>
      <c r="AH596" s="5" t="inlineStr"/>
      <c r="AI596" s="5" t="inlineStr"/>
      <c r="AJ596" s="5" t="inlineStr"/>
    </row>
    <row r="597">
      <c r="A597" s="5" t="inlineStr">
        <is>
          <t>me-karsi-dukkan</t>
        </is>
      </c>
      <c r="B597" s="5" t="n">
        <v>3</v>
      </c>
      <c r="C597" s="6" t="inlineStr">
        <is>
          <t>Fiyat savaşı başlat</t>
        </is>
      </c>
      <c r="D597" s="5" t="inlineStr">
        <is>
          <t>Cesaret</t>
        </is>
      </c>
      <c r="E597" s="5" t="inlineStr">
        <is>
          <t>Zor</t>
        </is>
      </c>
      <c r="F597" s="5" t="inlineStr"/>
      <c r="G597" s="6" t="inlineStr"/>
      <c r="H597" s="6" t="inlineStr">
        <is>
          <t>Etiketleri kırdın, karşı dükkân balonlarını topladı. Tabelası bir hafta içinde küçüldü.</t>
        </is>
      </c>
      <c r="I597" s="6" t="inlineStr">
        <is>
          <t>Karşı dükkân ortaklık teklif etti. Kabul etmedin; tabelasını ucuza satın aldın.</t>
        </is>
      </c>
      <c r="J597" s="6" t="inlineStr">
        <is>
          <t>Savaş başladı. Üç ay sonra iki dükkân da zararda, mahalle ise hayatından çok memnun.</t>
        </is>
      </c>
      <c r="K597" s="6" t="inlineStr">
        <is>
          <t>Fiyatı öyle kırdın ki karşı dükkân malını toptancıdan değil, senden almaya başladı. Zararına.</t>
        </is>
      </c>
      <c r="L597" s="6" t="inlineStr"/>
      <c r="M597" s="5" t="inlineStr"/>
      <c r="N597" s="5" t="inlineStr"/>
      <c r="O597" s="6" t="inlineStr"/>
      <c r="P597" s="6" t="inlineStr"/>
      <c r="Q597" s="5" t="inlineStr"/>
      <c r="R597" s="5" t="inlineStr"/>
      <c r="S597" s="5" t="inlineStr"/>
      <c r="T597" s="5" t="inlineStr">
        <is>
          <t>Pazarlık Duayeni</t>
        </is>
      </c>
      <c r="U597" s="5" t="inlineStr">
        <is>
          <t>esnaf-komsu-rakip</t>
        </is>
      </c>
      <c r="V597" s="5" t="inlineStr"/>
      <c r="W597" s="5" t="inlineStr"/>
      <c r="X597" s="5" t="inlineStr"/>
      <c r="Y597" s="5" t="inlineStr"/>
      <c r="Z597" s="6" t="inlineStr"/>
      <c r="AA597" s="5" t="inlineStr"/>
      <c r="AB597" s="5" t="inlineStr"/>
      <c r="AC597" s="5" t="inlineStr"/>
      <c r="AD597" s="5" t="inlineStr"/>
      <c r="AE597" s="5" t="inlineStr"/>
      <c r="AF597" s="5" t="inlineStr"/>
      <c r="AG597" s="5" t="inlineStr"/>
      <c r="AH597" s="5" t="inlineStr"/>
      <c r="AI597" s="5" t="inlineStr"/>
      <c r="AJ597" s="5" t="inlineStr"/>
    </row>
    <row r="598">
      <c r="A598" s="5" t="inlineStr">
        <is>
          <t>me-karsi-dukkan</t>
        </is>
      </c>
      <c r="B598" s="5" t="n">
        <v>4</v>
      </c>
      <c r="C598" s="6" t="inlineStr">
        <is>
          <t>Ortak kampanya öner</t>
        </is>
      </c>
      <c r="D598" s="5" t="inlineStr">
        <is>
          <t>Sosyal Radar</t>
        </is>
      </c>
      <c r="E598" s="5" t="inlineStr">
        <is>
          <t>Kolay</t>
        </is>
      </c>
      <c r="F598" s="5" t="inlineStr"/>
      <c r="G598" s="6" t="inlineStr"/>
      <c r="H598" s="6" t="inlineStr">
        <is>
          <t>'Birinden alana öbüründe indirim' kampanyası kurdun. Sokak bir alışveriş rotasına dönüştü.</t>
        </is>
      </c>
      <c r="I598" s="6" t="inlineStr">
        <is>
          <t>Kampanya tuttu; sokağın girişine 'Çarşının en uyumlu köşesi' tabelası asıldı. Tabelayı kimin astığı bilinmiyor. Sendin.</t>
        </is>
      </c>
      <c r="J598" s="6" t="inlineStr">
        <is>
          <t>Fikrini çay ocağında anlattın; beğendiler. Ertesi hafta adını değiştirip tek başlarına uyguladılar.</t>
        </is>
      </c>
      <c r="K598" s="6" t="inlineStr">
        <is>
          <t>Kampanyayı başlattın; bütün indirimi sen karşıladın, müşteriyi karşı dükkân aldı. Akşam karşının sahibi sana bir kutu lokum getirdi: “Kolay gelsin komşu.” Lokum senin raftan alınmıştı; indirimli.</t>
        </is>
      </c>
      <c r="L598" s="6" t="inlineStr"/>
      <c r="M598" s="5" t="inlineStr"/>
      <c r="N598" s="5" t="inlineStr"/>
      <c r="O598" s="6" t="inlineStr"/>
      <c r="P598" s="6" t="inlineStr"/>
      <c r="Q598" s="5" t="inlineStr">
        <is>
          <t>Sofra Müteahhidi</t>
        </is>
      </c>
      <c r="R598" s="5" t="inlineStr"/>
      <c r="S598" s="5" t="inlineStr"/>
      <c r="T598" s="5" t="inlineStr"/>
      <c r="U598" s="5" t="inlineStr"/>
      <c r="V598" s="5" t="inlineStr"/>
      <c r="W598" s="5" t="inlineStr">
        <is>
          <t>esnaf-komsu-rakip</t>
        </is>
      </c>
      <c r="X598" s="5" t="inlineStr"/>
      <c r="Y598" s="5" t="inlineStr"/>
      <c r="Z598" s="6" t="inlineStr"/>
      <c r="AA598" s="5" t="inlineStr"/>
      <c r="AB598" s="5" t="inlineStr"/>
      <c r="AC598" s="5" t="inlineStr"/>
      <c r="AD598" s="5" t="inlineStr"/>
      <c r="AE598" s="5" t="inlineStr"/>
      <c r="AF598" s="5" t="inlineStr"/>
      <c r="AG598" s="5" t="inlineStr"/>
      <c r="AH598" s="5" t="inlineStr"/>
      <c r="AI598" s="5" t="inlineStr"/>
      <c r="AJ598" s="5" t="inlineStr"/>
    </row>
    <row r="599">
      <c r="A599" s="5" t="inlineStr">
        <is>
          <t>mm-saat-1658</t>
        </is>
      </c>
      <c r="B599" s="5" t="n">
        <v>1</v>
      </c>
      <c r="C599" s="6" t="inlineStr">
        <is>
          <t>'Yarın gelin' de</t>
        </is>
      </c>
      <c r="D599" s="5" t="inlineStr"/>
      <c r="E599" s="5" t="inlineStr"/>
      <c r="F599" s="5" t="inlineStr">
        <is>
          <t>Dayanıklılık +1, Pişkinlik +1</t>
        </is>
      </c>
      <c r="G599" s="6" t="inlineStr">
        <is>
          <t>Kurumun en eski cümlesini ilk kez sen kurdun. Ağzında tuhaf bir tat bıraktı: kıdem.</t>
        </is>
      </c>
      <c r="H599" s="6" t="inlineStr"/>
      <c r="I599" s="6" t="inlineStr"/>
      <c r="J599" s="6" t="inlineStr"/>
      <c r="K599" s="6" t="inlineStr"/>
      <c r="L599" s="6" t="inlineStr"/>
      <c r="M599" s="5" t="inlineStr"/>
      <c r="N599" s="5" t="inlineStr"/>
      <c r="O599" s="6" t="inlineStr"/>
      <c r="P599" s="6" t="inlineStr"/>
      <c r="Q599" s="5" t="inlineStr"/>
      <c r="R599" s="5" t="inlineStr"/>
      <c r="S599" s="5" t="inlineStr"/>
      <c r="T599" s="5" t="inlineStr"/>
      <c r="U599" s="5" t="inlineStr"/>
      <c r="V599" s="5" t="inlineStr"/>
      <c r="W599" s="5" t="inlineStr"/>
      <c r="X599" s="5" t="inlineStr"/>
      <c r="Y599" s="5" t="inlineStr"/>
      <c r="Z599" s="6" t="inlineStr"/>
      <c r="AA599" s="5" t="inlineStr"/>
      <c r="AB599" s="5" t="inlineStr"/>
      <c r="AC599" s="5" t="inlineStr"/>
      <c r="AD599" s="5" t="inlineStr"/>
      <c r="AE599" s="5" t="inlineStr"/>
      <c r="AF599" s="5" t="inlineStr"/>
      <c r="AG599" s="5" t="inlineStr"/>
      <c r="AH599" s="5" t="inlineStr"/>
      <c r="AI599" s="5" t="inlineStr"/>
      <c r="AJ599" s="5" t="inlineStr"/>
    </row>
    <row r="600">
      <c r="A600" s="5" t="inlineStr">
        <is>
          <t>mm-saat-1658</t>
        </is>
      </c>
      <c r="B600" s="5" t="n">
        <v>2</v>
      </c>
      <c r="C600" s="6" t="inlineStr">
        <is>
          <t>17.00'den önce kaşeyi bas</t>
        </is>
      </c>
      <c r="D600" s="5" t="inlineStr">
        <is>
          <t>Akıl</t>
        </is>
      </c>
      <c r="E600" s="5" t="inlineStr">
        <is>
          <t>Orta</t>
        </is>
      </c>
      <c r="F600" s="5" t="inlineStr"/>
      <c r="G600" s="6" t="inlineStr"/>
      <c r="H600" s="6" t="inlineStr">
        <is>
          <t>16.59'da kaşeyi bastın. Vatandaş teşekkür etti, sen de otobüse yetiştin.</t>
        </is>
      </c>
      <c r="I600" s="6" t="inlineStr">
        <is>
          <t>16.59.59'da son kaşe. Vatandaş, kapı görevlisi ve temizlik ekibi seni alkışladı.</t>
        </is>
      </c>
      <c r="J600" s="6" t="inlineStr">
        <is>
          <t>Kaşe 17.00'de indi. Belge bir dakika geç tarihli; vatandaş yarın yeniden gelecek.</t>
        </is>
      </c>
      <c r="K600" s="6" t="inlineStr">
        <is>
          <t>Kaşeyi masaya bastın, dosyaya değil. Masan artık resmen 'Onaylanmıştır'.</t>
        </is>
      </c>
      <c r="L600" s="6" t="inlineStr">
        <is>
          <t>Kaşe bastın, imza yarım kaldı. Vatandaş yarın gelip imzayı tamamlatacak.</t>
        </is>
      </c>
      <c r="M600" s="5" t="inlineStr">
        <is>
          <t>timing</t>
        </is>
      </c>
      <c r="N600" s="5" t="inlineStr">
        <is>
          <t>16.59'da Kaşe</t>
        </is>
      </c>
      <c r="O600" s="6" t="inlineStr">
        <is>
          <t>Saat 17.00 olmadan kaşeyi bas. Bir saniye geç kalırsan işlem mesai dışı sayılır.</t>
        </is>
      </c>
      <c r="P600" s="6" t="inlineStr"/>
      <c r="Q600" s="5" t="inlineStr"/>
      <c r="R600" s="5" t="inlineStr"/>
      <c r="S600" s="5" t="inlineStr"/>
      <c r="T600" s="5" t="inlineStr"/>
      <c r="U600" s="5" t="inlineStr"/>
      <c r="V600" s="5" t="inlineStr"/>
      <c r="W600" s="5" t="inlineStr"/>
      <c r="X600" s="5" t="inlineStr"/>
      <c r="Y600" s="5" t="inlineStr"/>
      <c r="Z600" s="6" t="inlineStr"/>
      <c r="AA600" s="5" t="inlineStr"/>
      <c r="AB600" s="5" t="inlineStr"/>
      <c r="AC600" s="5" t="inlineStr"/>
      <c r="AD600" s="5" t="inlineStr"/>
      <c r="AE600" s="5" t="inlineStr"/>
      <c r="AF600" s="5" t="inlineStr"/>
      <c r="AG600" s="5" t="inlineStr"/>
      <c r="AH600" s="5" t="inlineStr"/>
      <c r="AI600" s="5" t="inlineStr"/>
      <c r="AJ600" s="5" t="inlineStr"/>
    </row>
    <row r="601">
      <c r="A601" s="5" t="inlineStr">
        <is>
          <t>mm-saat-1658</t>
        </is>
      </c>
      <c r="B601" s="5" t="n">
        <v>3</v>
      </c>
      <c r="C601" s="6" t="inlineStr">
        <is>
          <t>Yedi imzanın haritasını çıkar</t>
        </is>
      </c>
      <c r="D601" s="5" t="inlineStr">
        <is>
          <t>Çene</t>
        </is>
      </c>
      <c r="E601" s="5" t="inlineStr">
        <is>
          <t>Kolay</t>
        </is>
      </c>
      <c r="F601" s="5" t="inlineStr"/>
      <c r="G601" s="6" t="inlineStr"/>
      <c r="H601" s="6" t="inlineStr">
        <is>
          <t>Listeyi verdin. Vatandaş yarın yedi imzayla, tek seferde gelecek.</t>
        </is>
      </c>
      <c r="I601" s="6" t="inlineStr">
        <is>
          <t>Yedi imzanın hangi masalarda toplanacağını çizdin. Harita fotokopiyle çoğaltılıp bütün koridora asıldı.</t>
        </is>
      </c>
      <c r="J601" s="6" t="inlineStr">
        <is>
          <t>Vatandaş 'Ama sadece bir imza' dedi. Yedi kez.</t>
        </is>
      </c>
      <c r="K601" s="6" t="inlineStr">
        <is>
          <t>Vatandaş şefe gidip 'Bu memur beni yedi imzayla korkuttu' dedi. Şimdi senin dosyanda bir imza eksik.</t>
        </is>
      </c>
      <c r="L601" s="6" t="inlineStr"/>
      <c r="M601" s="5" t="inlineStr"/>
      <c r="N601" s="5" t="inlineStr"/>
      <c r="O601" s="6" t="inlineStr"/>
      <c r="P601" s="6" t="inlineStr"/>
      <c r="Q601" s="5" t="inlineStr"/>
      <c r="R601" s="5" t="inlineStr"/>
      <c r="S601" s="5" t="inlineStr">
        <is>
          <t>Sosyal Radar</t>
        </is>
      </c>
      <c r="T601" s="5" t="inlineStr"/>
      <c r="U601" s="5" t="inlineStr"/>
      <c r="V601" s="5" t="inlineStr"/>
      <c r="W601" s="5" t="inlineStr"/>
      <c r="X601" s="5" t="inlineStr"/>
      <c r="Y601" s="5" t="inlineStr"/>
      <c r="Z601" s="6" t="inlineStr"/>
      <c r="AA601" s="5" t="inlineStr"/>
      <c r="AB601" s="5" t="inlineStr"/>
      <c r="AC601" s="5" t="inlineStr"/>
      <c r="AD601" s="5" t="inlineStr"/>
      <c r="AE601" s="5" t="inlineStr"/>
      <c r="AF601" s="5" t="inlineStr"/>
      <c r="AG601" s="5" t="inlineStr"/>
      <c r="AH601" s="5" t="inlineStr"/>
      <c r="AI601" s="5" t="inlineStr"/>
      <c r="AJ601" s="5" t="inlineStr"/>
    </row>
    <row r="602">
      <c r="A602" s="5" t="inlineStr">
        <is>
          <t>mm-saat-1658</t>
        </is>
      </c>
      <c r="B602" s="5" t="n">
        <v>4</v>
      </c>
      <c r="C602" s="6" t="inlineStr">
        <is>
          <t>Mesaiyi uzat</t>
        </is>
      </c>
      <c r="D602" s="5" t="inlineStr"/>
      <c r="E602" s="5" t="inlineStr"/>
      <c r="F602" s="5" t="inlineStr">
        <is>
          <t>İtibar +1</t>
        </is>
      </c>
      <c r="G602" s="6" t="inlineStr">
        <is>
          <t>Yarım saat fazla kaldın. Kayıtlara geçmedi; vatandaşın aile grubuna 'Böyle memur mu olur' diye geçti. İyi anlamda.</t>
        </is>
      </c>
      <c r="H602" s="6" t="inlineStr"/>
      <c r="I602" s="6" t="inlineStr"/>
      <c r="J602" s="6" t="inlineStr"/>
      <c r="K602" s="6" t="inlineStr"/>
      <c r="L602" s="6" t="inlineStr"/>
      <c r="M602" s="5" t="inlineStr"/>
      <c r="N602" s="5" t="inlineStr"/>
      <c r="O602" s="6" t="inlineStr"/>
      <c r="P602" s="6" t="inlineStr"/>
      <c r="Q602" s="5" t="inlineStr"/>
      <c r="R602" s="5" t="inlineStr"/>
      <c r="S602" s="5" t="inlineStr"/>
      <c r="T602" s="5" t="inlineStr"/>
      <c r="U602" s="5" t="inlineStr"/>
      <c r="V602" s="5" t="inlineStr"/>
      <c r="W602" s="5" t="inlineStr"/>
      <c r="X602" s="5" t="inlineStr"/>
      <c r="Y602" s="5" t="inlineStr"/>
      <c r="Z602" s="6" t="inlineStr"/>
      <c r="AA602" s="5" t="inlineStr"/>
      <c r="AB602" s="5" t="inlineStr"/>
      <c r="AC602" s="5" t="inlineStr"/>
      <c r="AD602" s="5" t="inlineStr"/>
      <c r="AE602" s="5" t="inlineStr"/>
      <c r="AF602" s="5" t="inlineStr"/>
      <c r="AG602" s="5" t="inlineStr"/>
      <c r="AH602" s="5" t="inlineStr"/>
      <c r="AI602" s="5" t="inlineStr"/>
      <c r="AJ602" s="5" t="inlineStr"/>
    </row>
    <row r="603">
      <c r="A603" s="5" t="inlineStr">
        <is>
          <t>b6-ev-sahibi-kavgasi</t>
        </is>
      </c>
      <c r="B603" s="5" t="n">
        <v>1</v>
      </c>
      <c r="C603" s="6" t="inlineStr">
        <is>
          <t>Artışı kabul et</t>
        </is>
      </c>
      <c r="D603" s="5" t="inlineStr"/>
      <c r="E603" s="5" t="inlineStr"/>
      <c r="F603" s="5" t="inlineStr">
        <is>
          <t>Dayanıklılık +1</t>
        </is>
      </c>
      <c r="G603" s="6" t="inlineStr">
        <is>
          <t>Kabul ettin. Ay sonunda annen telefonda “Sesin bir tuhaf” dedi. Sesin değil, buzdolabın boştu.</t>
        </is>
      </c>
      <c r="H603" s="6" t="inlineStr"/>
      <c r="I603" s="6" t="inlineStr"/>
      <c r="J603" s="6" t="inlineStr"/>
      <c r="K603" s="6" t="inlineStr"/>
      <c r="L603" s="6" t="inlineStr"/>
      <c r="M603" s="5" t="inlineStr"/>
      <c r="N603" s="5" t="inlineStr"/>
      <c r="O603" s="6" t="inlineStr"/>
      <c r="P603" s="6" t="inlineStr"/>
      <c r="Q603" s="5" t="inlineStr"/>
      <c r="R603" s="5" t="inlineStr"/>
      <c r="S603" s="5" t="inlineStr"/>
      <c r="T603" s="5" t="inlineStr"/>
      <c r="U603" s="5" t="inlineStr"/>
      <c r="V603" s="5" t="inlineStr"/>
      <c r="W603" s="5" t="inlineStr"/>
      <c r="X603" s="5" t="inlineStr"/>
      <c r="Y603" s="5" t="inlineStr"/>
      <c r="Z603" s="6" t="inlineStr"/>
      <c r="AA603" s="5" t="inlineStr"/>
      <c r="AB603" s="5" t="inlineStr"/>
      <c r="AC603" s="5" t="inlineStr"/>
      <c r="AD603" s="5" t="inlineStr"/>
      <c r="AE603" s="5" t="inlineStr"/>
      <c r="AF603" s="5" t="inlineStr"/>
      <c r="AG603" s="5" t="inlineStr"/>
      <c r="AH603" s="5" t="inlineStr"/>
      <c r="AI603" s="5" t="inlineStr"/>
      <c r="AJ603" s="5" t="inlineStr"/>
    </row>
    <row r="604">
      <c r="A604" s="5" t="inlineStr">
        <is>
          <t>b6-ev-sahibi-kavgasi</t>
        </is>
      </c>
      <c r="B604" s="5" t="n">
        <v>2</v>
      </c>
      <c r="C604" s="6" t="inlineStr">
        <is>
          <t>Sözleşmeyi bul, maddeleri oku</t>
        </is>
      </c>
      <c r="D604" s="5" t="inlineStr">
        <is>
          <t>Akıl</t>
        </is>
      </c>
      <c r="E604" s="5" t="inlineStr">
        <is>
          <t>Orta</t>
        </is>
      </c>
      <c r="F604" s="5" t="inlineStr"/>
      <c r="G604" s="6" t="inlineStr"/>
      <c r="H604" s="6" t="inlineStr">
        <is>
          <t>Artış maddesini buldun. Ev sahibi 'Tamam, makul olsun' dedi.</t>
        </is>
      </c>
      <c r="I604" s="6" t="inlineStr">
        <is>
          <t>Sözleşmenin dördüncü sayfasında ev sahibinin unuttuğu bir madde buldun: boya ve kombi bakımı onda. Telefonda okudun; uzun bir sessizlik oldu, sonra: “Sen hukuk mu okudun?” Artış yarıya indi, kombi de bakıma girdi.</t>
        </is>
      </c>
      <c r="J604" s="6" t="inlineStr">
        <is>
          <t>Buldun. İmzaladığın sayfa eksikmiş.</t>
        </is>
      </c>
      <c r="K604" s="6" t="inlineStr">
        <is>
          <t>Buldun. Madde senin aleyhine. Ev sahibi okuduğunu da biliyor.</t>
        </is>
      </c>
      <c r="L604" s="6" t="inlineStr"/>
      <c r="M604" s="5" t="inlineStr"/>
      <c r="N604" s="5" t="inlineStr"/>
      <c r="O604" s="6" t="inlineStr"/>
      <c r="P604" s="6" t="inlineStr"/>
      <c r="Q604" s="5" t="inlineStr"/>
      <c r="R604" s="5" t="inlineStr"/>
      <c r="S604" s="5" t="inlineStr"/>
      <c r="T604" s="5" t="inlineStr"/>
      <c r="U604" s="5" t="inlineStr"/>
      <c r="V604" s="5" t="inlineStr"/>
      <c r="W604" s="5" t="inlineStr"/>
      <c r="X604" s="5" t="inlineStr"/>
      <c r="Y604" s="5" t="inlineStr"/>
      <c r="Z604" s="6" t="inlineStr"/>
      <c r="AA604" s="5" t="inlineStr"/>
      <c r="AB604" s="5" t="inlineStr"/>
      <c r="AC604" s="5" t="inlineStr"/>
      <c r="AD604" s="5" t="inlineStr"/>
      <c r="AE604" s="5" t="inlineStr"/>
      <c r="AF604" s="5" t="inlineStr"/>
      <c r="AG604" s="5" t="inlineStr"/>
      <c r="AH604" s="5" t="inlineStr"/>
      <c r="AI604" s="5" t="inlineStr"/>
      <c r="AJ604" s="5" t="inlineStr"/>
    </row>
    <row r="605">
      <c r="A605" s="5" t="inlineStr">
        <is>
          <t>b6-ev-sahibi-kavgasi</t>
        </is>
      </c>
      <c r="B605" s="5" t="n">
        <v>3</v>
      </c>
      <c r="C605" s="6" t="inlineStr">
        <is>
          <t>'Yeğeniniz ne zaman taşınıyor?' diye sor</t>
        </is>
      </c>
      <c r="D605" s="5" t="inlineStr">
        <is>
          <t>Sosyal Radar</t>
        </is>
      </c>
      <c r="E605" s="5" t="inlineStr">
        <is>
          <t>Kolay</t>
        </is>
      </c>
      <c r="F605" s="5" t="inlineStr"/>
      <c r="G605" s="6" t="inlineStr"/>
      <c r="H605" s="6" t="inlineStr">
        <is>
          <t>Kısa bir sessizlik. Sonra: 'Biraz daha düşünelim.'</t>
        </is>
      </c>
      <c r="I605" s="6" t="inlineStr">
        <is>
          <t>Ev sahibi önce sustu, sonra güldü: “Yeğen yok.” Artışı yarıya indirdi. O günden beri kirayı almaya gelirken bir kavanoz turşu bırakıyor. Yeğen hâlâ yok.</t>
        </is>
      </c>
      <c r="J605" s="6" t="inlineStr">
        <is>
          <t>Yeğen gerçekten varmış. Gelecek ay taşınıyor. Sen de.</t>
        </is>
      </c>
      <c r="K605" s="6" t="inlineStr">
        <is>
          <t>Ev sahibi alındı ve mahalleye 'huysuz kiracı' olduğunu anlattı. Bakkal bile selam vermiyor.</t>
        </is>
      </c>
      <c r="L605" s="6" t="inlineStr"/>
      <c r="M605" s="5" t="inlineStr"/>
      <c r="N605" s="5" t="inlineStr"/>
      <c r="O605" s="6" t="inlineStr"/>
      <c r="P605" s="6" t="inlineStr"/>
      <c r="Q605" s="5" t="inlineStr"/>
      <c r="R605" s="5" t="inlineStr"/>
      <c r="S605" s="5" t="inlineStr">
        <is>
          <t>Sosyal Radar</t>
        </is>
      </c>
      <c r="T605" s="5" t="inlineStr"/>
      <c r="U605" s="5" t="inlineStr"/>
      <c r="V605" s="5" t="inlineStr"/>
      <c r="W605" s="5" t="inlineStr"/>
      <c r="X605" s="5" t="inlineStr"/>
      <c r="Y605" s="5" t="inlineStr"/>
      <c r="Z605" s="6" t="inlineStr"/>
      <c r="AA605" s="5" t="inlineStr"/>
      <c r="AB605" s="5" t="inlineStr"/>
      <c r="AC605" s="5" t="inlineStr"/>
      <c r="AD605" s="5" t="inlineStr"/>
      <c r="AE605" s="5" t="inlineStr"/>
      <c r="AF605" s="5" t="inlineStr"/>
      <c r="AG605" s="5" t="inlineStr"/>
      <c r="AH605" s="5" t="inlineStr"/>
      <c r="AI605" s="5" t="inlineStr"/>
      <c r="AJ605" s="5" t="inlineStr"/>
    </row>
    <row r="606">
      <c r="A606" s="5" t="inlineStr">
        <is>
          <t>b6-ev-sahibi-kavgasi</t>
        </is>
      </c>
      <c r="B606" s="5" t="n">
        <v>4</v>
      </c>
      <c r="C606" s="6" t="inlineStr">
        <is>
          <t>Hakkını sonuna kadar ara</t>
        </is>
      </c>
      <c r="D606" s="5" t="inlineStr">
        <is>
          <t>Cesaret</t>
        </is>
      </c>
      <c r="E606" s="5" t="inlineStr">
        <is>
          <t>Zor</t>
        </is>
      </c>
      <c r="F606" s="5" t="inlineStr"/>
      <c r="G606" s="6" t="inlineStr"/>
      <c r="H606" s="6" t="inlineStr">
        <is>
          <t>Tebligat, arabulucu, iki telefon. Artış makule çekildi. Ev sahibi selamı kesti.</t>
        </is>
      </c>
      <c r="I606" s="6" t="inlineStr">
        <is>
          <t>Haklı çıktın. Ev sahibi özür mesajı attı. Sonunda bir çiçek vardı.</t>
        </is>
      </c>
      <c r="J606" s="6" t="inlineStr">
        <is>
          <t>Arabulucuya gittin. Ev sahibi oraya annesiyle gelmişti; teyze bütün görüşme boyunca sana “Yazık değil mi oğluma?” diye baktı. Artışın yarısını kabul edip çıktın.</t>
        </is>
      </c>
      <c r="K606" s="6" t="inlineStr">
        <is>
          <t>Ev sahibi tahliye için avukat tuttu. Taşınma günü kapıda bekliyordu; elinde senin çektiğin çizik fotoğrafları vardı, yeni çizikler kırmızıyla işaretliydi. Depozito gitti.</t>
        </is>
      </c>
      <c r="L606" s="6" t="inlineStr"/>
      <c r="M606" s="5" t="inlineStr"/>
      <c r="N606" s="5" t="inlineStr"/>
      <c r="O606" s="6" t="inlineStr"/>
      <c r="P606" s="6" t="inlineStr"/>
      <c r="Q606" s="5" t="inlineStr">
        <is>
          <t>Sözünü Geçirir</t>
        </is>
      </c>
      <c r="R606" s="5" t="inlineStr"/>
      <c r="S606" s="5" t="inlineStr"/>
      <c r="T606" s="5" t="inlineStr"/>
      <c r="U606" s="5" t="inlineStr"/>
      <c r="V606" s="5" t="inlineStr"/>
      <c r="W606" s="5" t="inlineStr">
        <is>
          <t>depozito-yandi</t>
        </is>
      </c>
      <c r="X606" s="5" t="inlineStr"/>
      <c r="Y606" s="5" t="inlineStr"/>
      <c r="Z606" s="6" t="inlineStr"/>
      <c r="AA606" s="5" t="inlineStr"/>
      <c r="AB606" s="5" t="inlineStr"/>
      <c r="AC606" s="5" t="inlineStr"/>
      <c r="AD606" s="5" t="inlineStr"/>
      <c r="AE606" s="5" t="inlineStr"/>
      <c r="AF606" s="5" t="inlineStr"/>
      <c r="AG606" s="5" t="inlineStr"/>
      <c r="AH606" s="5" t="inlineStr"/>
      <c r="AI606" s="5" t="inlineStr"/>
      <c r="AJ606" s="5" t="inlineStr"/>
    </row>
    <row r="607">
      <c r="A607" s="5" t="inlineStr">
        <is>
          <t>b6-kargo-takibi</t>
        </is>
      </c>
      <c r="B607" s="5" t="n">
        <v>1</v>
      </c>
      <c r="C607" s="6" t="inlineStr">
        <is>
          <t>Beklemeye devam et</t>
        </is>
      </c>
      <c r="D607" s="5" t="inlineStr"/>
      <c r="E607" s="5" t="inlineStr"/>
      <c r="F607" s="5" t="inlineStr">
        <is>
          <t>Dayanıklılık +1</t>
        </is>
      </c>
      <c r="G607" s="6" t="inlineStr">
        <is>
          <t>Sekizinci gün teslim edildi. Kapının önüne, yağmurun altına.</t>
        </is>
      </c>
      <c r="H607" s="6" t="inlineStr"/>
      <c r="I607" s="6" t="inlineStr"/>
      <c r="J607" s="6" t="inlineStr"/>
      <c r="K607" s="6" t="inlineStr"/>
      <c r="L607" s="6" t="inlineStr"/>
      <c r="M607" s="5" t="inlineStr"/>
      <c r="N607" s="5" t="inlineStr"/>
      <c r="O607" s="6" t="inlineStr"/>
      <c r="P607" s="6" t="inlineStr"/>
      <c r="Q607" s="5" t="inlineStr"/>
      <c r="R607" s="5" t="inlineStr"/>
      <c r="S607" s="5" t="inlineStr"/>
      <c r="T607" s="5" t="inlineStr"/>
      <c r="U607" s="5" t="inlineStr"/>
      <c r="V607" s="5" t="inlineStr"/>
      <c r="W607" s="5" t="inlineStr"/>
      <c r="X607" s="5" t="inlineStr"/>
      <c r="Y607" s="5" t="inlineStr"/>
      <c r="Z607" s="6" t="inlineStr"/>
      <c r="AA607" s="5" t="inlineStr"/>
      <c r="AB607" s="5" t="inlineStr"/>
      <c r="AC607" s="5" t="inlineStr"/>
      <c r="AD607" s="5" t="inlineStr"/>
      <c r="AE607" s="5" t="inlineStr"/>
      <c r="AF607" s="5" t="inlineStr"/>
      <c r="AG607" s="5" t="inlineStr"/>
      <c r="AH607" s="5" t="inlineStr"/>
      <c r="AI607" s="5" t="inlineStr"/>
      <c r="AJ607" s="5" t="inlineStr"/>
    </row>
    <row r="608">
      <c r="A608" s="5" t="inlineStr">
        <is>
          <t>b6-kargo-takibi</t>
        </is>
      </c>
      <c r="B608" s="5" t="n">
        <v>2</v>
      </c>
      <c r="C608" s="6" t="inlineStr">
        <is>
          <t>Müşteri hizmetlerini ara</t>
        </is>
      </c>
      <c r="D608" s="5" t="inlineStr">
        <is>
          <t>Çene</t>
        </is>
      </c>
      <c r="E608" s="5" t="inlineStr">
        <is>
          <t>Orta</t>
        </is>
      </c>
      <c r="F608" s="5" t="inlineStr"/>
      <c r="G608" s="6" t="inlineStr"/>
      <c r="H608" s="6" t="inlineStr">
        <is>
          <t>Kırk dakika bekleme müziğinden sonra bir insana ulaştın. Kargo ertesi gün geldi.</t>
        </is>
      </c>
      <c r="I608" s="6" t="inlineStr">
        <is>
          <t>Temsilci kargoyu kendi getirtti. Yanında bir özür çikolatası vardı.</t>
        </is>
      </c>
      <c r="J608" s="6" t="inlineStr">
        <is>
          <t>'Talebiniz oluşturuldu' dendi. Talep, kargodan hızlı ilerlemiyor.</t>
        </is>
      </c>
      <c r="K608" s="6" t="inlineStr">
        <is>
          <t>Sesli asistan seni 'Anlaşılmadı' döngüsüne soktu. Sonunda iadeyi onayladın. Kendi siparişini.</t>
        </is>
      </c>
      <c r="L608" s="6" t="inlineStr"/>
      <c r="M608" s="5" t="inlineStr"/>
      <c r="N608" s="5" t="inlineStr"/>
      <c r="O608" s="6" t="inlineStr"/>
      <c r="P608" s="6" t="inlineStr"/>
      <c r="Q608" s="5" t="inlineStr"/>
      <c r="R608" s="5" t="inlineStr"/>
      <c r="S608" s="5" t="inlineStr"/>
      <c r="T608" s="5" t="inlineStr"/>
      <c r="U608" s="5" t="inlineStr"/>
      <c r="V608" s="5" t="inlineStr"/>
      <c r="W608" s="5" t="inlineStr"/>
      <c r="X608" s="5" t="inlineStr"/>
      <c r="Y608" s="5" t="inlineStr"/>
      <c r="Z608" s="6" t="inlineStr"/>
      <c r="AA608" s="5" t="inlineStr"/>
      <c r="AB608" s="5" t="inlineStr"/>
      <c r="AC608" s="5" t="inlineStr"/>
      <c r="AD608" s="5" t="inlineStr"/>
      <c r="AE608" s="5" t="inlineStr"/>
      <c r="AF608" s="5" t="inlineStr"/>
      <c r="AG608" s="5" t="inlineStr"/>
      <c r="AH608" s="5" t="inlineStr"/>
      <c r="AI608" s="5" t="inlineStr"/>
      <c r="AJ608" s="5" t="inlineStr"/>
    </row>
    <row r="609">
      <c r="A609" s="5" t="inlineStr">
        <is>
          <t>b6-kargo-takibi</t>
        </is>
      </c>
      <c r="B609" s="5" t="n">
        <v>3</v>
      </c>
      <c r="C609" s="6" t="inlineStr">
        <is>
          <t>Köşedeki büfeye uğra</t>
        </is>
      </c>
      <c r="D609" s="5" t="inlineStr">
        <is>
          <t>Sosyal Radar</t>
        </is>
      </c>
      <c r="E609" s="5" t="inlineStr">
        <is>
          <t>Kolay</t>
        </is>
      </c>
      <c r="F609" s="5" t="inlineStr"/>
      <c r="G609" s="6" t="inlineStr"/>
      <c r="H609" s="6" t="inlineStr">
        <is>
          <t>Büfeci paketini rafın arkasından çıkardı. Yanında üç komşunun paketi daha vardı.</t>
        </is>
      </c>
      <c r="I609" s="6" t="inlineStr">
        <is>
          <t>Büfeci paketini çıkardı, sonra sokağın bütün paketlerini sana emanet etti. Akşam komşular sırayla kapını çalıyor; biri teşekkür için kek getirdi. Kek de kargoyla gelmişti.</t>
        </is>
      </c>
      <c r="J609" s="6" t="inlineStr">
        <is>
          <t>Büfeci 'Paket yok' dedi. Arkasında adının yazılı olduğu bir kutu vardı. Göz göze geldiniz.</t>
        </is>
      </c>
      <c r="K609" s="6" t="inlineStr">
        <is>
          <t>Paketin oradaymış. Açılmış. İçindeki kulaklık büfecinin kulağında.</t>
        </is>
      </c>
      <c r="L609" s="6" t="inlineStr"/>
      <c r="M609" s="5" t="inlineStr"/>
      <c r="N609" s="5" t="inlineStr"/>
      <c r="O609" s="6" t="inlineStr"/>
      <c r="P609" s="6" t="inlineStr"/>
      <c r="Q609" s="5" t="inlineStr"/>
      <c r="R609" s="5" t="inlineStr"/>
      <c r="S609" s="5" t="inlineStr">
        <is>
          <t>Kurnazlık</t>
        </is>
      </c>
      <c r="T609" s="5" t="inlineStr"/>
      <c r="U609" s="5" t="inlineStr"/>
      <c r="V609" s="5" t="inlineStr"/>
      <c r="W609" s="5" t="inlineStr"/>
      <c r="X609" s="5" t="inlineStr"/>
      <c r="Y609" s="5" t="inlineStr"/>
      <c r="Z609" s="6" t="inlineStr"/>
      <c r="AA609" s="5" t="inlineStr"/>
      <c r="AB609" s="5" t="inlineStr"/>
      <c r="AC609" s="5" t="inlineStr"/>
      <c r="AD609" s="5" t="inlineStr"/>
      <c r="AE609" s="5" t="inlineStr"/>
      <c r="AF609" s="5" t="inlineStr"/>
      <c r="AG609" s="5" t="inlineStr"/>
      <c r="AH609" s="5" t="inlineStr"/>
      <c r="AI609" s="5" t="inlineStr"/>
      <c r="AJ609" s="5" t="inlineStr"/>
    </row>
    <row r="610">
      <c r="A610" s="5" t="inlineStr">
        <is>
          <t>b6-kargo-takibi</t>
        </is>
      </c>
      <c r="B610" s="5" t="n">
        <v>4</v>
      </c>
      <c r="C610" s="6" t="inlineStr">
        <is>
          <t>Kuryeyi haritadan takip et</t>
        </is>
      </c>
      <c r="D610" s="5" t="inlineStr">
        <is>
          <t>Cesaret</t>
        </is>
      </c>
      <c r="E610" s="5" t="inlineStr">
        <is>
          <t>Orta</t>
        </is>
      </c>
      <c r="F610" s="5" t="inlineStr"/>
      <c r="G610" s="6" t="inlineStr"/>
      <c r="H610" s="6" t="inlineStr">
        <is>
          <t>Haritadaki noktayı izleyip kuryeyi köşede yakaladın. Paket teslim.</t>
        </is>
      </c>
      <c r="I610" s="6" t="inlineStr">
        <is>
          <t>Kuryeye yetiştin; nefes nefese, terlikli. Kurye sokağın kapı numaralarının yıllardır ters olduğunu anlattı. Ertesi gün kapıcıyla bütün kapılara yeni numara yapıştırdınız. Sokağa artık kargo geliyor; sana da “Numaracı” diyorlar.</t>
        </is>
      </c>
      <c r="J610" s="6" t="inlineStr">
        <is>
          <t>Yakaladığın başka bir kuryeydi. Ona yol tarif ettin. Seninki hâlâ yolda.</t>
        </is>
      </c>
      <c r="K610" s="6" t="inlineStr">
        <is>
          <t>Terlikle koştun. Kurye motordaydı. Sen üç sokak öteye, terliğin biri dördüncüye ulaştı.</t>
        </is>
      </c>
      <c r="L610" s="6" t="inlineStr">
        <is>
          <t>Kuryeye yetiştin, paketi aldın; terliğin birini yolda bıraktın. Paket tam, çift eksik.</t>
        </is>
      </c>
      <c r="M610" s="5" t="inlineStr">
        <is>
          <t>hidden</t>
        </is>
      </c>
      <c r="N610" s="5" t="inlineStr">
        <is>
          <t>Terlikle Takip</t>
        </is>
      </c>
      <c r="O610" s="6" t="inlineStr">
        <is>
          <t>Kalabalık kaldırımda kuryeyi (🛵) bul.</t>
        </is>
      </c>
      <c r="P610" s="6" t="inlineStr">
        <is>
          <t>{"target": "🛵", "decoys": ["🚲", "🛴", "🚶", "🛒", "🐕"]}</t>
        </is>
      </c>
      <c r="Q610" s="5" t="inlineStr"/>
      <c r="R610" s="5" t="inlineStr"/>
      <c r="S610" s="5" t="inlineStr"/>
      <c r="T610" s="5" t="inlineStr"/>
      <c r="U610" s="5" t="inlineStr"/>
      <c r="V610" s="5" t="inlineStr"/>
      <c r="W610" s="5" t="inlineStr"/>
      <c r="X610" s="5" t="inlineStr"/>
      <c r="Y610" s="5" t="inlineStr"/>
      <c r="Z610" s="6" t="inlineStr"/>
      <c r="AA610" s="5" t="inlineStr"/>
      <c r="AB610" s="5" t="inlineStr"/>
      <c r="AC610" s="5" t="inlineStr"/>
      <c r="AD610" s="5" t="inlineStr"/>
      <c r="AE610" s="5" t="inlineStr"/>
      <c r="AF610" s="5" t="inlineStr"/>
      <c r="AG610" s="5" t="inlineStr"/>
      <c r="AH610" s="5" t="inlineStr"/>
      <c r="AI610" s="5" t="inlineStr"/>
      <c r="AJ610" s="5" t="inlineStr"/>
    </row>
    <row r="611">
      <c r="A611" s="5" t="inlineStr">
        <is>
          <t>ms-pijama-ekonomisi</t>
        </is>
      </c>
      <c r="B611" s="5" t="n">
        <v>1</v>
      </c>
      <c r="C611" s="6" t="inlineStr">
        <is>
          <t>Giyin, masaya otur</t>
        </is>
      </c>
      <c r="D611" s="5" t="inlineStr"/>
      <c r="E611" s="5" t="inlineStr"/>
      <c r="F611" s="5" t="inlineStr">
        <is>
          <t>Dayanıklılık +1</t>
        </is>
      </c>
      <c r="G611" s="6" t="inlineStr">
        <is>
          <t>Gömlek ve ayakkabı giydin. Evde ayakkabıyla çalışan tek kişi oldun. Verim arttı, komşu şüphelendi.</t>
        </is>
      </c>
      <c r="H611" s="6" t="inlineStr"/>
      <c r="I611" s="6" t="inlineStr"/>
      <c r="J611" s="6" t="inlineStr"/>
      <c r="K611" s="6" t="inlineStr"/>
      <c r="L611" s="6" t="inlineStr"/>
      <c r="M611" s="5" t="inlineStr"/>
      <c r="N611" s="5" t="inlineStr"/>
      <c r="O611" s="6" t="inlineStr"/>
      <c r="P611" s="6" t="inlineStr"/>
      <c r="Q611" s="5" t="inlineStr"/>
      <c r="R611" s="5" t="inlineStr"/>
      <c r="S611" s="5" t="inlineStr"/>
      <c r="T611" s="5" t="inlineStr"/>
      <c r="U611" s="5" t="inlineStr"/>
      <c r="V611" s="5" t="inlineStr"/>
      <c r="W611" s="5" t="inlineStr"/>
      <c r="X611" s="5" t="inlineStr"/>
      <c r="Y611" s="5" t="inlineStr"/>
      <c r="Z611" s="6" t="inlineStr"/>
      <c r="AA611" s="5" t="inlineStr"/>
      <c r="AB611" s="5" t="inlineStr"/>
      <c r="AC611" s="5" t="inlineStr"/>
      <c r="AD611" s="5" t="inlineStr"/>
      <c r="AE611" s="5" t="inlineStr"/>
      <c r="AF611" s="5" t="inlineStr"/>
      <c r="AG611" s="5" t="inlineStr"/>
      <c r="AH611" s="5" t="inlineStr"/>
      <c r="AI611" s="5" t="inlineStr"/>
      <c r="AJ611" s="5" t="inlineStr"/>
    </row>
    <row r="612">
      <c r="A612" s="5" t="inlineStr">
        <is>
          <t>ms-pijama-ekonomisi</t>
        </is>
      </c>
      <c r="B612" s="5" t="n">
        <v>2</v>
      </c>
      <c r="C612" s="6" t="inlineStr">
        <is>
          <t>Üçünü aynı anda bitir</t>
        </is>
      </c>
      <c r="D612" s="5" t="inlineStr">
        <is>
          <t>Akıl</t>
        </is>
      </c>
      <c r="E612" s="5" t="inlineStr">
        <is>
          <t>Zor</t>
        </is>
      </c>
      <c r="F612" s="5" t="inlineStr"/>
      <c r="G612" s="6" t="inlineStr"/>
      <c r="H612" s="6" t="inlineStr">
        <is>
          <t>Üç işi tek gecede bitirdin. Uyku yarın, fatura bugün.</t>
        </is>
      </c>
      <c r="I612" s="6" t="inlineStr">
        <is>
          <t>Üçünü bitirdin, birini erken teslim ettin. Müşteri şoktan iki gün cevap veremedi.</t>
        </is>
      </c>
      <c r="J612" s="6" t="inlineStr">
        <is>
          <t>Üçünü bitirdin, dosyaları karıştırıp yanlış müşterilere gönderdin. İkisi fark etmedi; üçüncüsü “Bizim logomuz neden kırmızı?” diye sordu. Gece yeniden yaptın.</t>
        </is>
      </c>
      <c r="K612" s="6" t="inlineStr">
        <is>
          <t>Üç dosyayı tek dosyada birleştirdin ve üçüne de aynısını yolladın. Üç müşteri aynı gün aradı.</t>
        </is>
      </c>
      <c r="L612" s="6" t="inlineStr"/>
      <c r="M612" s="5" t="inlineStr"/>
      <c r="N612" s="5" t="inlineStr"/>
      <c r="O612" s="6" t="inlineStr"/>
      <c r="P612" s="6" t="inlineStr"/>
      <c r="Q612" s="5" t="inlineStr"/>
      <c r="R612" s="5" t="inlineStr"/>
      <c r="S612" s="5" t="inlineStr"/>
      <c r="T612" s="5" t="inlineStr">
        <is>
          <t>Ukala Ama Haklı</t>
        </is>
      </c>
      <c r="U612" s="5" t="inlineStr"/>
      <c r="V612" s="5" t="inlineStr"/>
      <c r="W612" s="5" t="inlineStr"/>
      <c r="X612" s="5" t="inlineStr"/>
      <c r="Y612" s="5" t="inlineStr"/>
      <c r="Z612" s="6" t="inlineStr"/>
      <c r="AA612" s="5" t="inlineStr"/>
      <c r="AB612" s="5" t="inlineStr"/>
      <c r="AC612" s="5" t="inlineStr"/>
      <c r="AD612" s="5" t="inlineStr"/>
      <c r="AE612" s="5" t="inlineStr"/>
      <c r="AF612" s="5" t="inlineStr"/>
      <c r="AG612" s="5" t="inlineStr"/>
      <c r="AH612" s="5" t="inlineStr"/>
      <c r="AI612" s="5" t="inlineStr"/>
      <c r="AJ612" s="5" t="inlineStr"/>
    </row>
    <row r="613">
      <c r="A613" s="5" t="inlineStr">
        <is>
          <t>ms-pijama-ekonomisi</t>
        </is>
      </c>
      <c r="B613" s="5" t="n">
        <v>3</v>
      </c>
      <c r="C613" s="6" t="inlineStr">
        <is>
          <t>Kafeye taşın</t>
        </is>
      </c>
      <c r="D613" s="5" t="inlineStr">
        <is>
          <t>Kurnazlık</t>
        </is>
      </c>
      <c r="E613" s="5" t="inlineStr">
        <is>
          <t>Kolay</t>
        </is>
      </c>
      <c r="F613" s="5" t="inlineStr"/>
      <c r="G613" s="6" t="inlineStr"/>
      <c r="H613" s="6" t="inlineStr">
        <is>
          <t>Prize en yakın masayı kaptın. Bir çayla altı saat çalıştın. Verimli ve biraz ayıp.</t>
        </is>
      </c>
      <c r="I613" s="6" t="inlineStr">
        <is>
          <t>Kafede yan masadaki bir girişimci iş teklif etti. Ofisin artık resmen kafe.</t>
        </is>
      </c>
      <c r="J613" s="6" t="inlineStr">
        <is>
          <t>Priz yoktu. Şarj bitti. Sen de.</t>
        </is>
      </c>
      <c r="K613" s="6" t="inlineStr">
        <is>
          <t>Tek çayla dokuz saat oturdun. Garson sonunda sandalye kirası kesti.</t>
        </is>
      </c>
      <c r="L613" s="6" t="inlineStr"/>
      <c r="M613" s="5" t="inlineStr"/>
      <c r="N613" s="5" t="inlineStr"/>
      <c r="O613" s="6" t="inlineStr"/>
      <c r="P613" s="6" t="inlineStr"/>
      <c r="Q613" s="5" t="inlineStr"/>
      <c r="R613" s="5" t="inlineStr"/>
      <c r="S613" s="5" t="inlineStr"/>
      <c r="T613" s="5" t="inlineStr"/>
      <c r="U613" s="5" t="inlineStr"/>
      <c r="V613" s="5" t="inlineStr"/>
      <c r="W613" s="5" t="inlineStr"/>
      <c r="X613" s="5" t="inlineStr"/>
      <c r="Y613" s="5" t="inlineStr"/>
      <c r="Z613" s="6" t="inlineStr"/>
      <c r="AA613" s="5" t="inlineStr"/>
      <c r="AB613" s="5" t="inlineStr"/>
      <c r="AC613" s="5" t="inlineStr"/>
      <c r="AD613" s="5" t="inlineStr"/>
      <c r="AE613" s="5" t="inlineStr"/>
      <c r="AF613" s="5" t="inlineStr"/>
      <c r="AG613" s="5" t="inlineStr"/>
      <c r="AH613" s="5" t="inlineStr"/>
      <c r="AI613" s="5" t="inlineStr"/>
      <c r="AJ613" s="5" t="inlineStr"/>
    </row>
    <row r="614">
      <c r="A614" s="5" t="inlineStr">
        <is>
          <t>ms-pijama-ekonomisi</t>
        </is>
      </c>
      <c r="B614" s="5" t="n">
        <v>4</v>
      </c>
      <c r="C614" s="6" t="inlineStr">
        <is>
          <t>Kendine bir takvim sistemi kur</t>
        </is>
      </c>
      <c r="D614" s="5" t="inlineStr">
        <is>
          <t>Akıl</t>
        </is>
      </c>
      <c r="E614" s="5" t="inlineStr">
        <is>
          <t>Kolay</t>
        </is>
      </c>
      <c r="F614" s="5" t="inlineStr"/>
      <c r="G614" s="6" t="inlineStr"/>
      <c r="H614" s="6" t="inlineStr">
        <is>
          <t>Renkli bir takvim kurdun. Günlerin artık düzenli. Pijama sadece cuma.</t>
        </is>
      </c>
      <c r="I614" s="6" t="inlineStr">
        <is>
          <t>Takvimin öyle iyi çalıştı ki üç işi de zamanında teslim ettin. Annen ekran görüntüsünü aile grubuna attı; teyzen hemen kendi tahlil günlerini yolladı: “Bunları da koy.”</t>
        </is>
      </c>
      <c r="J614" s="6" t="inlineStr">
        <is>
          <t>Takvimi kurmak bütün gün sürdü. Üç teslim de takvimde güzel duruyor.</t>
        </is>
      </c>
      <c r="K614" s="6" t="inlineStr">
        <is>
          <t>Bütün hatırlatıcıları aynı saate kurmuşsun. Saat on beşte telefon üç teslimi, iki faturayı, “Su iç”i ve annenin doğum gününü birden hatırlattı. Annenin doğum günü dündü.</t>
        </is>
      </c>
      <c r="L614" s="6" t="inlineStr"/>
      <c r="M614" s="5" t="inlineStr"/>
      <c r="N614" s="5" t="inlineStr"/>
      <c r="O614" s="6" t="inlineStr"/>
      <c r="P614" s="6" t="inlineStr"/>
      <c r="Q614" s="5" t="inlineStr">
        <is>
          <t>Kuralı Koyan</t>
        </is>
      </c>
      <c r="R614" s="5" t="inlineStr"/>
      <c r="S614" s="5" t="inlineStr"/>
      <c r="T614" s="5" t="inlineStr"/>
      <c r="U614" s="5" t="inlineStr"/>
      <c r="V614" s="5" t="inlineStr"/>
      <c r="W614" s="5" t="inlineStr"/>
      <c r="X614" s="5" t="inlineStr"/>
      <c r="Y614" s="5" t="inlineStr"/>
      <c r="Z614" s="6" t="inlineStr"/>
      <c r="AA614" s="5" t="inlineStr"/>
      <c r="AB614" s="5" t="inlineStr"/>
      <c r="AC614" s="5" t="inlineStr"/>
      <c r="AD614" s="5" t="inlineStr"/>
      <c r="AE614" s="5" t="inlineStr"/>
      <c r="AF614" s="5" t="inlineStr"/>
      <c r="AG614" s="5" t="inlineStr"/>
      <c r="AH614" s="5" t="inlineStr"/>
      <c r="AI614" s="5" t="inlineStr"/>
      <c r="AJ614" s="5" t="inlineStr"/>
    </row>
    <row r="615">
      <c r="A615" s="5" t="inlineStr">
        <is>
          <t>b6-ilk-vergi</t>
        </is>
      </c>
      <c r="B615" s="5" t="n">
        <v>1</v>
      </c>
      <c r="C615" s="6" t="inlineStr">
        <is>
          <t>Formu olduğu gibi doldur</t>
        </is>
      </c>
      <c r="D615" s="5" t="inlineStr"/>
      <c r="E615" s="5" t="inlineStr"/>
      <c r="F615" s="5" t="inlineStr">
        <is>
          <t>İtibar +1</t>
        </is>
      </c>
      <c r="G615" s="6" t="inlineStr">
        <is>
          <t>Memur baktı, 'Bu kutu yanlış' dedi ve kendi düzeltti. Devletten ilk yardımın.</t>
        </is>
      </c>
      <c r="H615" s="6" t="inlineStr"/>
      <c r="I615" s="6" t="inlineStr"/>
      <c r="J615" s="6" t="inlineStr"/>
      <c r="K615" s="6" t="inlineStr"/>
      <c r="L615" s="6" t="inlineStr"/>
      <c r="M615" s="5" t="inlineStr"/>
      <c r="N615" s="5" t="inlineStr"/>
      <c r="O615" s="6" t="inlineStr"/>
      <c r="P615" s="6" t="inlineStr"/>
      <c r="Q615" s="5" t="inlineStr"/>
      <c r="R615" s="5" t="inlineStr"/>
      <c r="S615" s="5" t="inlineStr"/>
      <c r="T615" s="5" t="inlineStr"/>
      <c r="U615" s="5" t="inlineStr"/>
      <c r="V615" s="5" t="inlineStr"/>
      <c r="W615" s="5" t="inlineStr"/>
      <c r="X615" s="5" t="inlineStr"/>
      <c r="Y615" s="5" t="inlineStr"/>
      <c r="Z615" s="6" t="inlineStr"/>
      <c r="AA615" s="5" t="inlineStr"/>
      <c r="AB615" s="5" t="inlineStr"/>
      <c r="AC615" s="5" t="inlineStr"/>
      <c r="AD615" s="5" t="inlineStr"/>
      <c r="AE615" s="5" t="inlineStr"/>
      <c r="AF615" s="5" t="inlineStr"/>
      <c r="AG615" s="5" t="inlineStr"/>
      <c r="AH615" s="5" t="inlineStr"/>
      <c r="AI615" s="5" t="inlineStr"/>
      <c r="AJ615" s="5" t="inlineStr"/>
    </row>
    <row r="616">
      <c r="A616" s="5" t="inlineStr">
        <is>
          <t>b6-ilk-vergi</t>
        </is>
      </c>
      <c r="B616" s="5" t="n">
        <v>2</v>
      </c>
      <c r="C616" s="6" t="inlineStr">
        <is>
          <t>Muhasebeci tut</t>
        </is>
      </c>
      <c r="D616" s="5" t="inlineStr">
        <is>
          <t>Kurnazlık</t>
        </is>
      </c>
      <c r="E616" s="5" t="inlineStr">
        <is>
          <t>Kolay</t>
        </is>
      </c>
      <c r="F616" s="5" t="inlineStr"/>
      <c r="G616" s="6" t="inlineStr"/>
      <c r="H616" s="6" t="inlineStr">
        <is>
          <t>Form beş dakikada doldu. Faturası seni bir saat düşündürdü.</t>
        </is>
      </c>
      <c r="I616" s="6" t="inlineStr">
        <is>
          <t>Muhasebeci senin için bir iade hakkı buldu. İade, ücretinden biraz fazlaydı. Kârdasın.</t>
        </is>
      </c>
      <c r="J616" s="6" t="inlineStr">
        <is>
          <t>Muhasebeci bir kutuyu yanlış işaretledi. Artık o da bir yazı bekliyor.</t>
        </is>
      </c>
      <c r="K616" s="6" t="inlineStr">
        <is>
          <t>Muhasebeci “Hallederiz” dedi. Halletmedi; ceza yazısı geldi. Yazıyı görünce de “Bunu da hallederiz” dedi.</t>
        </is>
      </c>
      <c r="L616" s="6" t="inlineStr"/>
      <c r="M616" s="5" t="inlineStr"/>
      <c r="N616" s="5" t="inlineStr"/>
      <c r="O616" s="6" t="inlineStr"/>
      <c r="P616" s="6" t="inlineStr"/>
      <c r="Q616" s="5" t="inlineStr"/>
      <c r="R616" s="5" t="inlineStr"/>
      <c r="S616" s="5" t="inlineStr"/>
      <c r="T616" s="5" t="inlineStr"/>
      <c r="U616" s="5" t="inlineStr"/>
      <c r="V616" s="5" t="inlineStr"/>
      <c r="W616" s="5" t="inlineStr"/>
      <c r="X616" s="5" t="inlineStr"/>
      <c r="Y616" s="5" t="inlineStr"/>
      <c r="Z616" s="6" t="inlineStr"/>
      <c r="AA616" s="5" t="inlineStr"/>
      <c r="AB616" s="5" t="inlineStr"/>
      <c r="AC616" s="5" t="inlineStr"/>
      <c r="AD616" s="5" t="inlineStr"/>
      <c r="AE616" s="5" t="inlineStr"/>
      <c r="AF616" s="5" t="inlineStr"/>
      <c r="AG616" s="5" t="inlineStr"/>
      <c r="AH616" s="5" t="inlineStr"/>
      <c r="AI616" s="5" t="inlineStr"/>
      <c r="AJ616" s="5" t="inlineStr"/>
    </row>
    <row r="617">
      <c r="A617" s="5" t="inlineStr">
        <is>
          <t>b6-ilk-vergi</t>
        </is>
      </c>
      <c r="B617" s="5" t="n">
        <v>3</v>
      </c>
      <c r="C617" s="6" t="inlineStr">
        <is>
          <t>Tablona dök, kendin çöz</t>
        </is>
      </c>
      <c r="D617" s="5" t="inlineStr">
        <is>
          <t>Akıl</t>
        </is>
      </c>
      <c r="E617" s="5" t="inlineStr">
        <is>
          <t>Orta</t>
        </is>
      </c>
      <c r="F617" s="5" t="inlineStr"/>
      <c r="G617" s="6" t="inlineStr"/>
      <c r="H617" s="6" t="inlineStr">
        <is>
          <t>Hesapladın, doldurdun. Memur kaşlarını kaldırdı: 'Bu nadir.'</t>
        </is>
      </c>
      <c r="I617" s="6" t="inlineStr">
        <is>
          <t>Form masadan masaya dolaştırıldı. Dairede ilk kez bir kutu doğru işaretlenmişti.</t>
        </is>
      </c>
      <c r="J617" s="6" t="inlineStr">
        <is>
          <t>Hesapladın. Borcun çıktı. Tablo haklıymış.</t>
        </is>
      </c>
      <c r="K617" s="6" t="inlineStr">
        <is>
          <t>Virgülü kaydırdın. Kayıtlara göre büyük bir şirketin sahibisin. Denetim yolda.</t>
        </is>
      </c>
      <c r="L617" s="6" t="inlineStr"/>
      <c r="M617" s="5" t="inlineStr"/>
      <c r="N617" s="5" t="inlineStr"/>
      <c r="O617" s="6" t="inlineStr"/>
      <c r="P617" s="6" t="inlineStr"/>
      <c r="Q617" s="5" t="inlineStr">
        <is>
          <t>Bütçe Tablocusu</t>
        </is>
      </c>
      <c r="R617" s="5" t="inlineStr"/>
      <c r="S617" s="5" t="inlineStr"/>
      <c r="T617" s="5" t="inlineStr"/>
      <c r="U617" s="5" t="inlineStr"/>
      <c r="V617" s="5" t="inlineStr"/>
      <c r="W617" s="5" t="inlineStr"/>
      <c r="X617" s="5" t="inlineStr"/>
      <c r="Y617" s="5" t="inlineStr"/>
      <c r="Z617" s="6" t="inlineStr"/>
      <c r="AA617" s="5" t="inlineStr"/>
      <c r="AB617" s="5" t="inlineStr"/>
      <c r="AC617" s="5" t="inlineStr"/>
      <c r="AD617" s="5" t="inlineStr"/>
      <c r="AE617" s="5" t="inlineStr"/>
      <c r="AF617" s="5" t="inlineStr"/>
      <c r="AG617" s="5" t="inlineStr"/>
      <c r="AH617" s="5" t="inlineStr"/>
      <c r="AI617" s="5" t="inlineStr"/>
      <c r="AJ617" s="5" t="inlineStr"/>
    </row>
    <row r="618">
      <c r="A618" s="5" t="inlineStr">
        <is>
          <t>b6-ilk-vergi</t>
        </is>
      </c>
      <c r="B618" s="5" t="n">
        <v>4</v>
      </c>
      <c r="C618" s="6" t="inlineStr">
        <is>
          <t>Sıradakinin formuna göz at</t>
        </is>
      </c>
      <c r="D618" s="5" t="inlineStr">
        <is>
          <t>Kurnazlık</t>
        </is>
      </c>
      <c r="E618" s="5" t="inlineStr">
        <is>
          <t>Orta</t>
        </is>
      </c>
      <c r="F618" s="5" t="inlineStr"/>
      <c r="G618" s="6" t="inlineStr"/>
      <c r="H618" s="6" t="inlineStr">
        <is>
          <t>Onun cevaplarına bakıp doldurdun. Doğruymuş. İkiniz de şaşırdınız.</t>
        </is>
      </c>
      <c r="I618" s="6" t="inlineStr">
        <is>
          <t>Sıradaki bir mali müşavirmiş. Formunu da doldurdu, kartını da verdi.</t>
        </is>
      </c>
      <c r="J618" s="6" t="inlineStr">
        <is>
          <t>O bir şirket formu dolduruyormuş. Senin formun şimdi bir şirketi anlatıyor.</t>
        </is>
      </c>
      <c r="K618" s="6" t="inlineStr">
        <is>
          <t>Sıradakinin formuna eğildin. Adam yüksek sesle sordu: “Kopya mı çekiyorsun?” Bütün daire sana döndü, memur gözlüğünün üstünden baktı. Formun kalanını kolunla kapatarak doldurdun.</t>
        </is>
      </c>
      <c r="L618" s="6" t="inlineStr"/>
      <c r="M618" s="5" t="inlineStr"/>
      <c r="N618" s="5" t="inlineStr"/>
      <c r="O618" s="6" t="inlineStr"/>
      <c r="P618" s="6" t="inlineStr"/>
      <c r="Q618" s="5" t="inlineStr"/>
      <c r="R618" s="5" t="inlineStr"/>
      <c r="S618" s="5" t="inlineStr"/>
      <c r="T618" s="5" t="inlineStr"/>
      <c r="U618" s="5" t="inlineStr"/>
      <c r="V618" s="5" t="inlineStr"/>
      <c r="W618" s="5" t="inlineStr"/>
      <c r="X618" s="5" t="inlineStr"/>
      <c r="Y618" s="5" t="inlineStr"/>
      <c r="Z618" s="6" t="inlineStr"/>
      <c r="AA618" s="5" t="inlineStr"/>
      <c r="AB618" s="5" t="inlineStr"/>
      <c r="AC618" s="5" t="inlineStr"/>
      <c r="AD618" s="5" t="inlineStr"/>
      <c r="AE618" s="5" t="inlineStr"/>
      <c r="AF618" s="5" t="inlineStr"/>
      <c r="AG618" s="5" t="inlineStr"/>
      <c r="AH618" s="5" t="inlineStr"/>
      <c r="AI618" s="5" t="inlineStr"/>
      <c r="AJ618" s="5" t="inlineStr"/>
    </row>
    <row r="619">
      <c r="A619" s="5" t="inlineStr">
        <is>
          <t>b6-kombi</t>
        </is>
      </c>
      <c r="B619" s="5" t="n">
        <v>1</v>
      </c>
      <c r="C619" s="6" t="inlineStr">
        <is>
          <t>Üç gün bekle</t>
        </is>
      </c>
      <c r="D619" s="5" t="inlineStr"/>
      <c r="E619" s="5" t="inlineStr"/>
      <c r="F619" s="5" t="inlineStr">
        <is>
          <t>Dayanıklılık +1</t>
        </is>
      </c>
      <c r="G619" s="6" t="inlineStr">
        <is>
          <t>Üç gün battaniye altında yaşadın. Tamirci bir düğmeye bastı: 'Bu kadar.' Fatura bu kadar değildi.</t>
        </is>
      </c>
      <c r="H619" s="6" t="inlineStr"/>
      <c r="I619" s="6" t="inlineStr"/>
      <c r="J619" s="6" t="inlineStr"/>
      <c r="K619" s="6" t="inlineStr"/>
      <c r="L619" s="6" t="inlineStr"/>
      <c r="M619" s="5" t="inlineStr"/>
      <c r="N619" s="5" t="inlineStr"/>
      <c r="O619" s="6" t="inlineStr"/>
      <c r="P619" s="6" t="inlineStr"/>
      <c r="Q619" s="5" t="inlineStr"/>
      <c r="R619" s="5" t="inlineStr"/>
      <c r="S619" s="5" t="inlineStr"/>
      <c r="T619" s="5" t="inlineStr"/>
      <c r="U619" s="5" t="inlineStr"/>
      <c r="V619" s="5" t="inlineStr"/>
      <c r="W619" s="5" t="inlineStr"/>
      <c r="X619" s="5" t="inlineStr"/>
      <c r="Y619" s="5" t="inlineStr"/>
      <c r="Z619" s="6" t="inlineStr"/>
      <c r="AA619" s="5" t="inlineStr"/>
      <c r="AB619" s="5" t="inlineStr"/>
      <c r="AC619" s="5" t="inlineStr"/>
      <c r="AD619" s="5" t="inlineStr"/>
      <c r="AE619" s="5" t="inlineStr"/>
      <c r="AF619" s="5" t="inlineStr"/>
      <c r="AG619" s="5" t="inlineStr"/>
      <c r="AH619" s="5" t="inlineStr"/>
      <c r="AI619" s="5" t="inlineStr"/>
      <c r="AJ619" s="5" t="inlineStr"/>
    </row>
    <row r="620">
      <c r="A620" s="5" t="inlineStr">
        <is>
          <t>b6-kombi</t>
        </is>
      </c>
      <c r="B620" s="5" t="n">
        <v>2</v>
      </c>
      <c r="C620" s="6" t="inlineStr">
        <is>
          <t>Videoya bakıp kendin tamir et</t>
        </is>
      </c>
      <c r="D620" s="5" t="inlineStr">
        <is>
          <t>Akıl</t>
        </is>
      </c>
      <c r="E620" s="5" t="inlineStr">
        <is>
          <t>Zor</t>
        </is>
      </c>
      <c r="F620" s="5" t="inlineStr"/>
      <c r="G620" s="6" t="inlineStr"/>
      <c r="H620" s="6" t="inlineStr">
        <is>
          <t>İki vida, bir düğme ve kombi çalıştı. Kendine kahraman gözüyle bakıyorsun. Haklısın.</t>
        </is>
      </c>
      <c r="I620" s="6" t="inlineStr">
        <is>
          <t>Kombiyi tamir edip ayarını da düzelttin; fatura düştü. Apartman yöneticisi seni kat kat tanıttı: “Bizim kombici.” Artık her kış kapın çalınıyor.</t>
        </is>
      </c>
      <c r="J620" s="6" t="inlineStr">
        <is>
          <t>İki vidayı söktün, üçüncü bir vida çıktı. Yeri yok. Tamirciyi yine bekliyorsun, ek ücretle.</t>
        </is>
      </c>
      <c r="K620" s="6" t="inlineStr">
        <is>
          <t>Kombi artık sıcak su yerine hafif bir melodi çalıyor. Tamirci dinledi: 'Bu yeni.'</t>
        </is>
      </c>
      <c r="L620" s="6" t="inlineStr"/>
      <c r="M620" s="5" t="inlineStr"/>
      <c r="N620" s="5" t="inlineStr"/>
      <c r="O620" s="6" t="inlineStr"/>
      <c r="P620" s="6" t="inlineStr"/>
      <c r="Q620" s="5" t="inlineStr"/>
      <c r="R620" s="5" t="inlineStr"/>
      <c r="S620" s="5" t="inlineStr"/>
      <c r="T620" s="5" t="inlineStr"/>
      <c r="U620" s="5" t="inlineStr"/>
      <c r="V620" s="5" t="inlineStr"/>
      <c r="W620" s="5" t="inlineStr"/>
      <c r="X620" s="5" t="inlineStr"/>
      <c r="Y620" s="5" t="n">
        <v>3</v>
      </c>
      <c r="Z620" s="6" t="inlineStr">
        <is>
          <t>Kombiyi internetteki bir videoya bakarak tamir ederken. Video hâlâ 'Çok basit' diyor.</t>
        </is>
      </c>
      <c r="AA620" s="5" t="inlineStr"/>
      <c r="AB620" s="5" t="inlineStr"/>
      <c r="AC620" s="5" t="inlineStr"/>
      <c r="AD620" s="5" t="inlineStr"/>
      <c r="AE620" s="5" t="inlineStr"/>
      <c r="AF620" s="5" t="inlineStr"/>
      <c r="AG620" s="5" t="inlineStr"/>
      <c r="AH620" s="5" t="inlineStr"/>
      <c r="AI620" s="5" t="inlineStr"/>
      <c r="AJ620" s="5" t="inlineStr"/>
    </row>
    <row r="621">
      <c r="A621" s="5" t="inlineStr">
        <is>
          <t>b6-kombi</t>
        </is>
      </c>
      <c r="B621" s="5" t="n">
        <v>3</v>
      </c>
      <c r="C621" s="6" t="inlineStr">
        <is>
          <t>Alt kattaki kombiciyle barış</t>
        </is>
      </c>
      <c r="D621" s="5" t="inlineStr">
        <is>
          <t>Çene</t>
        </is>
      </c>
      <c r="E621" s="5" t="inlineStr">
        <is>
          <t>Orta</t>
        </is>
      </c>
      <c r="F621" s="5" t="inlineStr"/>
      <c r="G621" s="6" t="inlineStr"/>
      <c r="H621" s="6" t="inlineStr">
        <is>
          <t>Otopark meselesini kapattınız. Kombi yarım saatte açıldı.</t>
        </is>
      </c>
      <c r="I621" s="6" t="inlineStr">
        <is>
          <t>Barıştınız, kombi çalıştı, otopark yeri de sana kaldı. Kış boyu birlikte çay içiyorsunuz.</t>
        </is>
      </c>
      <c r="J621" s="6" t="inlineStr">
        <is>
          <t>Sen 'Kombi' dedin, o 'Otopark' dedi. Kapı kapandı.</t>
        </is>
      </c>
      <c r="K621" s="6" t="inlineStr">
        <is>
          <t>Otopark meselesini yeniden açtın. Hem soğuktasın hem apartman grubunda bir oylamanın konususun.</t>
        </is>
      </c>
      <c r="L621" s="6" t="inlineStr"/>
      <c r="M621" s="5" t="inlineStr"/>
      <c r="N621" s="5" t="inlineStr"/>
      <c r="O621" s="6" t="inlineStr"/>
      <c r="P621" s="6" t="inlineStr"/>
      <c r="Q621" s="5" t="inlineStr"/>
      <c r="R621" s="5" t="inlineStr"/>
      <c r="S621" s="5" t="inlineStr">
        <is>
          <t>Kurnazlık</t>
        </is>
      </c>
      <c r="T621" s="5" t="inlineStr"/>
      <c r="U621" s="5" t="inlineStr"/>
      <c r="V621" s="5" t="inlineStr"/>
      <c r="W621" s="5" t="inlineStr"/>
      <c r="X621" s="5" t="inlineStr"/>
      <c r="Y621" s="5" t="inlineStr"/>
      <c r="Z621" s="6" t="inlineStr"/>
      <c r="AA621" s="5" t="inlineStr"/>
      <c r="AB621" s="5" t="inlineStr"/>
      <c r="AC621" s="5" t="inlineStr"/>
      <c r="AD621" s="5" t="inlineStr"/>
      <c r="AE621" s="5" t="inlineStr"/>
      <c r="AF621" s="5" t="inlineStr"/>
      <c r="AG621" s="5" t="inlineStr"/>
      <c r="AH621" s="5" t="inlineStr"/>
      <c r="AI621" s="5" t="inlineStr"/>
      <c r="AJ621" s="5" t="inlineStr"/>
    </row>
    <row r="622">
      <c r="A622" s="5" t="inlineStr">
        <is>
          <t>b6-kombi</t>
        </is>
      </c>
      <c r="B622" s="5" t="n">
        <v>4</v>
      </c>
      <c r="C622" s="6" t="inlineStr">
        <is>
          <t>Ustadan kalma numarayı dene</t>
        </is>
      </c>
      <c r="D622" s="5" t="inlineStr">
        <is>
          <t>Dayanıklılık</t>
        </is>
      </c>
      <c r="E622" s="5" t="inlineStr">
        <is>
          <t>Kolay</t>
        </is>
      </c>
      <c r="F622" s="5" t="inlineStr"/>
      <c r="G622" s="6" t="inlineStr"/>
      <c r="H622" s="6" t="inlineStr">
        <is>
          <t>Ustanın numarasıyla kombiye nazikçe vurdun. Çalıştı. Usta gurur duyardı.</t>
        </is>
      </c>
      <c r="I622" s="6" t="inlineStr">
        <is>
          <t>Kombiyi söktün, temizledin, taktın; bir saatte ev ısındı. Akşam alt kattaki teyze bir tabak dolmayla kapını çaldı: “Bizimki de soğuk evladım.” O kış apartmanın yarısının kombisini dolmaya tamir ettin.</t>
        </is>
      </c>
      <c r="J622" s="6" t="inlineStr">
        <is>
          <t>Numarayı denedin. Kombi usta ile hiç tanışmamıştı, anlamadı.</t>
        </is>
      </c>
      <c r="K622" s="6" t="inlineStr">
        <is>
          <t>Ustanın numarasıyla kombiye vurdun. Kombi durdu; bir dakika sonra bütün apartmanın sıcak suyu da. Üst kattaki teyze başında havluyla merdivene çıktı: “Kim dokundu kombiye?” Bütün kapılar aynı anda açıldı; hepsi sana baktı.</t>
        </is>
      </c>
      <c r="L622" s="6" t="inlineStr"/>
      <c r="M622" s="5" t="inlineStr"/>
      <c r="N622" s="5" t="inlineStr"/>
      <c r="O622" s="6" t="inlineStr"/>
      <c r="P622" s="6" t="inlineStr"/>
      <c r="Q622" s="5" t="inlineStr"/>
      <c r="R622" s="5" t="inlineStr">
        <is>
          <t>usta-eli</t>
        </is>
      </c>
      <c r="S622" s="5" t="inlineStr"/>
      <c r="T622" s="5" t="inlineStr"/>
      <c r="U622" s="5" t="inlineStr"/>
      <c r="V622" s="5" t="inlineStr"/>
      <c r="W622" s="5" t="inlineStr"/>
      <c r="X622" s="5" t="inlineStr"/>
      <c r="Y622" s="5" t="inlineStr"/>
      <c r="Z622" s="6" t="inlineStr"/>
      <c r="AA622" s="5" t="inlineStr"/>
      <c r="AB622" s="5" t="inlineStr"/>
      <c r="AC622" s="5" t="inlineStr"/>
      <c r="AD622" s="5" t="inlineStr"/>
      <c r="AE622" s="5" t="inlineStr"/>
      <c r="AF622" s="5" t="inlineStr"/>
      <c r="AG622" s="5" t="inlineStr"/>
      <c r="AH622" s="5" t="inlineStr"/>
      <c r="AI622" s="5" t="inlineStr"/>
      <c r="AJ622" s="5" t="inlineStr"/>
    </row>
    <row r="623">
      <c r="A623" s="5" t="inlineStr">
        <is>
          <t>b7-kira-artisi</t>
        </is>
      </c>
      <c r="B623" s="5" t="n">
        <v>1</v>
      </c>
      <c r="C623" s="6" t="inlineStr">
        <is>
          <t>Kabul et</t>
        </is>
      </c>
      <c r="D623" s="5" t="inlineStr"/>
      <c r="E623" s="5" t="inlineStr"/>
      <c r="F623" s="5" t="inlineStr">
        <is>
          <t>Dayanıklılık +1</t>
        </is>
      </c>
      <c r="G623" s="6" t="inlineStr">
        <is>
          <t>Artışı kabul ettin. Ev sahibi “Sen bizim evladımız gibisin” dedi; evladına da aynı zammı yapardı. Akşam annen aradı: “Gel bizde kal.” Teklif her ay yenileniyor.</t>
        </is>
      </c>
      <c r="H623" s="6" t="inlineStr"/>
      <c r="I623" s="6" t="inlineStr"/>
      <c r="J623" s="6" t="inlineStr"/>
      <c r="K623" s="6" t="inlineStr"/>
      <c r="L623" s="6" t="inlineStr"/>
      <c r="M623" s="5" t="inlineStr"/>
      <c r="N623" s="5" t="inlineStr"/>
      <c r="O623" s="6" t="inlineStr"/>
      <c r="P623" s="6" t="inlineStr"/>
      <c r="Q623" s="5" t="inlineStr"/>
      <c r="R623" s="5" t="inlineStr"/>
      <c r="S623" s="5" t="inlineStr"/>
      <c r="T623" s="5" t="inlineStr"/>
      <c r="U623" s="5" t="inlineStr"/>
      <c r="V623" s="5" t="inlineStr"/>
      <c r="W623" s="5" t="inlineStr"/>
      <c r="X623" s="5" t="inlineStr"/>
      <c r="Y623" s="5" t="inlineStr"/>
      <c r="Z623" s="6" t="inlineStr"/>
      <c r="AA623" s="5" t="inlineStr"/>
      <c r="AB623" s="5" t="inlineStr"/>
      <c r="AC623" s="5" t="inlineStr"/>
      <c r="AD623" s="5" t="inlineStr"/>
      <c r="AE623" s="5" t="inlineStr"/>
      <c r="AF623" s="5" t="inlineStr"/>
      <c r="AG623" s="5" t="inlineStr"/>
      <c r="AH623" s="5" t="inlineStr"/>
      <c r="AI623" s="5" t="inlineStr"/>
      <c r="AJ623" s="5" t="inlineStr"/>
    </row>
    <row r="624">
      <c r="A624" s="5" t="inlineStr">
        <is>
          <t>b7-kira-artisi</t>
        </is>
      </c>
      <c r="B624" s="5" t="n">
        <v>2</v>
      </c>
      <c r="C624" s="6" t="inlineStr">
        <is>
          <t>Pazarlık et</t>
        </is>
      </c>
      <c r="D624" s="5" t="inlineStr">
        <is>
          <t>Çene</t>
        </is>
      </c>
      <c r="E624" s="5" t="inlineStr">
        <is>
          <t>Orta</t>
        </is>
      </c>
      <c r="F624" s="5" t="inlineStr"/>
      <c r="G624" s="6" t="inlineStr"/>
      <c r="H624" s="6" t="inlineStr">
        <is>
          <t>Artışı biraz aşağı çektin. Ev sahibi 'Sen de haklısın' dedi; bu cümle ilk kez senin lehine kullanıldı.</t>
        </is>
      </c>
      <c r="I624" s="6" t="inlineStr">
        <is>
          <t>Ev sahibi zammı geri aldı, üstüne kombiyi de yeniletti. Kombiyi takan usta fısıldadı: “Yirmi yıldır bu adamın evlerine gelirim, kazanan kiracıyı ilk kez görüyorum.”</t>
        </is>
      </c>
      <c r="J624" s="6" t="inlineStr">
        <is>
          <t>Pazarlık ettin. Ev sahibi “Düşüneyim” dedi; ertesi sabah aynı rakamı bu kez “Kusura bakma” diye bitirerek gönderdi.</t>
        </is>
      </c>
      <c r="K624" s="6" t="inlineStr">
        <is>
          <t>Pazarlık ettin; ev sahibi emlakçı yeğenini arayıp hoparlörü açtı. Yeğen “Dayı, bu muhitte bu fiyata ev mi kaldı?” dedi; ikinci cümlede zam iki katına çıktı. Ev sahibi kapıda omzunu sıvazladı: “Araya ben girdim, yoksa daha fazlasını isterdi.”</t>
        </is>
      </c>
      <c r="L624" s="6" t="inlineStr"/>
      <c r="M624" s="5" t="inlineStr"/>
      <c r="N624" s="5" t="inlineStr"/>
      <c r="O624" s="6" t="inlineStr"/>
      <c r="P624" s="6" t="inlineStr"/>
      <c r="Q624" s="5" t="inlineStr"/>
      <c r="R624" s="5" t="inlineStr"/>
      <c r="S624" s="5" t="inlineStr"/>
      <c r="T624" s="5" t="inlineStr"/>
      <c r="U624" s="5" t="inlineStr"/>
      <c r="V624" s="5" t="inlineStr"/>
      <c r="W624" s="5" t="inlineStr"/>
      <c r="X624" s="5" t="inlineStr"/>
      <c r="Y624" s="5" t="inlineStr"/>
      <c r="Z624" s="6" t="inlineStr"/>
      <c r="AA624" s="5" t="inlineStr"/>
      <c r="AB624" s="5" t="inlineStr"/>
      <c r="AC624" s="5" t="inlineStr"/>
      <c r="AD624" s="5" t="inlineStr"/>
      <c r="AE624" s="5" t="inlineStr"/>
      <c r="AF624" s="5" t="inlineStr"/>
      <c r="AG624" s="5" t="inlineStr"/>
      <c r="AH624" s="5" t="inlineStr"/>
      <c r="AI624" s="5" t="inlineStr"/>
      <c r="AJ624" s="5" t="inlineStr"/>
    </row>
    <row r="625">
      <c r="A625" s="5" t="inlineStr">
        <is>
          <t>b7-kira-artisi</t>
        </is>
      </c>
      <c r="B625" s="5" t="n">
        <v>3</v>
      </c>
      <c r="C625" s="6" t="inlineStr">
        <is>
          <t>'Kızınız dönüyor, değil mi?' de</t>
        </is>
      </c>
      <c r="D625" s="5" t="inlineStr">
        <is>
          <t>Sosyal Radar</t>
        </is>
      </c>
      <c r="E625" s="5" t="inlineStr">
        <is>
          <t>Kolay</t>
        </is>
      </c>
      <c r="F625" s="5" t="inlineStr"/>
      <c r="G625" s="6" t="inlineStr"/>
      <c r="H625" s="6" t="inlineStr">
        <is>
          <t>Ev sahibi sustu. Sonra “Bir yıl daha kalın, eski rakamdan” dedi. Kapıda kızının döndüğünü nereden bildiğini sordu; söylemedin.</t>
        </is>
      </c>
      <c r="I625" s="6" t="inlineStr">
        <is>
          <t>Ev sahibi o kadar etkilendi ki kızının taşınmasına yardım etmeni rica etti. Kira donduruldu, sen koli taşıdın.</t>
        </is>
      </c>
      <c r="J625" s="6" t="inlineStr">
        <is>
          <t>Kızı dönmüyormuş, oğlu evleniyormuş. Üç yıldır evleniyor. Artış yerinde kaldı.</t>
        </is>
      </c>
      <c r="K625" s="6" t="inlineStr">
        <is>
          <t>Kızı dönmüyormuş; sen söyleyince ev sahibinin aklına yattı. O akşam kızını aradı: “Gel, ev boşalıyor.” Ay sonunda noterden kâğıt geldi; ev sahibi merdivende elini sıktı: “Sağ ol evladım, sen olmasan aklıma gelmezdi.”</t>
        </is>
      </c>
      <c r="L625" s="6" t="inlineStr"/>
      <c r="M625" s="5" t="inlineStr"/>
      <c r="N625" s="5" t="inlineStr"/>
      <c r="O625" s="6" t="inlineStr"/>
      <c r="P625" s="6" t="inlineStr"/>
      <c r="Q625" s="5" t="inlineStr"/>
      <c r="R625" s="5" t="inlineStr"/>
      <c r="S625" s="5" t="inlineStr">
        <is>
          <t>Sosyal Radar</t>
        </is>
      </c>
      <c r="T625" s="5" t="inlineStr"/>
      <c r="U625" s="5" t="inlineStr"/>
      <c r="V625" s="5" t="inlineStr"/>
      <c r="W625" s="5" t="inlineStr"/>
      <c r="X625" s="5" t="inlineStr"/>
      <c r="Y625" s="5" t="inlineStr"/>
      <c r="Z625" s="6" t="inlineStr"/>
      <c r="AA625" s="5" t="inlineStr"/>
      <c r="AB625" s="5" t="inlineStr"/>
      <c r="AC625" s="5" t="inlineStr"/>
      <c r="AD625" s="5" t="inlineStr"/>
      <c r="AE625" s="5" t="inlineStr"/>
      <c r="AF625" s="5" t="inlineStr"/>
      <c r="AG625" s="5" t="inlineStr"/>
      <c r="AH625" s="5" t="inlineStr"/>
      <c r="AI625" s="5" t="inlineStr"/>
      <c r="AJ625" s="5" t="inlineStr"/>
    </row>
    <row r="626">
      <c r="A626" s="5" t="inlineStr">
        <is>
          <t>b7-kira-artisi</t>
        </is>
      </c>
      <c r="B626" s="5" t="n">
        <v>4</v>
      </c>
      <c r="C626" s="6" t="inlineStr">
        <is>
          <t>'Ben zaten ev bakıyordum' de</t>
        </is>
      </c>
      <c r="D626" s="5" t="inlineStr">
        <is>
          <t>Pişkinlik</t>
        </is>
      </c>
      <c r="E626" s="5" t="inlineStr">
        <is>
          <t>Orta</t>
        </is>
      </c>
      <c r="F626" s="5" t="inlineStr"/>
      <c r="G626" s="6" t="inlineStr"/>
      <c r="H626" s="6" t="inlineStr">
        <is>
          <t>Ev sahibi bir an boş evi, boş evin kombisini, kombinin kışını düşündü. “Eh, sen de eski kiracısın” dedi; artış yarıya indi.</t>
        </is>
      </c>
      <c r="I626" s="6" t="inlineStr">
        <is>
          <t>Blöfün öyle inandırıcıydı ki ev sahibi seni kalman için ikna etmeye çalıştı. Kira sabitlendi, üstüne tatlı geldi.</t>
        </is>
      </c>
      <c r="J626" s="6" t="inlineStr">
        <is>
          <t>Ev sahibi 'Tabii, bak' dedi. Sen de baktın. Bakacak bir şey yoktu.</t>
        </is>
      </c>
      <c r="K626" s="6" t="inlineStr">
        <is>
          <t>Ev sahibi “Harika, yarın gösterime açıyorum” dedi. Ertesi sabah emlakçı arkasında üç aileyle kapındaydı. Pijamanla salonu gezdirdin; biri buzdolabını açıp sordu: “Siz ne zaman çıkıyorsunuz?”</t>
        </is>
      </c>
      <c r="L626" s="6" t="inlineStr"/>
      <c r="M626" s="5" t="inlineStr"/>
      <c r="N626" s="5" t="inlineStr"/>
      <c r="O626" s="6" t="inlineStr"/>
      <c r="P626" s="6" t="inlineStr"/>
      <c r="Q626" s="5" t="inlineStr">
        <is>
          <t>Yüzü Kızarmaz</t>
        </is>
      </c>
      <c r="R626" s="5" t="inlineStr"/>
      <c r="S626" s="5" t="inlineStr"/>
      <c r="T626" s="5" t="inlineStr"/>
      <c r="U626" s="5" t="inlineStr"/>
      <c r="V626" s="5" t="inlineStr"/>
      <c r="W626" s="5" t="inlineStr"/>
      <c r="X626" s="5" t="inlineStr"/>
      <c r="Y626" s="5" t="inlineStr"/>
      <c r="Z626" s="6" t="inlineStr"/>
      <c r="AA626" s="5" t="inlineStr"/>
      <c r="AB626" s="5" t="inlineStr"/>
      <c r="AC626" s="5" t="inlineStr"/>
      <c r="AD626" s="5" t="inlineStr"/>
      <c r="AE626" s="5" t="inlineStr"/>
      <c r="AF626" s="5" t="inlineStr"/>
      <c r="AG626" s="5" t="inlineStr"/>
      <c r="AH626" s="5" t="inlineStr"/>
      <c r="AI626" s="5" t="inlineStr"/>
      <c r="AJ626" s="5" t="inlineStr"/>
    </row>
    <row r="627">
      <c r="A627" s="5" t="inlineStr">
        <is>
          <t>b7-eski-sinif-arkadasi</t>
        </is>
      </c>
      <c r="B627" s="5" t="n">
        <v>1</v>
      </c>
      <c r="C627" s="6" t="inlineStr">
        <is>
          <t>Tebrik et</t>
        </is>
      </c>
      <c r="D627" s="5" t="inlineStr"/>
      <c r="E627" s="5" t="inlineStr"/>
      <c r="F627" s="5" t="inlineStr">
        <is>
          <t>İtibar +1</t>
        </is>
      </c>
      <c r="G627" s="6" t="inlineStr">
        <is>
          <t>“Çok sevindim, yolun açık olsun” yazdın. Yazarken dişlerini sıktın. Annen yorumunu görünce aradı: “Sen de bir şey yapsana artık.”</t>
        </is>
      </c>
      <c r="H627" s="6" t="inlineStr"/>
      <c r="I627" s="6" t="inlineStr"/>
      <c r="J627" s="6" t="inlineStr"/>
      <c r="K627" s="6" t="inlineStr"/>
      <c r="L627" s="6" t="inlineStr"/>
      <c r="M627" s="5" t="inlineStr"/>
      <c r="N627" s="5" t="inlineStr"/>
      <c r="O627" s="6" t="inlineStr"/>
      <c r="P627" s="6" t="inlineStr"/>
      <c r="Q627" s="5" t="inlineStr"/>
      <c r="R627" s="5" t="inlineStr"/>
      <c r="S627" s="5" t="inlineStr"/>
      <c r="T627" s="5" t="inlineStr"/>
      <c r="U627" s="5" t="inlineStr"/>
      <c r="V627" s="5" t="inlineStr"/>
      <c r="W627" s="5" t="inlineStr"/>
      <c r="X627" s="5" t="inlineStr"/>
      <c r="Y627" s="5" t="inlineStr"/>
      <c r="Z627" s="6" t="inlineStr"/>
      <c r="AA627" s="5" t="inlineStr"/>
      <c r="AB627" s="5" t="inlineStr"/>
      <c r="AC627" s="5" t="inlineStr"/>
      <c r="AD627" s="5" t="inlineStr"/>
      <c r="AE627" s="5" t="inlineStr"/>
      <c r="AF627" s="5" t="inlineStr"/>
      <c r="AG627" s="5" t="inlineStr"/>
      <c r="AH627" s="5" t="inlineStr"/>
      <c r="AI627" s="5" t="inlineStr"/>
      <c r="AJ627" s="5" t="inlineStr"/>
    </row>
    <row r="628">
      <c r="A628" s="5" t="inlineStr">
        <is>
          <t>b7-eski-sinif-arkadasi</t>
        </is>
      </c>
      <c r="B628" s="5" t="n">
        <v>2</v>
      </c>
      <c r="C628" s="6" t="inlineStr">
        <is>
          <t>Fotoğrafı büyütüp ofisi incele</t>
        </is>
      </c>
      <c r="D628" s="5" t="inlineStr"/>
      <c r="E628" s="5" t="inlineStr"/>
      <c r="F628" s="5" t="inlineStr">
        <is>
          <t>Sosyal Radar +1</t>
        </is>
      </c>
      <c r="G628" s="6" t="inlineStr">
        <is>
          <t>Ofisin arkasındaki bitki yapaymış. Bu bilgi seni gereğinden fazla rahatlattı.</t>
        </is>
      </c>
      <c r="H628" s="6" t="inlineStr"/>
      <c r="I628" s="6" t="inlineStr"/>
      <c r="J628" s="6" t="inlineStr"/>
      <c r="K628" s="6" t="inlineStr"/>
      <c r="L628" s="6" t="inlineStr"/>
      <c r="M628" s="5" t="inlineStr"/>
      <c r="N628" s="5" t="inlineStr"/>
      <c r="O628" s="6" t="inlineStr"/>
      <c r="P628" s="6" t="inlineStr"/>
      <c r="Q628" s="5" t="inlineStr"/>
      <c r="R628" s="5" t="inlineStr"/>
      <c r="S628" s="5" t="inlineStr"/>
      <c r="T628" s="5" t="inlineStr"/>
      <c r="U628" s="5" t="inlineStr"/>
      <c r="V628" s="5" t="inlineStr"/>
      <c r="W628" s="5" t="inlineStr"/>
      <c r="X628" s="5" t="inlineStr"/>
      <c r="Y628" s="5" t="inlineStr"/>
      <c r="Z628" s="6" t="inlineStr"/>
      <c r="AA628" s="5" t="inlineStr"/>
      <c r="AB628" s="5" t="inlineStr"/>
      <c r="AC628" s="5" t="inlineStr"/>
      <c r="AD628" s="5" t="inlineStr"/>
      <c r="AE628" s="5" t="inlineStr"/>
      <c r="AF628" s="5" t="inlineStr"/>
      <c r="AG628" s="5" t="inlineStr"/>
      <c r="AH628" s="5" t="inlineStr"/>
      <c r="AI628" s="5" t="inlineStr"/>
      <c r="AJ628" s="5" t="inlineStr"/>
    </row>
    <row r="629">
      <c r="A629" s="5" t="inlineStr">
        <is>
          <t>b7-eski-sinif-arkadasi</t>
        </is>
      </c>
      <c r="B629" s="5" t="n">
        <v>3</v>
      </c>
      <c r="C629" s="6" t="inlineStr">
        <is>
          <t>'Bir kahve içelim' yaz</t>
        </is>
      </c>
      <c r="D629" s="5" t="inlineStr">
        <is>
          <t>Çene</t>
        </is>
      </c>
      <c r="E629" s="5" t="inlineStr">
        <is>
          <t>Orta</t>
        </is>
      </c>
      <c r="F629" s="5" t="inlineStr"/>
      <c r="G629" s="6" t="inlineStr"/>
      <c r="H629" s="6" t="inlineStr">
        <is>
          <t>Kahve içtiniz. Başarının sırrını sordun; “Sabah beşte kalkıyorum” dedi. Eve dönünce alarmı beşe kurdun. Sabah beşte kapattın.</t>
        </is>
      </c>
      <c r="I629" s="6" t="inlineStr">
        <is>
          <t>Kahvenin sonunda sana iş teklif etti. Sınıfın en sessizi artık patronun; toplantılarda o susuyor, sen konuşuyorsun.</t>
        </is>
      </c>
      <c r="J629" s="6" t="inlineStr">
        <is>
          <t>Mesajın üç gündür “görüldü”de. Dördüncü gün yeni bir fotoğraf paylaştı: “Kahve molası.” Seninle değil.</t>
        </is>
      </c>
      <c r="K629" s="6" t="inlineStr">
        <is>
          <t>Kahvede sana 'yatırım fırsatı' anlattı. Anlatılan şeyin adı dijital paraydı. Kahveyi sen ödedin.</t>
        </is>
      </c>
      <c r="L629" s="6" t="inlineStr"/>
      <c r="M629" s="5" t="inlineStr"/>
      <c r="N629" s="5" t="inlineStr"/>
      <c r="O629" s="6" t="inlineStr"/>
      <c r="P629" s="6" t="inlineStr"/>
      <c r="Q629" s="5" t="inlineStr"/>
      <c r="R629" s="5" t="inlineStr"/>
      <c r="S629" s="5" t="inlineStr"/>
      <c r="T629" s="5" t="inlineStr"/>
      <c r="U629" s="5" t="inlineStr"/>
      <c r="V629" s="5" t="inlineStr"/>
      <c r="W629" s="5" t="inlineStr"/>
      <c r="X629" s="5" t="inlineStr"/>
      <c r="Y629" s="5" t="inlineStr"/>
      <c r="Z629" s="6" t="inlineStr"/>
      <c r="AA629" s="5" t="inlineStr"/>
      <c r="AB629" s="5" t="inlineStr"/>
      <c r="AC629" s="5" t="inlineStr"/>
      <c r="AD629" s="5" t="inlineStr"/>
      <c r="AE629" s="5" t="inlineStr"/>
      <c r="AF629" s="5" t="inlineStr"/>
      <c r="AG629" s="5" t="inlineStr"/>
      <c r="AH629" s="5" t="inlineStr"/>
      <c r="AI629" s="5" t="inlineStr"/>
      <c r="AJ629" s="5" t="inlineStr"/>
    </row>
    <row r="630">
      <c r="A630" s="5" t="inlineStr">
        <is>
          <t>b7-eski-sinif-arkadasi</t>
        </is>
      </c>
      <c r="B630" s="5" t="n">
        <v>4</v>
      </c>
      <c r="C630" s="6" t="inlineStr">
        <is>
          <t>Sınıf başkanı sıfatıyla mezunlar buluşması düzenle</t>
        </is>
      </c>
      <c r="D630" s="5" t="inlineStr">
        <is>
          <t>Sosyal Radar</t>
        </is>
      </c>
      <c r="E630" s="5" t="inlineStr">
        <is>
          <t>Orta</t>
        </is>
      </c>
      <c r="F630" s="5" t="inlineStr"/>
      <c r="G630" s="6" t="inlineStr"/>
      <c r="H630" s="6" t="inlineStr">
        <is>
          <t>Herkes geldi. Başarılı olan arkadaş son dakika iptal etti. Buluşmanın konusu o oldu.</t>
        </is>
      </c>
      <c r="I630" s="6" t="inlineStr">
        <is>
          <t>Herkes geldi, sınıf öğretmeniniz bile. Gece sonunda öğretmen seni kenara çekti: “Sen hâlâ başkansın evladım.” Garson da öyle bildi; hesabı sana getirdi.</t>
        </is>
      </c>
      <c r="J630" s="6" t="inlineStr">
        <is>
          <t>Buluşmaya dört kişi geldi. Üçü seni yanlışlıkla başka biri sandı.</t>
        </is>
      </c>
      <c r="K630" s="6" t="inlineStr">
        <is>
          <t>Buluşma grubunu kurdun; bir haftada 900 mesaj oldu. Önce bebek fotoğrafları, sonra kim kime borçlu, en son siyaset. Buluşmaya kimse gelmedi; grup hâlâ kavga ediyor, yöneticisi sensin.</t>
        </is>
      </c>
      <c r="L630" s="6" t="inlineStr"/>
      <c r="M630" s="5" t="inlineStr"/>
      <c r="N630" s="5" t="inlineStr"/>
      <c r="O630" s="6" t="inlineStr"/>
      <c r="P630" s="6" t="inlineStr"/>
      <c r="Q630" s="5" t="inlineStr"/>
      <c r="R630" s="5" t="inlineStr">
        <is>
          <t>baskan</t>
        </is>
      </c>
      <c r="S630" s="5" t="inlineStr"/>
      <c r="T630" s="5" t="inlineStr"/>
      <c r="U630" s="5" t="inlineStr"/>
      <c r="V630" s="5" t="inlineStr"/>
      <c r="W630" s="5" t="inlineStr"/>
      <c r="X630" s="5" t="inlineStr"/>
      <c r="Y630" s="5" t="inlineStr"/>
      <c r="Z630" s="6" t="inlineStr"/>
      <c r="AA630" s="5" t="inlineStr"/>
      <c r="AB630" s="5" t="inlineStr"/>
      <c r="AC630" s="5" t="inlineStr"/>
      <c r="AD630" s="5" t="inlineStr"/>
      <c r="AE630" s="5" t="inlineStr"/>
      <c r="AF630" s="5" t="inlineStr"/>
      <c r="AG630" s="5" t="inlineStr"/>
      <c r="AH630" s="5" t="inlineStr"/>
      <c r="AI630" s="5" t="inlineStr"/>
      <c r="AJ630" s="5" t="inlineStr"/>
    </row>
    <row r="631">
      <c r="A631" s="5" t="inlineStr">
        <is>
          <t>mb-eposta-yagmuru</t>
        </is>
      </c>
      <c r="B631" s="5" t="n">
        <v>1</v>
      </c>
      <c r="C631" s="6" t="inlineStr">
        <is>
          <t>Tek tek ayıkla</t>
        </is>
      </c>
      <c r="D631" s="5" t="inlineStr">
        <is>
          <t>Akıl</t>
        </is>
      </c>
      <c r="E631" s="5" t="inlineStr">
        <is>
          <t>Orta</t>
        </is>
      </c>
      <c r="F631" s="5" t="inlineStr"/>
      <c r="G631" s="6" t="inlineStr"/>
      <c r="H631" s="6" t="inlineStr">
        <is>
          <t>Gelen kutusu sıfırlandı. Otuz saniye boyunca huzur vardı.</t>
        </is>
      </c>
      <c r="I631" s="6" t="inlineStr">
        <is>
          <t>Sıfırladın, üstüne bir kural yazdın. 'Herkese Yanıt' e-postaları artık seni atlıyor.</t>
        </is>
      </c>
      <c r="J631" s="6" t="inlineStr">
        <is>
          <t>Önemli bir e-postayı arşivledin. Müşteri üç gün sonra 'Tamam o zaman' yazdı.</t>
        </is>
      </c>
      <c r="K631" s="6" t="inlineStr">
        <is>
          <t>Yanlışlıkla bütün şirkete “Tamam” yazdın. Önce yüz kişi “Neye tamam?” diye yanıtladı, sonra yüz kişi “Lütfen beni listeden çıkarın” diye. En son genel müdür yazdı: “Tamam.”</t>
        </is>
      </c>
      <c r="L631" s="6" t="inlineStr">
        <is>
          <t>Yarısını ayıkladın. Diğer yarısı hâlâ orada, sessizce çoğalıyor.</t>
        </is>
      </c>
      <c r="M631" s="5" t="inlineStr">
        <is>
          <t>hidden</t>
        </is>
      </c>
      <c r="N631" s="5" t="inlineStr">
        <is>
          <t>Önemli E-posta</t>
        </is>
      </c>
      <c r="O631" s="6" t="inlineStr">
        <is>
          <t>Gelen kutusunda gerçekten önemli tek e-postayı (📧) bul.</t>
        </is>
      </c>
      <c r="P631" s="6" t="inlineStr">
        <is>
          <t>{"target": "📧", "decoys": ["📰", "📢", "🎁", "🛍️", "📎"]}</t>
        </is>
      </c>
      <c r="Q631" s="5" t="inlineStr"/>
      <c r="R631" s="5" t="inlineStr"/>
      <c r="S631" s="5" t="inlineStr"/>
      <c r="T631" s="5" t="inlineStr"/>
      <c r="U631" s="5" t="inlineStr"/>
      <c r="V631" s="5" t="inlineStr"/>
      <c r="W631" s="5" t="inlineStr"/>
      <c r="X631" s="5" t="inlineStr"/>
      <c r="Y631" s="5" t="inlineStr"/>
      <c r="Z631" s="6" t="inlineStr"/>
      <c r="AA631" s="5" t="inlineStr"/>
      <c r="AB631" s="5" t="inlineStr"/>
      <c r="AC631" s="5" t="inlineStr"/>
      <c r="AD631" s="5" t="inlineStr"/>
      <c r="AE631" s="5" t="inlineStr"/>
      <c r="AF631" s="5" t="inlineStr"/>
      <c r="AG631" s="5" t="inlineStr"/>
      <c r="AH631" s="5" t="inlineStr"/>
      <c r="AI631" s="5" t="inlineStr"/>
      <c r="AJ631" s="5" t="inlineStr"/>
    </row>
    <row r="632">
      <c r="A632" s="5" t="inlineStr">
        <is>
          <t>mb-eposta-yagmuru</t>
        </is>
      </c>
      <c r="B632" s="5" t="n">
        <v>2</v>
      </c>
      <c r="C632" s="6" t="inlineStr">
        <is>
          <t>Hepsini okundu işaretle</t>
        </is>
      </c>
      <c r="D632" s="5" t="inlineStr"/>
      <c r="E632" s="5" t="inlineStr"/>
      <c r="F632" s="5" t="inlineStr">
        <is>
          <t>Pişkinlik +1</t>
        </is>
      </c>
      <c r="G632" s="6" t="inlineStr">
        <is>
          <t>Tek tıkla sıfırladın. Önemli olan tekrar yazar. Yazmadı. Demek önemli değilmiş.</t>
        </is>
      </c>
      <c r="H632" s="6" t="inlineStr"/>
      <c r="I632" s="6" t="inlineStr"/>
      <c r="J632" s="6" t="inlineStr"/>
      <c r="K632" s="6" t="inlineStr"/>
      <c r="L632" s="6" t="inlineStr"/>
      <c r="M632" s="5" t="inlineStr"/>
      <c r="N632" s="5" t="inlineStr"/>
      <c r="O632" s="6" t="inlineStr"/>
      <c r="P632" s="6" t="inlineStr"/>
      <c r="Q632" s="5" t="inlineStr"/>
      <c r="R632" s="5" t="inlineStr"/>
      <c r="S632" s="5" t="inlineStr"/>
      <c r="T632" s="5" t="inlineStr"/>
      <c r="U632" s="5" t="inlineStr"/>
      <c r="V632" s="5" t="inlineStr"/>
      <c r="W632" s="5" t="inlineStr"/>
      <c r="X632" s="5" t="inlineStr"/>
      <c r="Y632" s="5" t="inlineStr"/>
      <c r="Z632" s="6" t="inlineStr"/>
      <c r="AA632" s="5" t="inlineStr"/>
      <c r="AB632" s="5" t="inlineStr"/>
      <c r="AC632" s="5" t="inlineStr"/>
      <c r="AD632" s="5" t="inlineStr"/>
      <c r="AE632" s="5" t="inlineStr"/>
      <c r="AF632" s="5" t="inlineStr"/>
      <c r="AG632" s="5" t="inlineStr"/>
      <c r="AH632" s="5" t="inlineStr"/>
      <c r="AI632" s="5" t="inlineStr"/>
      <c r="AJ632" s="5" t="inlineStr"/>
    </row>
    <row r="633">
      <c r="A633" s="5" t="inlineStr">
        <is>
          <t>mb-eposta-yagmuru</t>
        </is>
      </c>
      <c r="B633" s="5" t="n">
        <v>3</v>
      </c>
      <c r="C633" s="6" t="inlineStr">
        <is>
          <t>Otomatik yanıtı bir hafta daha açık tut</t>
        </is>
      </c>
      <c r="D633" s="5" t="inlineStr">
        <is>
          <t>Kurnazlık</t>
        </is>
      </c>
      <c r="E633" s="5" t="inlineStr">
        <is>
          <t>Kolay</t>
        </is>
      </c>
      <c r="F633" s="5" t="inlineStr"/>
      <c r="G633" s="6" t="inlineStr"/>
      <c r="H633" s="6" t="inlineStr">
        <is>
          <t>Tatil fiziksel olarak bitti, dijital olarak sürüyor. Bir hafta kimse senden bir şey istemedi.</t>
        </is>
      </c>
      <c r="I633" s="6" t="inlineStr">
        <is>
          <t>Otomatik yanıtın o kadar ikna ediciydi ki yöneticin sana iyi tatiller diledi. Yan masadan.</t>
        </is>
      </c>
      <c r="J633" s="6" t="inlineStr">
        <is>
          <t>Yöneticin yan masadan 'Buradasın ama?' diye yazdı. Otomatik yanıt aldı.</t>
        </is>
      </c>
      <c r="K633" s="6" t="inlineStr">
        <is>
          <t>Otomatik yanıtın en büyük müşterinin şikâyetine de gitti: “Tatildeyim, dönünce ilgileneceğim.” Müşteri yöneticini aradı. Yöneticin telefonu kapattı, sandalyesini senin masana çevirdi: “Dönünce ilgilen, olur mu?”</t>
        </is>
      </c>
      <c r="L633" s="6" t="inlineStr"/>
      <c r="M633" s="5" t="inlineStr"/>
      <c r="N633" s="5" t="inlineStr"/>
      <c r="O633" s="6" t="inlineStr"/>
      <c r="P633" s="6" t="inlineStr"/>
      <c r="Q633" s="5" t="inlineStr"/>
      <c r="R633" s="5" t="inlineStr"/>
      <c r="S633" s="5" t="inlineStr"/>
      <c r="T633" s="5" t="inlineStr"/>
      <c r="U633" s="5" t="inlineStr"/>
      <c r="V633" s="5" t="inlineStr"/>
      <c r="W633" s="5" t="inlineStr"/>
      <c r="X633" s="5" t="inlineStr"/>
      <c r="Y633" s="5" t="inlineStr"/>
      <c r="Z633" s="6" t="inlineStr"/>
      <c r="AA633" s="5" t="inlineStr"/>
      <c r="AB633" s="5" t="inlineStr"/>
      <c r="AC633" s="5" t="inlineStr"/>
      <c r="AD633" s="5" t="inlineStr"/>
      <c r="AE633" s="5" t="inlineStr"/>
      <c r="AF633" s="5" t="inlineStr"/>
      <c r="AG633" s="5" t="inlineStr"/>
      <c r="AH633" s="5" t="inlineStr"/>
      <c r="AI633" s="5" t="inlineStr"/>
      <c r="AJ633" s="5" t="inlineStr"/>
    </row>
    <row r="634">
      <c r="A634" s="5" t="inlineStr">
        <is>
          <t>me-kira-artisi</t>
        </is>
      </c>
      <c r="B634" s="5" t="n">
        <v>1</v>
      </c>
      <c r="C634" s="6" t="inlineStr">
        <is>
          <t>Artışı kabul et</t>
        </is>
      </c>
      <c r="D634" s="5" t="inlineStr"/>
      <c r="E634" s="5" t="inlineStr"/>
      <c r="F634" s="5" t="inlineStr">
        <is>
          <t>Dayanıklılık +1</t>
        </is>
      </c>
      <c r="G634" s="6" t="inlineStr">
        <is>
          <t>Artışı kabul ettin; akşam etiket makinesini çıkardın. Ertesi sabah her gün aynı peyniri alan teyze paketi eline alıp sana baktı: “Ne oldu evladım, peynir de mi kiraya girdi?”</t>
        </is>
      </c>
      <c r="H634" s="6" t="inlineStr"/>
      <c r="I634" s="6" t="inlineStr"/>
      <c r="J634" s="6" t="inlineStr"/>
      <c r="K634" s="6" t="inlineStr"/>
      <c r="L634" s="6" t="inlineStr"/>
      <c r="M634" s="5" t="inlineStr"/>
      <c r="N634" s="5" t="inlineStr"/>
      <c r="O634" s="6" t="inlineStr"/>
      <c r="P634" s="6" t="inlineStr"/>
      <c r="Q634" s="5" t="inlineStr"/>
      <c r="R634" s="5" t="inlineStr"/>
      <c r="S634" s="5" t="inlineStr"/>
      <c r="T634" s="5" t="inlineStr"/>
      <c r="U634" s="5" t="inlineStr"/>
      <c r="V634" s="5" t="inlineStr"/>
      <c r="W634" s="5" t="inlineStr"/>
      <c r="X634" s="5" t="inlineStr"/>
      <c r="Y634" s="5" t="inlineStr"/>
      <c r="Z634" s="6" t="inlineStr"/>
      <c r="AA634" s="5" t="inlineStr"/>
      <c r="AB634" s="5" t="inlineStr"/>
      <c r="AC634" s="5" t="inlineStr"/>
      <c r="AD634" s="5" t="inlineStr"/>
      <c r="AE634" s="5" t="inlineStr"/>
      <c r="AF634" s="5" t="inlineStr"/>
      <c r="AG634" s="5" t="inlineStr"/>
      <c r="AH634" s="5" t="inlineStr"/>
      <c r="AI634" s="5" t="inlineStr"/>
      <c r="AJ634" s="5" t="inlineStr"/>
    </row>
    <row r="635">
      <c r="A635" s="5" t="inlineStr">
        <is>
          <t>me-kira-artisi</t>
        </is>
      </c>
      <c r="B635" s="5" t="n">
        <v>2</v>
      </c>
      <c r="C635" s="6" t="inlineStr">
        <is>
          <t>Pazarlık et</t>
        </is>
      </c>
      <c r="D635" s="5" t="inlineStr">
        <is>
          <t>Çene</t>
        </is>
      </c>
      <c r="E635" s="5" t="inlineStr">
        <is>
          <t>Orta</t>
        </is>
      </c>
      <c r="F635" s="5" t="inlineStr"/>
      <c r="G635" s="6" t="inlineStr"/>
      <c r="H635" s="6" t="inlineStr">
        <is>
          <t>Artışı yarıya indirdin. Karşılığında dükkân sahibi her sabah çayını sende içecek.</t>
        </is>
      </c>
      <c r="I635" s="6" t="inlineStr">
        <is>
          <t>Beş yıllık sözleşme kopardın. Dükkân sahibi imzadan sonra hesap makinesine uzun uzun baktı.</t>
        </is>
      </c>
      <c r="J635" s="6" t="inlineStr">
        <is>
          <t>'Düşünürüm' dedi ve düşünmeden rakamı mesajla gönderdi.</t>
        </is>
      </c>
      <c r="K635" s="6" t="inlineStr">
        <is>
          <t>“Bu rakama karşıdaki boş dükkânı tutarım” dedin. Ertesi gün karşının camına “Kiralandı” yazıldı. Kiralayan dükkân sahibinin kendisiydi; senin sattığın her şeyi satmaya başladı, beş kuruş ucuza.</t>
        </is>
      </c>
      <c r="L635" s="6" t="inlineStr"/>
      <c r="M635" s="5" t="inlineStr"/>
      <c r="N635" s="5" t="inlineStr"/>
      <c r="O635" s="6" t="inlineStr"/>
      <c r="P635" s="6" t="inlineStr"/>
      <c r="Q635" s="5" t="inlineStr"/>
      <c r="R635" s="5" t="inlineStr"/>
      <c r="S635" s="5" t="inlineStr"/>
      <c r="T635" s="5" t="inlineStr"/>
      <c r="U635" s="5" t="inlineStr"/>
      <c r="V635" s="5" t="inlineStr"/>
      <c r="W635" s="5" t="inlineStr"/>
      <c r="X635" s="5" t="inlineStr"/>
      <c r="Y635" s="5" t="inlineStr"/>
      <c r="Z635" s="6" t="inlineStr"/>
      <c r="AA635" s="5" t="inlineStr"/>
      <c r="AB635" s="5" t="inlineStr"/>
      <c r="AC635" s="5" t="inlineStr"/>
      <c r="AD635" s="5" t="inlineStr"/>
      <c r="AE635" s="5" t="inlineStr"/>
      <c r="AF635" s="5" t="inlineStr"/>
      <c r="AG635" s="5" t="inlineStr"/>
      <c r="AH635" s="5" t="inlineStr"/>
      <c r="AI635" s="5" t="inlineStr"/>
      <c r="AJ635" s="5" t="inlineStr"/>
    </row>
    <row r="636">
      <c r="A636" s="5" t="inlineStr">
        <is>
          <t>me-kira-artisi</t>
        </is>
      </c>
      <c r="B636" s="5" t="n">
        <v>3</v>
      </c>
      <c r="C636" s="6" t="inlineStr">
        <is>
          <t>'Dükkânı bana satın' de</t>
        </is>
      </c>
      <c r="D636" s="5" t="inlineStr">
        <is>
          <t>Sosyal Radar</t>
        </is>
      </c>
      <c r="E636" s="5" t="inlineStr">
        <is>
          <t>Orta</t>
        </is>
      </c>
      <c r="F636" s="5" t="inlineStr"/>
      <c r="G636" s="6" t="inlineStr"/>
      <c r="H636" s="6" t="inlineStr">
        <is>
          <t>Pazarlık iki çay sürdü; dükkân on yıllık senetle senin. Kira bitti, taksit başladı. Rakam aynı ama artık duvara çivi çakabiliyorsun.</t>
        </is>
      </c>
      <c r="I636" s="6" t="inlineStr">
        <is>
          <t>Dükkânı taksitle sana verdi; ilk taksiti “Öte Diyar'a iki paket çay” diye aldı. Tabelaya artık “sahibi” yazdırabilirsin.</t>
        </is>
      </c>
      <c r="J636" s="6" t="inlineStr">
        <is>
          <t>Teklif ettin; “Oğlumla bir konuşayım” dedi. Oğlu fiyatı Öte Diyar parasıyla söyledi. Kirayı ödemeye devam.</t>
        </is>
      </c>
      <c r="K636" s="6" t="inlineStr">
        <is>
          <t>Teklifini yeğenine anlattı, yeğen senden hızlı davrandı. Kirayı artık yeğene ödüyorsun; artışıyla.</t>
        </is>
      </c>
      <c r="L636" s="6" t="inlineStr"/>
      <c r="M636" s="5" t="inlineStr"/>
      <c r="N636" s="5" t="inlineStr"/>
      <c r="O636" s="6" t="inlineStr"/>
      <c r="P636" s="6" t="inlineStr"/>
      <c r="Q636" s="5" t="inlineStr"/>
      <c r="R636" s="5" t="inlineStr"/>
      <c r="S636" s="5" t="inlineStr">
        <is>
          <t>Sosyal Radar</t>
        </is>
      </c>
      <c r="T636" s="5" t="inlineStr"/>
      <c r="U636" s="5" t="inlineStr"/>
      <c r="V636" s="5" t="inlineStr"/>
      <c r="W636" s="5" t="inlineStr"/>
      <c r="X636" s="5" t="inlineStr"/>
      <c r="Y636" s="5" t="inlineStr"/>
      <c r="Z636" s="6" t="inlineStr"/>
      <c r="AA636" s="5" t="inlineStr"/>
      <c r="AB636" s="5" t="inlineStr"/>
      <c r="AC636" s="5" t="inlineStr"/>
      <c r="AD636" s="5" t="inlineStr"/>
      <c r="AE636" s="5" t="inlineStr"/>
      <c r="AF636" s="5" t="inlineStr"/>
      <c r="AG636" s="5" t="inlineStr"/>
      <c r="AH636" s="5" t="inlineStr"/>
      <c r="AI636" s="5" t="inlineStr"/>
      <c r="AJ636" s="5" t="inlineStr"/>
    </row>
    <row r="637">
      <c r="A637" s="5" t="inlineStr">
        <is>
          <t>me-kira-artisi</t>
        </is>
      </c>
      <c r="B637" s="5" t="n">
        <v>4</v>
      </c>
      <c r="C637" s="6" t="inlineStr">
        <is>
          <t>Ödemeyi ertelet</t>
        </is>
      </c>
      <c r="D637" s="5" t="inlineStr">
        <is>
          <t>Pişkinlik</t>
        </is>
      </c>
      <c r="E637" s="5" t="inlineStr">
        <is>
          <t>Zor</t>
        </is>
      </c>
      <c r="F637" s="5" t="inlineStr"/>
      <c r="G637" s="6" t="inlineStr"/>
      <c r="H637" s="6" t="inlineStr">
        <is>
          <t>'Ay sonuna kadar' dedin ve ay sonu gerçekten ödedin. Dükkân sahibi hâlâ şaşkın.</t>
        </is>
      </c>
      <c r="I637" s="6" t="inlineStr">
        <is>
          <t>Kirayı ay sonuna ertelettin, gecikme bedelini de sildirdin. Dükkân sahibi giderken iç çekti: “Sen yine iyisin evladım, öbür kiracı üç aydır beni görünce kepenk indiriyor.”</t>
        </is>
      </c>
      <c r="J637" s="6" t="inlineStr">
        <is>
          <t>Erteleme istedin; dükkân sahibi başka yerlere de borçlu olduğunu çoktan duymuştu.</t>
        </is>
      </c>
      <c r="K637" s="6" t="inlineStr">
        <is>
          <t>Ertelettin. Ertesi gün kira, gecikme bedeli ve 'aramızda kalsın' notuyla iki katına çıktı.</t>
        </is>
      </c>
      <c r="L637" s="6" t="inlineStr"/>
      <c r="M637" s="5" t="inlineStr"/>
      <c r="N637" s="5" t="inlineStr"/>
      <c r="O637" s="6" t="inlineStr"/>
      <c r="P637" s="6" t="inlineStr"/>
      <c r="Q637" s="5" t="inlineStr"/>
      <c r="R637" s="5" t="inlineStr">
        <is>
          <t>borclu</t>
        </is>
      </c>
      <c r="S637" s="5" t="inlineStr"/>
      <c r="T637" s="5" t="inlineStr"/>
      <c r="U637" s="5" t="inlineStr"/>
      <c r="V637" s="5" t="inlineStr"/>
      <c r="W637" s="5" t="inlineStr"/>
      <c r="X637" s="5" t="inlineStr"/>
      <c r="Y637" s="5" t="inlineStr"/>
      <c r="Z637" s="6" t="inlineStr"/>
      <c r="AA637" s="5" t="inlineStr"/>
      <c r="AB637" s="5" t="inlineStr"/>
      <c r="AC637" s="5" t="inlineStr"/>
      <c r="AD637" s="5" t="inlineStr"/>
      <c r="AE637" s="5" t="inlineStr"/>
      <c r="AF637" s="5" t="inlineStr"/>
      <c r="AG637" s="5" t="inlineStr"/>
      <c r="AH637" s="5" t="inlineStr"/>
      <c r="AI637" s="5" t="inlineStr"/>
      <c r="AJ637" s="5" t="inlineStr"/>
    </row>
    <row r="638">
      <c r="A638" s="5" t="inlineStr">
        <is>
          <t>mm-yeni-mudur</t>
        </is>
      </c>
      <c r="B638" s="5" t="n">
        <v>1</v>
      </c>
      <c r="C638" s="6" t="inlineStr">
        <is>
          <t>Yeni düzene uy</t>
        </is>
      </c>
      <c r="D638" s="5" t="inlineStr"/>
      <c r="E638" s="5" t="inlineStr"/>
      <c r="F638" s="5" t="inlineStr">
        <is>
          <t>Sosyal Radar +1, Dayanıklılık +1</t>
        </is>
      </c>
      <c r="G638" s="6" t="inlineStr">
        <is>
          <t>Kahveye artık her sabah iki dakika fazla yürüyorsun. Müdüre göre bu verimlilik.</t>
        </is>
      </c>
      <c r="H638" s="6" t="inlineStr"/>
      <c r="I638" s="6" t="inlineStr"/>
      <c r="J638" s="6" t="inlineStr"/>
      <c r="K638" s="6" t="inlineStr"/>
      <c r="L638" s="6" t="inlineStr"/>
      <c r="M638" s="5" t="inlineStr"/>
      <c r="N638" s="5" t="inlineStr"/>
      <c r="O638" s="6" t="inlineStr"/>
      <c r="P638" s="6" t="inlineStr"/>
      <c r="Q638" s="5" t="inlineStr"/>
      <c r="R638" s="5" t="inlineStr"/>
      <c r="S638" s="5" t="inlineStr"/>
      <c r="T638" s="5" t="inlineStr"/>
      <c r="U638" s="5" t="inlineStr"/>
      <c r="V638" s="5" t="inlineStr"/>
      <c r="W638" s="5" t="inlineStr"/>
      <c r="X638" s="5" t="inlineStr"/>
      <c r="Y638" s="5" t="inlineStr"/>
      <c r="Z638" s="6" t="inlineStr"/>
      <c r="AA638" s="5" t="inlineStr"/>
      <c r="AB638" s="5" t="inlineStr"/>
      <c r="AC638" s="5" t="inlineStr"/>
      <c r="AD638" s="5" t="inlineStr"/>
      <c r="AE638" s="5" t="inlineStr"/>
      <c r="AF638" s="5" t="inlineStr"/>
      <c r="AG638" s="5" t="inlineStr"/>
      <c r="AH638" s="5" t="inlineStr"/>
      <c r="AI638" s="5" t="inlineStr"/>
      <c r="AJ638" s="5" t="inlineStr"/>
    </row>
    <row r="639">
      <c r="A639" s="5" t="inlineStr">
        <is>
          <t>mm-yeni-mudur</t>
        </is>
      </c>
      <c r="B639" s="5" t="n">
        <v>2</v>
      </c>
      <c r="C639" s="6" t="inlineStr">
        <is>
          <t>Eski müdürü öv</t>
        </is>
      </c>
      <c r="D639" s="5" t="inlineStr">
        <is>
          <t>Pişkinlik</t>
        </is>
      </c>
      <c r="E639" s="5" t="inlineStr">
        <is>
          <t>Zor</t>
        </is>
      </c>
      <c r="F639" s="5" t="inlineStr"/>
      <c r="G639" s="6" t="inlineStr"/>
      <c r="H639" s="6" t="inlineStr">
        <is>
          <t>Yeni müdür 'Sadakat güzel şey' dedi ve seni önemli bir dosyaya verdi.</t>
        </is>
      </c>
      <c r="I639" s="6" t="inlineStr">
        <is>
          <t>Sen eski müdürü anlatırken yeni müdür telefonu açıp onu aradı: “Senin çocuk burada, seni anlatıyor.” İki müdür yirmi dakika telefonda güldü; kapatınca yeni müdür sana çay söyledi.</t>
        </is>
      </c>
      <c r="J639" s="6" t="inlineStr">
        <is>
          <t>Müdür not aldı. Not defterinin kapağında 'Muhalefet' yazıyor.</t>
        </is>
      </c>
      <c r="K639" s="6" t="inlineStr">
        <is>
          <t>Eski müdür, yeni müdürün en büyük rakibiymiş. Artık ikinci kattaki penceresiz odadasın.</t>
        </is>
      </c>
      <c r="L639" s="6" t="inlineStr"/>
      <c r="M639" s="5" t="inlineStr"/>
      <c r="N639" s="5" t="inlineStr"/>
      <c r="O639" s="6" t="inlineStr"/>
      <c r="P639" s="6" t="inlineStr"/>
      <c r="Q639" s="5" t="inlineStr"/>
      <c r="R639" s="5" t="inlineStr"/>
      <c r="S639" s="5" t="inlineStr"/>
      <c r="T639" s="5" t="inlineStr"/>
      <c r="U639" s="5" t="inlineStr"/>
      <c r="V639" s="5" t="inlineStr"/>
      <c r="W639" s="5" t="inlineStr">
        <is>
          <t>memur-mudur-dusmani</t>
        </is>
      </c>
      <c r="X639" s="5" t="inlineStr"/>
      <c r="Y639" s="5" t="inlineStr"/>
      <c r="Z639" s="6" t="inlineStr"/>
      <c r="AA639" s="5" t="inlineStr"/>
      <c r="AB639" s="5" t="inlineStr"/>
      <c r="AC639" s="5" t="inlineStr"/>
      <c r="AD639" s="5" t="inlineStr"/>
      <c r="AE639" s="5" t="inlineStr"/>
      <c r="AF639" s="5" t="inlineStr"/>
      <c r="AG639" s="5" t="inlineStr"/>
      <c r="AH639" s="5" t="inlineStr"/>
      <c r="AI639" s="5" t="inlineStr"/>
      <c r="AJ639" s="5" t="inlineStr"/>
    </row>
    <row r="640">
      <c r="A640" s="5" t="inlineStr">
        <is>
          <t>mm-yeni-mudur</t>
        </is>
      </c>
      <c r="B640" s="5" t="n">
        <v>3</v>
      </c>
      <c r="C640" s="6" t="inlineStr">
        <is>
          <t>Kahve makinesini geri taşı</t>
        </is>
      </c>
      <c r="D640" s="5" t="inlineStr">
        <is>
          <t>Cesaret</t>
        </is>
      </c>
      <c r="E640" s="5" t="inlineStr">
        <is>
          <t>Zor</t>
        </is>
      </c>
      <c r="F640" s="5" t="inlineStr"/>
      <c r="G640" s="6" t="inlineStr"/>
      <c r="H640" s="6" t="inlineStr">
        <is>
          <t>Müdür ertesi sabah kahvesini eski yerden aldı ve hiçbir şey demedi. Koridorda sana ilk kez “Günaydın” dedi; soğuk ama dedi.</t>
        </is>
      </c>
      <c r="I640" s="6" t="inlineStr">
        <is>
          <t>Müdür bunu cesaret olarak gördü ve 'Fikirlerini söyle' dedi. Fikirlerin artık resmî yazıyla isteniyor.</t>
        </is>
      </c>
      <c r="J640" s="6" t="inlineStr">
        <is>
          <t>Kablo yetmedi. Makine koridorun ortasında kaldı, sen de.</t>
        </is>
      </c>
      <c r="K640" s="6" t="inlineStr">
        <is>
          <t>Makineyi taşırken kablo prizden kurtuldu, sürahi koridora boşaldı; müdür tam o anda kapıdan çıktı, ayakkabıları ıslak. Ertesi sabah masanda bir tutanak vardı: “Kurum demirbaşının izinsiz yer değiştirmesi.” Kat o günden beri kahvesini sessiz içiyor.</t>
        </is>
      </c>
      <c r="L640" s="6" t="inlineStr"/>
      <c r="M640" s="5" t="inlineStr"/>
      <c r="N640" s="5" t="inlineStr"/>
      <c r="O640" s="6" t="inlineStr"/>
      <c r="P640" s="6" t="inlineStr"/>
      <c r="Q640" s="5" t="inlineStr"/>
      <c r="R640" s="5" t="inlineStr"/>
      <c r="S640" s="5" t="inlineStr"/>
      <c r="T640" s="5" t="inlineStr"/>
      <c r="U640" s="5" t="inlineStr"/>
      <c r="V640" s="5" t="inlineStr"/>
      <c r="W640" s="5" t="inlineStr">
        <is>
          <t>memur-mudur-dusmani</t>
        </is>
      </c>
      <c r="X640" s="5" t="inlineStr"/>
      <c r="Y640" s="5" t="inlineStr"/>
      <c r="Z640" s="6" t="inlineStr"/>
      <c r="AA640" s="5" t="inlineStr"/>
      <c r="AB640" s="5" t="inlineStr"/>
      <c r="AC640" s="5" t="inlineStr"/>
      <c r="AD640" s="5" t="inlineStr"/>
      <c r="AE640" s="5" t="inlineStr"/>
      <c r="AF640" s="5" t="inlineStr"/>
      <c r="AG640" s="5" t="inlineStr"/>
      <c r="AH640" s="5" t="inlineStr"/>
      <c r="AI640" s="5" t="inlineStr"/>
      <c r="AJ640" s="5" t="inlineStr"/>
    </row>
    <row r="641">
      <c r="A641" s="5" t="inlineStr">
        <is>
          <t>mm-yeni-mudur</t>
        </is>
      </c>
      <c r="B641" s="5" t="n">
        <v>4</v>
      </c>
      <c r="C641" s="6" t="inlineStr">
        <is>
          <t>Toplantıda sadece dinle</t>
        </is>
      </c>
      <c r="D641" s="5" t="inlineStr">
        <is>
          <t>Sosyal Radar</t>
        </is>
      </c>
      <c r="E641" s="5" t="inlineStr">
        <is>
          <t>Kolay</t>
        </is>
      </c>
      <c r="F641" s="5" t="inlineStr"/>
      <c r="G641" s="6" t="inlineStr"/>
      <c r="H641" s="6" t="inlineStr">
        <is>
          <t>Konuşmadın, not aldın. Müdür sonradan notlarını istedi. Tutanaklar artık sende.</t>
        </is>
      </c>
      <c r="I641" s="6" t="inlineStr">
        <is>
          <t>Notlarında müdürün söylediği her şeyin bir yönetmelik maddesiyle çeliştiği yazıyordu. Müdür sana danışman gibi davranmaya başladı.</t>
        </is>
      </c>
      <c r="J641" s="6" t="inlineStr">
        <is>
          <t>Dinledin. Toplantı dört saat sürdü. Not alacak bir şey çıkmadı.</t>
        </is>
      </c>
      <c r="K641" s="6" t="inlineStr">
        <is>
          <t>Dinlerken uyuklamışsın. Tutanakta 'Katılımcı görüş bildirmedi; gözlerini de açmadı' yazıyor.</t>
        </is>
      </c>
      <c r="L641" s="6" t="inlineStr"/>
      <c r="M641" s="5" t="inlineStr"/>
      <c r="N641" s="5" t="inlineStr"/>
      <c r="O641" s="6" t="inlineStr"/>
      <c r="P641" s="6" t="inlineStr"/>
      <c r="Q641" s="5" t="inlineStr">
        <is>
          <t>Sessiz Gözlemci</t>
        </is>
      </c>
      <c r="R641" s="5" t="inlineStr"/>
      <c r="S641" s="5" t="inlineStr"/>
      <c r="T641" s="5" t="inlineStr"/>
      <c r="U641" s="5" t="inlineStr"/>
      <c r="V641" s="5" t="inlineStr"/>
      <c r="W641" s="5" t="inlineStr">
        <is>
          <t>memur-mudur-dusmani</t>
        </is>
      </c>
      <c r="X641" s="5" t="inlineStr"/>
      <c r="Y641" s="5" t="inlineStr"/>
      <c r="Z641" s="6" t="inlineStr"/>
      <c r="AA641" s="5" t="inlineStr"/>
      <c r="AB641" s="5" t="inlineStr"/>
      <c r="AC641" s="5" t="inlineStr"/>
      <c r="AD641" s="5" t="inlineStr"/>
      <c r="AE641" s="5" t="inlineStr"/>
      <c r="AF641" s="5" t="inlineStr"/>
      <c r="AG641" s="5" t="inlineStr"/>
      <c r="AH641" s="5" t="inlineStr"/>
      <c r="AI641" s="5" t="inlineStr"/>
      <c r="AJ641" s="5" t="inlineStr"/>
    </row>
    <row r="642">
      <c r="A642" s="5" t="inlineStr">
        <is>
          <t>b7-trafik-cezasi</t>
        </is>
      </c>
      <c r="B642" s="5" t="n">
        <v>1</v>
      </c>
      <c r="C642" s="6" t="inlineStr">
        <is>
          <t>Erken öde, indirimden yararlan</t>
        </is>
      </c>
      <c r="D642" s="5" t="inlineStr"/>
      <c r="E642" s="5" t="inlineStr"/>
      <c r="F642" s="5" t="inlineStr">
        <is>
          <t>Akıl +1</t>
        </is>
      </c>
      <c r="G642" s="6" t="inlineStr">
        <is>
          <t>Cezayı ilk hafta, indirimle ödedin. Baban duyunca gururlandı: “Aferin, devletle bile pazarlık ettin.”</t>
        </is>
      </c>
      <c r="H642" s="6" t="inlineStr"/>
      <c r="I642" s="6" t="inlineStr"/>
      <c r="J642" s="6" t="inlineStr"/>
      <c r="K642" s="6" t="inlineStr"/>
      <c r="L642" s="6" t="inlineStr"/>
      <c r="M642" s="5" t="inlineStr"/>
      <c r="N642" s="5" t="inlineStr"/>
      <c r="O642" s="6" t="inlineStr"/>
      <c r="P642" s="6" t="inlineStr"/>
      <c r="Q642" s="5" t="inlineStr"/>
      <c r="R642" s="5" t="inlineStr"/>
      <c r="S642" s="5" t="inlineStr"/>
      <c r="T642" s="5" t="inlineStr"/>
      <c r="U642" s="5" t="inlineStr"/>
      <c r="V642" s="5" t="inlineStr"/>
      <c r="W642" s="5" t="inlineStr"/>
      <c r="X642" s="5" t="inlineStr"/>
      <c r="Y642" s="5" t="inlineStr"/>
      <c r="Z642" s="6" t="inlineStr"/>
      <c r="AA642" s="5" t="inlineStr"/>
      <c r="AB642" s="5" t="inlineStr"/>
      <c r="AC642" s="5" t="inlineStr"/>
      <c r="AD642" s="5" t="inlineStr"/>
      <c r="AE642" s="5" t="inlineStr"/>
      <c r="AF642" s="5" t="inlineStr"/>
      <c r="AG642" s="5" t="inlineStr"/>
      <c r="AH642" s="5" t="inlineStr"/>
      <c r="AI642" s="5" t="inlineStr"/>
      <c r="AJ642" s="5" t="inlineStr"/>
    </row>
    <row r="643">
      <c r="A643" s="5" t="inlineStr">
        <is>
          <t>b7-trafik-cezasi</t>
        </is>
      </c>
      <c r="B643" s="5" t="n">
        <v>2</v>
      </c>
      <c r="C643" s="6" t="inlineStr">
        <is>
          <t>İtiraz dilekçesi yaz</t>
        </is>
      </c>
      <c r="D643" s="5" t="inlineStr">
        <is>
          <t>Akıl</t>
        </is>
      </c>
      <c r="E643" s="5" t="inlineStr">
        <is>
          <t>Zor</t>
        </is>
      </c>
      <c r="F643" s="5" t="inlineStr"/>
      <c r="G643" s="6" t="inlineStr"/>
      <c r="H643" s="6" t="inlineStr">
        <is>
          <t>Işığın arızalı olduğunu kanıtladın. Ceza iptal. Dilekçe arşivde örnek olarak saklanıyor.</t>
        </is>
      </c>
      <c r="I643" s="6" t="inlineStr">
        <is>
          <t>İtirazın kabul edildi, kavşaktaki ışık da değiştirildi. Belediye bir teşekkür yazısı gönderdi. Bu yazı da postayla geldi.</t>
        </is>
      </c>
      <c r="J643" s="6" t="inlineStr">
        <is>
          <t>Dilekçe 'süresi içinde yapılmadığı' için reddedildi. Süre, zarfın sana ulaşmasından önce dolmuş.</t>
        </is>
      </c>
      <c r="K643" s="6" t="inlineStr">
        <is>
          <t>İtiraz sürecinde indirim süresi geçti. Artık cezanın tamamını, gururla ödüyorsun.</t>
        </is>
      </c>
      <c r="L643" s="6" t="inlineStr"/>
      <c r="M643" s="5" t="inlineStr"/>
      <c r="N643" s="5" t="inlineStr"/>
      <c r="O643" s="6" t="inlineStr"/>
      <c r="P643" s="6" t="inlineStr"/>
      <c r="Q643" s="5" t="inlineStr"/>
      <c r="R643" s="5" t="inlineStr"/>
      <c r="S643" s="5" t="inlineStr"/>
      <c r="T643" s="5" t="inlineStr"/>
      <c r="U643" s="5" t="inlineStr"/>
      <c r="V643" s="5" t="inlineStr"/>
      <c r="W643" s="5" t="inlineStr"/>
      <c r="X643" s="5" t="inlineStr"/>
      <c r="Y643" s="5" t="inlineStr"/>
      <c r="Z643" s="6" t="inlineStr"/>
      <c r="AA643" s="5" t="inlineStr"/>
      <c r="AB643" s="5" t="inlineStr"/>
      <c r="AC643" s="5" t="inlineStr"/>
      <c r="AD643" s="5" t="inlineStr"/>
      <c r="AE643" s="5" t="inlineStr"/>
      <c r="AF643" s="5" t="inlineStr"/>
      <c r="AG643" s="5" t="inlineStr"/>
      <c r="AH643" s="5" t="inlineStr"/>
      <c r="AI643" s="5" t="inlineStr"/>
      <c r="AJ643" s="5" t="inlineStr"/>
    </row>
    <row r="644">
      <c r="A644" s="5" t="inlineStr">
        <is>
          <t>b7-trafik-cezasi</t>
        </is>
      </c>
      <c r="B644" s="5" t="n">
        <v>3</v>
      </c>
      <c r="C644" s="6" t="inlineStr">
        <is>
          <t>'Fotoğraftaki ben değilim' de</t>
        </is>
      </c>
      <c r="D644" s="5" t="inlineStr">
        <is>
          <t>Pişkinlik</t>
        </is>
      </c>
      <c r="E644" s="5" t="inlineStr">
        <is>
          <t>Zor</t>
        </is>
      </c>
      <c r="F644" s="5" t="inlineStr"/>
      <c r="G644" s="6" t="inlineStr"/>
      <c r="H644" s="6" t="inlineStr">
        <is>
          <t>Görevli fotoğrafa baktı, sana baktı, pes etti. Dosya 'kimliği belirsiz' klasörüne girdi.</t>
        </is>
      </c>
      <c r="I644" s="6" t="inlineStr">
        <is>
          <t>Görevli seni ikna edici buldu ve fotoğraftaki kişi hakkında seninle birlikte tutanak tuttu.</t>
        </is>
      </c>
      <c r="J644" s="6" t="inlineStr">
        <is>
          <t>Fotoğrafta tişörtündeki yazı okunuyordu. Aynı tişört şu an üzerinde.</t>
        </is>
      </c>
      <c r="K644" s="6" t="inlineStr">
        <is>
          <t>İnkâr ettin; görevli çekmeceden ikinci fotoğrafı çıkardı. Aynı kavşak, aynı kırmızı; bu sefer yan koltukta annen var, kameraya el sallıyor.</t>
        </is>
      </c>
      <c r="L644" s="6" t="inlineStr"/>
      <c r="M644" s="5" t="inlineStr"/>
      <c r="N644" s="5" t="inlineStr"/>
      <c r="O644" s="6" t="inlineStr"/>
      <c r="P644" s="6" t="inlineStr"/>
      <c r="Q644" s="5" t="inlineStr"/>
      <c r="R644" s="5" t="inlineStr">
        <is>
          <t>yalanci</t>
        </is>
      </c>
      <c r="S644" s="5" t="inlineStr"/>
      <c r="T644" s="5" t="inlineStr"/>
      <c r="U644" s="5" t="inlineStr"/>
      <c r="V644" s="5" t="inlineStr"/>
      <c r="W644" s="5" t="inlineStr"/>
      <c r="X644" s="5" t="inlineStr"/>
      <c r="Y644" s="5" t="inlineStr"/>
      <c r="Z644" s="6" t="inlineStr"/>
      <c r="AA644" s="5" t="inlineStr"/>
      <c r="AB644" s="5" t="inlineStr"/>
      <c r="AC644" s="5" t="inlineStr"/>
      <c r="AD644" s="5" t="inlineStr"/>
      <c r="AE644" s="5" t="inlineStr"/>
      <c r="AF644" s="5" t="inlineStr"/>
      <c r="AG644" s="5" t="inlineStr"/>
      <c r="AH644" s="5" t="inlineStr"/>
      <c r="AI644" s="5" t="inlineStr"/>
      <c r="AJ644" s="5" t="inlineStr"/>
    </row>
    <row r="645">
      <c r="A645" s="5" t="inlineStr">
        <is>
          <t>ms-fatura-kovalamaca</t>
        </is>
      </c>
      <c r="B645" s="5" t="n">
        <v>1</v>
      </c>
      <c r="C645" s="6" t="inlineStr">
        <is>
          <t>Nazik bir hatırlatma daha yaz</t>
        </is>
      </c>
      <c r="D645" s="5" t="inlineStr"/>
      <c r="E645" s="5" t="inlineStr"/>
      <c r="F645" s="5" t="inlineStr">
        <is>
          <t>İtibar +1</t>
        </is>
      </c>
      <c r="G645" s="6" t="inlineStr">
        <is>
          <t>Yedinci nazik hatırlatmayı yazdın: “Tekrar rahatsız ettiğim için kusura bakmayın.” Kusura bakmadılar, cevap da vermediler. Akşam annen sordu: “O para geldi mi?” “Sistemde” dedin. Annen “O sistemin annesi babası yok mu?” dedi.</t>
        </is>
      </c>
      <c r="H645" s="6" t="inlineStr"/>
      <c r="I645" s="6" t="inlineStr"/>
      <c r="J645" s="6" t="inlineStr"/>
      <c r="K645" s="6" t="inlineStr"/>
      <c r="L645" s="6" t="inlineStr"/>
      <c r="M645" s="5" t="inlineStr"/>
      <c r="N645" s="5" t="inlineStr"/>
      <c r="O645" s="6" t="inlineStr"/>
      <c r="P645" s="6" t="inlineStr"/>
      <c r="Q645" s="5" t="inlineStr"/>
      <c r="R645" s="5" t="inlineStr"/>
      <c r="S645" s="5" t="inlineStr"/>
      <c r="T645" s="5" t="inlineStr"/>
      <c r="U645" s="5" t="inlineStr">
        <is>
          <t>serbest-alacakli</t>
        </is>
      </c>
      <c r="V645" s="5" t="inlineStr"/>
      <c r="W645" s="5" t="inlineStr"/>
      <c r="X645" s="5" t="inlineStr"/>
      <c r="Y645" s="5" t="inlineStr"/>
      <c r="Z645" s="6" t="inlineStr"/>
      <c r="AA645" s="5" t="inlineStr"/>
      <c r="AB645" s="5" t="inlineStr"/>
      <c r="AC645" s="5" t="inlineStr"/>
      <c r="AD645" s="5" t="inlineStr"/>
      <c r="AE645" s="5" t="inlineStr"/>
      <c r="AF645" s="5" t="inlineStr"/>
      <c r="AG645" s="5" t="inlineStr"/>
      <c r="AH645" s="5" t="inlineStr"/>
      <c r="AI645" s="5" t="inlineStr"/>
      <c r="AJ645" s="5" t="inlineStr"/>
    </row>
    <row r="646">
      <c r="A646" s="5" t="inlineStr">
        <is>
          <t>ms-fatura-kovalamaca</t>
        </is>
      </c>
      <c r="B646" s="5" t="n">
        <v>2</v>
      </c>
      <c r="C646" s="6" t="inlineStr">
        <is>
          <t>Her gün ara</t>
        </is>
      </c>
      <c r="D646" s="5" t="inlineStr">
        <is>
          <t>Dayanıklılık</t>
        </is>
      </c>
      <c r="E646" s="5" t="inlineStr">
        <is>
          <t>Zor</t>
        </is>
      </c>
      <c r="F646" s="5" t="inlineStr"/>
      <c r="G646" s="6" t="inlineStr"/>
      <c r="H646" s="6" t="inlineStr">
        <is>
          <t>Kırk üçüncü aramada para yattı. Muhasebeci sesini tanıdı: 'Yine mi siz?'</t>
        </is>
      </c>
      <c r="I646" s="6" t="inlineStr">
        <is>
          <t>Muhasebe seni ödeme listesinin en başına yazdı, yanına da not düştü: “Önce bunu öde, yoksa yine arar.” Para ertesi sabah yattı. Öğleden sonra santral aradı; sesini duymayınca merak etmişler.</t>
        </is>
      </c>
      <c r="J646" s="6" t="inlineStr">
        <is>
          <t>Santral seni bekleme müziğine bağladı. Müziği ezberledin, para gelmedi.</t>
        </is>
      </c>
      <c r="K646" s="6" t="inlineStr">
        <is>
          <t>Ödeme sonunda yapıldı; başka bir serbest çalışanın hesabına. O kişi sana teşekkür mesajı attı: “Hayatımı kurtardınız. Geri ödemek için bana da altmış gün verin.”</t>
        </is>
      </c>
      <c r="L646" s="6" t="inlineStr"/>
      <c r="M646" s="5" t="inlineStr"/>
      <c r="N646" s="5" t="inlineStr"/>
      <c r="O646" s="6" t="inlineStr"/>
      <c r="P646" s="6" t="inlineStr"/>
      <c r="Q646" s="5" t="inlineStr"/>
      <c r="R646" s="5" t="inlineStr"/>
      <c r="S646" s="5" t="inlineStr"/>
      <c r="T646" s="5" t="inlineStr">
        <is>
          <t>Fatura Avcısı</t>
        </is>
      </c>
      <c r="U646" s="5" t="inlineStr"/>
      <c r="V646" s="5" t="inlineStr"/>
      <c r="W646" s="5" t="inlineStr">
        <is>
          <t>serbest-alacakli</t>
        </is>
      </c>
      <c r="X646" s="5" t="inlineStr"/>
      <c r="Y646" s="5" t="inlineStr"/>
      <c r="Z646" s="6" t="inlineStr"/>
      <c r="AA646" s="5" t="inlineStr"/>
      <c r="AB646" s="5" t="inlineStr"/>
      <c r="AC646" s="5" t="inlineStr"/>
      <c r="AD646" s="5" t="inlineStr"/>
      <c r="AE646" s="5" t="inlineStr"/>
      <c r="AF646" s="5" t="inlineStr"/>
      <c r="AG646" s="5" t="inlineStr"/>
      <c r="AH646" s="5" t="inlineStr"/>
      <c r="AI646" s="5" t="inlineStr"/>
      <c r="AJ646" s="5" t="inlineStr"/>
    </row>
    <row r="647">
      <c r="A647" s="5" t="inlineStr">
        <is>
          <t>ms-fatura-kovalamaca</t>
        </is>
      </c>
      <c r="B647" s="5" t="n">
        <v>3</v>
      </c>
      <c r="C647" s="6" t="inlineStr">
        <is>
          <t>Muhasebeciye doğum günü mesajı at</t>
        </is>
      </c>
      <c r="D647" s="5" t="inlineStr">
        <is>
          <t>Çene</t>
        </is>
      </c>
      <c r="E647" s="5" t="inlineStr">
        <is>
          <t>Kolay</t>
        </is>
      </c>
      <c r="F647" s="5" t="inlineStr"/>
      <c r="G647" s="6" t="inlineStr"/>
      <c r="H647" s="6" t="inlineStr">
        <is>
          <t>Doğum günü mesajına teşekkür geldi. Yarım saat sonra ödeme de geldi.</t>
        </is>
      </c>
      <c r="I647" s="6" t="inlineStr">
        <is>
          <t>Muhasebeciyle arkadaş oldunuz. Faturaların artık ekleme bile gerek kalmadan ödeniyor.</t>
        </is>
      </c>
      <c r="J647" s="6" t="inlineStr">
        <is>
          <t>Mesajına kalp bıraktı. Ödeme hâlâ onay bekliyor.</t>
        </is>
      </c>
      <c r="K647" s="6" t="inlineStr">
        <is>
          <t>Mesajı yanlış muhasebeciye attın: “İyi ki doğdunuz, bu arada faturam…” Doğum günü değilmiş; emekliliğine de bir hafta kalmış. Faturan onunla birlikte emekli oldu.</t>
        </is>
      </c>
      <c r="L647" s="6" t="inlineStr"/>
      <c r="M647" s="5" t="inlineStr"/>
      <c r="N647" s="5" t="inlineStr"/>
      <c r="O647" s="6" t="inlineStr"/>
      <c r="P647" s="6" t="inlineStr"/>
      <c r="Q647" s="5" t="inlineStr"/>
      <c r="R647" s="5" t="inlineStr"/>
      <c r="S647" s="5" t="inlineStr">
        <is>
          <t>Çene</t>
        </is>
      </c>
      <c r="T647" s="5" t="inlineStr"/>
      <c r="U647" s="5" t="inlineStr"/>
      <c r="V647" s="5" t="inlineStr"/>
      <c r="W647" s="5" t="inlineStr"/>
      <c r="X647" s="5" t="inlineStr"/>
      <c r="Y647" s="5" t="inlineStr"/>
      <c r="Z647" s="6" t="inlineStr"/>
      <c r="AA647" s="5" t="inlineStr"/>
      <c r="AB647" s="5" t="inlineStr"/>
      <c r="AC647" s="5" t="inlineStr"/>
      <c r="AD647" s="5" t="inlineStr"/>
      <c r="AE647" s="5" t="inlineStr"/>
      <c r="AF647" s="5" t="inlineStr"/>
      <c r="AG647" s="5" t="inlineStr"/>
      <c r="AH647" s="5" t="inlineStr"/>
      <c r="AI647" s="5" t="inlineStr"/>
      <c r="AJ647" s="5" t="inlineStr"/>
    </row>
    <row r="648">
      <c r="A648" s="5" t="inlineStr">
        <is>
          <t>ms-fatura-kovalamaca</t>
        </is>
      </c>
      <c r="B648" s="5" t="n">
        <v>4</v>
      </c>
      <c r="C648" s="6" t="inlineStr">
        <is>
          <t>Resmî ihtar gönder</t>
        </is>
      </c>
      <c r="D648" s="5" t="inlineStr">
        <is>
          <t>Cesaret</t>
        </is>
      </c>
      <c r="E648" s="5" t="inlineStr">
        <is>
          <t>Orta</t>
        </is>
      </c>
      <c r="F648" s="5" t="inlineStr"/>
      <c r="G648" s="6" t="inlineStr"/>
      <c r="H648" s="6" t="inlineStr">
        <is>
          <t>İhtar ulaştı. Ödeme ertesi sabah yapıldı, gecikme faiziyle.</t>
        </is>
      </c>
      <c r="I648" s="6" t="inlineStr">
        <is>
          <t>İhtardan sonra şirket bütün serbest çalışanlara birden ödeme yaptı. Tanımadığın on dört kişiden teşekkür mesajı geldi; biri kapına bir tepsi baklava bıraktı.</t>
        </is>
      </c>
      <c r="J648" s="6" t="inlineStr">
        <is>
          <t>İhtar gönderdin; şirket adres değiştirmiş.</t>
        </is>
      </c>
      <c r="K648" s="6" t="inlineStr">
        <is>
          <t>Para ertesi gün yattı; yanında tek satırlık bir e-posta: “Bir daha birlikte çalışmayalım.” Sektörün ne kadar küçük olduğunu o hafta öğrendin; iki müşteri daha telefonu açmadı.</t>
        </is>
      </c>
      <c r="L648" s="6" t="inlineStr"/>
      <c r="M648" s="5" t="inlineStr"/>
      <c r="N648" s="5" t="inlineStr"/>
      <c r="O648" s="6" t="inlineStr"/>
      <c r="P648" s="6" t="inlineStr"/>
      <c r="Q648" s="5" t="inlineStr">
        <is>
          <t>Geri Adım Atmaz</t>
        </is>
      </c>
      <c r="R648" s="5" t="inlineStr"/>
      <c r="S648" s="5" t="inlineStr"/>
      <c r="T648" s="5" t="inlineStr"/>
      <c r="U648" s="5" t="inlineStr"/>
      <c r="V648" s="5" t="inlineStr"/>
      <c r="W648" s="5" t="inlineStr"/>
      <c r="X648" s="5" t="inlineStr"/>
      <c r="Y648" s="5" t="inlineStr"/>
      <c r="Z648" s="6" t="inlineStr"/>
      <c r="AA648" s="5" t="inlineStr"/>
      <c r="AB648" s="5" t="inlineStr"/>
      <c r="AC648" s="5" t="inlineStr"/>
      <c r="AD648" s="5" t="inlineStr"/>
      <c r="AE648" s="5" t="inlineStr"/>
      <c r="AF648" s="5" t="inlineStr"/>
      <c r="AG648" s="5" t="inlineStr"/>
      <c r="AH648" s="5" t="inlineStr"/>
      <c r="AI648" s="5" t="inlineStr"/>
      <c r="AJ648" s="5" t="inlineStr"/>
    </row>
    <row r="649">
      <c r="A649" s="5" t="inlineStr">
        <is>
          <t>b7-araba-alma</t>
        </is>
      </c>
      <c r="B649" s="5" t="n">
        <v>1</v>
      </c>
      <c r="C649" s="6" t="inlineStr">
        <is>
          <t>Toplu taşımaya devam</t>
        </is>
      </c>
      <c r="D649" s="5" t="inlineStr"/>
      <c r="E649" s="5" t="inlineStr"/>
      <c r="F649" s="5" t="inlineStr">
        <is>
          <t>Dayanıklılık +1</t>
        </is>
      </c>
      <c r="G649" s="6" t="inlineStr">
        <is>
          <t>Arabayı almadın. Kartına yükleme yaptın. Sabah yedi otuzda insan kalabalığı seni ısıttı.</t>
        </is>
      </c>
      <c r="H649" s="6" t="inlineStr"/>
      <c r="I649" s="6" t="inlineStr"/>
      <c r="J649" s="6" t="inlineStr"/>
      <c r="K649" s="6" t="inlineStr"/>
      <c r="L649" s="6" t="inlineStr"/>
      <c r="M649" s="5" t="inlineStr"/>
      <c r="N649" s="5" t="inlineStr"/>
      <c r="O649" s="6" t="inlineStr"/>
      <c r="P649" s="6" t="inlineStr"/>
      <c r="Q649" s="5" t="inlineStr"/>
      <c r="R649" s="5" t="inlineStr"/>
      <c r="S649" s="5" t="inlineStr"/>
      <c r="T649" s="5" t="inlineStr"/>
      <c r="U649" s="5" t="inlineStr"/>
      <c r="V649" s="5" t="inlineStr"/>
      <c r="W649" s="5" t="inlineStr"/>
      <c r="X649" s="5" t="inlineStr"/>
      <c r="Y649" s="5" t="inlineStr"/>
      <c r="Z649" s="6" t="inlineStr"/>
      <c r="AA649" s="5" t="inlineStr"/>
      <c r="AB649" s="5" t="inlineStr"/>
      <c r="AC649" s="5" t="inlineStr"/>
      <c r="AD649" s="5" t="inlineStr"/>
      <c r="AE649" s="5" t="inlineStr"/>
      <c r="AF649" s="5" t="inlineStr"/>
      <c r="AG649" s="5" t="inlineStr"/>
      <c r="AH649" s="5" t="inlineStr"/>
      <c r="AI649" s="5" t="inlineStr"/>
      <c r="AJ649" s="5" t="inlineStr"/>
    </row>
    <row r="650">
      <c r="A650" s="5" t="inlineStr">
        <is>
          <t>b7-araba-alma</t>
        </is>
      </c>
      <c r="B650" s="5" t="n">
        <v>2</v>
      </c>
      <c r="C650" s="6" t="inlineStr">
        <is>
          <t>Kaputu açıp ciddi ciddi bak</t>
        </is>
      </c>
      <c r="D650" s="5" t="inlineStr">
        <is>
          <t>Kurnazlık</t>
        </is>
      </c>
      <c r="E650" s="5" t="inlineStr">
        <is>
          <t>Orta</t>
        </is>
      </c>
      <c r="F650" s="5" t="inlineStr"/>
      <c r="G650" s="6" t="inlineStr"/>
      <c r="H650" s="6" t="inlineStr">
        <is>
          <t>Neye baktığını bilmiyordun ama satıcı bildiğini sandı. Fiyat düştü.</t>
        </is>
      </c>
      <c r="I650" s="6" t="inlineStr">
        <is>
          <t>Kaputa bakarken gerçekten bir sorun buldun. Satıcı seni usta sandı ve kendi arabasını da sordu.</t>
        </is>
      </c>
      <c r="J650" s="6" t="inlineStr">
        <is>
          <t>Kaputu açtın, bir süre baktın, kapattın. Satıcı 'Güzel değil mi?' dedi. Evet dedin.</t>
        </is>
      </c>
      <c r="K650" s="6" t="inlineStr">
        <is>
          <t>Ciddi ciddi baktın, “Motor sıfır gibi” dedin, aldın. Enişten ekspertize götürdü: iki parça değişen, kaput boyalı, kilometre geri alınmış. Enişten bu hikâyeyi her bayram anlatacak.</t>
        </is>
      </c>
      <c r="L650" s="6" t="inlineStr"/>
      <c r="M650" s="5" t="inlineStr"/>
      <c r="N650" s="5" t="inlineStr"/>
      <c r="O650" s="6" t="inlineStr"/>
      <c r="P650" s="6" t="inlineStr"/>
      <c r="Q650" s="5" t="inlineStr"/>
      <c r="R650" s="5" t="inlineStr"/>
      <c r="S650" s="5" t="inlineStr"/>
      <c r="T650" s="5" t="inlineStr"/>
      <c r="U650" s="5" t="inlineStr"/>
      <c r="V650" s="5" t="inlineStr">
        <is>
          <t>arabali</t>
        </is>
      </c>
      <c r="W650" s="5" t="inlineStr">
        <is>
          <t>arabali</t>
        </is>
      </c>
      <c r="X650" s="5" t="inlineStr"/>
      <c r="Y650" s="5" t="inlineStr"/>
      <c r="Z650" s="6" t="inlineStr"/>
      <c r="AA650" s="5" t="inlineStr"/>
      <c r="AB650" s="5" t="inlineStr"/>
      <c r="AC650" s="5" t="inlineStr"/>
      <c r="AD650" s="5" t="inlineStr"/>
      <c r="AE650" s="5" t="inlineStr"/>
      <c r="AF650" s="5" t="inlineStr"/>
      <c r="AG650" s="5" t="inlineStr"/>
      <c r="AH650" s="5" t="inlineStr"/>
      <c r="AI650" s="5" t="inlineStr"/>
      <c r="AJ650" s="5" t="inlineStr"/>
    </row>
    <row r="651">
      <c r="A651" s="5" t="inlineStr">
        <is>
          <t>b7-araba-alma</t>
        </is>
      </c>
      <c r="B651" s="5" t="n">
        <v>3</v>
      </c>
      <c r="C651" s="6" t="inlineStr">
        <is>
          <t>Test sürüşünde otoyola çık</t>
        </is>
      </c>
      <c r="D651" s="5" t="inlineStr">
        <is>
          <t>Cesaret</t>
        </is>
      </c>
      <c r="E651" s="5" t="inlineStr">
        <is>
          <t>Zor</t>
        </is>
      </c>
      <c r="F651" s="5" t="inlineStr"/>
      <c r="G651" s="6" t="inlineStr"/>
      <c r="H651" s="6" t="inlineStr">
        <is>
          <t>Araba otoyolu sevdi. Sen de. Anlaşma yolda yapıldı.</t>
        </is>
      </c>
      <c r="I651" s="6" t="inlineStr">
        <is>
          <t>Test sürüşü o kadar iyi geçti ki satıcı 'Siz bunu hak ediyorsunuz' dedi ve indirime yakın bir şey yaptı.</t>
        </is>
      </c>
      <c r="J651" s="6" t="inlineStr">
        <is>
          <t>Araba 90'da titremeye başladı. Satıcı 'Rodaj' dedi. Arabanın yaşı 14.</t>
        </is>
      </c>
      <c r="K651" s="6" t="inlineStr">
        <is>
          <t>Otoyolda 120'de kaput açıldı. Yolu kaputun aralığından görerek emniyet şeridine çektin. Satıcı “Kilidi biraz hassastır” dedi; araba çekiciyle, sen titreyerek döndün.</t>
        </is>
      </c>
      <c r="L651" s="6" t="inlineStr"/>
      <c r="M651" s="5" t="inlineStr"/>
      <c r="N651" s="5" t="inlineStr"/>
      <c r="O651" s="6" t="inlineStr"/>
      <c r="P651" s="6" t="inlineStr"/>
      <c r="Q651" s="5" t="inlineStr"/>
      <c r="R651" s="5" t="inlineStr"/>
      <c r="S651" s="5" t="inlineStr"/>
      <c r="T651" s="5" t="inlineStr"/>
      <c r="U651" s="5" t="inlineStr"/>
      <c r="V651" s="5" t="inlineStr">
        <is>
          <t>arabali</t>
        </is>
      </c>
      <c r="W651" s="5" t="inlineStr"/>
      <c r="X651" s="5" t="inlineStr"/>
      <c r="Y651" s="5" t="n">
        <v>1</v>
      </c>
      <c r="Z651" s="6" t="inlineStr">
        <is>
          <t>İkinci el arabanın test sürüşünde, 'keyif için satılık' ibaresini fazla ciddiye alarak.</t>
        </is>
      </c>
      <c r="AA651" s="5" t="inlineStr"/>
      <c r="AB651" s="5" t="inlineStr"/>
      <c r="AC651" s="5" t="inlineStr"/>
      <c r="AD651" s="5" t="inlineStr"/>
      <c r="AE651" s="5" t="inlineStr"/>
      <c r="AF651" s="5" t="inlineStr"/>
      <c r="AG651" s="5" t="inlineStr"/>
      <c r="AH651" s="5" t="inlineStr"/>
      <c r="AI651" s="5" t="inlineStr"/>
      <c r="AJ651" s="5" t="inlineStr"/>
    </row>
    <row r="652">
      <c r="A652" s="5" t="inlineStr">
        <is>
          <t>b7-araba-alma</t>
        </is>
      </c>
      <c r="B652" s="5" t="n">
        <v>4</v>
      </c>
      <c r="C652" s="6" t="inlineStr">
        <is>
          <t>Satıcıyla pazar usulü konuş</t>
        </is>
      </c>
      <c r="D652" s="5" t="inlineStr">
        <is>
          <t>Çene</t>
        </is>
      </c>
      <c r="E652" s="5" t="inlineStr">
        <is>
          <t>Kolay</t>
        </is>
      </c>
      <c r="F652" s="5" t="inlineStr"/>
      <c r="G652" s="6" t="inlineStr"/>
      <c r="H652" s="6" t="inlineStr">
        <is>
          <t>Fiyatı yuvarladın, üstüne paspas koparttın. Satıcı parayı sayarken söylendi: “Bu çocuk çarşıda büyümüş.”</t>
        </is>
      </c>
      <c r="I652" s="6" t="inlineStr">
        <is>
          <t>Paspas, stepne ve satıcının güneş gözlüğü de pakete dahil oldu.</t>
        </is>
      </c>
      <c r="J652" s="6" t="inlineStr">
        <is>
          <t>Satıcı daha usta çıktı. Paspası ayrıca ödedin.</t>
        </is>
      </c>
      <c r="K652" s="6" t="inlineStr">
        <is>
          <t>Pazarlık o kadar uzadı ki satıcı “Sen beni üzdün” deyip arabayı başkasına sattı. Ertesi gün aynı araba yeni ilanda: “Hanımefendi aracı”, iki bin fazlasına.</t>
        </is>
      </c>
      <c r="L652" s="6" t="inlineStr"/>
      <c r="M652" s="5" t="inlineStr"/>
      <c r="N652" s="5" t="inlineStr"/>
      <c r="O652" s="6" t="inlineStr"/>
      <c r="P652" s="6" t="inlineStr"/>
      <c r="Q652" s="5" t="inlineStr">
        <is>
          <t>Küçük Tüccar</t>
        </is>
      </c>
      <c r="R652" s="5" t="inlineStr"/>
      <c r="S652" s="5" t="inlineStr"/>
      <c r="T652" s="5" t="inlineStr"/>
      <c r="U652" s="5" t="inlineStr"/>
      <c r="V652" s="5" t="inlineStr">
        <is>
          <t>arabali</t>
        </is>
      </c>
      <c r="W652" s="5" t="inlineStr"/>
      <c r="X652" s="5" t="inlineStr"/>
      <c r="Y652" s="5" t="inlineStr"/>
      <c r="Z652" s="6" t="inlineStr"/>
      <c r="AA652" s="5" t="inlineStr"/>
      <c r="AB652" s="5" t="inlineStr"/>
      <c r="AC652" s="5" t="inlineStr"/>
      <c r="AD652" s="5" t="inlineStr"/>
      <c r="AE652" s="5" t="inlineStr"/>
      <c r="AF652" s="5" t="inlineStr"/>
      <c r="AG652" s="5" t="inlineStr"/>
      <c r="AH652" s="5" t="inlineStr"/>
      <c r="AI652" s="5" t="inlineStr"/>
      <c r="AJ652" s="5" t="inlineStr"/>
    </row>
    <row r="653">
      <c r="A653" s="5" t="inlineStr">
        <is>
          <t>b7-ne-zaman-evleneceksin</t>
        </is>
      </c>
      <c r="B653" s="5" t="n">
        <v>1</v>
      </c>
      <c r="C653" s="6" t="inlineStr">
        <is>
          <t>'Görürüz' de, gülümse</t>
        </is>
      </c>
      <c r="D653" s="5" t="inlineStr"/>
      <c r="E653" s="5" t="inlineStr"/>
      <c r="F653" s="5" t="inlineStr">
        <is>
          <t>Dayanıklılık +1</t>
        </is>
      </c>
      <c r="G653" s="6" t="inlineStr">
        <is>
          <t>“Görürüz” dedin. On bir kez. Onuncusunda teyzen “Bu gözler görmeden gitmesin” dedi. On birincisinde sen de güldün; o gülmedi.</t>
        </is>
      </c>
      <c r="H653" s="6" t="inlineStr"/>
      <c r="I653" s="6" t="inlineStr"/>
      <c r="J653" s="6" t="inlineStr"/>
      <c r="K653" s="6" t="inlineStr"/>
      <c r="L653" s="6" t="inlineStr"/>
      <c r="M653" s="5" t="inlineStr"/>
      <c r="N653" s="5" t="inlineStr"/>
      <c r="O653" s="6" t="inlineStr"/>
      <c r="P653" s="6" t="inlineStr"/>
      <c r="Q653" s="5" t="inlineStr"/>
      <c r="R653" s="5" t="inlineStr"/>
      <c r="S653" s="5" t="inlineStr"/>
      <c r="T653" s="5" t="inlineStr"/>
      <c r="U653" s="5" t="inlineStr"/>
      <c r="V653" s="5" t="inlineStr"/>
      <c r="W653" s="5" t="inlineStr"/>
      <c r="X653" s="5" t="inlineStr"/>
      <c r="Y653" s="5" t="inlineStr"/>
      <c r="Z653" s="6" t="inlineStr"/>
      <c r="AA653" s="5" t="inlineStr"/>
      <c r="AB653" s="5" t="inlineStr"/>
      <c r="AC653" s="5" t="inlineStr"/>
      <c r="AD653" s="5" t="inlineStr"/>
      <c r="AE653" s="5" t="inlineStr"/>
      <c r="AF653" s="5" t="inlineStr"/>
      <c r="AG653" s="5" t="inlineStr"/>
      <c r="AH653" s="5" t="inlineStr"/>
      <c r="AI653" s="5" t="inlineStr"/>
      <c r="AJ653" s="5" t="inlineStr"/>
    </row>
    <row r="654">
      <c r="A654" s="5" t="inlineStr">
        <is>
          <t>b7-ne-zaman-evleneceksin</t>
        </is>
      </c>
      <c r="B654" s="5" t="n">
        <v>2</v>
      </c>
      <c r="C654" s="6" t="inlineStr">
        <is>
          <t>'Sizinki ne zaman boşanacak?' diye sor</t>
        </is>
      </c>
      <c r="D654" s="5" t="inlineStr">
        <is>
          <t>Pişkinlik</t>
        </is>
      </c>
      <c r="E654" s="5" t="inlineStr">
        <is>
          <t>Zor</t>
        </is>
      </c>
      <c r="F654" s="5" t="inlineStr"/>
      <c r="G654" s="6" t="inlineStr"/>
      <c r="H654" s="6" t="inlineStr">
        <is>
          <t>Masa bir an dondu, sonra güldü. O akşam kimse sana soru sormadı.</t>
        </is>
      </c>
      <c r="I654" s="6" t="inlineStr">
        <is>
          <t>Soruyu tam halay arasında sordun; masa dondu, sonra eniştenin kahkahası patladı. O akşamdan sonra teyzeler sana soru sormadan önce birbirine bakıyor.</t>
        </is>
      </c>
      <c r="J654" s="6" t="inlineStr">
        <is>
          <t>Kimse gülmedi. Teyzen yalnızca “Ay” dedi ve eliyle göğsünü tuttu. Annen masanın altından bacağını çimdikledi.</t>
        </is>
      </c>
      <c r="K654" s="6" t="inlineStr">
        <is>
          <t>Soruyu sorduğun çift gerçekten boşanıyormuş; daha kimseye söylememişler. Teyzen ağlayarak masadan kalktı, enişten “Oldu mu şimdi?” diye arkasından gitti, bütün salon izledi. Düğünün kalanında herkes gelini değil, seni konuştu.</t>
        </is>
      </c>
      <c r="L654" s="6" t="inlineStr"/>
      <c r="M654" s="5" t="inlineStr"/>
      <c r="N654" s="5" t="inlineStr"/>
      <c r="O654" s="6" t="inlineStr"/>
      <c r="P654" s="6" t="inlineStr"/>
      <c r="Q654" s="5" t="inlineStr"/>
      <c r="R654" s="5" t="inlineStr"/>
      <c r="S654" s="5" t="inlineStr"/>
      <c r="T654" s="5" t="inlineStr"/>
      <c r="U654" s="5" t="inlineStr"/>
      <c r="V654" s="5" t="inlineStr"/>
      <c r="W654" s="5" t="inlineStr"/>
      <c r="X654" s="5" t="inlineStr"/>
      <c r="Y654" s="5" t="inlineStr"/>
      <c r="Z654" s="6" t="inlineStr"/>
      <c r="AA654" s="5" t="inlineStr"/>
      <c r="AB654" s="5" t="inlineStr"/>
      <c r="AC654" s="5" t="inlineStr"/>
      <c r="AD654" s="5" t="inlineStr"/>
      <c r="AE654" s="5" t="inlineStr"/>
      <c r="AF654" s="5" t="inlineStr"/>
      <c r="AG654" s="5" t="inlineStr"/>
      <c r="AH654" s="5" t="inlineStr"/>
      <c r="AI654" s="5" t="inlineStr"/>
      <c r="AJ654" s="5" t="inlineStr"/>
    </row>
    <row r="655">
      <c r="A655" s="5" t="inlineStr">
        <is>
          <t>b7-ne-zaman-evleneceksin</t>
        </is>
      </c>
      <c r="B655" s="5" t="n">
        <v>3</v>
      </c>
      <c r="C655" s="6" t="inlineStr">
        <is>
          <t>Konuyu başka bir kuzene yönlendir</t>
        </is>
      </c>
      <c r="D655" s="5" t="inlineStr">
        <is>
          <t>Sosyal Radar</t>
        </is>
      </c>
      <c r="E655" s="5" t="inlineStr">
        <is>
          <t>Orta</t>
        </is>
      </c>
      <c r="F655" s="5" t="inlineStr"/>
      <c r="G655" s="6" t="inlineStr"/>
      <c r="H655" s="6" t="inlineStr">
        <is>
          <t>Kuzenin ev aldığını duyurdun. Bütün teyzeler o yöne döndü. Kuzenin seni hiç affetmeyecek.</t>
        </is>
      </c>
      <c r="I655" s="6" t="inlineStr">
        <is>
          <t>Konuyu öyle ustaca yönlendirdin ki masa iki saat kuzenin kariyerini tartıştı. Sen pastayı yedin.</t>
        </is>
      </c>
      <c r="J655" s="6" t="inlineStr">
        <is>
          <t>Yönlendirdiğin kuzen daha önce evlenmiş. Soru daha keskin olarak geri döndü.</t>
        </is>
      </c>
      <c r="K655" s="6" t="inlineStr">
        <is>
          <t>Kuzeni işaret ettin; kuzen seni işaret etti. Teyzeler ikinize baktı. Tam o sırada gelin çiçeği atıldı ve kucağına düştü. Bütün masa ayağa kalktı; teyzen ağlıyordu.</t>
        </is>
      </c>
      <c r="L655" s="6" t="inlineStr"/>
      <c r="M655" s="5" t="inlineStr"/>
      <c r="N655" s="5" t="inlineStr"/>
      <c r="O655" s="6" t="inlineStr"/>
      <c r="P655" s="6" t="inlineStr"/>
      <c r="Q655" s="5" t="inlineStr"/>
      <c r="R655" s="5" t="inlineStr"/>
      <c r="S655" s="5" t="inlineStr"/>
      <c r="T655" s="5" t="inlineStr"/>
      <c r="U655" s="5" t="inlineStr"/>
      <c r="V655" s="5" t="inlineStr"/>
      <c r="W655" s="5" t="inlineStr"/>
      <c r="X655" s="5" t="inlineStr"/>
      <c r="Y655" s="5" t="inlineStr"/>
      <c r="Z655" s="6" t="inlineStr"/>
      <c r="AA655" s="5" t="inlineStr"/>
      <c r="AB655" s="5" t="inlineStr"/>
      <c r="AC655" s="5" t="inlineStr"/>
      <c r="AD655" s="5" t="inlineStr"/>
      <c r="AE655" s="5" t="inlineStr"/>
      <c r="AF655" s="5" t="inlineStr"/>
      <c r="AG655" s="5" t="inlineStr"/>
      <c r="AH655" s="5" t="inlineStr"/>
      <c r="AI655" s="5" t="inlineStr"/>
      <c r="AJ655" s="5" t="inlineStr"/>
    </row>
    <row r="656">
      <c r="A656" s="5" t="inlineStr">
        <is>
          <t>b7-flort-uygulamasi</t>
        </is>
      </c>
      <c r="B656" s="5" t="n">
        <v>1</v>
      </c>
      <c r="C656" s="6" t="inlineStr">
        <is>
          <t>Uygulamayı sil</t>
        </is>
      </c>
      <c r="D656" s="5" t="inlineStr"/>
      <c r="E656" s="5" t="inlineStr"/>
      <c r="F656" s="5" t="inlineStr">
        <is>
          <t>İtibar +1, Dayanıklılık +1</t>
        </is>
      </c>
      <c r="G656" s="6" t="inlineStr">
        <is>
          <t>Uygulamayı sildin. Telefon hafifledi. Kalp aynı ağırlıkta.</t>
        </is>
      </c>
      <c r="H656" s="6" t="inlineStr"/>
      <c r="I656" s="6" t="inlineStr"/>
      <c r="J656" s="6" t="inlineStr"/>
      <c r="K656" s="6" t="inlineStr"/>
      <c r="L656" s="6" t="inlineStr"/>
      <c r="M656" s="5" t="inlineStr"/>
      <c r="N656" s="5" t="inlineStr"/>
      <c r="O656" s="6" t="inlineStr"/>
      <c r="P656" s="6" t="inlineStr"/>
      <c r="Q656" s="5" t="inlineStr"/>
      <c r="R656" s="5" t="inlineStr"/>
      <c r="S656" s="5" t="inlineStr"/>
      <c r="T656" s="5" t="inlineStr"/>
      <c r="U656" s="5" t="inlineStr">
        <is>
          <t>flort-emeklisi</t>
        </is>
      </c>
      <c r="V656" s="5" t="inlineStr"/>
      <c r="W656" s="5" t="inlineStr"/>
      <c r="X656" s="5" t="inlineStr"/>
      <c r="Y656" s="5" t="inlineStr"/>
      <c r="Z656" s="6" t="inlineStr"/>
      <c r="AA656" s="5" t="inlineStr"/>
      <c r="AB656" s="5" t="inlineStr"/>
      <c r="AC656" s="5" t="inlineStr"/>
      <c r="AD656" s="5" t="inlineStr"/>
      <c r="AE656" s="5" t="inlineStr"/>
      <c r="AF656" s="5" t="inlineStr"/>
      <c r="AG656" s="5" t="inlineStr"/>
      <c r="AH656" s="5" t="inlineStr"/>
      <c r="AI656" s="5" t="inlineStr"/>
      <c r="AJ656" s="5" t="inlineStr"/>
    </row>
    <row r="657">
      <c r="A657" s="5" t="inlineStr">
        <is>
          <t>b7-flort-uygulamasi</t>
        </is>
      </c>
      <c r="B657" s="5" t="n">
        <v>2</v>
      </c>
      <c r="C657" s="6" t="inlineStr">
        <is>
          <t>Özgün bir ilk mesaj yaz</t>
        </is>
      </c>
      <c r="D657" s="5" t="inlineStr">
        <is>
          <t>Gönül</t>
        </is>
      </c>
      <c r="E657" s="5" t="inlineStr">
        <is>
          <t>Orta</t>
        </is>
      </c>
      <c r="F657" s="5" t="inlineStr"/>
      <c r="G657" s="6" t="inlineStr"/>
      <c r="H657" s="6" t="inlineStr">
        <is>
          <t>İlk mesajın cevap aldı, ikincisi de. Üçüncüde “Bir kahve?” yazan o oldu; telefonu iki kere masaya bırakıp geri aldın.</t>
        </is>
      </c>
      <c r="I657" s="6" t="inlineStr">
        <is>
          <t>Mesajının ekran görüntüsünü arkadaş grubuna atmış: “Bu kişiyle evlenirim.” Grup tek ağızdan yazdı: “Ne bekliyorsun?”</t>
        </is>
      </c>
      <c r="J657" s="6" t="inlineStr">
        <is>
          <t>Üç gece düşündüğün mesaja “Merhaba :)” cevabı geldi. Sen de “Merhaba :)” yazdın. Sohbet orada, iki gülen suratla öldü.</t>
        </is>
      </c>
      <c r="K657" s="6" t="inlineStr">
        <is>
          <t>Özgün mesajı yanlışlıkla iş arkadaşına gönderdin. O da uygulamadaymış; “Ben de seni gördüm” yazdı. Pazartesi asansörde ikiniz de duvara baktınız. Asansör hiç bu kadar yavaş çıkmamıştı.</t>
        </is>
      </c>
      <c r="L657" s="6" t="inlineStr"/>
      <c r="M657" s="5" t="inlineStr"/>
      <c r="N657" s="5" t="inlineStr"/>
      <c r="O657" s="6" t="inlineStr"/>
      <c r="P657" s="6" t="inlineStr"/>
      <c r="Q657" s="5" t="inlineStr"/>
      <c r="R657" s="5" t="inlineStr"/>
      <c r="S657" s="5" t="inlineStr"/>
      <c r="T657" s="5" t="inlineStr"/>
      <c r="U657" s="5" t="inlineStr"/>
      <c r="V657" s="5" t="inlineStr"/>
      <c r="W657" s="5" t="inlineStr"/>
      <c r="X657" s="5" t="inlineStr"/>
      <c r="Y657" s="5" t="inlineStr"/>
      <c r="Z657" s="6" t="inlineStr"/>
      <c r="AA657" s="5" t="inlineStr"/>
      <c r="AB657" s="5" t="inlineStr"/>
      <c r="AC657" s="5" t="inlineStr"/>
      <c r="AD657" s="5" t="inlineStr"/>
      <c r="AE657" s="5" t="inlineStr"/>
      <c r="AF657" s="5" t="inlineStr"/>
      <c r="AG657" s="5" t="inlineStr"/>
      <c r="AH657" s="5" t="inlineStr"/>
      <c r="AI657" s="5" t="inlineStr"/>
      <c r="AJ657" s="5" t="inlineStr"/>
    </row>
    <row r="658">
      <c r="A658" s="5" t="inlineStr">
        <is>
          <t>b7-flort-uygulamasi</t>
        </is>
      </c>
      <c r="B658" s="5" t="n">
        <v>3</v>
      </c>
      <c r="C658" s="6" t="inlineStr">
        <is>
          <t>Hızlı hızlı kaydır, biri tutar</t>
        </is>
      </c>
      <c r="D658" s="5" t="inlineStr">
        <is>
          <t>Dayanıklılık</t>
        </is>
      </c>
      <c r="E658" s="5" t="inlineStr">
        <is>
          <t>Kolay</t>
        </is>
      </c>
      <c r="F658" s="5" t="inlineStr"/>
      <c r="G658" s="6" t="inlineStr"/>
      <c r="H658" s="6" t="inlineStr">
        <is>
          <t>Bir eşleşme oldu. Buluşmanın ilk on dakikası iyi, kalanı fena değildi.</t>
        </is>
      </c>
      <c r="I658" s="6" t="inlineStr">
        <is>
          <t>Eşleştiğin kişiyle ortak arkadaşınız çıktı; ilk buluşma bir doğum gününde gerçekleşti. Hikâyeniz resmen 'tanıştırıldık'.</t>
        </is>
      </c>
      <c r="J658" s="6" t="inlineStr">
        <is>
          <t>Yüz kez kaydırdın. Başparmağında yeni bir kas gelişti. Kalbinde değil.</t>
        </is>
      </c>
      <c r="K658" s="6" t="inlineStr">
        <is>
          <t>Kaydırırken annenin en yakın arkadaşının çocuğuna kalp attın. İki anne haberi seninle aynı anda aldı. Akşam ikisi de aynı cümleyi kurdu: “Hiç fena olmaz.”</t>
        </is>
      </c>
      <c r="L658" s="6" t="inlineStr"/>
      <c r="M658" s="5" t="inlineStr"/>
      <c r="N658" s="5" t="inlineStr"/>
      <c r="O658" s="6" t="inlineStr"/>
      <c r="P658" s="6" t="inlineStr"/>
      <c r="Q658" s="5" t="inlineStr"/>
      <c r="R658" s="5" t="inlineStr"/>
      <c r="S658" s="5" t="inlineStr"/>
      <c r="T658" s="5" t="inlineStr"/>
      <c r="U658" s="5" t="inlineStr"/>
      <c r="V658" s="5" t="inlineStr"/>
      <c r="W658" s="5" t="inlineStr"/>
      <c r="X658" s="5" t="inlineStr"/>
      <c r="Y658" s="5" t="inlineStr"/>
      <c r="Z658" s="6" t="inlineStr"/>
      <c r="AA658" s="5" t="inlineStr"/>
      <c r="AB658" s="5" t="inlineStr"/>
      <c r="AC658" s="5" t="inlineStr"/>
      <c r="AD658" s="5" t="inlineStr"/>
      <c r="AE658" s="5" t="inlineStr"/>
      <c r="AF658" s="5" t="inlineStr"/>
      <c r="AG658" s="5" t="inlineStr"/>
      <c r="AH658" s="5" t="inlineStr"/>
      <c r="AI658" s="5" t="inlineStr"/>
      <c r="AJ658" s="5" t="inlineStr"/>
    </row>
    <row r="659">
      <c r="A659" s="5" t="inlineStr">
        <is>
          <t>b7-flort-uygulamasi</t>
        </is>
      </c>
      <c r="B659" s="5" t="n">
        <v>4</v>
      </c>
      <c r="C659" s="6" t="inlineStr">
        <is>
          <t>Profilini fenomen kimliğinle güncelle</t>
        </is>
      </c>
      <c r="D659" s="5" t="inlineStr">
        <is>
          <t>Pişkinlik</t>
        </is>
      </c>
      <c r="E659" s="5" t="inlineStr">
        <is>
          <t>Kolay</t>
        </is>
      </c>
      <c r="F659" s="5" t="inlineStr"/>
      <c r="G659" s="6" t="inlineStr"/>
      <c r="H659" s="6" t="inlineStr">
        <is>
          <t>Takipçi sayını gören herkes yazdı. Hepsi reklam işbirliği istiyordu ama olsun.</t>
        </is>
      </c>
      <c r="I659" s="6" t="inlineStr">
        <is>
          <t>Bir eşleşme hem seni hem içeriğini sevdi. İlk buluşmayı çekmek için izin istedi, verdin.</t>
        </is>
      </c>
      <c r="J659" s="6" t="inlineStr">
        <is>
          <t>Profilin ilgi gördü, sen görmedin. Herkes seni 'o videodaki kişi' diye tanıyor.</t>
        </is>
      </c>
      <c r="K659" s="6" t="inlineStr">
        <is>
          <t>Uygulama hesabını “sahte ünlü” diye kapattı. Kanıt olsun diye kedinle fotoğrafını yükledin; kedinin hesabı açıldı, seninki açılmadı. Kedinin bugün üç eşleşmesi var.</t>
        </is>
      </c>
      <c r="L659" s="6" t="inlineStr"/>
      <c r="M659" s="5" t="inlineStr"/>
      <c r="N659" s="5" t="inlineStr"/>
      <c r="O659" s="6" t="inlineStr"/>
      <c r="P659" s="6" t="inlineStr"/>
      <c r="Q659" s="5" t="inlineStr"/>
      <c r="R659" s="5" t="inlineStr">
        <is>
          <t>fenomen</t>
        </is>
      </c>
      <c r="S659" s="5" t="inlineStr"/>
      <c r="T659" s="5" t="inlineStr"/>
      <c r="U659" s="5" t="inlineStr"/>
      <c r="V659" s="5" t="inlineStr"/>
      <c r="W659" s="5" t="inlineStr"/>
      <c r="X659" s="5" t="inlineStr"/>
      <c r="Y659" s="5" t="inlineStr"/>
      <c r="Z659" s="6" t="inlineStr"/>
      <c r="AA659" s="5" t="inlineStr"/>
      <c r="AB659" s="5" t="inlineStr"/>
      <c r="AC659" s="5" t="inlineStr"/>
      <c r="AD659" s="5" t="inlineStr"/>
      <c r="AE659" s="5" t="inlineStr"/>
      <c r="AF659" s="5" t="inlineStr"/>
      <c r="AG659" s="5" t="inlineStr"/>
      <c r="AH659" s="5" t="inlineStr"/>
      <c r="AI659" s="5" t="inlineStr"/>
      <c r="AJ659" s="5" t="inlineStr"/>
    </row>
    <row r="660">
      <c r="A660" s="5" t="inlineStr">
        <is>
          <t>b7-evlilik-karari</t>
        </is>
      </c>
      <c r="B660" s="5" t="n">
        <v>1</v>
      </c>
      <c r="C660" s="6" t="inlineStr">
        <is>
          <t>Sevdiğin kişiye evlenme teklif et</t>
        </is>
      </c>
      <c r="D660" s="5" t="inlineStr">
        <is>
          <t>Gönül</t>
        </is>
      </c>
      <c r="E660" s="5" t="inlineStr">
        <is>
          <t>Orta</t>
        </is>
      </c>
      <c r="F660" s="5" t="inlineStr"/>
      <c r="G660" s="6" t="inlineStr"/>
      <c r="H660" s="6" t="inlineStr">
        <is>
          <t>Yüzüğü tatlının içine sakladın; neyse ki önce sen fark ettin. “Evet” dedi. İki ay sonra, bir misafir salonunda, tuzlu bir kahve seni bekliyor.</t>
        </is>
      </c>
      <c r="I660" s="6" t="inlineStr">
        <is>
          <t>Teklifi öyle bir kurdun ki garsonlar ağladı, yan masa alkışladı, “Evet” cevabı alkışların arasında kayboldu. Tekrar sordun; yine evet.</t>
        </is>
      </c>
      <c r="J660" s="6" t="inlineStr">
        <is>
          <t>Teklifi prova ettin, cesaretin provada kaldı. Tatlı geldi, yendi, yüzük cebinde eve döndü. Yüzük çekmeceye girdi; sen de uzun bir bekârlığa.</t>
        </is>
      </c>
      <c r="K660" s="6" t="inlineStr">
        <is>
          <t>Diz çöktüğün anda yüzük elinden kaydı, kaldırım ızgarasından kanala düştü. İkiniz telefon feneriyle ızgaraya eğildiniz; bir saat sonra o doğruldu ve “Ben gideyim” dedi. Yüzük de o da bir daha bulunmadı.</t>
        </is>
      </c>
      <c r="L660" s="6" t="inlineStr"/>
      <c r="M660" s="5" t="inlineStr"/>
      <c r="N660" s="5" t="inlineStr"/>
      <c r="O660" s="6" t="inlineStr"/>
      <c r="P660" s="6" t="inlineStr"/>
      <c r="Q660" s="5" t="inlineStr"/>
      <c r="R660" s="5" t="inlineStr"/>
      <c r="S660" s="5" t="inlineStr"/>
      <c r="T660" s="5" t="inlineStr"/>
      <c r="U660" s="5" t="inlineStr"/>
      <c r="V660" s="5" t="inlineStr">
        <is>
          <t>evli, ask-evliligi, -evde-kaldi</t>
        </is>
      </c>
      <c r="W660" s="5" t="inlineStr"/>
      <c r="X660" s="5" t="inlineStr"/>
      <c r="Y660" s="5" t="inlineStr"/>
      <c r="Z660" s="6" t="inlineStr"/>
      <c r="AA660" s="5" t="inlineStr">
        <is>
          <t>Şen +1, Yalçın +1</t>
        </is>
      </c>
      <c r="AB660" s="5" t="inlineStr">
        <is>
          <t>bekar</t>
        </is>
      </c>
      <c r="AC660" s="5" t="inlineStr"/>
      <c r="AD660" s="5" t="inlineStr"/>
      <c r="AE660" s="5" t="inlineStr"/>
      <c r="AF660" s="5" t="inlineStr"/>
      <c r="AG660" s="5" t="inlineStr"/>
      <c r="AH660" s="5" t="inlineStr"/>
      <c r="AI660" s="5" t="inlineStr"/>
      <c r="AJ660" s="5" t="inlineStr"/>
    </row>
    <row r="661">
      <c r="A661" s="5" t="inlineStr">
        <is>
          <t>b7-evlilik-karari</t>
        </is>
      </c>
      <c r="B661" s="5" t="n">
        <v>2</v>
      </c>
      <c r="C661" s="6" t="inlineStr">
        <is>
          <t>Lisedeki ilk aşkını ara</t>
        </is>
      </c>
      <c r="D661" s="5" t="inlineStr">
        <is>
          <t>Gönül</t>
        </is>
      </c>
      <c r="E661" s="5" t="inlineStr">
        <is>
          <t>Kolay</t>
        </is>
      </c>
      <c r="F661" s="5" t="inlineStr"/>
      <c r="G661" s="6" t="inlineStr"/>
      <c r="H661" s="6" t="inlineStr">
        <is>
          <t>On üç yıl sonra aradın. “Ben de seni arayacaktım” dedi. İkiniz de yalan söylüyordunuz; ikiniz de mutluydunuz.</t>
        </is>
      </c>
      <c r="I661" s="6" t="inlineStr">
        <is>
          <t>Buluştunuz, aynı parka gittiniz, aynı bank hâlâ oradaydı. Bankın üstüne ikinizin adını kazıyan biri olmuş; siz değildiniz, ama saydınız.</t>
        </is>
      </c>
      <c r="J661" s="6" t="inlineStr">
        <is>
          <t>Aradın; numara bir kargo firmasının deposuna aitmiş. Depo sorumlusu çok anlayışlıydı.</t>
        </is>
      </c>
      <c r="K661" s="6" t="inlineStr">
        <is>
          <t>Aradın; eşi açtı. “Kim arıyor?” dedi. “Lise arkadaşı” dedin. Arkadan bir çocuk bağırdı: “Kim o?” Telefonu kapattın; sofrada teyzen hâlâ “Eee?” diye bakıyordu.</t>
        </is>
      </c>
      <c r="L661" s="6" t="inlineStr"/>
      <c r="M661" s="5" t="inlineStr"/>
      <c r="N661" s="5" t="inlineStr"/>
      <c r="O661" s="6" t="inlineStr"/>
      <c r="P661" s="6" t="inlineStr"/>
      <c r="Q661" s="5" t="inlineStr"/>
      <c r="R661" s="5" t="inlineStr">
        <is>
          <t>ilk-sevgili</t>
        </is>
      </c>
      <c r="S661" s="5" t="inlineStr"/>
      <c r="T661" s="5" t="inlineStr"/>
      <c r="U661" s="5" t="inlineStr"/>
      <c r="V661" s="5" t="inlineStr">
        <is>
          <t>evli, ask-evliligi, -evde-kaldi</t>
        </is>
      </c>
      <c r="W661" s="5" t="inlineStr"/>
      <c r="X661" s="5" t="inlineStr"/>
      <c r="Y661" s="5" t="inlineStr"/>
      <c r="Z661" s="6" t="inlineStr"/>
      <c r="AA661" s="5" t="inlineStr"/>
      <c r="AB661" s="5" t="inlineStr">
        <is>
          <t>bekar</t>
        </is>
      </c>
      <c r="AC661" s="5" t="inlineStr"/>
      <c r="AD661" s="5" t="inlineStr"/>
      <c r="AE661" s="5" t="inlineStr"/>
      <c r="AF661" s="5" t="inlineStr"/>
      <c r="AG661" s="5" t="inlineStr"/>
      <c r="AH661" s="5" t="inlineStr"/>
      <c r="AI661" s="5" t="inlineStr"/>
      <c r="AJ661" s="5" t="inlineStr"/>
    </row>
    <row r="662">
      <c r="A662" s="5" t="inlineStr">
        <is>
          <t>b7-evlilik-karari</t>
        </is>
      </c>
      <c r="B662" s="5" t="n">
        <v>3</v>
      </c>
      <c r="C662" s="6" t="inlineStr">
        <is>
          <t>Annene “Sadece bir kahve” de</t>
        </is>
      </c>
      <c r="D662" s="5" t="inlineStr"/>
      <c r="E662" s="5" t="inlineStr"/>
      <c r="F662" s="5" t="inlineStr">
        <is>
          <t>İtibar +1, Sosyal Radar +1</t>
        </is>
      </c>
      <c r="G662" s="6" t="inlineStr">
        <is>
          <t>Annen o akşam üç telefon açtı; üçüncüsünde sesini alçalttı: “Çok terbiyeli, ailesi de bizim gibi.” Kahve bir cumartesi içildi; ikincisi de, üçüncüsü de. Bir yıl dolmadan aynı kahveyi düğün salonunda, el ele içiyordunuz.</t>
        </is>
      </c>
      <c r="H662" s="6" t="inlineStr"/>
      <c r="I662" s="6" t="inlineStr"/>
      <c r="J662" s="6" t="inlineStr"/>
      <c r="K662" s="6" t="inlineStr"/>
      <c r="L662" s="6" t="inlineStr"/>
      <c r="M662" s="5" t="inlineStr"/>
      <c r="N662" s="5" t="inlineStr"/>
      <c r="O662" s="6" t="inlineStr"/>
      <c r="P662" s="6" t="inlineStr"/>
      <c r="Q662" s="5" t="inlineStr"/>
      <c r="R662" s="5" t="inlineStr"/>
      <c r="S662" s="5" t="inlineStr"/>
      <c r="T662" s="5" t="inlineStr"/>
      <c r="U662" s="5" t="inlineStr">
        <is>
          <t>evli, gorucu, -evde-kaldi</t>
        </is>
      </c>
      <c r="V662" s="5" t="inlineStr"/>
      <c r="W662" s="5" t="inlineStr"/>
      <c r="X662" s="5" t="inlineStr"/>
      <c r="Y662" s="5" t="inlineStr"/>
      <c r="Z662" s="6" t="inlineStr"/>
      <c r="AA662" s="5" t="inlineStr">
        <is>
          <t>Şen +1, Yalçın +1, Erdem +1, Varlı -1</t>
        </is>
      </c>
      <c r="AB662" s="5" t="inlineStr"/>
      <c r="AC662" s="5" t="inlineStr"/>
      <c r="AD662" s="5" t="inlineStr"/>
      <c r="AE662" s="5" t="inlineStr"/>
      <c r="AF662" s="5" t="inlineStr"/>
      <c r="AG662" s="5" t="inlineStr"/>
      <c r="AH662" s="5" t="inlineStr"/>
      <c r="AI662" s="5" t="inlineStr"/>
      <c r="AJ662" s="5" t="inlineStr"/>
    </row>
    <row r="663">
      <c r="A663" s="5" t="inlineStr">
        <is>
          <t>b7-evlilik-karari</t>
        </is>
      </c>
      <c r="B663" s="5" t="n">
        <v>4</v>
      </c>
      <c r="C663" s="6" t="inlineStr">
        <is>
          <t>Bekâr kalacağını ilan et</t>
        </is>
      </c>
      <c r="D663" s="5" t="inlineStr"/>
      <c r="E663" s="5" t="inlineStr"/>
      <c r="F663" s="5" t="inlineStr">
        <is>
          <t>Cesaret +1, Dayanıklılık +1</t>
        </is>
      </c>
      <c r="G663" s="6" t="inlineStr">
        <is>
          <t>Dolmayı yedin ve “Evlenmeyeceğim” dedin. Sofra sustu. Teyzen dolmayı tabağından geri aldı. O günden beri her bayram biri iç çekip “Sen bilirsin” diyor; her yıl başka bir tonda.</t>
        </is>
      </c>
      <c r="H663" s="6" t="inlineStr"/>
      <c r="I663" s="6" t="inlineStr"/>
      <c r="J663" s="6" t="inlineStr"/>
      <c r="K663" s="6" t="inlineStr"/>
      <c r="L663" s="6" t="inlineStr"/>
      <c r="M663" s="5" t="inlineStr"/>
      <c r="N663" s="5" t="inlineStr"/>
      <c r="O663" s="6" t="inlineStr"/>
      <c r="P663" s="6" t="inlineStr"/>
      <c r="Q663" s="5" t="inlineStr"/>
      <c r="R663" s="5" t="inlineStr"/>
      <c r="S663" s="5" t="inlineStr"/>
      <c r="T663" s="5" t="inlineStr"/>
      <c r="U663" s="5" t="inlineStr">
        <is>
          <t>bekar</t>
        </is>
      </c>
      <c r="V663" s="5" t="inlineStr"/>
      <c r="W663" s="5" t="inlineStr"/>
      <c r="X663" s="5" t="inlineStr"/>
      <c r="Y663" s="5" t="inlineStr"/>
      <c r="Z663" s="6" t="inlineStr"/>
      <c r="AA663" s="5" t="inlineStr">
        <is>
          <t>Şen -1, Yalçın -1</t>
        </is>
      </c>
      <c r="AB663" s="5" t="inlineStr"/>
      <c r="AC663" s="5" t="inlineStr"/>
      <c r="AD663" s="5" t="inlineStr"/>
      <c r="AE663" s="5" t="inlineStr"/>
      <c r="AF663" s="5" t="inlineStr"/>
      <c r="AG663" s="5" t="inlineStr"/>
      <c r="AH663" s="5" t="inlineStr"/>
      <c r="AI663" s="5" t="inlineStr"/>
      <c r="AJ663" s="5" t="inlineStr"/>
    </row>
    <row r="664">
      <c r="A664" s="5" t="inlineStr">
        <is>
          <t>b7-evlilik-karari</t>
        </is>
      </c>
      <c r="B664" s="5" t="n">
        <v>5</v>
      </c>
      <c r="C664" s="6" t="inlineStr">
        <is>
          <t>“Bakarız” de, bakmaya devam et</t>
        </is>
      </c>
      <c r="D664" s="5" t="inlineStr"/>
      <c r="E664" s="5" t="inlineStr"/>
      <c r="F664" s="5" t="inlineStr">
        <is>
          <t>Pişkinlik +1, Sosyal Radar +1</t>
        </is>
      </c>
      <c r="G664" s="6" t="inlineStr">
        <is>
          <t>“Bakarız” dedin. O akşamdan sonra telefonunda üç ayrı isimle buluşma planı, bir restoranda da üç ayrı akşam rezervasyonun var. Garson seni tanıyor; isimleri karıştırmıyor, sen karıştırıyorsun.</t>
        </is>
      </c>
      <c r="H664" s="6" t="inlineStr"/>
      <c r="I664" s="6" t="inlineStr"/>
      <c r="J664" s="6" t="inlineStr"/>
      <c r="K664" s="6" t="inlineStr"/>
      <c r="L664" s="6" t="inlineStr"/>
      <c r="M664" s="5" t="inlineStr"/>
      <c r="N664" s="5" t="inlineStr"/>
      <c r="O664" s="6" t="inlineStr"/>
      <c r="P664" s="6" t="inlineStr"/>
      <c r="Q664" s="5" t="inlineStr"/>
      <c r="R664" s="5" t="inlineStr">
        <is>
          <t>ilk-sevgili</t>
        </is>
      </c>
      <c r="S664" s="5" t="inlineStr"/>
      <c r="T664" s="5" t="inlineStr"/>
      <c r="U664" s="5" t="inlineStr">
        <is>
          <t>capkin</t>
        </is>
      </c>
      <c r="V664" s="5" t="inlineStr"/>
      <c r="W664" s="5" t="inlineStr"/>
      <c r="X664" s="5" t="inlineStr"/>
      <c r="Y664" s="5" t="inlineStr"/>
      <c r="Z664" s="6" t="inlineStr"/>
      <c r="AA664" s="5" t="inlineStr">
        <is>
          <t>Şen -1, Yalçın -1, Erdem -1</t>
        </is>
      </c>
      <c r="AB664" s="5" t="inlineStr"/>
      <c r="AC664" s="5" t="inlineStr"/>
      <c r="AD664" s="5" t="inlineStr"/>
      <c r="AE664" s="5" t="inlineStr"/>
      <c r="AF664" s="5" t="inlineStr"/>
      <c r="AG664" s="5" t="inlineStr"/>
      <c r="AH664" s="5" t="inlineStr"/>
      <c r="AI664" s="5" t="inlineStr"/>
      <c r="AJ664" s="5" t="inlineStr"/>
    </row>
    <row r="665">
      <c r="A665" s="5" t="inlineStr">
        <is>
          <t>mb-performans-karti</t>
        </is>
      </c>
      <c r="B665" s="5" t="n">
        <v>1</v>
      </c>
      <c r="C665" s="6" t="inlineStr">
        <is>
          <t>Başını salla, imzala</t>
        </is>
      </c>
      <c r="D665" s="5" t="inlineStr"/>
      <c r="E665" s="5" t="inlineStr"/>
      <c r="F665" s="5" t="inlineStr">
        <is>
          <t>Dayanıklılık +1</t>
        </is>
      </c>
      <c r="G665" s="6" t="inlineStr">
        <is>
          <t>'Beklentileri karşılıyor' aldın. Beklentilerin ne olduğu gizli kalmaya devam ediyor.</t>
        </is>
      </c>
      <c r="H665" s="6" t="inlineStr"/>
      <c r="I665" s="6" t="inlineStr"/>
      <c r="J665" s="6" t="inlineStr"/>
      <c r="K665" s="6" t="inlineStr"/>
      <c r="L665" s="6" t="inlineStr"/>
      <c r="M665" s="5" t="inlineStr"/>
      <c r="N665" s="5" t="inlineStr"/>
      <c r="O665" s="6" t="inlineStr"/>
      <c r="P665" s="6" t="inlineStr"/>
      <c r="Q665" s="5" t="inlineStr"/>
      <c r="R665" s="5" t="inlineStr"/>
      <c r="S665" s="5" t="inlineStr"/>
      <c r="T665" s="5" t="inlineStr"/>
      <c r="U665" s="5" t="inlineStr"/>
      <c r="V665" s="5" t="inlineStr"/>
      <c r="W665" s="5" t="inlineStr"/>
      <c r="X665" s="5" t="inlineStr"/>
      <c r="Y665" s="5" t="inlineStr"/>
      <c r="Z665" s="6" t="inlineStr"/>
      <c r="AA665" s="5" t="inlineStr"/>
      <c r="AB665" s="5" t="inlineStr"/>
      <c r="AC665" s="5" t="inlineStr"/>
      <c r="AD665" s="5" t="inlineStr"/>
      <c r="AE665" s="5" t="inlineStr"/>
      <c r="AF665" s="5" t="inlineStr"/>
      <c r="AG665" s="5" t="inlineStr"/>
      <c r="AH665" s="5" t="inlineStr"/>
      <c r="AI665" s="5" t="inlineStr"/>
      <c r="AJ665" s="5" t="inlineStr"/>
    </row>
    <row r="666">
      <c r="A666" s="5" t="inlineStr">
        <is>
          <t>mb-performans-karti</t>
        </is>
      </c>
      <c r="B666" s="5" t="n">
        <v>2</v>
      </c>
      <c r="C666" s="6" t="inlineStr">
        <is>
          <t>Başarılarını anlat</t>
        </is>
      </c>
      <c r="D666" s="5" t="inlineStr">
        <is>
          <t>Çene</t>
        </is>
      </c>
      <c r="E666" s="5" t="inlineStr">
        <is>
          <t>Zor</t>
        </is>
      </c>
      <c r="F666" s="5" t="inlineStr"/>
      <c r="G666" s="6" t="inlineStr"/>
      <c r="H666" s="6" t="inlineStr">
        <is>
          <t>Yaptıklarını anlattın, yapmadıklarını da iyi anlattın. Not: 'Beklentilerin üstünde.'</t>
        </is>
      </c>
      <c r="I666" s="6" t="inlineStr">
        <is>
          <t>Öyle anlattın ki yöneticin kendi raporuna senin cümlelerini kopyaladı.</t>
        </is>
      </c>
      <c r="J666" s="6" t="inlineStr">
        <is>
          <t>Anlattın; yöneticin 'Bunlar zaten işin' dedi.</t>
        </is>
      </c>
      <c r="K666" s="6" t="inlineStr">
        <is>
          <t>Başarılarını sayarken ekip arkadaşının projesini de saydın. Ekip arkadaşın da toplantıdaydı.</t>
        </is>
      </c>
      <c r="L666" s="6" t="inlineStr"/>
      <c r="M666" s="5" t="inlineStr"/>
      <c r="N666" s="5" t="inlineStr"/>
      <c r="O666" s="6" t="inlineStr"/>
      <c r="P666" s="6" t="inlineStr"/>
      <c r="Q666" s="5" t="inlineStr"/>
      <c r="R666" s="5" t="inlineStr"/>
      <c r="S666" s="5" t="inlineStr"/>
      <c r="T666" s="5" t="inlineStr">
        <is>
          <t>Sözünü Geçirir</t>
        </is>
      </c>
      <c r="U666" s="5" t="inlineStr"/>
      <c r="V666" s="5" t="inlineStr"/>
      <c r="W666" s="5" t="inlineStr"/>
      <c r="X666" s="5" t="inlineStr"/>
      <c r="Y666" s="5" t="inlineStr"/>
      <c r="Z666" s="6" t="inlineStr"/>
      <c r="AA666" s="5" t="inlineStr"/>
      <c r="AB666" s="5" t="inlineStr"/>
      <c r="AC666" s="5" t="inlineStr"/>
      <c r="AD666" s="5" t="inlineStr"/>
      <c r="AE666" s="5" t="inlineStr"/>
      <c r="AF666" s="5" t="inlineStr"/>
      <c r="AG666" s="5" t="inlineStr"/>
      <c r="AH666" s="5" t="inlineStr"/>
      <c r="AI666" s="5" t="inlineStr"/>
      <c r="AJ666" s="5" t="inlineStr"/>
    </row>
    <row r="667">
      <c r="A667" s="5" t="inlineStr">
        <is>
          <t>mb-performans-karti</t>
        </is>
      </c>
      <c r="B667" s="5" t="n">
        <v>3</v>
      </c>
      <c r="C667" s="6" t="inlineStr">
        <is>
          <t>'Notlar önceden girilmiş, değil mi?' de</t>
        </is>
      </c>
      <c r="D667" s="5" t="inlineStr">
        <is>
          <t>Pişkinlik</t>
        </is>
      </c>
      <c r="E667" s="5" t="inlineStr">
        <is>
          <t>Orta</t>
        </is>
      </c>
      <c r="F667" s="5" t="inlineStr"/>
      <c r="G667" s="6" t="inlineStr"/>
      <c r="H667" s="6" t="inlineStr">
        <is>
          <t>Yöneticin güldü, ekranı sana çevirdi. Birlikte bir puan yükselttiniz.</t>
        </is>
      </c>
      <c r="I667" s="6" t="inlineStr">
        <is>
          <t>Açık sözlülüğün 'şeffaflık yetkinliği' başlığında ayrıca puanlandı.</t>
        </is>
      </c>
      <c r="J667" s="6" t="inlineStr">
        <is>
          <t>Yöneticin 'Ne alakası var?' deyip ekranı kapattı. Çok hızlı kapattı.</t>
        </is>
      </c>
      <c r="K667" s="6" t="inlineStr">
        <is>
          <t>Evet, girilmiş. Şimdi bir de 'tutum' başlığı eklendi.</t>
        </is>
      </c>
      <c r="L667" s="6" t="inlineStr"/>
      <c r="M667" s="5" t="inlineStr"/>
      <c r="N667" s="5" t="inlineStr"/>
      <c r="O667" s="6" t="inlineStr"/>
      <c r="P667" s="6" t="inlineStr"/>
      <c r="Q667" s="5" t="inlineStr"/>
      <c r="R667" s="5" t="inlineStr"/>
      <c r="S667" s="5" t="inlineStr">
        <is>
          <t>Sosyal Radar</t>
        </is>
      </c>
      <c r="T667" s="5" t="inlineStr"/>
      <c r="U667" s="5" t="inlineStr"/>
      <c r="V667" s="5" t="inlineStr"/>
      <c r="W667" s="5" t="inlineStr"/>
      <c r="X667" s="5" t="inlineStr"/>
      <c r="Y667" s="5" t="inlineStr"/>
      <c r="Z667" s="6" t="inlineStr"/>
      <c r="AA667" s="5" t="inlineStr"/>
      <c r="AB667" s="5" t="inlineStr"/>
      <c r="AC667" s="5" t="inlineStr"/>
      <c r="AD667" s="5" t="inlineStr"/>
      <c r="AE667" s="5" t="inlineStr"/>
      <c r="AF667" s="5" t="inlineStr"/>
      <c r="AG667" s="5" t="inlineStr"/>
      <c r="AH667" s="5" t="inlineStr"/>
      <c r="AI667" s="5" t="inlineStr"/>
      <c r="AJ667" s="5" t="inlineStr"/>
    </row>
    <row r="668">
      <c r="A668" s="5" t="inlineStr">
        <is>
          <t>mb-performans-karti</t>
        </is>
      </c>
      <c r="B668" s="5" t="n">
        <v>4</v>
      </c>
      <c r="C668" s="6" t="inlineStr">
        <is>
          <t>Kendine 5 üzerinden 5 ver</t>
        </is>
      </c>
      <c r="D668" s="5" t="inlineStr">
        <is>
          <t>Pişkinlik</t>
        </is>
      </c>
      <c r="E668" s="5" t="inlineStr">
        <is>
          <t>Kolay</t>
        </is>
      </c>
      <c r="F668" s="5" t="inlineStr"/>
      <c r="G668" s="6" t="inlineStr"/>
      <c r="H668" s="6" t="inlineStr">
        <is>
          <t>Kendine tam puan verdin. Yöneticin formu imzalarken mırıldandı: “Keşke ben de kendime böyle bakabilsem.”</t>
        </is>
      </c>
      <c r="I668" s="6" t="inlineStr">
        <is>
          <t>Kendine 5 verdin. Yöneticin itiraz etmek için ağzını açtı, saatine baktı, kapattı. Öğle arasıydı; formu imzaladı ve yemeğe koştu.</t>
        </is>
      </c>
      <c r="J668" s="6" t="inlineStr">
        <is>
          <t>Sen 5 verdin, yöneticin 2 verdi. Sistem ortalamayı aldı: 3,5. Virgülden sonrası bile canını yaktı.</t>
        </is>
      </c>
      <c r="K668" s="6" t="inlineStr">
        <is>
          <t>Öz değerlendirme formun yanlışlıkla bütün kata gönderildi. 'Liderlik: 5/5.' Kat bunu okudu.</t>
        </is>
      </c>
      <c r="L668" s="6" t="inlineStr"/>
      <c r="M668" s="5" t="inlineStr"/>
      <c r="N668" s="5" t="inlineStr"/>
      <c r="O668" s="6" t="inlineStr"/>
      <c r="P668" s="6" t="inlineStr"/>
      <c r="Q668" s="5" t="inlineStr">
        <is>
          <t>Yüzü Kızarmaz</t>
        </is>
      </c>
      <c r="R668" s="5" t="inlineStr"/>
      <c r="S668" s="5" t="inlineStr"/>
      <c r="T668" s="5" t="inlineStr"/>
      <c r="U668" s="5" t="inlineStr"/>
      <c r="V668" s="5" t="inlineStr"/>
      <c r="W668" s="5" t="inlineStr"/>
      <c r="X668" s="5" t="inlineStr"/>
      <c r="Y668" s="5" t="inlineStr"/>
      <c r="Z668" s="6" t="inlineStr"/>
      <c r="AA668" s="5" t="inlineStr"/>
      <c r="AB668" s="5" t="inlineStr"/>
      <c r="AC668" s="5" t="inlineStr"/>
      <c r="AD668" s="5" t="inlineStr"/>
      <c r="AE668" s="5" t="inlineStr"/>
      <c r="AF668" s="5" t="inlineStr"/>
      <c r="AG668" s="5" t="inlineStr"/>
      <c r="AH668" s="5" t="inlineStr"/>
      <c r="AI668" s="5" t="inlineStr"/>
      <c r="AJ668" s="5" t="inlineStr"/>
    </row>
    <row r="669">
      <c r="A669" s="5" t="inlineStr">
        <is>
          <t>me-zabita-denetimi</t>
        </is>
      </c>
      <c r="B669" s="5" t="n">
        <v>1</v>
      </c>
      <c r="C669" s="6" t="inlineStr">
        <is>
          <t>Kasaları içeri al</t>
        </is>
      </c>
      <c r="D669" s="5" t="inlineStr"/>
      <c r="E669" s="5" t="inlineStr"/>
      <c r="F669" s="5" t="inlineStr">
        <is>
          <t>İtibar +1, Dayanıklılık +1</t>
        </is>
      </c>
      <c r="G669" s="6" t="inlineStr">
        <is>
          <t>Kaldırımı boşalttın. Zabıta geçti. Kasalar yarın sabah yine dışarıda olacak.</t>
        </is>
      </c>
      <c r="H669" s="6" t="inlineStr"/>
      <c r="I669" s="6" t="inlineStr"/>
      <c r="J669" s="6" t="inlineStr"/>
      <c r="K669" s="6" t="inlineStr"/>
      <c r="L669" s="6" t="inlineStr"/>
      <c r="M669" s="5" t="inlineStr"/>
      <c r="N669" s="5" t="inlineStr"/>
      <c r="O669" s="6" t="inlineStr"/>
      <c r="P669" s="6" t="inlineStr"/>
      <c r="Q669" s="5" t="inlineStr"/>
      <c r="R669" s="5" t="inlineStr"/>
      <c r="S669" s="5" t="inlineStr"/>
      <c r="T669" s="5" t="inlineStr"/>
      <c r="U669" s="5" t="inlineStr"/>
      <c r="V669" s="5" t="inlineStr"/>
      <c r="W669" s="5" t="inlineStr"/>
      <c r="X669" s="5" t="inlineStr"/>
      <c r="Y669" s="5" t="inlineStr"/>
      <c r="Z669" s="6" t="inlineStr"/>
      <c r="AA669" s="5" t="inlineStr"/>
      <c r="AB669" s="5" t="inlineStr"/>
      <c r="AC669" s="5" t="inlineStr"/>
      <c r="AD669" s="5" t="inlineStr"/>
      <c r="AE669" s="5" t="inlineStr"/>
      <c r="AF669" s="5" t="inlineStr"/>
      <c r="AG669" s="5" t="inlineStr"/>
      <c r="AH669" s="5" t="inlineStr"/>
      <c r="AI669" s="5" t="inlineStr"/>
      <c r="AJ669" s="5" t="inlineStr"/>
    </row>
    <row r="670">
      <c r="A670" s="5" t="inlineStr">
        <is>
          <t>me-zabita-denetimi</t>
        </is>
      </c>
      <c r="B670" s="5" t="n">
        <v>2</v>
      </c>
      <c r="C670" s="6" t="inlineStr">
        <is>
          <t>Yönetmeliği tartış</t>
        </is>
      </c>
      <c r="D670" s="5" t="inlineStr">
        <is>
          <t>Akıl</t>
        </is>
      </c>
      <c r="E670" s="5" t="inlineStr">
        <is>
          <t>Zor</t>
        </is>
      </c>
      <c r="F670" s="5" t="inlineStr"/>
      <c r="G670" s="6" t="inlineStr"/>
      <c r="H670" s="6" t="inlineStr">
        <is>
          <t>Yönetmelikte 'geçici teşhir' maddesini buldun. Kasalar resmen geçici, yani kalıcı.</t>
        </is>
      </c>
      <c r="I670" s="6" t="inlineStr">
        <is>
          <t>Yönetmeliği zabıtadan iyi bildiğin anlaşıldı. Zabıta defterini kapattı, telefonunu çıkardı: “Bir de eniştemin dükkânına bakar mısın? Tabelası beni geceleri uyutmuyor.”</t>
        </is>
      </c>
      <c r="J670" s="6" t="inlineStr">
        <is>
          <t>Tartıştın. Zabıta yönetmeliğin yeni baskısını gösterdi; seninki eski baskıymış.</t>
        </is>
      </c>
      <c r="K670" s="6" t="inlineStr">
        <is>
          <t>O kadar tartıştın ki tabelaya, tenteye, kapı paspasına ve kedinin mama kabına ayrı ayrı tutanak kesildi.</t>
        </is>
      </c>
      <c r="L670" s="6" t="inlineStr"/>
      <c r="M670" s="5" t="inlineStr"/>
      <c r="N670" s="5" t="inlineStr"/>
      <c r="O670" s="6" t="inlineStr"/>
      <c r="P670" s="6" t="inlineStr"/>
      <c r="Q670" s="5" t="inlineStr"/>
      <c r="R670" s="5" t="inlineStr"/>
      <c r="S670" s="5" t="inlineStr"/>
      <c r="T670" s="5" t="inlineStr"/>
      <c r="U670" s="5" t="inlineStr"/>
      <c r="V670" s="5" t="inlineStr"/>
      <c r="W670" s="5" t="inlineStr"/>
      <c r="X670" s="5" t="inlineStr"/>
      <c r="Y670" s="5" t="inlineStr"/>
      <c r="Z670" s="6" t="inlineStr"/>
      <c r="AA670" s="5" t="inlineStr"/>
      <c r="AB670" s="5" t="inlineStr"/>
      <c r="AC670" s="5" t="inlineStr"/>
      <c r="AD670" s="5" t="inlineStr"/>
      <c r="AE670" s="5" t="inlineStr"/>
      <c r="AF670" s="5" t="inlineStr"/>
      <c r="AG670" s="5" t="inlineStr"/>
      <c r="AH670" s="5" t="inlineStr"/>
      <c r="AI670" s="5" t="inlineStr"/>
      <c r="AJ670" s="5" t="inlineStr"/>
    </row>
    <row r="671">
      <c r="A671" s="5" t="inlineStr">
        <is>
          <t>me-zabita-denetimi</t>
        </is>
      </c>
      <c r="B671" s="5" t="n">
        <v>3</v>
      </c>
      <c r="C671" s="6" t="inlineStr">
        <is>
          <t>Çay ikram et</t>
        </is>
      </c>
      <c r="D671" s="5" t="inlineStr">
        <is>
          <t>İtibar</t>
        </is>
      </c>
      <c r="E671" s="5" t="inlineStr">
        <is>
          <t>Orta</t>
        </is>
      </c>
      <c r="F671" s="5" t="inlineStr"/>
      <c r="G671" s="6" t="inlineStr"/>
      <c r="H671" s="6" t="inlineStr">
        <is>
          <t>Çay içildi, havadan sudan konuşuldu, tutanak defteri kapalı kaldı.</t>
        </is>
      </c>
      <c r="I671" s="6" t="inlineStr">
        <is>
          <t>Zabıta çayı beğendi. Ertesi denetimde sokakta uyarı almayan tek dükkân sendin.</t>
        </is>
      </c>
      <c r="J671" s="6" t="inlineStr">
        <is>
          <t>Çayı içti, teşekkür etti, tutanağı yazdı. Çay için ayrıca teşekkür etti.</t>
        </is>
      </c>
      <c r="K671" s="6" t="inlineStr">
        <is>
          <t>Tutanağa 'ısrarlı misafirperverlik' notu düşüldü. Böyle bir madde olduğunu kimse bilmiyordu.</t>
        </is>
      </c>
      <c r="L671" s="6" t="inlineStr"/>
      <c r="M671" s="5" t="inlineStr"/>
      <c r="N671" s="5" t="inlineStr"/>
      <c r="O671" s="6" t="inlineStr"/>
      <c r="P671" s="6" t="inlineStr"/>
      <c r="Q671" s="5" t="inlineStr"/>
      <c r="R671" s="5" t="inlineStr"/>
      <c r="S671" s="5" t="inlineStr"/>
      <c r="T671" s="5" t="inlineStr"/>
      <c r="U671" s="5" t="inlineStr"/>
      <c r="V671" s="5" t="inlineStr"/>
      <c r="W671" s="5" t="inlineStr"/>
      <c r="X671" s="5" t="inlineStr"/>
      <c r="Y671" s="5" t="inlineStr"/>
      <c r="Z671" s="6" t="inlineStr"/>
      <c r="AA671" s="5" t="inlineStr"/>
      <c r="AB671" s="5" t="inlineStr"/>
      <c r="AC671" s="5" t="inlineStr"/>
      <c r="AD671" s="5" t="inlineStr"/>
      <c r="AE671" s="5" t="inlineStr"/>
      <c r="AF671" s="5" t="inlineStr"/>
      <c r="AG671" s="5" t="inlineStr"/>
      <c r="AH671" s="5" t="inlineStr"/>
      <c r="AI671" s="5" t="inlineStr"/>
      <c r="AJ671" s="5" t="inlineStr"/>
    </row>
    <row r="672">
      <c r="A672" s="5" t="inlineStr">
        <is>
          <t>me-zabita-denetimi</t>
        </is>
      </c>
      <c r="B672" s="5" t="n">
        <v>4</v>
      </c>
      <c r="C672" s="6" t="inlineStr">
        <is>
          <t>Karşı dükkânı işaret et</t>
        </is>
      </c>
      <c r="D672" s="5" t="inlineStr">
        <is>
          <t>Pişkinlik</t>
        </is>
      </c>
      <c r="E672" s="5" t="inlineStr">
        <is>
          <t>Orta</t>
        </is>
      </c>
      <c r="F672" s="5" t="inlineStr"/>
      <c r="G672" s="6" t="inlineStr"/>
      <c r="H672" s="6" t="inlineStr">
        <is>
          <t>'Asıl karşıdaki' dedin. Zabıta karşıya yürüdü. Tente savaşında ilk sayı senin.</t>
        </is>
      </c>
      <c r="I672" s="6" t="inlineStr">
        <is>
          <t>Karşı dükkânın tabelası söktürüldü. Sokakta artık tek bir tabela var: seninki.</t>
        </is>
      </c>
      <c r="J672" s="6" t="inlineStr">
        <is>
          <t>Zabıta ikinize de tutanak yazdı. Eşitlik bu sokağa böyle geldi.</t>
        </is>
      </c>
      <c r="K672" s="6" t="inlineStr">
        <is>
          <t>Karşı dükkân da seni işaret etti. Zabıta ikinizi yarım saat dinledi, sonra sokağa yeni bir tabela astı: 'Esnaf kavga etmez.'</t>
        </is>
      </c>
      <c r="L672" s="6" t="inlineStr"/>
      <c r="M672" s="5" t="inlineStr"/>
      <c r="N672" s="5" t="inlineStr"/>
      <c r="O672" s="6" t="inlineStr"/>
      <c r="P672" s="6" t="inlineStr"/>
      <c r="Q672" s="5" t="inlineStr"/>
      <c r="R672" s="5" t="inlineStr">
        <is>
          <t>esnaf-komsu-rakip</t>
        </is>
      </c>
      <c r="S672" s="5" t="inlineStr"/>
      <c r="T672" s="5" t="inlineStr"/>
      <c r="U672" s="5" t="inlineStr"/>
      <c r="V672" s="5" t="inlineStr"/>
      <c r="W672" s="5" t="inlineStr"/>
      <c r="X672" s="5" t="inlineStr"/>
      <c r="Y672" s="5" t="inlineStr"/>
      <c r="Z672" s="6" t="inlineStr"/>
      <c r="AA672" s="5" t="inlineStr"/>
      <c r="AB672" s="5" t="inlineStr"/>
      <c r="AC672" s="5" t="inlineStr"/>
      <c r="AD672" s="5" t="inlineStr"/>
      <c r="AE672" s="5" t="inlineStr"/>
      <c r="AF672" s="5" t="inlineStr"/>
      <c r="AG672" s="5" t="inlineStr"/>
      <c r="AH672" s="5" t="inlineStr"/>
      <c r="AI672" s="5" t="inlineStr"/>
      <c r="AJ672" s="5" t="inlineStr"/>
    </row>
    <row r="673">
      <c r="A673" s="5" t="inlineStr">
        <is>
          <t>b7-dugun-takilari</t>
        </is>
      </c>
      <c r="B673" s="5" t="n">
        <v>1</v>
      </c>
      <c r="C673" s="6" t="inlineStr">
        <is>
          <t>Takıları hızla topla, hiçbirini düşürme</t>
        </is>
      </c>
      <c r="D673" s="5" t="inlineStr">
        <is>
          <t>Dayanıklılık</t>
        </is>
      </c>
      <c r="E673" s="5" t="inlineStr">
        <is>
          <t>Orta</t>
        </is>
      </c>
      <c r="F673" s="5" t="inlineStr"/>
      <c r="G673" s="6" t="inlineStr"/>
      <c r="H673" s="6" t="inlineStr">
        <is>
          <t>Takıların hepsini topladın, kurdeleler bütün. Defterci amca gözlüğünü çıkardı: “Kırk yıldır tutarım, ilk kez hiçbir şey düşmedi.”</t>
        </is>
      </c>
      <c r="I673" s="6" t="inlineStr">
        <is>
          <t>Tek bir takıyı düşürmedin; üstüne yerde kalmış bir önceki düğünün takısını da buldun. Sahibi arandı, bulunamadı.</t>
        </is>
      </c>
      <c r="J673" s="6" t="inlineStr">
        <is>
          <t>Bir bilezik masanın altına kaçtı. Üç teyze ve bir garsondan oluşan ekip onu aradı. Hâlâ arıyorlar.</t>
        </is>
      </c>
      <c r="K673" s="6" t="inlineStr">
        <is>
          <t>Takıları toplarken kesenin dibi yırtıldı. Altınlar dans pistine saçıldı, orkestra çalmaya devam etti. Halay başı bir bilezikle oynamaya başladı.</t>
        </is>
      </c>
      <c r="L673" s="6" t="inlineStr">
        <is>
          <t>Çoğunu topladın. Bir çeyrek, halayda birinin ayakkabısına girdi ve eve onunla gitti.</t>
        </is>
      </c>
      <c r="M673" s="5" t="inlineStr">
        <is>
          <t>collect</t>
        </is>
      </c>
      <c r="N673" s="5" t="inlineStr">
        <is>
          <t>Takı Toplama</t>
        </is>
      </c>
      <c r="O673" s="6" t="inlineStr">
        <is>
          <t>Sahneye saçılan takılara hızla dokun. Defterci amca her şeyi görüyor.</t>
        </is>
      </c>
      <c r="P673" s="6" t="inlineStr">
        <is>
          <t>{"piece": "🪙"}</t>
        </is>
      </c>
      <c r="Q673" s="5" t="inlineStr"/>
      <c r="R673" s="5" t="inlineStr"/>
      <c r="S673" s="5" t="inlineStr"/>
      <c r="T673" s="5" t="inlineStr"/>
      <c r="U673" s="5" t="inlineStr"/>
      <c r="V673" s="5" t="inlineStr"/>
      <c r="W673" s="5" t="inlineStr"/>
      <c r="X673" s="5" t="inlineStr"/>
      <c r="Y673" s="5" t="inlineStr"/>
      <c r="Z673" s="6" t="inlineStr"/>
      <c r="AA673" s="5" t="inlineStr"/>
      <c r="AB673" s="5" t="inlineStr"/>
      <c r="AC673" s="5" t="inlineStr"/>
      <c r="AD673" s="5" t="inlineStr"/>
      <c r="AE673" s="5" t="inlineStr"/>
      <c r="AF673" s="5" t="inlineStr"/>
      <c r="AG673" s="5" t="inlineStr"/>
      <c r="AH673" s="5" t="inlineStr"/>
      <c r="AI673" s="5" t="inlineStr"/>
      <c r="AJ673" s="5" t="inlineStr"/>
    </row>
    <row r="674">
      <c r="A674" s="5" t="inlineStr">
        <is>
          <t>b7-dugun-takilari</t>
        </is>
      </c>
      <c r="B674" s="5" t="n">
        <v>2</v>
      </c>
      <c r="C674" s="6" t="inlineStr">
        <is>
          <t>Defteri kendin tut</t>
        </is>
      </c>
      <c r="D674" s="5" t="inlineStr"/>
      <c r="E674" s="5" t="inlineStr"/>
      <c r="F674" s="5" t="inlineStr">
        <is>
          <t>Akıl +1, Sosyal Radar +1</t>
        </is>
      </c>
      <c r="G674" s="6" t="inlineStr">
        <is>
          <t>Kim ne taktıysa deftere yazdın; halanın bileziğinin yanına küçük harfle “hafif” diye not düştün. Defter şimdi çeyiz sandığında. Onların düğününde açılacak; açılınca konuşulacak.</t>
        </is>
      </c>
      <c r="H674" s="6" t="inlineStr"/>
      <c r="I674" s="6" t="inlineStr"/>
      <c r="J674" s="6" t="inlineStr"/>
      <c r="K674" s="6" t="inlineStr"/>
      <c r="L674" s="6" t="inlineStr"/>
      <c r="M674" s="5" t="inlineStr"/>
      <c r="N674" s="5" t="inlineStr"/>
      <c r="O674" s="6" t="inlineStr"/>
      <c r="P674" s="6" t="inlineStr"/>
      <c r="Q674" s="5" t="inlineStr"/>
      <c r="R674" s="5" t="inlineStr"/>
      <c r="S674" s="5" t="inlineStr"/>
      <c r="T674" s="5" t="inlineStr"/>
      <c r="U674" s="5" t="inlineStr">
        <is>
          <t>taki-defteri</t>
        </is>
      </c>
      <c r="V674" s="5" t="inlineStr"/>
      <c r="W674" s="5" t="inlineStr"/>
      <c r="X674" s="5" t="inlineStr"/>
      <c r="Y674" s="5" t="inlineStr"/>
      <c r="Z674" s="6" t="inlineStr"/>
      <c r="AA674" s="5" t="inlineStr"/>
      <c r="AB674" s="5" t="inlineStr"/>
      <c r="AC674" s="5" t="inlineStr"/>
      <c r="AD674" s="5" t="inlineStr"/>
      <c r="AE674" s="5" t="inlineStr"/>
      <c r="AF674" s="5" t="inlineStr"/>
      <c r="AG674" s="5" t="inlineStr"/>
      <c r="AH674" s="5" t="inlineStr"/>
      <c r="AI674" s="5" t="inlineStr"/>
      <c r="AJ674" s="5" t="inlineStr"/>
    </row>
    <row r="675">
      <c r="A675" s="5" t="inlineStr">
        <is>
          <t>b7-dugun-takilari</t>
        </is>
      </c>
      <c r="B675" s="5" t="n">
        <v>3</v>
      </c>
      <c r="C675" s="6" t="inlineStr">
        <is>
          <t>Takıların gramını anlık hesapla</t>
        </is>
      </c>
      <c r="D675" s="5" t="inlineStr">
        <is>
          <t>Akıl</t>
        </is>
      </c>
      <c r="E675" s="5" t="inlineStr">
        <is>
          <t>Kolay</t>
        </is>
      </c>
      <c r="F675" s="5" t="inlineStr"/>
      <c r="G675" s="6" t="inlineStr"/>
      <c r="H675" s="6" t="inlineStr">
        <is>
          <t>Merasim bitmeden toplamı biliyordun. Düğünün borcu kapandı; kimin ne eksik taktığını da bir tek sen biliyorsun.</t>
        </is>
      </c>
      <c r="I675" s="6" t="inlineStr">
        <is>
          <t>Gramajı takılar sahneden inmeden hesapladın. Kuyumcu dayın mikrofonu kaptı: “Bu çocuğu yarın dükkâna istiyorum!” Düğünün en büyük alkışı takıya değil, sana gitti.</t>
        </is>
      </c>
      <c r="J675" s="6" t="inlineStr">
        <is>
          <t>Hesapta bir sıfır kaydı. Bir saat boyunca zengin olduğunu sandın.</t>
        </is>
      </c>
      <c r="K675" s="6" t="inlineStr">
        <is>
          <t>Yüksek sesle hesap yaparken mikrofon açıktı. Salondaki herkes kendi takısının değerini öğrendi.</t>
        </is>
      </c>
      <c r="L675" s="6" t="inlineStr"/>
      <c r="M675" s="5" t="inlineStr"/>
      <c r="N675" s="5" t="inlineStr"/>
      <c r="O675" s="6" t="inlineStr"/>
      <c r="P675" s="6" t="inlineStr"/>
      <c r="Q675" s="5" t="inlineStr">
        <is>
          <t>Para Üstü Radarı</t>
        </is>
      </c>
      <c r="R675" s="5" t="inlineStr"/>
      <c r="S675" s="5" t="inlineStr"/>
      <c r="T675" s="5" t="inlineStr"/>
      <c r="U675" s="5" t="inlineStr">
        <is>
          <t>taki-defteri</t>
        </is>
      </c>
      <c r="V675" s="5" t="inlineStr"/>
      <c r="W675" s="5" t="inlineStr"/>
      <c r="X675" s="5" t="inlineStr"/>
      <c r="Y675" s="5" t="inlineStr"/>
      <c r="Z675" s="6" t="inlineStr"/>
      <c r="AA675" s="5" t="inlineStr"/>
      <c r="AB675" s="5" t="inlineStr"/>
      <c r="AC675" s="5" t="inlineStr"/>
      <c r="AD675" s="5" t="inlineStr"/>
      <c r="AE675" s="5" t="inlineStr"/>
      <c r="AF675" s="5" t="inlineStr"/>
      <c r="AG675" s="5" t="inlineStr"/>
      <c r="AH675" s="5" t="inlineStr"/>
      <c r="AI675" s="5" t="inlineStr"/>
      <c r="AJ675" s="5" t="inlineStr"/>
    </row>
    <row r="676">
      <c r="A676" s="5" t="inlineStr">
        <is>
          <t>b7-balayi</t>
        </is>
      </c>
      <c r="B676" s="5" t="n">
        <v>1</v>
      </c>
      <c r="C676" s="6" t="inlineStr">
        <is>
          <t>Şezlongda yat</t>
        </is>
      </c>
      <c r="D676" s="5" t="inlineStr"/>
      <c r="E676" s="5" t="inlineStr"/>
      <c r="F676" s="5" t="inlineStr">
        <is>
          <t>Dayanıklılık +1</t>
        </is>
      </c>
      <c r="G676" s="6" t="inlineStr">
        <is>
          <t>Yedi gün aynı şezlongdan kalkmadın. Son gün havlu görevlisi vedalaşmaya geldi. Balayı fotoğraflarının hepsinde aynı şemsiye var.</t>
        </is>
      </c>
      <c r="H676" s="6" t="inlineStr"/>
      <c r="I676" s="6" t="inlineStr"/>
      <c r="J676" s="6" t="inlineStr"/>
      <c r="K676" s="6" t="inlineStr"/>
      <c r="L676" s="6" t="inlineStr"/>
      <c r="M676" s="5" t="inlineStr"/>
      <c r="N676" s="5" t="inlineStr"/>
      <c r="O676" s="6" t="inlineStr"/>
      <c r="P676" s="6" t="inlineStr"/>
      <c r="Q676" s="5" t="inlineStr"/>
      <c r="R676" s="5" t="inlineStr"/>
      <c r="S676" s="5" t="inlineStr"/>
      <c r="T676" s="5" t="inlineStr"/>
      <c r="U676" s="5" t="inlineStr"/>
      <c r="V676" s="5" t="inlineStr"/>
      <c r="W676" s="5" t="inlineStr"/>
      <c r="X676" s="5" t="inlineStr"/>
      <c r="Y676" s="5" t="inlineStr"/>
      <c r="Z676" s="6" t="inlineStr"/>
      <c r="AA676" s="5" t="inlineStr"/>
      <c r="AB676" s="5" t="inlineStr"/>
      <c r="AC676" s="5" t="inlineStr"/>
      <c r="AD676" s="5" t="inlineStr"/>
      <c r="AE676" s="5" t="inlineStr"/>
      <c r="AF676" s="5" t="inlineStr"/>
      <c r="AG676" s="5" t="inlineStr"/>
      <c r="AH676" s="5" t="inlineStr"/>
      <c r="AI676" s="5" t="inlineStr"/>
      <c r="AJ676" s="5" t="inlineStr"/>
    </row>
    <row r="677">
      <c r="A677" s="5" t="inlineStr">
        <is>
          <t>b7-balayi</t>
        </is>
      </c>
      <c r="B677" s="5" t="n">
        <v>2</v>
      </c>
      <c r="C677" s="6" t="inlineStr">
        <is>
          <t>Deniz paraşütüne bin</t>
        </is>
      </c>
      <c r="D677" s="5" t="inlineStr">
        <is>
          <t>Cesaret</t>
        </is>
      </c>
      <c r="E677" s="5" t="inlineStr">
        <is>
          <t>Zor</t>
        </is>
      </c>
      <c r="F677" s="5" t="inlineStr"/>
      <c r="G677" s="6" t="inlineStr"/>
      <c r="H677" s="6" t="inlineStr">
        <is>
          <t>Havadan sahili gördün; eşin aşağıda minicik el sallıyordu. İndiğinde ilk sözü “Bir daha beni bırakıp uçma” oldu. Fotoğraf hâlâ salonun duvarında.</t>
        </is>
      </c>
      <c r="I677" s="6" t="inlineStr">
        <is>
          <t>Yukarıda o kadar keyifli göründün ki operatör sana indirimli ikinci tur verdi. Balayı fotoğraflarının yarısı gökyüzünde.</t>
        </is>
      </c>
      <c r="J677" s="6" t="inlineStr">
        <is>
          <t>İp kısa sürdü. Bütün uçuş boyunca otelin çamaşırhanesini izledin.</t>
        </is>
      </c>
      <c r="K677" s="6" t="inlineStr">
        <is>
          <t>İp koptu, denize sen indin. Kurtarma botu seni çıkardı ama alyansını çıkaramadı. Balayının kalanında eşin her sabah iskeleden dalgıca “Bulundu mu?” diye sordu.</t>
        </is>
      </c>
      <c r="L677" s="6" t="inlineStr"/>
      <c r="M677" s="5" t="inlineStr"/>
      <c r="N677" s="5" t="inlineStr"/>
      <c r="O677" s="6" t="inlineStr"/>
      <c r="P677" s="6" t="inlineStr"/>
      <c r="Q677" s="5" t="inlineStr"/>
      <c r="R677" s="5" t="inlineStr"/>
      <c r="S677" s="5" t="inlineStr"/>
      <c r="T677" s="5" t="inlineStr"/>
      <c r="U677" s="5" t="inlineStr"/>
      <c r="V677" s="5" t="inlineStr"/>
      <c r="W677" s="5" t="inlineStr"/>
      <c r="X677" s="5" t="inlineStr"/>
      <c r="Y677" s="5" t="n">
        <v>2</v>
      </c>
      <c r="Z677" s="6" t="inlineStr">
        <is>
          <t>Balayında deniz paraşütünde, 'aşağıdan çok güzel görünüyorsun' mesajını okurken.</t>
        </is>
      </c>
      <c r="AA677" s="5" t="inlineStr"/>
      <c r="AB677" s="5" t="inlineStr"/>
      <c r="AC677" s="5" t="inlineStr"/>
      <c r="AD677" s="5" t="inlineStr"/>
      <c r="AE677" s="5" t="inlineStr"/>
      <c r="AF677" s="5" t="inlineStr"/>
      <c r="AG677" s="5" t="inlineStr"/>
      <c r="AH677" s="5" t="inlineStr"/>
      <c r="AI677" s="5" t="inlineStr"/>
      <c r="AJ677" s="5" t="inlineStr"/>
    </row>
    <row r="678">
      <c r="A678" s="5" t="inlineStr">
        <is>
          <t>b7-balayi</t>
        </is>
      </c>
      <c r="B678" s="5" t="n">
        <v>3</v>
      </c>
      <c r="C678" s="6" t="inlineStr">
        <is>
          <t>Açık büfede en iyi masayı kap</t>
        </is>
      </c>
      <c r="D678" s="5" t="inlineStr">
        <is>
          <t>Kurnazlık</t>
        </is>
      </c>
      <c r="E678" s="5" t="inlineStr">
        <is>
          <t>Kolay</t>
        </is>
      </c>
      <c r="F678" s="5" t="inlineStr"/>
      <c r="G678" s="6" t="inlineStr"/>
      <c r="H678" s="6" t="inlineStr">
        <is>
          <t>Deniz manzaralı masayı her sabah sen kaptın. Otel seni tanıyor, masayı da.</t>
        </is>
      </c>
      <c r="I678" s="6" t="inlineStr">
        <is>
          <t>Masayı kaptın, garsonla dost oldun, son gün pasta geldi. Balayını büfe kazandı.</t>
        </is>
      </c>
      <c r="J678" s="6" t="inlineStr">
        <is>
          <t>Havluyla ayırdığın masaya başka bir havlu konmuş. Havlu savaşı kaybedildi.</t>
        </is>
      </c>
      <c r="K678" s="6" t="inlineStr">
        <is>
          <t>Masa kaparken yanlış tabaktan bir dilim aldın. Tabak, yan masadaki çiftin kırkıncı yıl dönümü pastasıymış. Teyze ağladı, amca sana baktı; eşin balayını hâlâ “o pasta olayı” diye anlatıyor.</t>
        </is>
      </c>
      <c r="L678" s="6" t="inlineStr"/>
      <c r="M678" s="5" t="inlineStr"/>
      <c r="N678" s="5" t="inlineStr"/>
      <c r="O678" s="6" t="inlineStr"/>
      <c r="P678" s="6" t="inlineStr"/>
      <c r="Q678" s="5" t="inlineStr"/>
      <c r="R678" s="5" t="inlineStr"/>
      <c r="S678" s="5" t="inlineStr"/>
      <c r="T678" s="5" t="inlineStr"/>
      <c r="U678" s="5" t="inlineStr"/>
      <c r="V678" s="5" t="inlineStr"/>
      <c r="W678" s="5" t="inlineStr"/>
      <c r="X678" s="5" t="inlineStr"/>
      <c r="Y678" s="5" t="inlineStr"/>
      <c r="Z678" s="6" t="inlineStr"/>
      <c r="AA678" s="5" t="inlineStr"/>
      <c r="AB678" s="5" t="inlineStr"/>
      <c r="AC678" s="5" t="inlineStr"/>
      <c r="AD678" s="5" t="inlineStr"/>
      <c r="AE678" s="5" t="inlineStr"/>
      <c r="AF678" s="5" t="inlineStr"/>
      <c r="AG678" s="5" t="inlineStr"/>
      <c r="AH678" s="5" t="inlineStr"/>
      <c r="AI678" s="5" t="inlineStr"/>
      <c r="AJ678" s="5" t="inlineStr"/>
    </row>
    <row r="679">
      <c r="A679" s="5" t="inlineStr">
        <is>
          <t>b7-balayi</t>
        </is>
      </c>
      <c r="B679" s="5" t="n">
        <v>4</v>
      </c>
      <c r="C679" s="6" t="inlineStr">
        <is>
          <t>Eşine sürpriz akşam yemeği hazırlat</t>
        </is>
      </c>
      <c r="D679" s="5" t="inlineStr">
        <is>
          <t>Gönül</t>
        </is>
      </c>
      <c r="E679" s="5" t="inlineStr">
        <is>
          <t>Orta</t>
        </is>
      </c>
      <c r="F679" s="5" t="inlineStr"/>
      <c r="G679" s="6" t="inlineStr"/>
      <c r="H679" s="6" t="inlineStr">
        <is>
          <t>Sahilde mum ışığında bir masa ayarladın. Eşin “Ne zaman yaptın bunu?” dedi. Aile grubuna o akşamdan tek fotoğraf gitti; teyzen kalp yolladı.</t>
        </is>
      </c>
      <c r="I679" s="6" t="inlineStr">
        <is>
          <t>Garsonla anlaştın; iskelenin ucuna tek bir masa kuruldu. Eşin ağladı, balıkçılar alkışladı. Bu akşam yıllarca bayram sofralarında anlatılacak.</t>
        </is>
      </c>
      <c r="J679" s="6" t="inlineStr">
        <is>
          <t>Masa hazırdı, mum hazırdı, rüzgâr hazır değildi. Mum on kez söndü; yemeği içeride yediniz.</t>
        </is>
      </c>
      <c r="K679" s="6" t="inlineStr">
        <is>
          <t>Sürpriz masayı yanlış isme ayırttın. Garson mumları yakıp başka bir çifti oturttu; o çift de balayındaymış, ağladılar. Siz açık büfeden, onların masasını izleyerek yediniz.</t>
        </is>
      </c>
      <c r="L679" s="6" t="inlineStr"/>
      <c r="M679" s="5" t="inlineStr"/>
      <c r="N679" s="5" t="inlineStr"/>
      <c r="O679" s="6" t="inlineStr"/>
      <c r="P679" s="6" t="inlineStr"/>
      <c r="Q679" s="5" t="inlineStr"/>
      <c r="R679" s="5" t="inlineStr"/>
      <c r="S679" s="5" t="inlineStr"/>
      <c r="T679" s="5" t="inlineStr"/>
      <c r="U679" s="5" t="inlineStr"/>
      <c r="V679" s="5" t="inlineStr"/>
      <c r="W679" s="5" t="inlineStr"/>
      <c r="X679" s="5" t="inlineStr"/>
      <c r="Y679" s="5" t="inlineStr"/>
      <c r="Z679" s="6" t="inlineStr"/>
      <c r="AA679" s="5" t="inlineStr"/>
      <c r="AB679" s="5" t="inlineStr"/>
      <c r="AC679" s="5" t="inlineStr"/>
      <c r="AD679" s="5" t="inlineStr"/>
      <c r="AE679" s="5" t="inlineStr"/>
      <c r="AF679" s="5" t="inlineStr"/>
      <c r="AG679" s="5" t="inlineStr"/>
      <c r="AH679" s="5" t="inlineStr"/>
      <c r="AI679" s="5" t="inlineStr"/>
      <c r="AJ679" s="5" t="inlineStr"/>
    </row>
    <row r="680">
      <c r="A680" s="5" t="inlineStr">
        <is>
          <t>ms-acilis-gecesi</t>
        </is>
      </c>
      <c r="B680" s="5" t="n">
        <v>1</v>
      </c>
      <c r="C680" s="6" t="inlineStr">
        <is>
          <t>İkramları ye, erken kapat</t>
        </is>
      </c>
      <c r="D680" s="5" t="inlineStr"/>
      <c r="E680" s="5" t="inlineStr"/>
      <c r="F680" s="5" t="inlineStr">
        <is>
          <t>Dayanıklılık +1</t>
        </is>
      </c>
      <c r="G680" s="6" t="inlineStr">
        <is>
          <t>Sergi iki saat sürdü. Poğaçaların yarısını sen yedin, kalanını annen çantasına doldurdu: “İsraf olmasın.” Eser satılmadı ama ikram bitti.</t>
        </is>
      </c>
      <c r="H680" s="6" t="inlineStr"/>
      <c r="I680" s="6" t="inlineStr"/>
      <c r="J680" s="6" t="inlineStr"/>
      <c r="K680" s="6" t="inlineStr"/>
      <c r="L680" s="6" t="inlineStr"/>
      <c r="M680" s="5" t="inlineStr"/>
      <c r="N680" s="5" t="inlineStr"/>
      <c r="O680" s="6" t="inlineStr"/>
      <c r="P680" s="6" t="inlineStr"/>
      <c r="Q680" s="5" t="inlineStr"/>
      <c r="R680" s="5" t="inlineStr"/>
      <c r="S680" s="5" t="inlineStr"/>
      <c r="T680" s="5" t="inlineStr"/>
      <c r="U680" s="5" t="inlineStr"/>
      <c r="V680" s="5" t="inlineStr"/>
      <c r="W680" s="5" t="inlineStr"/>
      <c r="X680" s="5" t="inlineStr"/>
      <c r="Y680" s="5" t="inlineStr"/>
      <c r="Z680" s="6" t="inlineStr"/>
      <c r="AA680" s="5" t="inlineStr"/>
      <c r="AB680" s="5" t="inlineStr"/>
      <c r="AC680" s="5" t="inlineStr"/>
      <c r="AD680" s="5" t="inlineStr"/>
      <c r="AE680" s="5" t="inlineStr"/>
      <c r="AF680" s="5" t="inlineStr"/>
      <c r="AG680" s="5" t="inlineStr"/>
      <c r="AH680" s="5" t="inlineStr"/>
      <c r="AI680" s="5" t="inlineStr"/>
      <c r="AJ680" s="5" t="inlineStr"/>
    </row>
    <row r="681">
      <c r="A681" s="5" t="inlineStr">
        <is>
          <t>ms-acilis-gecesi</t>
        </is>
      </c>
      <c r="B681" s="5" t="n">
        <v>2</v>
      </c>
      <c r="C681" s="6" t="inlineStr">
        <is>
          <t>Üç kişiye tam bir sunum yap</t>
        </is>
      </c>
      <c r="D681" s="5" t="inlineStr">
        <is>
          <t>Çene</t>
        </is>
      </c>
      <c r="E681" s="5" t="inlineStr">
        <is>
          <t>Orta</t>
        </is>
      </c>
      <c r="F681" s="5" t="inlineStr"/>
      <c r="G681" s="6" t="inlineStr"/>
      <c r="H681" s="6" t="inlineStr">
        <is>
          <t>Üç kişiye stadyum coşkusuyla anlattın. Kurye kalıp bir eser satın aldı.</t>
        </is>
      </c>
      <c r="I681" s="6" t="inlineStr">
        <is>
          <t>Kurye anlattıklarını videoya çekti. Ertesi akşam sergide otuz kişi vardı.</t>
        </is>
      </c>
      <c r="J681" s="6" t="inlineStr">
        <is>
          <t>Anlattın; annen 'Bir de ceket giyseydin' dedi.</t>
        </is>
      </c>
      <c r="K681" s="6" t="inlineStr">
        <is>
          <t>Anlatırken kurye gitti, ev arkadaşın da. Annen hâlâ orada; o da taksi bekliyor.</t>
        </is>
      </c>
      <c r="L681" s="6" t="inlineStr"/>
      <c r="M681" s="5" t="inlineStr"/>
      <c r="N681" s="5" t="inlineStr"/>
      <c r="O681" s="6" t="inlineStr"/>
      <c r="P681" s="6" t="inlineStr"/>
      <c r="Q681" s="5" t="inlineStr"/>
      <c r="R681" s="5" t="inlineStr"/>
      <c r="S681" s="5" t="inlineStr"/>
      <c r="T681" s="5" t="inlineStr"/>
      <c r="U681" s="5" t="inlineStr"/>
      <c r="V681" s="5" t="inlineStr"/>
      <c r="W681" s="5" t="inlineStr"/>
      <c r="X681" s="5" t="inlineStr"/>
      <c r="Y681" s="5" t="inlineStr"/>
      <c r="Z681" s="6" t="inlineStr"/>
      <c r="AA681" s="5" t="inlineStr"/>
      <c r="AB681" s="5" t="inlineStr"/>
      <c r="AC681" s="5" t="inlineStr"/>
      <c r="AD681" s="5" t="inlineStr"/>
      <c r="AE681" s="5" t="inlineStr"/>
      <c r="AF681" s="5" t="inlineStr"/>
      <c r="AG681" s="5" t="inlineStr"/>
      <c r="AH681" s="5" t="inlineStr"/>
      <c r="AI681" s="5" t="inlineStr"/>
      <c r="AJ681" s="5" t="inlineStr"/>
    </row>
    <row r="682">
      <c r="A682" s="5" t="inlineStr">
        <is>
          <t>ms-acilis-gecesi</t>
        </is>
      </c>
      <c r="B682" s="5" t="n">
        <v>3</v>
      </c>
      <c r="C682" s="6" t="inlineStr">
        <is>
          <t>Heykelinin yanında fotoğraf çektir</t>
        </is>
      </c>
      <c r="D682" s="5" t="inlineStr">
        <is>
          <t>Pişkinlik</t>
        </is>
      </c>
      <c r="E682" s="5" t="inlineStr">
        <is>
          <t>Kolay</t>
        </is>
      </c>
      <c r="F682" s="5" t="inlineStr"/>
      <c r="G682" s="6" t="inlineStr"/>
      <c r="H682" s="6" t="inlineStr">
        <is>
          <t>Fotoğraf çok beğenildi. Heykelden çok sen.</t>
        </is>
      </c>
      <c r="I682" s="6" t="inlineStr">
        <is>
          <t>Fotoğrafın bir sanat dergisine kapak oldu. Heykelin kenarı da görünüyor.</t>
        </is>
      </c>
      <c r="J682" s="6" t="inlineStr">
        <is>
          <t>Fotoğraftan önce heykel hafifçe sallandı. Sen de.</t>
        </is>
      </c>
      <c r="K682" s="6" t="inlineStr">
        <is>
          <t>Heykelin yanında poz verdin; heykel sana yaslandı, sen yere, heykel üstüne. Heykelin burnu kırıldı. Kurye ikinizi kaldırdı, fotoğrafı da o çekti; fotoğraf sergideki bütün eserlerden çok beğenildi.</t>
        </is>
      </c>
      <c r="L682" s="6" t="inlineStr"/>
      <c r="M682" s="5" t="inlineStr"/>
      <c r="N682" s="5" t="inlineStr"/>
      <c r="O682" s="6" t="inlineStr"/>
      <c r="P682" s="6" t="inlineStr"/>
      <c r="Q682" s="5" t="inlineStr"/>
      <c r="R682" s="5" t="inlineStr"/>
      <c r="S682" s="5" t="inlineStr"/>
      <c r="T682" s="5" t="inlineStr"/>
      <c r="U682" s="5" t="inlineStr"/>
      <c r="V682" s="5" t="inlineStr"/>
      <c r="W682" s="5" t="inlineStr"/>
      <c r="X682" s="5" t="inlineStr"/>
      <c r="Y682" s="5" t="inlineStr"/>
      <c r="Z682" s="6" t="inlineStr"/>
      <c r="AA682" s="5" t="inlineStr"/>
      <c r="AB682" s="5" t="inlineStr"/>
      <c r="AC682" s="5" t="inlineStr"/>
      <c r="AD682" s="5" t="inlineStr"/>
      <c r="AE682" s="5" t="inlineStr"/>
      <c r="AF682" s="5" t="inlineStr"/>
      <c r="AG682" s="5" t="inlineStr"/>
      <c r="AH682" s="5" t="inlineStr"/>
      <c r="AI682" s="5" t="inlineStr"/>
      <c r="AJ682" s="5" t="inlineStr"/>
    </row>
    <row r="683">
      <c r="A683" s="5" t="inlineStr">
        <is>
          <t>ms-acilis-gecesi</t>
        </is>
      </c>
      <c r="B683" s="5" t="n">
        <v>4</v>
      </c>
      <c r="C683" s="6" t="inlineStr">
        <is>
          <t>Açılışı canlı yayına aç</t>
        </is>
      </c>
      <c r="D683" s="5" t="inlineStr">
        <is>
          <t>Sosyal Radar</t>
        </is>
      </c>
      <c r="E683" s="5" t="inlineStr">
        <is>
          <t>Kolay</t>
        </is>
      </c>
      <c r="F683" s="5" t="inlineStr"/>
      <c r="G683" s="6" t="inlineStr"/>
      <c r="H683" s="6" t="inlineStr">
        <is>
          <t>Salonda üç, yayında üç yüz kişi vardı. Sergi internette kalabalık.</t>
        </is>
      </c>
      <c r="I683" s="6" t="inlineStr">
        <is>
          <t>Yayından bir koleksiyoncu eser istedi. Kurye paketi teslim etti.</t>
        </is>
      </c>
      <c r="J683" s="6" t="inlineStr">
        <is>
          <t>Yayına en çok annen yorum yazdı. Altı kez 'Aferin'.</t>
        </is>
      </c>
      <c r="K683" s="6" t="inlineStr">
        <is>
          <t>Yayında salonun boşluğu yankı yaptı. Yorum: 'Sergi mi, depo mu?'</t>
        </is>
      </c>
      <c r="L683" s="6" t="inlineStr"/>
      <c r="M683" s="5" t="inlineStr"/>
      <c r="N683" s="5" t="inlineStr"/>
      <c r="O683" s="6" t="inlineStr"/>
      <c r="P683" s="6" t="inlineStr"/>
      <c r="Q683" s="5" t="inlineStr"/>
      <c r="R683" s="5" t="inlineStr">
        <is>
          <t>fenomen</t>
        </is>
      </c>
      <c r="S683" s="5" t="inlineStr"/>
      <c r="T683" s="5" t="inlineStr"/>
      <c r="U683" s="5" t="inlineStr"/>
      <c r="V683" s="5" t="inlineStr"/>
      <c r="W683" s="5" t="inlineStr"/>
      <c r="X683" s="5" t="inlineStr"/>
      <c r="Y683" s="5" t="inlineStr"/>
      <c r="Z683" s="6" t="inlineStr"/>
      <c r="AA683" s="5" t="inlineStr"/>
      <c r="AB683" s="5" t="inlineStr"/>
      <c r="AC683" s="5" t="inlineStr"/>
      <c r="AD683" s="5" t="inlineStr"/>
      <c r="AE683" s="5" t="inlineStr"/>
      <c r="AF683" s="5" t="inlineStr"/>
      <c r="AG683" s="5" t="inlineStr"/>
      <c r="AH683" s="5" t="inlineStr"/>
      <c r="AI683" s="5" t="inlineStr"/>
      <c r="AJ683" s="5" t="inlineStr"/>
    </row>
    <row r="684">
      <c r="A684" s="5" t="inlineStr">
        <is>
          <t>b7-bulasik-makinesi</t>
        </is>
      </c>
      <c r="B684" s="5" t="n">
        <v>1</v>
      </c>
      <c r="C684" s="6" t="inlineStr">
        <is>
          <t>Özür dile, yeniden diz</t>
        </is>
      </c>
      <c r="D684" s="5" t="inlineStr"/>
      <c r="E684" s="5" t="inlineStr"/>
      <c r="F684" s="5" t="inlineStr">
        <is>
          <t>Gönül +2</t>
        </is>
      </c>
      <c r="G684" s="6" t="inlineStr">
        <is>
          <t>“Haklısın” dedin, tabakları yeniden dizdin. Eşin arkandan bir kez daha dizdi. Annen telefonda “Baban da otuz yıldır yanlış diziyor” dedi; teselli bu kadar.</t>
        </is>
      </c>
      <c r="H684" s="6" t="inlineStr"/>
      <c r="I684" s="6" t="inlineStr"/>
      <c r="J684" s="6" t="inlineStr"/>
      <c r="K684" s="6" t="inlineStr"/>
      <c r="L684" s="6" t="inlineStr"/>
      <c r="M684" s="5" t="inlineStr"/>
      <c r="N684" s="5" t="inlineStr"/>
      <c r="O684" s="6" t="inlineStr"/>
      <c r="P684" s="6" t="inlineStr"/>
      <c r="Q684" s="5" t="inlineStr"/>
      <c r="R684" s="5" t="inlineStr"/>
      <c r="S684" s="5" t="inlineStr"/>
      <c r="T684" s="5" t="inlineStr"/>
      <c r="U684" s="5" t="inlineStr"/>
      <c r="V684" s="5" t="inlineStr"/>
      <c r="W684" s="5" t="inlineStr"/>
      <c r="X684" s="5" t="inlineStr"/>
      <c r="Y684" s="5" t="inlineStr"/>
      <c r="Z684" s="6" t="inlineStr"/>
      <c r="AA684" s="5" t="inlineStr"/>
      <c r="AB684" s="5" t="inlineStr"/>
      <c r="AC684" s="5" t="inlineStr"/>
      <c r="AD684" s="5" t="inlineStr"/>
      <c r="AE684" s="5" t="inlineStr"/>
      <c r="AF684" s="5" t="inlineStr"/>
      <c r="AG684" s="5" t="inlineStr"/>
      <c r="AH684" s="5" t="inlineStr"/>
      <c r="AI684" s="5" t="inlineStr"/>
      <c r="AJ684" s="5" t="inlineStr"/>
    </row>
    <row r="685">
      <c r="A685" s="5" t="inlineStr">
        <is>
          <t>b7-bulasik-makinesi</t>
        </is>
      </c>
      <c r="B685" s="5" t="n">
        <v>2</v>
      </c>
      <c r="C685" s="6" t="inlineStr">
        <is>
          <t>Kendi yönteminin bilimsel olduğunu savun</t>
        </is>
      </c>
      <c r="D685" s="5" t="inlineStr">
        <is>
          <t>Çene</t>
        </is>
      </c>
      <c r="E685" s="5" t="inlineStr">
        <is>
          <t>Zor</t>
        </is>
      </c>
      <c r="F685" s="5" t="inlineStr"/>
      <c r="G685" s="6" t="inlineStr"/>
      <c r="H685" s="6" t="inlineStr">
        <is>
          <t>Tencerenin neden altta durması gerektiğini anlattın. Eşin bir şey demedi; ertesi sabah tencereyi alta koydu. Sana söylemedi; sen de görmemiş gibi yaptın.</t>
        </is>
      </c>
      <c r="I685" s="6" t="inlineStr">
        <is>
          <t>Savunman öyle güçlüydü ki eşin annesinin makinesini de senin yönteminle dizdi. Kayınvalide aradı: “Bu kimin fikri?” Sesinde övgü yoktu.</t>
        </is>
      </c>
      <c r="J685" s="6" t="inlineStr">
        <is>
          <t>Argümanın “Annemler hep böyle dizer”den ibaretti. Eşin “Annenler de bu yüzden her şeyi iki kere yıkıyor” dedi.</t>
        </is>
      </c>
      <c r="K685" s="6" t="inlineStr">
        <is>
          <t>Savunurken kapağı çarptın, bir bardak kırıldı. Kayınvalidenin çeyiz takımındanmış; on iki kişilik takım artık on bir kişilik. Pazar kahvaltısında bardaklar sayılacak.</t>
        </is>
      </c>
      <c r="L685" s="6" t="inlineStr"/>
      <c r="M685" s="5" t="inlineStr"/>
      <c r="N685" s="5" t="inlineStr"/>
      <c r="O685" s="6" t="inlineStr"/>
      <c r="P685" s="6" t="inlineStr"/>
      <c r="Q685" s="5" t="inlineStr"/>
      <c r="R685" s="5" t="inlineStr"/>
      <c r="S685" s="5" t="inlineStr"/>
      <c r="T685" s="5" t="inlineStr"/>
      <c r="U685" s="5" t="inlineStr"/>
      <c r="V685" s="5" t="inlineStr"/>
      <c r="W685" s="5" t="inlineStr"/>
      <c r="X685" s="5" t="inlineStr"/>
      <c r="Y685" s="5" t="inlineStr"/>
      <c r="Z685" s="6" t="inlineStr"/>
      <c r="AA685" s="5" t="inlineStr"/>
      <c r="AB685" s="5" t="inlineStr"/>
      <c r="AC685" s="5" t="inlineStr"/>
      <c r="AD685" s="5" t="inlineStr"/>
      <c r="AE685" s="5" t="inlineStr"/>
      <c r="AF685" s="5" t="inlineStr"/>
      <c r="AG685" s="5" t="inlineStr"/>
      <c r="AH685" s="5" t="inlineStr"/>
      <c r="AI685" s="5" t="inlineStr"/>
      <c r="AJ685" s="5" t="inlineStr"/>
    </row>
    <row r="686">
      <c r="A686" s="5" t="inlineStr">
        <is>
          <t>b7-bulasik-makinesi</t>
        </is>
      </c>
      <c r="B686" s="5" t="n">
        <v>3</v>
      </c>
      <c r="C686" s="6" t="inlineStr">
        <is>
          <t>Makinenin kullanım kılavuzunu çıkar</t>
        </is>
      </c>
      <c r="D686" s="5" t="inlineStr">
        <is>
          <t>Akıl</t>
        </is>
      </c>
      <c r="E686" s="5" t="inlineStr">
        <is>
          <t>Kolay</t>
        </is>
      </c>
      <c r="F686" s="5" t="inlineStr"/>
      <c r="G686" s="6" t="inlineStr"/>
      <c r="H686" s="6" t="inlineStr">
        <is>
          <t>Kılavuz senden yanaydı. Tarihte ilk kez biri kullanım kılavuzunu okudu ve bir tartışma kazandı.</t>
        </is>
      </c>
      <c r="I686" s="6" t="inlineStr">
        <is>
          <t>Kılavuzda ikinizin de yanıldığı anlaşıldı. Ortak düşman bulundu: üretici.</t>
        </is>
      </c>
      <c r="J686" s="6" t="inlineStr">
        <is>
          <t>Kılavuz Makaryaca değilmiş. Dördüncü dilde senin yöntemin 'önerilmez' olarak geçiyor.</t>
        </is>
      </c>
      <c r="K686" s="6" t="inlineStr">
        <is>
          <t>Kılavuzu okurken makinenin düğünden beri yanlış programda çalıştığını fark ettin. Bu da senin hatan sayıldı.</t>
        </is>
      </c>
      <c r="L686" s="6" t="inlineStr"/>
      <c r="M686" s="5" t="inlineStr"/>
      <c r="N686" s="5" t="inlineStr"/>
      <c r="O686" s="6" t="inlineStr"/>
      <c r="P686" s="6" t="inlineStr"/>
      <c r="Q686" s="5" t="inlineStr"/>
      <c r="R686" s="5" t="inlineStr"/>
      <c r="S686" s="5" t="inlineStr">
        <is>
          <t>Akıl</t>
        </is>
      </c>
      <c r="T686" s="5" t="inlineStr"/>
      <c r="U686" s="5" t="inlineStr"/>
      <c r="V686" s="5" t="inlineStr"/>
      <c r="W686" s="5" t="inlineStr"/>
      <c r="X686" s="5" t="inlineStr"/>
      <c r="Y686" s="5" t="inlineStr"/>
      <c r="Z686" s="6" t="inlineStr"/>
      <c r="AA686" s="5" t="inlineStr"/>
      <c r="AB686" s="5" t="inlineStr"/>
      <c r="AC686" s="5" t="inlineStr"/>
      <c r="AD686" s="5" t="inlineStr"/>
      <c r="AE686" s="5" t="inlineStr"/>
      <c r="AF686" s="5" t="inlineStr"/>
      <c r="AG686" s="5" t="inlineStr"/>
      <c r="AH686" s="5" t="inlineStr"/>
      <c r="AI686" s="5" t="inlineStr"/>
      <c r="AJ686" s="5" t="inlineStr"/>
    </row>
    <row r="687">
      <c r="A687" s="5" t="inlineStr">
        <is>
          <t>b7-bulasik-makinesi</t>
        </is>
      </c>
      <c r="B687" s="5" t="n">
        <v>4</v>
      </c>
      <c r="C687" s="6" t="inlineStr">
        <is>
          <t>'Bundan sonra elde yıkayalım' de</t>
        </is>
      </c>
      <c r="D687" s="5" t="inlineStr"/>
      <c r="E687" s="5" t="inlineStr"/>
      <c r="F687" s="5" t="inlineStr">
        <is>
          <t>Pişkinlik +1</t>
        </is>
      </c>
      <c r="G687" s="6" t="inlineStr">
        <is>
          <t>Önerin sessizlikle karşılandı. O gece iki kişi, ayrı ayrı, aynı tabağı yıkadı.</t>
        </is>
      </c>
      <c r="H687" s="6" t="inlineStr"/>
      <c r="I687" s="6" t="inlineStr"/>
      <c r="J687" s="6" t="inlineStr"/>
      <c r="K687" s="6" t="inlineStr"/>
      <c r="L687" s="6" t="inlineStr"/>
      <c r="M687" s="5" t="inlineStr"/>
      <c r="N687" s="5" t="inlineStr"/>
      <c r="O687" s="6" t="inlineStr"/>
      <c r="P687" s="6" t="inlineStr"/>
      <c r="Q687" s="5" t="inlineStr"/>
      <c r="R687" s="5" t="inlineStr"/>
      <c r="S687" s="5" t="inlineStr"/>
      <c r="T687" s="5" t="inlineStr"/>
      <c r="U687" s="5" t="inlineStr"/>
      <c r="V687" s="5" t="inlineStr"/>
      <c r="W687" s="5" t="inlineStr"/>
      <c r="X687" s="5" t="inlineStr"/>
      <c r="Y687" s="5" t="inlineStr"/>
      <c r="Z687" s="6" t="inlineStr"/>
      <c r="AA687" s="5" t="inlineStr"/>
      <c r="AB687" s="5" t="inlineStr"/>
      <c r="AC687" s="5" t="inlineStr"/>
      <c r="AD687" s="5" t="inlineStr"/>
      <c r="AE687" s="5" t="inlineStr"/>
      <c r="AF687" s="5" t="inlineStr"/>
      <c r="AG687" s="5" t="inlineStr"/>
      <c r="AH687" s="5" t="inlineStr"/>
      <c r="AI687" s="5" t="inlineStr"/>
      <c r="AJ687" s="5" t="inlineStr"/>
    </row>
    <row r="688">
      <c r="A688" s="5" t="inlineStr">
        <is>
          <t>mm-sistem-coktu</t>
        </is>
      </c>
      <c r="B688" s="5" t="n">
        <v>1</v>
      </c>
      <c r="C688" s="6" t="inlineStr">
        <is>
          <t>Kâğıda geç</t>
        </is>
      </c>
      <c r="D688" s="5" t="inlineStr"/>
      <c r="E688" s="5" t="inlineStr"/>
      <c r="F688" s="5" t="inlineStr">
        <is>
          <t>Dayanıklılık +1, Akıl +1</t>
        </is>
      </c>
      <c r="G688" s="6" t="inlineStr">
        <is>
          <t>Eski defteri çekmeceden çıkardın. Sistem üç gün çöktü; defter bir dakika bile çökmedi.</t>
        </is>
      </c>
      <c r="H688" s="6" t="inlineStr"/>
      <c r="I688" s="6" t="inlineStr"/>
      <c r="J688" s="6" t="inlineStr"/>
      <c r="K688" s="6" t="inlineStr"/>
      <c r="L688" s="6" t="inlineStr"/>
      <c r="M688" s="5" t="inlineStr"/>
      <c r="N688" s="5" t="inlineStr"/>
      <c r="O688" s="6" t="inlineStr"/>
      <c r="P688" s="6" t="inlineStr"/>
      <c r="Q688" s="5" t="inlineStr"/>
      <c r="R688" s="5" t="inlineStr"/>
      <c r="S688" s="5" t="inlineStr"/>
      <c r="T688" s="5" t="inlineStr"/>
      <c r="U688" s="5" t="inlineStr"/>
      <c r="V688" s="5" t="inlineStr"/>
      <c r="W688" s="5" t="inlineStr"/>
      <c r="X688" s="5" t="inlineStr"/>
      <c r="Y688" s="5" t="inlineStr"/>
      <c r="Z688" s="6" t="inlineStr"/>
      <c r="AA688" s="5" t="inlineStr"/>
      <c r="AB688" s="5" t="inlineStr"/>
      <c r="AC688" s="5" t="inlineStr"/>
      <c r="AD688" s="5" t="inlineStr"/>
      <c r="AE688" s="5" t="inlineStr"/>
      <c r="AF688" s="5" t="inlineStr"/>
      <c r="AG688" s="5" t="inlineStr"/>
      <c r="AH688" s="5" t="inlineStr"/>
      <c r="AI688" s="5" t="inlineStr"/>
      <c r="AJ688" s="5" t="inlineStr"/>
    </row>
    <row r="689">
      <c r="A689" s="5" t="inlineStr">
        <is>
          <t>mm-sistem-coktu</t>
        </is>
      </c>
      <c r="B689" s="5" t="n">
        <v>2</v>
      </c>
      <c r="C689" s="6" t="inlineStr">
        <is>
          <t>Bilgi işlemi ara</t>
        </is>
      </c>
      <c r="D689" s="5" t="inlineStr">
        <is>
          <t>Çene</t>
        </is>
      </c>
      <c r="E689" s="5" t="inlineStr">
        <is>
          <t>Orta</t>
        </is>
      </c>
      <c r="F689" s="5" t="inlineStr"/>
      <c r="G689" s="6" t="inlineStr"/>
      <c r="H689" s="6" t="inlineStr">
        <is>
          <t>'Kapatıp açın' dediler. Kapatıp açtın. Çalıştı. Kimse nedenini bilmiyor.</t>
        </is>
      </c>
      <c r="I689" s="6" t="inlineStr">
        <is>
          <t>Arızayı telefonda tarif ettin; bilgi işlem iki dakikada buldu. Ertesi gün masana bir çikolata bıraktılar; artık her arızada önce seni arıyorlar, kendi telefonları bozulunca bile.</t>
        </is>
      </c>
      <c r="J689" s="6" t="inlineStr">
        <is>
          <t>Hat meşgul. Bilgi işlem de yeni sistemi kullanıyormuş.</t>
        </is>
      </c>
      <c r="K689" s="6" t="inlineStr">
        <is>
          <t>Uzaktan bağlandılar ve üç saat boyunca masaüstü arka planını tartıştılar.</t>
        </is>
      </c>
      <c r="L689" s="6" t="inlineStr"/>
      <c r="M689" s="5" t="inlineStr"/>
      <c r="N689" s="5" t="inlineStr"/>
      <c r="O689" s="6" t="inlineStr"/>
      <c r="P689" s="6" t="inlineStr"/>
      <c r="Q689" s="5" t="inlineStr"/>
      <c r="R689" s="5" t="inlineStr"/>
      <c r="S689" s="5" t="inlineStr"/>
      <c r="T689" s="5" t="inlineStr"/>
      <c r="U689" s="5" t="inlineStr"/>
      <c r="V689" s="5" t="inlineStr"/>
      <c r="W689" s="5" t="inlineStr"/>
      <c r="X689" s="5" t="inlineStr"/>
      <c r="Y689" s="5" t="inlineStr"/>
      <c r="Z689" s="6" t="inlineStr"/>
      <c r="AA689" s="5" t="inlineStr"/>
      <c r="AB689" s="5" t="inlineStr"/>
      <c r="AC689" s="5" t="inlineStr"/>
      <c r="AD689" s="5" t="inlineStr"/>
      <c r="AE689" s="5" t="inlineStr"/>
      <c r="AF689" s="5" t="inlineStr"/>
      <c r="AG689" s="5" t="inlineStr"/>
      <c r="AH689" s="5" t="inlineStr"/>
      <c r="AI689" s="5" t="inlineStr"/>
      <c r="AJ689" s="5" t="inlineStr"/>
    </row>
    <row r="690">
      <c r="A690" s="5" t="inlineStr">
        <is>
          <t>mm-sistem-coktu</t>
        </is>
      </c>
      <c r="B690" s="5" t="n">
        <v>3</v>
      </c>
      <c r="C690" s="6" t="inlineStr">
        <is>
          <t>Sistemi kendin çöz</t>
        </is>
      </c>
      <c r="D690" s="5" t="inlineStr">
        <is>
          <t>Akıl</t>
        </is>
      </c>
      <c r="E690" s="5" t="inlineStr">
        <is>
          <t>Orta</t>
        </is>
      </c>
      <c r="F690" s="5" t="inlineStr"/>
      <c r="G690" s="6" t="inlineStr"/>
      <c r="H690" s="6" t="inlineStr">
        <is>
          <t>Yeniden başlatmanın gizli bir sırası olduğunu buldun. Dairenin en değerli bilgisi artık sende.</t>
        </is>
      </c>
      <c r="I690" s="6" t="inlineStr">
        <is>
          <t>Bütün müdürlükler senin yönteminle açıldı. Kayıtlarda adın yok; sistem o sırada kayıt tutmuyordu.</t>
        </is>
      </c>
      <c r="J690" s="6" t="inlineStr">
        <is>
          <t>Sistem bir kez daha çöktü. Bu sefer kayıtlarda senin kullanıcı adınla.</t>
        </is>
      </c>
      <c r="K690" s="6" t="inlineStr">
        <is>
          <t>Bütün kurumun ekranında senin masaüstün yansıdı. Masaüstünde 'emekliliğe kalan gün' tablosu açıktı.</t>
        </is>
      </c>
      <c r="L690" s="6" t="inlineStr"/>
      <c r="M690" s="5" t="inlineStr"/>
      <c r="N690" s="5" t="inlineStr"/>
      <c r="O690" s="6" t="inlineStr"/>
      <c r="P690" s="6" t="inlineStr"/>
      <c r="Q690" s="5" t="inlineStr">
        <is>
          <t>Şifreyi Bilen</t>
        </is>
      </c>
      <c r="R690" s="5" t="inlineStr"/>
      <c r="S690" s="5" t="inlineStr"/>
      <c r="T690" s="5" t="inlineStr"/>
      <c r="U690" s="5" t="inlineStr"/>
      <c r="V690" s="5" t="inlineStr"/>
      <c r="W690" s="5" t="inlineStr"/>
      <c r="X690" s="5" t="inlineStr"/>
      <c r="Y690" s="5" t="inlineStr"/>
      <c r="Z690" s="6" t="inlineStr"/>
      <c r="AA690" s="5" t="inlineStr"/>
      <c r="AB690" s="5" t="inlineStr"/>
      <c r="AC690" s="5" t="inlineStr"/>
      <c r="AD690" s="5" t="inlineStr"/>
      <c r="AE690" s="5" t="inlineStr"/>
      <c r="AF690" s="5" t="inlineStr"/>
      <c r="AG690" s="5" t="inlineStr"/>
      <c r="AH690" s="5" t="inlineStr"/>
      <c r="AI690" s="5" t="inlineStr"/>
      <c r="AJ690" s="5" t="inlineStr"/>
    </row>
    <row r="691">
      <c r="A691" s="5" t="inlineStr">
        <is>
          <t>mm-sistem-coktu</t>
        </is>
      </c>
      <c r="B691" s="5" t="n">
        <v>4</v>
      </c>
      <c r="C691" s="6" t="inlineStr">
        <is>
          <t>'Sistemde görünmüyor' de</t>
        </is>
      </c>
      <c r="D691" s="5" t="inlineStr">
        <is>
          <t>Pişkinlik</t>
        </is>
      </c>
      <c r="E691" s="5" t="inlineStr">
        <is>
          <t>Kolay</t>
        </is>
      </c>
      <c r="F691" s="5" t="inlineStr"/>
      <c r="G691" s="6" t="inlineStr"/>
      <c r="H691" s="6" t="inlineStr">
        <is>
          <t>Doğruydu. Sistem de görünmüyordu.</t>
        </is>
      </c>
      <c r="I691" s="6" t="inlineStr">
        <is>
          <t>“Sistemde görünmüyor” dedin. Sıradaki teyze başını salladı: “Bizim oğlan da hiç görünmüyor, alıştık.” Kapıya kadar herkes teşekkür edip evine döndü.</t>
        </is>
      </c>
      <c r="J691" s="6" t="inlineStr">
        <is>
          <t>Vatandaş telefonundan kendi kaydını gösterdi. Onun sistemi çalışıyor.</t>
        </is>
      </c>
      <c r="K691" s="6" t="inlineStr">
        <is>
          <t>Herkesi yarına gönderdin. Yarın sistem yine çöktü. Kapıdaki sıra artık iki günlük.</t>
        </is>
      </c>
      <c r="L691" s="6" t="inlineStr"/>
      <c r="M691" s="5" t="inlineStr"/>
      <c r="N691" s="5" t="inlineStr"/>
      <c r="O691" s="6" t="inlineStr"/>
      <c r="P691" s="6" t="inlineStr"/>
      <c r="Q691" s="5" t="inlineStr"/>
      <c r="R691" s="5" t="inlineStr"/>
      <c r="S691" s="5" t="inlineStr"/>
      <c r="T691" s="5" t="inlineStr"/>
      <c r="U691" s="5" t="inlineStr"/>
      <c r="V691" s="5" t="inlineStr"/>
      <c r="W691" s="5" t="inlineStr"/>
      <c r="X691" s="5" t="inlineStr"/>
      <c r="Y691" s="5" t="inlineStr"/>
      <c r="Z691" s="6" t="inlineStr"/>
      <c r="AA691" s="5" t="inlineStr"/>
      <c r="AB691" s="5" t="inlineStr"/>
      <c r="AC691" s="5" t="inlineStr"/>
      <c r="AD691" s="5" t="inlineStr"/>
      <c r="AE691" s="5" t="inlineStr"/>
      <c r="AF691" s="5" t="inlineStr"/>
      <c r="AG691" s="5" t="inlineStr"/>
      <c r="AH691" s="5" t="inlineStr"/>
      <c r="AI691" s="5" t="inlineStr"/>
      <c r="AJ691" s="5" t="inlineStr"/>
    </row>
    <row r="692">
      <c r="A692" s="5" t="inlineStr">
        <is>
          <t>b7-kayinvalide</t>
        </is>
      </c>
      <c r="B692" s="5" t="n">
        <v>1</v>
      </c>
      <c r="C692" s="6" t="inlineStr">
        <is>
          <t>Gülümse, çay tazele</t>
        </is>
      </c>
      <c r="D692" s="5" t="inlineStr"/>
      <c r="E692" s="5" t="inlineStr"/>
      <c r="F692" s="5" t="inlineStr">
        <is>
          <t>Gönül +1</t>
        </is>
      </c>
      <c r="G692" s="6" t="inlineStr">
        <is>
          <t>Gülümsedin, çay tazeledin, sonra bir daha. Üçüncü çayda kayınvalide menemenden bir lokma daha aldı. Bu evde bu bir zafer sayılır.</t>
        </is>
      </c>
      <c r="H692" s="6" t="inlineStr"/>
      <c r="I692" s="6" t="inlineStr"/>
      <c r="J692" s="6" t="inlineStr"/>
      <c r="K692" s="6" t="inlineStr"/>
      <c r="L692" s="6" t="inlineStr"/>
      <c r="M692" s="5" t="inlineStr"/>
      <c r="N692" s="5" t="inlineStr"/>
      <c r="O692" s="6" t="inlineStr"/>
      <c r="P692" s="6" t="inlineStr"/>
      <c r="Q692" s="5" t="inlineStr"/>
      <c r="R692" s="5" t="inlineStr"/>
      <c r="S692" s="5" t="inlineStr"/>
      <c r="T692" s="5" t="inlineStr"/>
      <c r="U692" s="5" t="inlineStr"/>
      <c r="V692" s="5" t="inlineStr"/>
      <c r="W692" s="5" t="inlineStr"/>
      <c r="X692" s="5" t="inlineStr"/>
      <c r="Y692" s="5" t="inlineStr"/>
      <c r="Z692" s="6" t="inlineStr"/>
      <c r="AA692" s="5" t="inlineStr"/>
      <c r="AB692" s="5" t="inlineStr"/>
      <c r="AC692" s="5" t="inlineStr"/>
      <c r="AD692" s="5" t="inlineStr"/>
      <c r="AE692" s="5" t="inlineStr"/>
      <c r="AF692" s="5" t="inlineStr"/>
      <c r="AG692" s="5" t="inlineStr"/>
      <c r="AH692" s="5" t="inlineStr"/>
      <c r="AI692" s="5" t="inlineStr"/>
      <c r="AJ692" s="5" t="inlineStr"/>
    </row>
    <row r="693">
      <c r="A693" s="5" t="inlineStr">
        <is>
          <t>b7-kayinvalide</t>
        </is>
      </c>
      <c r="B693" s="5" t="n">
        <v>2</v>
      </c>
      <c r="C693" s="6" t="inlineStr">
        <is>
          <t>Tarifi kayınvalideye danış</t>
        </is>
      </c>
      <c r="D693" s="5" t="inlineStr">
        <is>
          <t>Sosyal Radar</t>
        </is>
      </c>
      <c r="E693" s="5" t="inlineStr">
        <is>
          <t>Zor</t>
        </is>
      </c>
      <c r="F693" s="5" t="inlineStr"/>
      <c r="G693" s="6" t="inlineStr"/>
      <c r="H693" s="6" t="inlineStr">
        <is>
          <t>Tarifi sordun. Kayınvalide yirmi dakika anlattı; on beşinci dakikada eşine döndü: “Bu çocuk dinlemeyi biliyor.” Eşin bu cümleyi yirmi yıldır duymamıştı.</t>
        </is>
      </c>
      <c r="I693" s="6" t="inlineStr">
        <is>
          <t>Tarifi sordun, sonraki pazar birlikte menemen yaptınız. Aile grubunda eşinden önce sen etiketleniyorsun.</t>
        </is>
      </c>
      <c r="J693" s="6" t="inlineStr">
        <is>
          <t>Tarifi sordun. “Soğan koydun mu?” dedi. “Evet” dedin. “Hmm” dedi. Artık ne demek olduğunu biliyorsun.</t>
        </is>
      </c>
      <c r="K693" s="6" t="inlineStr">
        <is>
          <t>Tarifi sordun; kayınvalide kâğıda yazıp buzdolabına mıknatısla astı. Altına not düştü: “Tuzu ben koyarım.” Artık her pazar geliyor, tuzu koyuyor.</t>
        </is>
      </c>
      <c r="L693" s="6" t="inlineStr"/>
      <c r="M693" s="5" t="inlineStr"/>
      <c r="N693" s="5" t="inlineStr"/>
      <c r="O693" s="6" t="inlineStr"/>
      <c r="P693" s="6" t="inlineStr"/>
      <c r="Q693" s="5" t="inlineStr"/>
      <c r="R693" s="5" t="inlineStr"/>
      <c r="S693" s="5" t="inlineStr"/>
      <c r="T693" s="5" t="inlineStr">
        <is>
          <t>Kayınvalide Diplomatı</t>
        </is>
      </c>
      <c r="U693" s="5" t="inlineStr"/>
      <c r="V693" s="5" t="inlineStr"/>
      <c r="W693" s="5" t="inlineStr"/>
      <c r="X693" s="5" t="inlineStr"/>
      <c r="Y693" s="5" t="inlineStr"/>
      <c r="Z693" s="6" t="inlineStr"/>
      <c r="AA693" s="5" t="inlineStr"/>
      <c r="AB693" s="5" t="inlineStr"/>
      <c r="AC693" s="5" t="inlineStr"/>
      <c r="AD693" s="5" t="inlineStr"/>
      <c r="AE693" s="5" t="inlineStr"/>
      <c r="AF693" s="5" t="inlineStr"/>
      <c r="AG693" s="5" t="inlineStr"/>
      <c r="AH693" s="5" t="inlineStr"/>
      <c r="AI693" s="5" t="inlineStr"/>
      <c r="AJ693" s="5" t="inlineStr"/>
    </row>
    <row r="694">
      <c r="A694" s="5" t="inlineStr">
        <is>
          <t>b7-kayinvalide</t>
        </is>
      </c>
      <c r="B694" s="5" t="n">
        <v>3</v>
      </c>
      <c r="C694" s="6" t="inlineStr">
        <is>
          <t>'Menemeni eşim yaptı' de</t>
        </is>
      </c>
      <c r="D694" s="5" t="inlineStr">
        <is>
          <t>Pişkinlik</t>
        </is>
      </c>
      <c r="E694" s="5" t="inlineStr">
        <is>
          <t>Orta</t>
        </is>
      </c>
      <c r="F694" s="5" t="inlineStr"/>
      <c r="G694" s="6" t="inlineStr"/>
      <c r="H694" s="6" t="inlineStr">
        <is>
          <t>Kayınvalide bir lokma daha aldı: “Hah, bak bu olmuş.” Eşin sana baktı; sen tabağına baktın.</t>
        </is>
      </c>
      <c r="I694" s="6" t="inlineStr">
        <is>
          <t>Kayınvalide menemeni öyle övdü ki eşin sonraki bayram için menemen hazırlamakla görevlendirildi. Sen izledin.</t>
        </is>
      </c>
      <c r="J694" s="6" t="inlineStr">
        <is>
          <t>Eşin 'Ben yapmadım' dedi. Masada iki 'Hmm' vardı artık.</t>
        </is>
      </c>
      <c r="K694" s="6" t="inlineStr">
        <is>
          <t>Kayınvalide “O zaman bir daha yapsın, izleyelim” dedi. Eşin hayatında ilk kez menemen yaptı; yumurta tavaya değil ocağa gitti. Kayınvalide hiçbir şey demedi; sadece sana baktı.</t>
        </is>
      </c>
      <c r="L694" s="6" t="inlineStr"/>
      <c r="M694" s="5" t="inlineStr"/>
      <c r="N694" s="5" t="inlineStr"/>
      <c r="O694" s="6" t="inlineStr"/>
      <c r="P694" s="6" t="inlineStr"/>
      <c r="Q694" s="5" t="inlineStr"/>
      <c r="R694" s="5" t="inlineStr"/>
      <c r="S694" s="5" t="inlineStr">
        <is>
          <t>Sosyal Radar</t>
        </is>
      </c>
      <c r="T694" s="5" t="inlineStr"/>
      <c r="U694" s="5" t="inlineStr"/>
      <c r="V694" s="5" t="inlineStr"/>
      <c r="W694" s="5" t="inlineStr"/>
      <c r="X694" s="5" t="inlineStr"/>
      <c r="Y694" s="5" t="inlineStr"/>
      <c r="Z694" s="6" t="inlineStr"/>
      <c r="AA694" s="5" t="inlineStr"/>
      <c r="AB694" s="5" t="inlineStr"/>
      <c r="AC694" s="5" t="inlineStr"/>
      <c r="AD694" s="5" t="inlineStr"/>
      <c r="AE694" s="5" t="inlineStr"/>
      <c r="AF694" s="5" t="inlineStr"/>
      <c r="AG694" s="5" t="inlineStr"/>
      <c r="AH694" s="5" t="inlineStr"/>
      <c r="AI694" s="5" t="inlineStr"/>
      <c r="AJ694" s="5" t="inlineStr"/>
    </row>
    <row r="695">
      <c r="A695" s="5" t="inlineStr">
        <is>
          <t>b7-kayinvalide</t>
        </is>
      </c>
      <c r="B695" s="5" t="n">
        <v>4</v>
      </c>
      <c r="C695" s="6" t="inlineStr">
        <is>
          <t>Kayınpederle maç sohbetine sığın</t>
        </is>
      </c>
      <c r="D695" s="5" t="inlineStr">
        <is>
          <t>Çene</t>
        </is>
      </c>
      <c r="E695" s="5" t="inlineStr">
        <is>
          <t>Kolay</t>
        </is>
      </c>
      <c r="F695" s="5" t="inlineStr"/>
      <c r="G695" s="6" t="inlineStr"/>
      <c r="H695" s="6" t="inlineStr">
        <is>
          <t>Şehrin büyük takımını konuştunuz. Kayınpeder seni masanın öbür ucundan korudu.</t>
        </is>
      </c>
      <c r="I695" s="6" t="inlineStr">
        <is>
          <t>Kayınpederle o kadar iyi anlaştın ki seni maça davet etti. Eşin davetsiz kaldı.</t>
        </is>
      </c>
      <c r="J695" s="6" t="inlineStr">
        <is>
          <t>Kayınpeder rakip takımı tutuyormuş. Masada ikinci bir cephe açıldı.</t>
        </is>
      </c>
      <c r="K695" s="6" t="inlineStr">
        <is>
          <t>Gol anını anlatırken masaya vurdun; menemen tavası kayınvalidenin eteğine kaydı. Kayınvalide “Hmm” bile demedi. Bu daha kötüydü.</t>
        </is>
      </c>
      <c r="L695" s="6" t="inlineStr"/>
      <c r="M695" s="5" t="inlineStr"/>
      <c r="N695" s="5" t="inlineStr"/>
      <c r="O695" s="6" t="inlineStr"/>
      <c r="P695" s="6" t="inlineStr"/>
      <c r="Q695" s="5" t="inlineStr"/>
      <c r="R695" s="5" t="inlineStr"/>
      <c r="S695" s="5" t="inlineStr"/>
      <c r="T695" s="5" t="inlineStr"/>
      <c r="U695" s="5" t="inlineStr"/>
      <c r="V695" s="5" t="inlineStr"/>
      <c r="W695" s="5" t="inlineStr"/>
      <c r="X695" s="5" t="inlineStr"/>
      <c r="Y695" s="5" t="inlineStr"/>
      <c r="Z695" s="6" t="inlineStr"/>
      <c r="AA695" s="5" t="inlineStr"/>
      <c r="AB695" s="5" t="inlineStr"/>
      <c r="AC695" s="5" t="inlineStr"/>
      <c r="AD695" s="5" t="inlineStr"/>
      <c r="AE695" s="5" t="inlineStr"/>
      <c r="AF695" s="5" t="inlineStr"/>
      <c r="AG695" s="5" t="inlineStr"/>
      <c r="AH695" s="5" t="inlineStr"/>
      <c r="AI695" s="5" t="inlineStr"/>
      <c r="AJ695" s="5" t="inlineStr"/>
    </row>
    <row r="696">
      <c r="A696" s="5" t="inlineStr">
        <is>
          <t>b7-akraba-tanisma</t>
        </is>
      </c>
      <c r="B696" s="5" t="n">
        <v>1</v>
      </c>
      <c r="C696" s="6" t="inlineStr">
        <is>
          <t>Nezaketle katıl, sonra kaç</t>
        </is>
      </c>
      <c r="D696" s="5" t="inlineStr"/>
      <c r="E696" s="5" t="inlineStr"/>
      <c r="F696" s="5" t="inlineStr">
        <is>
          <t>Sosyal Radar +1</t>
        </is>
      </c>
      <c r="G696" s="6" t="inlineStr">
        <is>
          <t>Kırk dakika kibarca çay içtiniz. Çıkışta teyzen sordu: “Eee, nasıl?” “Çok kibar biri” dedin. Teyzen bunu “evet” diye anladı; komşusu da.</t>
        </is>
      </c>
      <c r="H696" s="6" t="inlineStr"/>
      <c r="I696" s="6" t="inlineStr"/>
      <c r="J696" s="6" t="inlineStr"/>
      <c r="K696" s="6" t="inlineStr"/>
      <c r="L696" s="6" t="inlineStr"/>
      <c r="M696" s="5" t="inlineStr"/>
      <c r="N696" s="5" t="inlineStr"/>
      <c r="O696" s="6" t="inlineStr"/>
      <c r="P696" s="6" t="inlineStr"/>
      <c r="Q696" s="5" t="inlineStr"/>
      <c r="R696" s="5" t="inlineStr"/>
      <c r="S696" s="5" t="inlineStr"/>
      <c r="T696" s="5" t="inlineStr"/>
      <c r="U696" s="5" t="inlineStr"/>
      <c r="V696" s="5" t="inlineStr"/>
      <c r="W696" s="5" t="inlineStr"/>
      <c r="X696" s="5" t="inlineStr"/>
      <c r="Y696" s="5" t="inlineStr"/>
      <c r="Z696" s="6" t="inlineStr"/>
      <c r="AA696" s="5" t="inlineStr"/>
      <c r="AB696" s="5" t="inlineStr"/>
      <c r="AC696" s="5" t="inlineStr"/>
      <c r="AD696" s="5" t="inlineStr"/>
      <c r="AE696" s="5" t="inlineStr"/>
      <c r="AF696" s="5" t="inlineStr"/>
      <c r="AG696" s="5" t="inlineStr"/>
      <c r="AH696" s="5" t="inlineStr"/>
      <c r="AI696" s="5" t="inlineStr"/>
      <c r="AJ696" s="5" t="inlineStr"/>
    </row>
    <row r="697">
      <c r="A697" s="5" t="inlineStr">
        <is>
          <t>b7-akraba-tanisma</t>
        </is>
      </c>
      <c r="B697" s="5" t="n">
        <v>2</v>
      </c>
      <c r="C697" s="6" t="inlineStr">
        <is>
          <t>Komşunun yeğeniyle göz göze gel, teyzelere karşı birleş</t>
        </is>
      </c>
      <c r="D697" s="5" t="inlineStr">
        <is>
          <t>Sosyal Radar</t>
        </is>
      </c>
      <c r="E697" s="5" t="inlineStr">
        <is>
          <t>Kolay</t>
        </is>
      </c>
      <c r="F697" s="5" t="inlineStr"/>
      <c r="G697" s="6" t="inlineStr"/>
      <c r="H697" s="6" t="inlineStr">
        <is>
          <t>Aynı anda göz devirdiniz. Buluşmayı kendiniz sonlandırıp kahveye başka yerde devam ettiniz.</t>
        </is>
      </c>
      <c r="I697" s="6" t="inlineStr">
        <is>
          <t>İttifak o kadar iyi işledi ki iki teyzeyi birbirine tanıştırıp kalktınız. Teyzeler hâlâ görüşüyor.</t>
        </is>
      </c>
      <c r="J697" s="6" t="inlineStr">
        <is>
          <t>Göz kırptın. Komşunun yeğeni bunu başka türlü anladı, teyzeler de. İkinci buluşma ayarlandı.</t>
        </is>
      </c>
      <c r="K697" s="6" t="inlineStr">
        <is>
          <t>Göz devirirken teyzen seni yakaladı. Aile grubunda 'saygısızlık' başlıklı bir sesli mesaj dolaşıyor.</t>
        </is>
      </c>
      <c r="L697" s="6" t="inlineStr"/>
      <c r="M697" s="5" t="inlineStr"/>
      <c r="N697" s="5" t="inlineStr"/>
      <c r="O697" s="6" t="inlineStr"/>
      <c r="P697" s="6" t="inlineStr"/>
      <c r="Q697" s="5" t="inlineStr"/>
      <c r="R697" s="5" t="inlineStr"/>
      <c r="S697" s="5" t="inlineStr">
        <is>
          <t>Sosyal Radar</t>
        </is>
      </c>
      <c r="T697" s="5" t="inlineStr"/>
      <c r="U697" s="5" t="inlineStr"/>
      <c r="V697" s="5" t="inlineStr"/>
      <c r="W697" s="5" t="inlineStr"/>
      <c r="X697" s="5" t="inlineStr"/>
      <c r="Y697" s="5" t="inlineStr"/>
      <c r="Z697" s="6" t="inlineStr"/>
      <c r="AA697" s="5" t="inlineStr"/>
      <c r="AB697" s="5" t="inlineStr"/>
      <c r="AC697" s="5" t="inlineStr"/>
      <c r="AD697" s="5" t="inlineStr"/>
      <c r="AE697" s="5" t="inlineStr"/>
      <c r="AF697" s="5" t="inlineStr"/>
      <c r="AG697" s="5" t="inlineStr"/>
      <c r="AH697" s="5" t="inlineStr"/>
      <c r="AI697" s="5" t="inlineStr"/>
      <c r="AJ697" s="5" t="inlineStr"/>
    </row>
    <row r="698">
      <c r="A698" s="5" t="inlineStr">
        <is>
          <t>b7-akraba-tanisma</t>
        </is>
      </c>
      <c r="B698" s="5" t="n">
        <v>3</v>
      </c>
      <c r="C698" s="6" t="inlineStr">
        <is>
          <t>Kendini olabildiğince sıkıcı anlat</t>
        </is>
      </c>
      <c r="D698" s="5" t="inlineStr">
        <is>
          <t>Pişkinlik</t>
        </is>
      </c>
      <c r="E698" s="5" t="inlineStr">
        <is>
          <t>Orta</t>
        </is>
      </c>
      <c r="F698" s="5" t="inlineStr"/>
      <c r="G698" s="6" t="inlineStr"/>
      <c r="H698" s="6" t="inlineStr">
        <is>
          <t>Vergi mevzuatını anlattın. Tanışma yirmi dakikada, herkesin rızasıyla sona erdi.</t>
        </is>
      </c>
      <c r="I698" s="6" t="inlineStr">
        <is>
          <t>Öyle sıkıcıydın ki komşunun yeğeni “Ben de tam böyle sakin birini arıyordum” dedi. İkinci buluşmayı sen istedin; teyzeler hâlâ nasıl olduğunu anlamadı.</t>
        </is>
      </c>
      <c r="J698" s="6" t="inlineStr">
        <is>
          <t>Sıkıcı olmak için vergi mevzuatını açtın. Komşunun yeğeni vergi dairesinde çalışıyormuş. Üç saat konuştunuz.</t>
        </is>
      </c>
      <c r="K698" s="6" t="inlineStr">
        <is>
          <t>Sıkıcılığın teyzelere 'ciddi insan' olarak yansıdı. Nişan tarihi konuşuluyor.</t>
        </is>
      </c>
      <c r="L698" s="6" t="inlineStr"/>
      <c r="M698" s="5" t="inlineStr"/>
      <c r="N698" s="5" t="inlineStr"/>
      <c r="O698" s="6" t="inlineStr"/>
      <c r="P698" s="6" t="inlineStr"/>
      <c r="Q698" s="5" t="inlineStr"/>
      <c r="R698" s="5" t="inlineStr"/>
      <c r="S698" s="5" t="inlineStr"/>
      <c r="T698" s="5" t="inlineStr"/>
      <c r="U698" s="5" t="inlineStr"/>
      <c r="V698" s="5" t="inlineStr"/>
      <c r="W698" s="5" t="inlineStr"/>
      <c r="X698" s="5" t="inlineStr"/>
      <c r="Y698" s="5" t="inlineStr"/>
      <c r="Z698" s="6" t="inlineStr"/>
      <c r="AA698" s="5" t="inlineStr"/>
      <c r="AB698" s="5" t="inlineStr"/>
      <c r="AC698" s="5" t="inlineStr"/>
      <c r="AD698" s="5" t="inlineStr"/>
      <c r="AE698" s="5" t="inlineStr"/>
      <c r="AF698" s="5" t="inlineStr"/>
      <c r="AG698" s="5" t="inlineStr"/>
      <c r="AH698" s="5" t="inlineStr"/>
      <c r="AI698" s="5" t="inlineStr"/>
      <c r="AJ698" s="5" t="inlineStr"/>
    </row>
    <row r="699">
      <c r="A699" s="5" t="inlineStr">
        <is>
          <t>b7-ortak-hesap</t>
        </is>
      </c>
      <c r="B699" s="5" t="n">
        <v>1</v>
      </c>
      <c r="C699" s="6" t="inlineStr">
        <is>
          <t>'Evet, şeffaflık' de</t>
        </is>
      </c>
      <c r="D699" s="5" t="inlineStr"/>
      <c r="E699" s="5" t="inlineStr"/>
      <c r="F699" s="5" t="inlineStr">
        <is>
          <t>İtibar +1</t>
        </is>
      </c>
      <c r="G699" s="6" t="inlineStr">
        <is>
          <t>Bildirimler ikinize de gidiyor. Gece yarısı yemek siparişleri artık kamuya açık.</t>
        </is>
      </c>
      <c r="H699" s="6" t="inlineStr"/>
      <c r="I699" s="6" t="inlineStr"/>
      <c r="J699" s="6" t="inlineStr"/>
      <c r="K699" s="6" t="inlineStr"/>
      <c r="L699" s="6" t="inlineStr"/>
      <c r="M699" s="5" t="inlineStr"/>
      <c r="N699" s="5" t="inlineStr"/>
      <c r="O699" s="6" t="inlineStr"/>
      <c r="P699" s="6" t="inlineStr"/>
      <c r="Q699" s="5" t="inlineStr"/>
      <c r="R699" s="5" t="inlineStr"/>
      <c r="S699" s="5" t="inlineStr"/>
      <c r="T699" s="5" t="inlineStr"/>
      <c r="U699" s="5" t="inlineStr"/>
      <c r="V699" s="5" t="inlineStr"/>
      <c r="W699" s="5" t="inlineStr"/>
      <c r="X699" s="5" t="inlineStr"/>
      <c r="Y699" s="5" t="inlineStr"/>
      <c r="Z699" s="6" t="inlineStr"/>
      <c r="AA699" s="5" t="inlineStr"/>
      <c r="AB699" s="5" t="inlineStr"/>
      <c r="AC699" s="5" t="inlineStr"/>
      <c r="AD699" s="5" t="inlineStr"/>
      <c r="AE699" s="5" t="inlineStr"/>
      <c r="AF699" s="5" t="inlineStr"/>
      <c r="AG699" s="5" t="inlineStr"/>
      <c r="AH699" s="5" t="inlineStr"/>
      <c r="AI699" s="5" t="inlineStr"/>
      <c r="AJ699" s="5" t="inlineStr"/>
    </row>
    <row r="700">
      <c r="A700" s="5" t="inlineStr">
        <is>
          <t>b7-ortak-hesap</t>
        </is>
      </c>
      <c r="B700" s="5" t="n">
        <v>2</v>
      </c>
      <c r="C700" s="6" t="inlineStr">
        <is>
          <t>Bütçe tablosu hazırla</t>
        </is>
      </c>
      <c r="D700" s="5" t="inlineStr">
        <is>
          <t>Akıl</t>
        </is>
      </c>
      <c r="E700" s="5" t="inlineStr">
        <is>
          <t>Zor</t>
        </is>
      </c>
      <c r="F700" s="5" t="inlineStr"/>
      <c r="G700" s="6" t="inlineStr"/>
      <c r="H700" s="6" t="inlineStr">
        <is>
          <t>Tablo hazır: gelir, gider, 'keyfi harcamalar'. Son sütun en kalabalık olanı.</t>
        </is>
      </c>
      <c r="I700" s="6" t="inlineStr">
        <is>
          <t>Eşin tabloyu ailesine gösterdi. Kayınpeder gözlüğünü taktı, uzun uzun baktı, sonra kendi emekli aylığı zarfını önüne koydu: “Bir de bunu yap.”</t>
        </is>
      </c>
      <c r="J700" s="6" t="inlineStr">
        <is>
          <t>Tablo hazırlandı. Kimse açmadı. Tablo şu an masaüstünde, 'yeni klasör (3)' içinde.</t>
        </is>
      </c>
      <c r="K700" s="6" t="inlineStr">
        <is>
          <t>Tabloya göre ikiniz altı aydır batıktasınız. Eşin tabloya baktı, sana baktı, sonra kalkıp evin bütün ışıklarını söndürdü. O akşam yemeği mum ışığında yediniz; romantik değildi.</t>
        </is>
      </c>
      <c r="L700" s="6" t="inlineStr"/>
      <c r="M700" s="5" t="inlineStr"/>
      <c r="N700" s="5" t="inlineStr"/>
      <c r="O700" s="6" t="inlineStr"/>
      <c r="P700" s="6" t="inlineStr"/>
      <c r="Q700" s="5" t="inlineStr"/>
      <c r="R700" s="5" t="inlineStr"/>
      <c r="S700" s="5" t="inlineStr"/>
      <c r="T700" s="5" t="inlineStr">
        <is>
          <t>Tablo Ustası</t>
        </is>
      </c>
      <c r="U700" s="5" t="inlineStr"/>
      <c r="V700" s="5" t="inlineStr"/>
      <c r="W700" s="5" t="inlineStr"/>
      <c r="X700" s="5" t="inlineStr"/>
      <c r="Y700" s="5" t="inlineStr"/>
      <c r="Z700" s="6" t="inlineStr"/>
      <c r="AA700" s="5" t="inlineStr"/>
      <c r="AB700" s="5" t="inlineStr"/>
      <c r="AC700" s="5" t="inlineStr"/>
      <c r="AD700" s="5" t="inlineStr"/>
      <c r="AE700" s="5" t="inlineStr"/>
      <c r="AF700" s="5" t="inlineStr"/>
      <c r="AG700" s="5" t="inlineStr"/>
      <c r="AH700" s="5" t="inlineStr"/>
      <c r="AI700" s="5" t="inlineStr"/>
      <c r="AJ700" s="5" t="inlineStr"/>
    </row>
    <row r="701">
      <c r="A701" s="5" t="inlineStr">
        <is>
          <t>b7-ortak-hesap</t>
        </is>
      </c>
      <c r="B701" s="5" t="n">
        <v>3</v>
      </c>
      <c r="C701" s="6" t="inlineStr">
        <is>
          <t>Gizli bir 'kendime' hesabı aç</t>
        </is>
      </c>
      <c r="D701" s="5" t="inlineStr">
        <is>
          <t>Kurnazlık</t>
        </is>
      </c>
      <c r="E701" s="5" t="inlineStr">
        <is>
          <t>Zor</t>
        </is>
      </c>
      <c r="F701" s="5" t="inlineStr"/>
      <c r="G701" s="6" t="inlineStr"/>
      <c r="H701" s="6" t="inlineStr">
        <is>
          <t>Yan hesap sessizce açıldı. Adı 'Acil durum'. Acil durum henüz tanımlanmadı.</t>
        </is>
      </c>
      <c r="I701" s="6" t="inlineStr">
        <is>
          <t>Gizli hesap o kadar iyi yönetildi ki yıl dönümü hediyesi oradan çıktı. Eşin çok sevindi, kaynağı sormadı.</t>
        </is>
      </c>
      <c r="J701" s="6" t="inlineStr">
        <is>
          <t>Banka temsilcisi yeni hesabı yüksek sesle onayladı. Eşin yanındaydı.</t>
        </is>
      </c>
      <c r="K701" s="6" t="inlineStr">
        <is>
          <t>Gizli hesabın bildirimi ortak telefona düştü. Hesabın adı “Kaçış Fonu”. Eşin telefonu sana uzattı ve hiçbir şey sormadı. Ertesi sabah hesabın adı “Ortak Tatil” olmuştu; şifreyi de eşin değiştirmişti.</t>
        </is>
      </c>
      <c r="L701" s="6" t="inlineStr"/>
      <c r="M701" s="5" t="inlineStr"/>
      <c r="N701" s="5" t="inlineStr"/>
      <c r="O701" s="6" t="inlineStr"/>
      <c r="P701" s="6" t="inlineStr"/>
      <c r="Q701" s="5" t="inlineStr"/>
      <c r="R701" s="5" t="inlineStr"/>
      <c r="S701" s="5" t="inlineStr"/>
      <c r="T701" s="5" t="inlineStr"/>
      <c r="U701" s="5" t="inlineStr"/>
      <c r="V701" s="5" t="inlineStr"/>
      <c r="W701" s="5" t="inlineStr"/>
      <c r="X701" s="5" t="inlineStr"/>
      <c r="Y701" s="5" t="inlineStr"/>
      <c r="Z701" s="6" t="inlineStr"/>
      <c r="AA701" s="5" t="inlineStr"/>
      <c r="AB701" s="5" t="inlineStr"/>
      <c r="AC701" s="5" t="inlineStr"/>
      <c r="AD701" s="5" t="inlineStr"/>
      <c r="AE701" s="5" t="inlineStr"/>
      <c r="AF701" s="5" t="inlineStr"/>
      <c r="AG701" s="5" t="inlineStr"/>
      <c r="AH701" s="5" t="inlineStr"/>
      <c r="AI701" s="5" t="inlineStr"/>
      <c r="AJ701" s="5" t="inlineStr"/>
    </row>
    <row r="702">
      <c r="A702" s="5" t="inlineStr">
        <is>
          <t>b7-ortak-hesap</t>
        </is>
      </c>
      <c r="B702" s="5" t="n">
        <v>4</v>
      </c>
      <c r="C702" s="6" t="inlineStr">
        <is>
          <t>Eski borçlarını masaya koy</t>
        </is>
      </c>
      <c r="D702" s="5" t="inlineStr">
        <is>
          <t>İtibar</t>
        </is>
      </c>
      <c r="E702" s="5" t="inlineStr">
        <is>
          <t>Orta</t>
        </is>
      </c>
      <c r="F702" s="5" t="inlineStr"/>
      <c r="G702" s="6" t="inlineStr"/>
      <c r="H702" s="6" t="inlineStr">
        <is>
          <t>Borçlarını itiraf ettin. Eşin sarıldı. Sonra hesap makinesini aldı.</t>
        </is>
      </c>
      <c r="I702" s="6" t="inlineStr">
        <is>
          <t>İtirafın o kadar dürüsttü ki eşin de kendi taksitlerini açıkladı. Ortak bir kapanış planı yapıldı.</t>
        </is>
      </c>
      <c r="J702" s="6" t="inlineStr">
        <is>
          <t>İtiraf ettin. Eşin 'Bu kadar mı?' dedi. Değildi.</t>
        </is>
      </c>
      <c r="K702" s="6" t="inlineStr">
        <is>
          <t>İtiraf ederken rakamı yanlış söyledin. Gerçeği ertesi ay ekstre söyledi.</t>
        </is>
      </c>
      <c r="L702" s="6" t="inlineStr"/>
      <c r="M702" s="5" t="inlineStr"/>
      <c r="N702" s="5" t="inlineStr"/>
      <c r="O702" s="6" t="inlineStr"/>
      <c r="P702" s="6" t="inlineStr"/>
      <c r="Q702" s="5" t="inlineStr"/>
      <c r="R702" s="5" t="inlineStr">
        <is>
          <t>borclu</t>
        </is>
      </c>
      <c r="S702" s="5" t="inlineStr"/>
      <c r="T702" s="5" t="inlineStr"/>
      <c r="U702" s="5" t="inlineStr"/>
      <c r="V702" s="5" t="inlineStr"/>
      <c r="W702" s="5" t="inlineStr"/>
      <c r="X702" s="5" t="inlineStr"/>
      <c r="Y702" s="5" t="inlineStr"/>
      <c r="Z702" s="6" t="inlineStr"/>
      <c r="AA702" s="5" t="inlineStr"/>
      <c r="AB702" s="5" t="inlineStr"/>
      <c r="AC702" s="5" t="inlineStr"/>
      <c r="AD702" s="5" t="inlineStr"/>
      <c r="AE702" s="5" t="inlineStr"/>
      <c r="AF702" s="5" t="inlineStr"/>
      <c r="AG702" s="5" t="inlineStr"/>
      <c r="AH702" s="5" t="inlineStr"/>
      <c r="AI702" s="5" t="inlineStr"/>
      <c r="AJ702" s="5" t="inlineStr"/>
    </row>
    <row r="703">
      <c r="A703" s="5" t="inlineStr">
        <is>
          <t>b7-spor-salonu</t>
        </is>
      </c>
      <c r="B703" s="5" t="n">
        <v>1</v>
      </c>
      <c r="C703" s="6" t="inlineStr">
        <is>
          <t>Aylık al, bakarız</t>
        </is>
      </c>
      <c r="D703" s="5" t="inlineStr"/>
      <c r="E703" s="5" t="inlineStr"/>
      <c r="F703" s="5" t="inlineStr">
        <is>
          <t>Akıl +1</t>
        </is>
      </c>
      <c r="G703" s="6" t="inlineStr">
        <is>
          <t>Aylık üyelik aldın. Üç kez gittin. Dördüncü seferde kapıdaki görevli seni tanımadı.</t>
        </is>
      </c>
      <c r="H703" s="6" t="inlineStr"/>
      <c r="I703" s="6" t="inlineStr"/>
      <c r="J703" s="6" t="inlineStr"/>
      <c r="K703" s="6" t="inlineStr"/>
      <c r="L703" s="6" t="inlineStr"/>
      <c r="M703" s="5" t="inlineStr"/>
      <c r="N703" s="5" t="inlineStr"/>
      <c r="O703" s="6" t="inlineStr"/>
      <c r="P703" s="6" t="inlineStr"/>
      <c r="Q703" s="5" t="inlineStr"/>
      <c r="R703" s="5" t="inlineStr"/>
      <c r="S703" s="5" t="inlineStr"/>
      <c r="T703" s="5" t="inlineStr"/>
      <c r="U703" s="5" t="inlineStr"/>
      <c r="V703" s="5" t="inlineStr"/>
      <c r="W703" s="5" t="inlineStr"/>
      <c r="X703" s="5" t="inlineStr"/>
      <c r="Y703" s="5" t="inlineStr"/>
      <c r="Z703" s="6" t="inlineStr"/>
      <c r="AA703" s="5" t="inlineStr"/>
      <c r="AB703" s="5" t="inlineStr"/>
      <c r="AC703" s="5" t="inlineStr"/>
      <c r="AD703" s="5" t="inlineStr"/>
      <c r="AE703" s="5" t="inlineStr"/>
      <c r="AF703" s="5" t="inlineStr"/>
      <c r="AG703" s="5" t="inlineStr"/>
      <c r="AH703" s="5" t="inlineStr"/>
      <c r="AI703" s="5" t="inlineStr"/>
      <c r="AJ703" s="5" t="inlineStr"/>
    </row>
    <row r="704">
      <c r="A704" s="5" t="inlineStr">
        <is>
          <t>b7-spor-salonu</t>
        </is>
      </c>
      <c r="B704" s="5" t="n">
        <v>2</v>
      </c>
      <c r="C704" s="6" t="inlineStr">
        <is>
          <t>Yıllık al, her sabah git</t>
        </is>
      </c>
      <c r="D704" s="5" t="inlineStr">
        <is>
          <t>Dayanıklılık</t>
        </is>
      </c>
      <c r="E704" s="5" t="inlineStr">
        <is>
          <t>Zor</t>
        </is>
      </c>
      <c r="F704" s="5" t="inlineStr"/>
      <c r="G704" s="6" t="inlineStr"/>
      <c r="H704" s="6" t="inlineStr">
        <is>
          <t>Bir yıl boyunca haftada üç gün gittin. Geçen kışın pantolonu kapandı; bayramda teyzen yanağını sıkmak için uzandı, vazgeçti: “Yanak kalmamış.”</t>
        </is>
      </c>
      <c r="I704" s="6" t="inlineStr">
        <is>
          <t>Salon girişindeki “önce / sonra” panosuna fotoğrafın asıldı; sen “sonra” tarafındasın. Annen fotoğrafı görünce telaşlandı: “Çok zayıflamışsın, hasta mısın?”</t>
        </is>
      </c>
      <c r="J704" s="6" t="inlineStr">
        <is>
          <t>Yıllık aldın. Mart ayında salonun yerini unuttun.</t>
        </is>
      </c>
      <c r="K704" s="6" t="inlineStr">
        <is>
          <t>Yıllık aldın, ilk gün ısınmadan çömeldin. Belin tuttu. Kalan on bir ay salona değil fizik tedaviye gittin; annen her gün arayıp “Sana kim dedi?” diye sordu.</t>
        </is>
      </c>
      <c r="L704" s="6" t="inlineStr"/>
      <c r="M704" s="5" t="inlineStr"/>
      <c r="N704" s="5" t="inlineStr"/>
      <c r="O704" s="6" t="inlineStr"/>
      <c r="P704" s="6" t="inlineStr"/>
      <c r="Q704" s="5" t="inlineStr"/>
      <c r="R704" s="5" t="inlineStr"/>
      <c r="S704" s="5" t="inlineStr"/>
      <c r="T704" s="5" t="inlineStr"/>
      <c r="U704" s="5" t="inlineStr"/>
      <c r="V704" s="5" t="inlineStr">
        <is>
          <t>sporcu</t>
        </is>
      </c>
      <c r="W704" s="5" t="inlineStr"/>
      <c r="X704" s="5" t="inlineStr"/>
      <c r="Y704" s="5" t="inlineStr"/>
      <c r="Z704" s="6" t="inlineStr"/>
      <c r="AA704" s="5" t="inlineStr"/>
      <c r="AB704" s="5" t="inlineStr"/>
      <c r="AC704" s="5" t="inlineStr"/>
      <c r="AD704" s="5" t="inlineStr"/>
      <c r="AE704" s="5" t="inlineStr"/>
      <c r="AF704" s="5" t="inlineStr"/>
      <c r="AG704" s="5" t="inlineStr"/>
      <c r="AH704" s="5" t="inlineStr"/>
      <c r="AI704" s="5" t="inlineStr"/>
      <c r="AJ704" s="5" t="inlineStr"/>
    </row>
    <row r="705">
      <c r="A705" s="5" t="inlineStr">
        <is>
          <t>b7-spor-salonu</t>
        </is>
      </c>
      <c r="B705" s="5" t="n">
        <v>3</v>
      </c>
      <c r="C705" s="6" t="inlineStr">
        <is>
          <t>İlk günden eğitmenin ağırlığını kaldırmaya çalış</t>
        </is>
      </c>
      <c r="D705" s="5" t="inlineStr">
        <is>
          <t>Cesaret</t>
        </is>
      </c>
      <c r="E705" s="5" t="inlineStr">
        <is>
          <t>Zor</t>
        </is>
      </c>
      <c r="F705" s="5" t="inlineStr"/>
      <c r="G705" s="6" t="inlineStr"/>
      <c r="H705" s="6" t="inlineStr">
        <is>
          <t>Kaldırdın. Eğitmen ilk kez karın kaslarını unuttu ve seni alkışladı.</t>
        </is>
      </c>
      <c r="I705" s="6" t="inlineStr">
        <is>
          <t>Kaldırdın, bir de rekor kırdın. Salonun sosyal medya hesabında 'motivasyon' başlıklı video oldun.</t>
        </is>
      </c>
      <c r="J705" s="6" t="inlineStr">
        <is>
          <t>Bar yarı yolda kaldı. Eğitmen 'Adım adım' dedi. Adımı o attı, barı o aldı.</t>
        </is>
      </c>
      <c r="K705" s="6" t="inlineStr">
        <is>
          <t>Barı kaldıramadın; bar da göğsünden kalkmadı. Üç kişi seni kurtardı, dördüncüsü videoya çekti. Video salonun hesabında “Bunu yapmayın” başlığıyla duruyor.</t>
        </is>
      </c>
      <c r="L705" s="6" t="inlineStr"/>
      <c r="M705" s="5" t="inlineStr"/>
      <c r="N705" s="5" t="inlineStr"/>
      <c r="O705" s="6" t="inlineStr"/>
      <c r="P705" s="6" t="inlineStr"/>
      <c r="Q705" s="5" t="inlineStr"/>
      <c r="R705" s="5" t="inlineStr"/>
      <c r="S705" s="5" t="inlineStr"/>
      <c r="T705" s="5" t="inlineStr"/>
      <c r="U705" s="5" t="inlineStr"/>
      <c r="V705" s="5" t="inlineStr">
        <is>
          <t>sporcu</t>
        </is>
      </c>
      <c r="W705" s="5" t="inlineStr"/>
      <c r="X705" s="5" t="inlineStr"/>
      <c r="Y705" s="5" t="n">
        <v>1</v>
      </c>
      <c r="Z705" s="6" t="inlineStr">
        <is>
          <t>Spor salonunun ilk gününde, eğitmene bir şey kanıtlamaya çalışırken.</t>
        </is>
      </c>
      <c r="AA705" s="5" t="inlineStr"/>
      <c r="AB705" s="5" t="inlineStr"/>
      <c r="AC705" s="5" t="inlineStr"/>
      <c r="AD705" s="5" t="inlineStr"/>
      <c r="AE705" s="5" t="inlineStr"/>
      <c r="AF705" s="5" t="inlineStr"/>
      <c r="AG705" s="5" t="inlineStr"/>
      <c r="AH705" s="5" t="inlineStr"/>
      <c r="AI705" s="5" t="inlineStr">
        <is>
          <t>Bunu Yapmayın</t>
        </is>
      </c>
      <c r="AJ705" s="5" t="inlineStr"/>
    </row>
    <row r="706">
      <c r="A706" s="5" t="inlineStr">
        <is>
          <t>b7-spor-salonu</t>
        </is>
      </c>
      <c r="B706" s="5" t="n">
        <v>4</v>
      </c>
      <c r="C706" s="6" t="inlineStr">
        <is>
          <t>Salona yalnızca buhar odası için git</t>
        </is>
      </c>
      <c r="D706" s="5" t="inlineStr">
        <is>
          <t>Dayanıklılık</t>
        </is>
      </c>
      <c r="E706" s="5" t="inlineStr">
        <is>
          <t>Kolay</t>
        </is>
      </c>
      <c r="F706" s="5" t="inlineStr"/>
      <c r="G706" s="6" t="inlineStr"/>
      <c r="H706" s="6" t="inlineStr">
        <is>
          <t>Salona düzenli gittin; çoğu zaman sadece duş aldın. Yine de sayılır.</t>
        </is>
      </c>
      <c r="I706" s="6" t="inlineStr">
        <is>
          <t>İstikrarın öyle yüksekti ki gerçekten spor yapmaya başladın. Ne zaman olduğunu kendin de fark etmedin.</t>
        </is>
      </c>
      <c r="J706" s="6" t="inlineStr">
        <is>
          <t>Buhar odasında uyuyakaldın. Temizlikçi abla ışıkları kapatırken seni buldu: “Evladım, burası otel değil.”</t>
        </is>
      </c>
      <c r="K706" s="6" t="inlineStr">
        <is>
          <t>Buhar odasında o kadar vakit geçirdin ki üyeliğin 'kaplıca' kategorisine alındı ve fiyatı arttı.</t>
        </is>
      </c>
      <c r="L706" s="6" t="inlineStr"/>
      <c r="M706" s="5" t="inlineStr"/>
      <c r="N706" s="5" t="inlineStr"/>
      <c r="O706" s="6" t="inlineStr"/>
      <c r="P706" s="6" t="inlineStr"/>
      <c r="Q706" s="5" t="inlineStr">
        <is>
          <t>Kolay Dağılmaz</t>
        </is>
      </c>
      <c r="R706" s="5" t="inlineStr"/>
      <c r="S706" s="5" t="inlineStr"/>
      <c r="T706" s="5" t="inlineStr"/>
      <c r="U706" s="5" t="inlineStr"/>
      <c r="V706" s="5" t="inlineStr">
        <is>
          <t>sporcu</t>
        </is>
      </c>
      <c r="W706" s="5" t="inlineStr"/>
      <c r="X706" s="5" t="inlineStr"/>
      <c r="Y706" s="5" t="inlineStr"/>
      <c r="Z706" s="6" t="inlineStr"/>
      <c r="AA706" s="5" t="inlineStr"/>
      <c r="AB706" s="5" t="inlineStr"/>
      <c r="AC706" s="5" t="inlineStr"/>
      <c r="AD706" s="5" t="inlineStr"/>
      <c r="AE706" s="5" t="inlineStr"/>
      <c r="AF706" s="5" t="inlineStr"/>
      <c r="AG706" s="5" t="inlineStr"/>
      <c r="AH706" s="5" t="inlineStr"/>
      <c r="AI706" s="5" t="inlineStr"/>
      <c r="AJ706" s="5" t="inlineStr"/>
    </row>
    <row r="707">
      <c r="A707" s="5" t="inlineStr">
        <is>
          <t>ms-viral</t>
        </is>
      </c>
      <c r="B707" s="5" t="n">
        <v>1</v>
      </c>
      <c r="C707" s="6" t="inlineStr">
        <is>
          <t>Canlı yayında tekrarla</t>
        </is>
      </c>
      <c r="D707" s="5" t="inlineStr">
        <is>
          <t>Pişkinlik</t>
        </is>
      </c>
      <c r="E707" s="5" t="inlineStr">
        <is>
          <t>Orta</t>
        </is>
      </c>
      <c r="F707" s="5" t="inlineStr"/>
      <c r="G707" s="6" t="inlineStr"/>
      <c r="H707" s="6" t="inlineStr">
        <is>
          <t>İki milyondan on iki bin kişi kaldı. Yayın bitince annen aradı: “On iki bin kişi! Düğün salonu dolar.”</t>
        </is>
      </c>
      <c r="I707" s="6" t="inlineStr">
        <is>
          <t>Canlı yayın rekor kırdı. Üç ajans aradı; biri gerçekti.</t>
        </is>
      </c>
      <c r="J707" s="6" t="inlineStr">
        <is>
          <t>Canlıda bir yerde takıldın. Yorumlar: 'Montajmış zaten.'</t>
        </is>
      </c>
      <c r="K707" s="6" t="inlineStr">
        <is>
          <t>Canlı yayında ritmi kaybettin. Bu kez o video viral oldu. Daha çok.</t>
        </is>
      </c>
      <c r="L707" s="6" t="inlineStr">
        <is>
          <t>Yarı yarıya tuttu. Yorumların yarısı 'efsane', yarısı 'eh'.</t>
        </is>
      </c>
      <c r="M707" s="5" t="inlineStr">
        <is>
          <t>simon</t>
        </is>
      </c>
      <c r="N707" s="5" t="inlineStr">
        <is>
          <t>Canlı Performans</t>
        </is>
      </c>
      <c r="O707" s="6" t="inlineStr">
        <is>
          <t>Sırayı dinle, aynı sırayla tekrar et.</t>
        </is>
      </c>
      <c r="P707" s="6" t="inlineStr">
        <is>
          <t>{"items": ["🎤", "💃", "🎸", "🎬"]}</t>
        </is>
      </c>
      <c r="Q707" s="5" t="inlineStr"/>
      <c r="R707" s="5" t="inlineStr"/>
      <c r="S707" s="5" t="inlineStr"/>
      <c r="T707" s="5" t="inlineStr"/>
      <c r="U707" s="5" t="inlineStr">
        <is>
          <t>serbest-viral-oldu</t>
        </is>
      </c>
      <c r="V707" s="5" t="inlineStr"/>
      <c r="W707" s="5" t="inlineStr"/>
      <c r="X707" s="5" t="inlineStr"/>
      <c r="Y707" s="5" t="inlineStr"/>
      <c r="Z707" s="6" t="inlineStr"/>
      <c r="AA707" s="5" t="inlineStr"/>
      <c r="AB707" s="5" t="inlineStr"/>
      <c r="AC707" s="5" t="inlineStr"/>
      <c r="AD707" s="5" t="inlineStr"/>
      <c r="AE707" s="5" t="inlineStr"/>
      <c r="AF707" s="5" t="inlineStr"/>
      <c r="AG707" s="5" t="inlineStr"/>
      <c r="AH707" s="5" t="inlineStr"/>
      <c r="AI707" s="5" t="inlineStr"/>
      <c r="AJ707" s="5" t="inlineStr"/>
    </row>
    <row r="708">
      <c r="A708" s="5" t="inlineStr">
        <is>
          <t>ms-viral</t>
        </is>
      </c>
      <c r="B708" s="5" t="n">
        <v>2</v>
      </c>
      <c r="C708" s="6" t="inlineStr">
        <is>
          <t>Reklam teklifini kabul et</t>
        </is>
      </c>
      <c r="D708" s="5" t="inlineStr">
        <is>
          <t>Kurnazlık</t>
        </is>
      </c>
      <c r="E708" s="5" t="inlineStr">
        <is>
          <t>Kolay</t>
        </is>
      </c>
      <c r="F708" s="5" t="inlineStr"/>
      <c r="G708" s="6" t="inlineStr"/>
      <c r="H708" s="6" t="inlineStr">
        <is>
          <t>Mahallenin halı yıkamacısına reklam çektin; halıyı sen döverek anlattın. Üç aylık kira çözüldü, evin halıları da bedava yıkandı.</t>
        </is>
      </c>
      <c r="I708" s="6" t="inlineStr">
        <is>
          <t>Reklamın ikinci bölümü çekildi. Halı yıkamacının kamyoneti artık mahallede senin yüzünle dolaşıyor; annen her geçişinde balkondan el sallıyor.</t>
        </is>
      </c>
      <c r="J708" s="6" t="inlineStr">
        <is>
          <t>Reklamı çektin; ödeme 'görünürlük' olarak yapıldı. Tanıdık bir kavram.</t>
        </is>
      </c>
      <c r="K708" s="6" t="inlineStr">
        <is>
          <t>Reklamdan sonra yorumlar tek kelimeye indi: 'Satıldı.' Evet, ama çok ucuza.</t>
        </is>
      </c>
      <c r="L708" s="6" t="inlineStr"/>
      <c r="M708" s="5" t="inlineStr"/>
      <c r="N708" s="5" t="inlineStr"/>
      <c r="O708" s="6" t="inlineStr"/>
      <c r="P708" s="6" t="inlineStr"/>
      <c r="Q708" s="5" t="inlineStr"/>
      <c r="R708" s="5" t="inlineStr"/>
      <c r="S708" s="5" t="inlineStr"/>
      <c r="T708" s="5" t="inlineStr"/>
      <c r="U708" s="5" t="inlineStr">
        <is>
          <t>serbest-viral-oldu</t>
        </is>
      </c>
      <c r="V708" s="5" t="inlineStr"/>
      <c r="W708" s="5" t="inlineStr"/>
      <c r="X708" s="5" t="inlineStr"/>
      <c r="Y708" s="5" t="inlineStr"/>
      <c r="Z708" s="6" t="inlineStr"/>
      <c r="AA708" s="5" t="inlineStr"/>
      <c r="AB708" s="5" t="inlineStr"/>
      <c r="AC708" s="5" t="inlineStr"/>
      <c r="AD708" s="5" t="inlineStr"/>
      <c r="AE708" s="5" t="inlineStr"/>
      <c r="AF708" s="5" t="inlineStr"/>
      <c r="AG708" s="5" t="inlineStr"/>
      <c r="AH708" s="5" t="inlineStr"/>
      <c r="AI708" s="5" t="inlineStr"/>
      <c r="AJ708" s="5" t="inlineStr"/>
    </row>
    <row r="709">
      <c r="A709" s="5" t="inlineStr">
        <is>
          <t>ms-viral</t>
        </is>
      </c>
      <c r="B709" s="5" t="n">
        <v>3</v>
      </c>
      <c r="C709" s="6" t="inlineStr">
        <is>
          <t>Eski takipçi ordunu seferber et</t>
        </is>
      </c>
      <c r="D709" s="5" t="inlineStr">
        <is>
          <t>Sosyal Radar</t>
        </is>
      </c>
      <c r="E709" s="5" t="inlineStr">
        <is>
          <t>Kolay</t>
        </is>
      </c>
      <c r="F709" s="5" t="inlineStr"/>
      <c r="G709" s="6" t="inlineStr"/>
      <c r="H709" s="6" t="inlineStr">
        <is>
          <t>Eski takipçilerin 'Biz ilk günden biliyorduk' diye yazdı. Kitle ikiye katlandı.</t>
        </is>
      </c>
      <c r="I709" s="6" t="inlineStr">
        <is>
          <t>Eski ve yeni takipçiler birleşti. Belediye seni yaz şenliğine çağırdı. Afişte adın yanlış yazılmış ama büyük; annen afişin önünde fotoğraf çektirdi.</t>
        </is>
      </c>
      <c r="J709" s="6" t="inlineStr">
        <is>
          <t>Eski takipçilerin yeni takipçilerle tartıştı. Yorumlar senin dışında her şeyi konuşuyor.</t>
        </is>
      </c>
      <c r="K709" s="6" t="inlineStr">
        <is>
          <t>Eski takipçilerin, on iki yaşındayken kedin için yazdığın şiiri buldu. Yeni takipçiler şiiri sesli okuyup müzik yaptı. Artık seni o şiirle tanıyorlar.</t>
        </is>
      </c>
      <c r="L709" s="6" t="inlineStr"/>
      <c r="M709" s="5" t="inlineStr"/>
      <c r="N709" s="5" t="inlineStr"/>
      <c r="O709" s="6" t="inlineStr"/>
      <c r="P709" s="6" t="inlineStr"/>
      <c r="Q709" s="5" t="inlineStr"/>
      <c r="R709" s="5" t="inlineStr">
        <is>
          <t>fenomen</t>
        </is>
      </c>
      <c r="S709" s="5" t="inlineStr"/>
      <c r="T709" s="5" t="inlineStr"/>
      <c r="U709" s="5" t="inlineStr">
        <is>
          <t>serbest-viral-oldu</t>
        </is>
      </c>
      <c r="V709" s="5" t="inlineStr"/>
      <c r="W709" s="5" t="inlineStr"/>
      <c r="X709" s="5" t="inlineStr"/>
      <c r="Y709" s="5" t="inlineStr"/>
      <c r="Z709" s="6" t="inlineStr"/>
      <c r="AA709" s="5" t="inlineStr"/>
      <c r="AB709" s="5" t="inlineStr"/>
      <c r="AC709" s="5" t="inlineStr"/>
      <c r="AD709" s="5" t="inlineStr"/>
      <c r="AE709" s="5" t="inlineStr"/>
      <c r="AF709" s="5" t="inlineStr"/>
      <c r="AG709" s="5" t="inlineStr"/>
      <c r="AH709" s="5" t="inlineStr"/>
      <c r="AI709" s="5" t="inlineStr"/>
      <c r="AJ709" s="5" t="inlineStr"/>
    </row>
    <row r="710">
      <c r="A710" s="5" t="inlineStr">
        <is>
          <t>ms-viral</t>
        </is>
      </c>
      <c r="B710" s="5" t="n">
        <v>4</v>
      </c>
      <c r="C710" s="6" t="inlineStr">
        <is>
          <t>Telefonu bir hafta kapat</t>
        </is>
      </c>
      <c r="D710" s="5" t="inlineStr"/>
      <c r="E710" s="5" t="inlineStr"/>
      <c r="F710" s="5" t="inlineStr">
        <is>
          <t>Dayanıklılık +1</t>
        </is>
      </c>
      <c r="G710" s="6" t="inlineStr">
        <is>
          <t>Bir hafta sonra açtığında akım bitmiş, yerine bir kedi videosu gelmişti. Ün, on bir gün sürdü.</t>
        </is>
      </c>
      <c r="H710" s="6" t="inlineStr"/>
      <c r="I710" s="6" t="inlineStr"/>
      <c r="J710" s="6" t="inlineStr"/>
      <c r="K710" s="6" t="inlineStr"/>
      <c r="L710" s="6" t="inlineStr"/>
      <c r="M710" s="5" t="inlineStr"/>
      <c r="N710" s="5" t="inlineStr"/>
      <c r="O710" s="6" t="inlineStr"/>
      <c r="P710" s="6" t="inlineStr"/>
      <c r="Q710" s="5" t="inlineStr"/>
      <c r="R710" s="5" t="inlineStr"/>
      <c r="S710" s="5" t="inlineStr"/>
      <c r="T710" s="5" t="inlineStr"/>
      <c r="U710" s="5" t="inlineStr">
        <is>
          <t>serbest-viral-oldu</t>
        </is>
      </c>
      <c r="V710" s="5" t="inlineStr"/>
      <c r="W710" s="5" t="inlineStr"/>
      <c r="X710" s="5" t="inlineStr"/>
      <c r="Y710" s="5" t="inlineStr"/>
      <c r="Z710" s="6" t="inlineStr"/>
      <c r="AA710" s="5" t="inlineStr"/>
      <c r="AB710" s="5" t="inlineStr"/>
      <c r="AC71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
          <t>'Evet, hazırım' de</t>
        </is>
      </c>
      <c r="D711" s="5" t="inlineStr"/>
      <c r="E711" s="5" t="inlineStr"/>
      <c r="F711" s="5" t="inlineStr">
        <is>
          <t>Cesaret +1, Gönül +1</t>
        </is>
      </c>
      <c r="G711" s="6" t="inlineStr">
        <is>
          <t>“Hazırım” dedin. Ertesi sabah annen örgüye başladı; cinsiyet belli olmadığı için her şey sarı. Dokuz ay sonra evde bir patik dağı ve bir bebek vardı. İlk gece üçünüz de ağladınız.</t>
        </is>
      </c>
      <c r="H711" s="6" t="inlineStr"/>
      <c r="I711" s="6" t="inlineStr"/>
      <c r="J711" s="6" t="inlineStr"/>
      <c r="K711" s="6" t="inlineStr"/>
      <c r="L711" s="6" t="inlineStr"/>
      <c r="M711" s="5" t="inlineStr"/>
      <c r="N711" s="5" t="inlineStr"/>
      <c r="O711" s="6" t="inlineStr"/>
      <c r="P711" s="6" t="inlineStr"/>
      <c r="Q711" s="5" t="inlineStr"/>
      <c r="R711" s="5" t="inlineStr"/>
      <c r="S711" s="5" t="inlineStr"/>
      <c r="T711" s="5" t="inlineStr"/>
      <c r="U711" s="5" t="inlineStr">
        <is>
          <t>cocuklu</t>
        </is>
      </c>
      <c r="V711" s="5" t="inlineStr"/>
      <c r="W711" s="5" t="inlineStr"/>
      <c r="X711" s="5" t="inlineStr"/>
      <c r="Y711" s="5" t="inlineStr"/>
      <c r="Z711" s="6" t="inlineStr"/>
      <c r="AA711" s="5" t="inlineStr"/>
      <c r="AB711" s="5" t="inlineStr"/>
      <c r="AC711" s="5" t="inlineStr"/>
      <c r="AD711" s="5" t="inlineStr"/>
      <c r="AE711" s="5" t="inlineStr"/>
      <c r="AF711" s="5" t="inlineStr"/>
      <c r="AG711" s="5" t="inlineStr"/>
      <c r="AH711" s="5" t="inlineStr"/>
      <c r="AI711" s="5" t="inlineStr"/>
      <c r="AJ711" s="5" t="inlineStr"/>
    </row>
    <row r="712">
      <c r="A712" s="5" t="inlineStr">
        <is>
          <t>b7-cocuk-karari</t>
        </is>
      </c>
      <c r="B712" s="5" t="n">
        <v>2</v>
      </c>
      <c r="C712" s="6" t="inlineStr">
        <is>
          <t>'Önce biraz daha seyahat edelim' de</t>
        </is>
      </c>
      <c r="D712" s="5" t="inlineStr"/>
      <c r="E712" s="5" t="inlineStr"/>
      <c r="F712" s="5" t="inlineStr">
        <is>
          <t>Kurnazlık +1</t>
        </is>
      </c>
      <c r="G712" s="6" t="inlineStr">
        <is>
          <t>“Önce biraz gezelim” dedin. Eşin “Peki” dedi ve tabağını kaldırdı. O gece televizyonda yine bebek bezi reklamı çıktı; kumandaya ikiniz birden uzandınız.</t>
        </is>
      </c>
      <c r="H712" s="6" t="inlineStr"/>
      <c r="I712" s="6" t="inlineStr"/>
      <c r="J712" s="6" t="inlineStr"/>
      <c r="K712" s="6" t="inlineStr"/>
      <c r="L712" s="6" t="inlineStr"/>
      <c r="M712" s="5" t="inlineStr"/>
      <c r="N712" s="5" t="inlineStr"/>
      <c r="O712" s="6" t="inlineStr"/>
      <c r="P712" s="6" t="inlineStr"/>
      <c r="Q712" s="5" t="inlineStr"/>
      <c r="R712" s="5" t="inlineStr"/>
      <c r="S712" s="5" t="inlineStr"/>
      <c r="T712" s="5" t="inlineStr"/>
      <c r="U712" s="5" t="inlineStr"/>
      <c r="V712" s="5" t="inlineStr"/>
      <c r="W712" s="5" t="inlineStr"/>
      <c r="X712" s="5" t="inlineStr"/>
      <c r="Y712" s="5" t="inlineStr"/>
      <c r="Z712" s="6" t="inlineStr"/>
      <c r="AA712" s="5" t="inlineStr"/>
      <c r="AB712" s="5" t="inlineStr"/>
      <c r="AC712" s="5" t="inlineStr"/>
      <c r="AD712" s="5" t="inlineStr"/>
      <c r="AE712" s="5" t="inlineStr"/>
      <c r="AF712" s="5" t="inlineStr"/>
      <c r="AG712" s="5" t="inlineStr"/>
      <c r="AH712" s="5" t="inlineStr"/>
      <c r="AI712" s="5" t="inlineStr"/>
      <c r="AJ712" s="5" t="inlineStr"/>
    </row>
    <row r="713">
      <c r="A713" s="5" t="inlineStr">
        <is>
          <t>b7-cocuk-karari</t>
        </is>
      </c>
      <c r="B713" s="5" t="n">
        <v>3</v>
      </c>
      <c r="C713" s="6" t="inlineStr">
        <is>
          <t>Maliyet tablosu hazırla</t>
        </is>
      </c>
      <c r="D713" s="5" t="inlineStr">
        <is>
          <t>Akıl</t>
        </is>
      </c>
      <c r="E713" s="5" t="inlineStr">
        <is>
          <t>Orta</t>
        </is>
      </c>
      <c r="F713" s="5" t="inlineStr"/>
      <c r="G713" s="6" t="inlineStr"/>
      <c r="H713" s="6" t="inlineStr">
        <is>
          <t>Tablo korkunçtu ama eşin 'Yine de' dedi. Sen de 'Yine de' dedin. Aile büyüdü.</t>
        </is>
      </c>
      <c r="I713" s="6" t="inlineStr">
        <is>
          <t>Tablo o kadar iyiydi ki bebek odası bütçenin altında kuruldu. Tablo bebek albümüne kondu.</t>
        </is>
      </c>
      <c r="J713" s="6" t="inlineStr">
        <is>
          <t>Tablonun sonunda 'on sekiz yıl' yazıyordu. İkiniz de uzun süre sustunuz.</t>
        </is>
      </c>
      <c r="K713" s="6" t="inlineStr">
        <is>
          <t>Tabloyu sunarken bebek arabası fiyatlarını yüksek sesle okudun. Eşin bilgisayarı kapattı: “Asıl pahalı olan sensin.” O gece kanepede yattın; konu bir yıl açılmadı.</t>
        </is>
      </c>
      <c r="L713" s="6" t="inlineStr"/>
      <c r="M713" s="5" t="inlineStr"/>
      <c r="N713" s="5" t="inlineStr"/>
      <c r="O713" s="6" t="inlineStr"/>
      <c r="P713" s="6" t="inlineStr"/>
      <c r="Q713" s="5" t="inlineStr"/>
      <c r="R713" s="5" t="inlineStr"/>
      <c r="S713" s="5" t="inlineStr"/>
      <c r="T713" s="5" t="inlineStr"/>
      <c r="U713" s="5" t="inlineStr"/>
      <c r="V713" s="5" t="inlineStr">
        <is>
          <t>cocuklu</t>
        </is>
      </c>
      <c r="W713" s="5" t="inlineStr"/>
      <c r="X713" s="5" t="inlineStr"/>
      <c r="Y713" s="5" t="inlineStr"/>
      <c r="Z713" s="6" t="inlineStr"/>
      <c r="AA713" s="5" t="inlineStr"/>
      <c r="AB713" s="5" t="inlineStr"/>
      <c r="AC713" s="5" t="inlineStr"/>
      <c r="AD713" s="5" t="inlineStr"/>
      <c r="AE713" s="5" t="inlineStr"/>
      <c r="AF713" s="5" t="inlineStr"/>
      <c r="AG713" s="5" t="inlineStr"/>
      <c r="AH713" s="5" t="inlineStr"/>
      <c r="AI713" s="5" t="inlineStr"/>
      <c r="AJ713" s="5" t="inlineStr"/>
    </row>
    <row r="714">
      <c r="A714" s="5" t="inlineStr">
        <is>
          <t>b7-cocuk-karari</t>
        </is>
      </c>
      <c r="B714" s="5" t="n">
        <v>4</v>
      </c>
      <c r="C714" s="6" t="inlineStr">
        <is>
          <t>'Önce kedimizi soralım' de</t>
        </is>
      </c>
      <c r="D714" s="5" t="inlineStr">
        <is>
          <t>Pişkinlik</t>
        </is>
      </c>
      <c r="E714" s="5" t="inlineStr">
        <is>
          <t>Kolay</t>
        </is>
      </c>
      <c r="F714" s="5" t="inlineStr"/>
      <c r="G714" s="6" t="inlineStr"/>
      <c r="H714" s="6" t="inlineStr">
        <is>
          <t>Kedi gözlerini yavaşça kırptı. Eşin bunu “evet” saydı, sen itiraz etmedin. Aile büyüdü; kedinin henüz haberi yok.</t>
        </is>
      </c>
      <c r="I714" s="6" t="inlineStr">
        <is>
          <t>Kediyi kucağına aldın: çocukken eve getirttiğin kedinin torunu, düğünde annen sepetle getirmişti. Mırladı. Eşin ağladı, sen ağladın, kedi uyudu. Karar oy birliğiyle alındı.</t>
        </is>
      </c>
      <c r="J714" s="6" t="inlineStr">
        <is>
          <t>Kedi odayı terk etti. Oylama ertelendi.</t>
        </is>
      </c>
      <c r="K714" s="6" t="inlineStr">
        <is>
          <t>Kedi tam o anda vazoyu devirdi. Eşin kırıklara baktı, sonra kediye, sonra sana: “Bir bebeğimiz zaten var.” Kedi kuyruğunu salladı; oylama bitti.</t>
        </is>
      </c>
      <c r="L714" s="6" t="inlineStr"/>
      <c r="M714" s="5" t="inlineStr"/>
      <c r="N714" s="5" t="inlineStr"/>
      <c r="O714" s="6" t="inlineStr"/>
      <c r="P714" s="6" t="inlineStr"/>
      <c r="Q714" s="5" t="inlineStr"/>
      <c r="R714" s="5" t="inlineStr">
        <is>
          <t>kediGeldi</t>
        </is>
      </c>
      <c r="S714" s="5" t="inlineStr"/>
      <c r="T714" s="5" t="inlineStr"/>
      <c r="U714" s="5" t="inlineStr"/>
      <c r="V714" s="5" t="inlineStr">
        <is>
          <t>cocuklu</t>
        </is>
      </c>
      <c r="W714" s="5" t="inlineStr"/>
      <c r="X714" s="5" t="inlineStr"/>
      <c r="Y714" s="5" t="inlineStr"/>
      <c r="Z714" s="6" t="inlineStr"/>
      <c r="AA714" s="5" t="inlineStr"/>
      <c r="AB714" s="5" t="inlineStr"/>
      <c r="AC714" s="5" t="inlineStr"/>
      <c r="AD714" s="5" t="inlineStr"/>
      <c r="AE714" s="5" t="inlineStr"/>
      <c r="AF714" s="5" t="inlineStr"/>
      <c r="AG714" s="5" t="inlineStr"/>
      <c r="AH714" s="5" t="inlineStr"/>
      <c r="AI714" s="5" t="inlineStr"/>
      <c r="AJ714" s="5" t="inlineStr"/>
    </row>
    <row r="715">
      <c r="A715" s="5" t="inlineStr">
        <is>
          <t>b7-cocuk-karari</t>
        </is>
      </c>
      <c r="B715" s="5" t="n">
        <v>5</v>
      </c>
      <c r="C715" s="6" t="inlineStr">
        <is>
          <t>“Olursa olur” de, hayata bırak</t>
        </is>
      </c>
      <c r="D715" s="5" t="inlineStr">
        <is>
          <t>Dayanıklılık</t>
        </is>
      </c>
      <c r="E715" s="5" t="inlineStr">
        <is>
          <t>Orta</t>
        </is>
      </c>
      <c r="F715" s="5" t="inlineStr"/>
      <c r="G715" s="6" t="inlineStr"/>
      <c r="H715" s="6" t="inlineStr">
        <is>
          <t>Hayata bıraktınız; hayat hemen cevap verdi. Ultrasonda iki kalp atışı var. Doktor “Tebrikler” dedi; sonra bir daha “Tebrikler.”</t>
        </is>
      </c>
      <c r="I715" s="6" t="inlineStr">
        <is>
          <t>İkiz geldi; biri sana, biri eşine benziyor. Hangisinin kime benzediği konusunda aileler hâlâ anlaşamadı.</t>
        </is>
      </c>
      <c r="J715" s="6" t="inlineStr">
        <is>
          <t>Hayata bıraktınız; hayat bu konuda acele etmedi. Bir süre daha iki kişilik sofradasınız.</t>
        </is>
      </c>
      <c r="K715" s="6" t="inlineStr">
        <is>
          <t>Hayata bıraktınız, hayat kediyi gönderdi. Kapının önünde üç yavru var; bakımı sende.</t>
        </is>
      </c>
      <c r="L715" s="6" t="inlineStr"/>
      <c r="M715" s="5" t="inlineStr"/>
      <c r="N715" s="5" t="inlineStr"/>
      <c r="O715" s="6" t="inlineStr"/>
      <c r="P715" s="6" t="inlineStr"/>
      <c r="Q715" s="5" t="inlineStr"/>
      <c r="R715" s="5" t="inlineStr"/>
      <c r="S715" s="5" t="inlineStr"/>
      <c r="T715" s="5" t="inlineStr"/>
      <c r="U715" s="5" t="inlineStr"/>
      <c r="V715" s="5" t="inlineStr">
        <is>
          <t>cocuklu, ikiz</t>
        </is>
      </c>
      <c r="W715" s="5" t="inlineStr"/>
      <c r="X715" s="5" t="inlineStr"/>
      <c r="Y715" s="5" t="inlineStr"/>
      <c r="Z715" s="6" t="inlineStr"/>
      <c r="AA715" s="5" t="inlineStr"/>
      <c r="AB715" s="5" t="inlineStr"/>
      <c r="AC715" s="5" t="inlineStr"/>
      <c r="AD715" s="5" t="inlineStr"/>
      <c r="AE715" s="5" t="inlineStr"/>
      <c r="AF715" s="5" t="inlineStr"/>
      <c r="AG715" s="5" t="inlineStr"/>
      <c r="AH715" s="5" t="inlineStr"/>
      <c r="AI715" s="5" t="inlineStr"/>
      <c r="AJ715" s="5" t="inlineStr"/>
    </row>
    <row r="716">
      <c r="A716" s="5" t="inlineStr">
        <is>
          <t>me-kasa-ve-pos</t>
        </is>
      </c>
      <c r="B716" s="5" t="n">
        <v>1</v>
      </c>
      <c r="C716" s="6" t="inlineStr">
        <is>
          <t>Yere çömel, topla</t>
        </is>
      </c>
      <c r="D716" s="5" t="inlineStr">
        <is>
          <t>Dayanıklılık</t>
        </is>
      </c>
      <c r="E716" s="5" t="inlineStr">
        <is>
          <t>Kolay</t>
        </is>
      </c>
      <c r="F716" s="5" t="inlineStr"/>
      <c r="G716" s="6" t="inlineStr"/>
      <c r="H716" s="6" t="inlineStr">
        <is>
          <t>Bozuklukları topladın, para üstünü kuruşu kuruşuna verdin. Müşteri giderken söylendi: “Benim bankam bu kadar hızlı değil.”</t>
        </is>
      </c>
      <c r="I716" s="6" t="inlineStr">
        <is>
          <t>Bozuklukların yanında geçen yıl kaybolan iki madeni para daha buldun. Kasa ilk kez fazla verdi.</t>
        </is>
      </c>
      <c r="J716" s="6" t="inlineStr">
        <is>
          <t>Topladın ama para üstü eksik çıktı. Müşteri 'Kalsın' dedi. Bu cümleden daha pahalısı yok.</t>
        </is>
      </c>
      <c r="K716" s="6" t="inlineStr">
        <is>
          <t>Toplarken tezgâhın altına kafanı vurdun. Doğrulduğunda müşteri gitmiş, kasa açık, bozuk para kutusu boştu. Karşıdaki berber her şeyi görmüş: “Yerdekini topladın, kasadakini götürdüler.”</t>
        </is>
      </c>
      <c r="L716" s="6" t="inlineStr">
        <is>
          <t>Çoğunu topladın. Birkaçı raf altında yeni bir hayata başladı.</t>
        </is>
      </c>
      <c r="M716" s="5" t="inlineStr">
        <is>
          <t>collect</t>
        </is>
      </c>
      <c r="N716" s="5" t="inlineStr">
        <is>
          <t>Bozuk Para Seferberliği</t>
        </is>
      </c>
      <c r="O716" s="6" t="inlineStr">
        <is>
          <t>Dökülen bozuklukları müşterinin sabrı bitmeden topla. Buzdolabının altına kaçanlar gider yazılır.</t>
        </is>
      </c>
      <c r="P716" s="6" t="inlineStr">
        <is>
          <t>{"piece": "🪙"}</t>
        </is>
      </c>
      <c r="Q716" s="5" t="inlineStr"/>
      <c r="R716" s="5" t="inlineStr"/>
      <c r="S716" s="5" t="inlineStr"/>
      <c r="T716" s="5" t="inlineStr"/>
      <c r="U716" s="5" t="inlineStr"/>
      <c r="V716" s="5" t="inlineStr"/>
      <c r="W716" s="5" t="inlineStr"/>
      <c r="X716" s="5" t="inlineStr"/>
      <c r="Y716" s="5" t="inlineStr"/>
      <c r="Z716" s="6" t="inlineStr"/>
      <c r="AA716" s="5" t="inlineStr"/>
      <c r="AB716" s="5" t="inlineStr"/>
      <c r="AC716" s="5" t="inlineStr"/>
      <c r="AD716" s="5" t="inlineStr"/>
      <c r="AE716" s="5" t="inlineStr"/>
      <c r="AF716" s="5" t="inlineStr"/>
      <c r="AG716" s="5" t="inlineStr"/>
      <c r="AH716" s="5" t="inlineStr"/>
      <c r="AI716" s="5" t="inlineStr"/>
      <c r="AJ716" s="5" t="inlineStr"/>
    </row>
    <row r="717">
      <c r="A717" s="5" t="inlineStr">
        <is>
          <t>me-kasa-ve-pos</t>
        </is>
      </c>
      <c r="B717" s="5" t="n">
        <v>2</v>
      </c>
      <c r="C717" s="6" t="inlineStr">
        <is>
          <t>'Kartla ödeyin' de</t>
        </is>
      </c>
      <c r="D717" s="5" t="inlineStr"/>
      <c r="E717" s="5" t="inlineStr"/>
      <c r="F717" s="5" t="inlineStr">
        <is>
          <t>Çene +1, Akıl +1</t>
        </is>
      </c>
      <c r="G717" s="6" t="inlineStr">
        <is>
          <t>Pos cihazını uzattın. Cihaz 'bağlantı bekleniyor' yazdı. Müşteri de bekledi. Bozukluk kazandı.</t>
        </is>
      </c>
      <c r="H717" s="6" t="inlineStr"/>
      <c r="I717" s="6" t="inlineStr"/>
      <c r="J717" s="6" t="inlineStr"/>
      <c r="K717" s="6" t="inlineStr"/>
      <c r="L717" s="6" t="inlineStr"/>
      <c r="M717" s="5" t="inlineStr"/>
      <c r="N717" s="5" t="inlineStr"/>
      <c r="O717" s="6" t="inlineStr"/>
      <c r="P717" s="6" t="inlineStr"/>
      <c r="Q717" s="5" t="inlineStr"/>
      <c r="R717" s="5" t="inlineStr"/>
      <c r="S717" s="5" t="inlineStr"/>
      <c r="T717" s="5" t="inlineStr"/>
      <c r="U717" s="5" t="inlineStr"/>
      <c r="V717" s="5" t="inlineStr"/>
      <c r="W717" s="5" t="inlineStr"/>
      <c r="X717" s="5" t="inlineStr"/>
      <c r="Y717" s="5" t="inlineStr"/>
      <c r="Z717" s="6" t="inlineStr"/>
      <c r="AA717" s="5" t="inlineStr"/>
      <c r="AB717" s="5" t="inlineStr"/>
      <c r="AC717" s="5" t="inlineStr"/>
      <c r="AD717" s="5" t="inlineStr"/>
      <c r="AE717" s="5" t="inlineStr"/>
      <c r="AF717" s="5" t="inlineStr"/>
      <c r="AG717" s="5" t="inlineStr"/>
      <c r="AH717" s="5" t="inlineStr"/>
      <c r="AI717" s="5" t="inlineStr"/>
      <c r="AJ717" s="5" t="inlineStr"/>
    </row>
    <row r="718">
      <c r="A718" s="5" t="inlineStr">
        <is>
          <t>me-kasa-ve-pos</t>
        </is>
      </c>
      <c r="B718" s="5" t="n">
        <v>3</v>
      </c>
      <c r="C718" s="6" t="inlineStr">
        <is>
          <t>Para üstü yerine sakız ver</t>
        </is>
      </c>
      <c r="D718" s="5" t="inlineStr">
        <is>
          <t>Pişkinlik</t>
        </is>
      </c>
      <c r="E718" s="5" t="inlineStr">
        <is>
          <t>Orta</t>
        </is>
      </c>
      <c r="F718" s="5" t="inlineStr"/>
      <c r="G718" s="6" t="inlineStr"/>
      <c r="H718" s="6" t="inlineStr">
        <is>
          <t>Para üstü yerine sakız verdin. Müşteri itiraz etmedi, sakızı da beğendi.</t>
        </is>
      </c>
      <c r="I718" s="6" t="inlineStr">
        <is>
          <t>Sakızlı para üstü mahallede öyle yerleşti ki çocuklar harçlıklarını sakız olarak ister oldu.</t>
        </is>
      </c>
      <c r="J718" s="6" t="inlineStr">
        <is>
          <t>Müşteri sakızı geri verdi, para üstünü istedi; sakızın fiyatını da düşerek.</t>
        </is>
      </c>
      <c r="K718" s="6" t="inlineStr">
        <is>
          <t>Ertesi gün aynı müşteri sakızla ödeme yapmaya çalıştı. Mantığına itiraz edemedin.</t>
        </is>
      </c>
      <c r="L718" s="6" t="inlineStr"/>
      <c r="M718" s="5" t="inlineStr"/>
      <c r="N718" s="5" t="inlineStr"/>
      <c r="O718" s="6" t="inlineStr"/>
      <c r="P718" s="6" t="inlineStr"/>
      <c r="Q718" s="5" t="inlineStr"/>
      <c r="R718" s="5" t="inlineStr"/>
      <c r="S718" s="5" t="inlineStr"/>
      <c r="T718" s="5" t="inlineStr"/>
      <c r="U718" s="5" t="inlineStr"/>
      <c r="V718" s="5" t="inlineStr"/>
      <c r="W718" s="5" t="inlineStr"/>
      <c r="X718" s="5" t="inlineStr"/>
      <c r="Y718" s="5" t="inlineStr"/>
      <c r="Z718" s="6" t="inlineStr"/>
      <c r="AA718" s="5" t="inlineStr"/>
      <c r="AB718" s="5" t="inlineStr"/>
      <c r="AC718" s="5" t="inlineStr"/>
      <c r="AD718" s="5" t="inlineStr"/>
      <c r="AE718" s="5" t="inlineStr"/>
      <c r="AF718" s="5" t="inlineStr"/>
      <c r="AG718" s="5" t="inlineStr"/>
      <c r="AH718" s="5" t="inlineStr"/>
      <c r="AI718" s="5" t="inlineStr"/>
      <c r="AJ718" s="5" t="inlineStr"/>
    </row>
    <row r="719">
      <c r="A719" s="5" t="inlineStr">
        <is>
          <t>me-kasa-ve-pos</t>
        </is>
      </c>
      <c r="B719" s="5" t="n">
        <v>4</v>
      </c>
      <c r="C719" s="6" t="inlineStr">
        <is>
          <t>Yerdekileri tek bakışta say</t>
        </is>
      </c>
      <c r="D719" s="5" t="inlineStr">
        <is>
          <t>Akıl</t>
        </is>
      </c>
      <c r="E719" s="5" t="inlineStr">
        <is>
          <t>Kolay</t>
        </is>
      </c>
      <c r="F719" s="5" t="inlineStr"/>
      <c r="G719" s="6" t="inlineStr"/>
      <c r="H719" s="6" t="inlineStr">
        <is>
          <t>Yere baktın, toplamı söyledin. Müşteri saydı, tuttu. Kuruşu kuruşuna.</t>
        </is>
      </c>
      <c r="I719" s="6" t="inlineStr">
        <is>
          <t>Tek bakışta saydın, para üstünü ezbere verdin. Müşteri seni mahalleye 'insan hesap makinesi' diye tanıttı.</t>
        </is>
      </c>
      <c r="J719" s="6" t="inlineStr">
        <is>
          <t>Saydın; bir tanesi tezgâhın altındaymış. Hesap bir bozuk eksik, gurur bir ton.</t>
        </is>
      </c>
      <c r="K719" s="6" t="inlineStr">
        <is>
          <t>Yanlış saydın, kendinden emin söyledin. Müşteri para üstüyle birlikte bir de özür aldı.</t>
        </is>
      </c>
      <c r="L719" s="6" t="inlineStr"/>
      <c r="M719" s="5" t="inlineStr"/>
      <c r="N719" s="5" t="inlineStr"/>
      <c r="O719" s="6" t="inlineStr"/>
      <c r="P719" s="6" t="inlineStr"/>
      <c r="Q719" s="5" t="inlineStr">
        <is>
          <t>Para Üstü Radarı</t>
        </is>
      </c>
      <c r="R719" s="5" t="inlineStr"/>
      <c r="S719" s="5" t="inlineStr"/>
      <c r="T719" s="5" t="inlineStr"/>
      <c r="U719" s="5" t="inlineStr"/>
      <c r="V719" s="5" t="inlineStr"/>
      <c r="W719" s="5" t="inlineStr"/>
      <c r="X719" s="5" t="inlineStr"/>
      <c r="Y719" s="5" t="inlineStr"/>
      <c r="Z719" s="6" t="inlineStr"/>
      <c r="AA719" s="5" t="inlineStr"/>
      <c r="AB719" s="5" t="inlineStr"/>
      <c r="AC719" s="5" t="inlineStr"/>
      <c r="AD719" s="5" t="inlineStr"/>
      <c r="AE719" s="5" t="inlineStr"/>
      <c r="AF719" s="5" t="inlineStr"/>
      <c r="AG719" s="5" t="inlineStr"/>
      <c r="AH719" s="5" t="inlineStr"/>
      <c r="AI719" s="5" t="inlineStr"/>
      <c r="AJ719" s="5" t="inlineStr"/>
    </row>
    <row r="720">
      <c r="A720" s="5" t="inlineStr">
        <is>
          <t>b7-tek-kisilik-tatil</t>
        </is>
      </c>
      <c r="B720" s="5" t="n">
        <v>1</v>
      </c>
      <c r="C720" s="6" t="inlineStr">
        <is>
          <t>'Bir' de, gurur duy</t>
        </is>
      </c>
      <c r="D720" s="5" t="inlineStr"/>
      <c r="E720" s="5" t="inlineStr"/>
      <c r="F720" s="5" t="inlineStr">
        <is>
          <t>Cesaret +1, Dayanıklılık +1</t>
        </is>
      </c>
      <c r="G720" s="6" t="inlineStr">
        <is>
          <t>“Bir” dedin. Tek kişilik oda, iki kişiliğin yüzde doksanı fiyatına. Arkandaki çift fısıldaştı: “Biz de tek tek mi alsak?”</t>
        </is>
      </c>
      <c r="H720" s="6" t="inlineStr"/>
      <c r="I720" s="6" t="inlineStr"/>
      <c r="J720" s="6" t="inlineStr"/>
      <c r="K720" s="6" t="inlineStr"/>
      <c r="L720" s="6" t="inlineStr"/>
      <c r="M720" s="5" t="inlineStr"/>
      <c r="N720" s="5" t="inlineStr"/>
      <c r="O720" s="6" t="inlineStr"/>
      <c r="P720" s="6" t="inlineStr"/>
      <c r="Q720" s="5" t="inlineStr"/>
      <c r="R720" s="5" t="inlineStr"/>
      <c r="S720" s="5" t="inlineStr"/>
      <c r="T720" s="5" t="inlineStr"/>
      <c r="U720" s="5" t="inlineStr">
        <is>
          <t>yalniz-gezgin</t>
        </is>
      </c>
      <c r="V720" s="5" t="inlineStr"/>
      <c r="W720" s="5" t="inlineStr"/>
      <c r="X720" s="5" t="inlineStr"/>
      <c r="Y720" s="5" t="inlineStr"/>
      <c r="Z720" s="6" t="inlineStr"/>
      <c r="AA720" s="5" t="inlineStr"/>
      <c r="AB720" s="5" t="inlineStr"/>
      <c r="AC720" s="5" t="inlineStr"/>
      <c r="AD720" s="5" t="inlineStr"/>
      <c r="AE720" s="5" t="inlineStr"/>
      <c r="AF720" s="5" t="inlineStr"/>
      <c r="AG720" s="5" t="inlineStr"/>
      <c r="AH720" s="5" t="inlineStr"/>
      <c r="AI720" s="5" t="inlineStr"/>
      <c r="AJ720" s="5" t="inlineStr"/>
    </row>
    <row r="721">
      <c r="A721" s="5" t="inlineStr">
        <is>
          <t>b7-tek-kisilik-tatil</t>
        </is>
      </c>
      <c r="B721" s="5" t="n">
        <v>2</v>
      </c>
      <c r="C721" s="6" t="inlineStr">
        <is>
          <t>Akşam yemeğinde tek başına masaya otur</t>
        </is>
      </c>
      <c r="D721" s="5" t="inlineStr">
        <is>
          <t>Pişkinlik</t>
        </is>
      </c>
      <c r="E721" s="5" t="inlineStr">
        <is>
          <t>Orta</t>
        </is>
      </c>
      <c r="F721" s="5" t="inlineStr"/>
      <c r="G721" s="6" t="inlineStr"/>
      <c r="H721" s="6" t="inlineStr">
        <is>
          <t>Kitabını açtın, balığını yedin, denize baktın. Yan masadaki çift bütün akşam tek kelime konuşmadı; sonunda biri öbürüne döndü: “Bak, şu ne güzel yiyor.”</t>
        </is>
      </c>
      <c r="I721" s="6" t="inlineStr">
        <is>
          <t>Öyle huzurlu göründün ki garson bir tatlı getirdi: “Yalnız yemek olmaz, bu bizden.” Yan masadaki çift aynı tatlıyı parayla sipariş etti.</t>
        </is>
      </c>
      <c r="J721" s="6" t="inlineStr">
        <is>
          <t>Garson ikinci sandalyeyi almadı. Bütün akşam o sandalyeye bakarak yedin.</t>
        </is>
      </c>
      <c r="K721" s="6" t="inlineStr">
        <is>
          <t>Garson 'Beklediğiniz kişi gelecek mi?' diye beş kez sordu. Altıncıda 'Gelmeyecek' dedin, restoran bir anlığına sustu.</t>
        </is>
      </c>
      <c r="L721" s="6" t="inlineStr"/>
      <c r="M721" s="5" t="inlineStr"/>
      <c r="N721" s="5" t="inlineStr"/>
      <c r="O721" s="6" t="inlineStr"/>
      <c r="P721" s="6" t="inlineStr"/>
      <c r="Q721" s="5" t="inlineStr"/>
      <c r="R721" s="5" t="inlineStr"/>
      <c r="S721" s="5" t="inlineStr"/>
      <c r="T721" s="5" t="inlineStr"/>
      <c r="U721" s="5" t="inlineStr"/>
      <c r="V721" s="5" t="inlineStr">
        <is>
          <t>yalniz-gezgin</t>
        </is>
      </c>
      <c r="W721" s="5" t="inlineStr"/>
      <c r="X721" s="5" t="inlineStr"/>
      <c r="Y721" s="5" t="inlineStr"/>
      <c r="Z721" s="6" t="inlineStr"/>
      <c r="AA721" s="5" t="inlineStr"/>
      <c r="AB721" s="5" t="inlineStr"/>
      <c r="AC721" s="5" t="inlineStr"/>
      <c r="AD721" s="5" t="inlineStr"/>
      <c r="AE721" s="5" t="inlineStr"/>
      <c r="AF721" s="5" t="inlineStr"/>
      <c r="AG721" s="5" t="inlineStr"/>
      <c r="AH721" s="5" t="inlineStr"/>
      <c r="AI721" s="5" t="inlineStr"/>
      <c r="AJ721" s="5" t="inlineStr"/>
    </row>
    <row r="722">
      <c r="A722" s="5" t="inlineStr">
        <is>
          <t>b7-tek-kisilik-tatil</t>
        </is>
      </c>
      <c r="B722" s="5" t="n">
        <v>3</v>
      </c>
      <c r="C722" s="6" t="inlineStr">
        <is>
          <t>Tur grubuna katıl</t>
        </is>
      </c>
      <c r="D722" s="5" t="inlineStr">
        <is>
          <t>Çene</t>
        </is>
      </c>
      <c r="E722" s="5" t="inlineStr">
        <is>
          <t>Kolay</t>
        </is>
      </c>
      <c r="F722" s="5" t="inlineStr"/>
      <c r="G722" s="6" t="inlineStr"/>
      <c r="H722" s="6" t="inlineStr">
        <is>
          <t>Tur grubunda yeni arkadaşlar edindin. Mesaj grubu tatilden sonra da yaşıyor.</t>
        </is>
      </c>
      <c r="I722" s="6" t="inlineStr">
        <is>
          <t>Üçüncü gün tur otobüsünün mikrofonu sendeydi. Son gün teyzeler seni ortaya alıp fotoğraf çektirdi; biri kızının numarasını cebine sıkıştırdı: “Bekârsın, değil mi?”</t>
        </is>
      </c>
      <c r="J722" s="6" t="inlineStr">
        <is>
          <t>Tur grubunun yaş ortalaması 67 çıktı. Harika insanlardı. Çok erken yattılar.</t>
        </is>
      </c>
      <c r="K722" s="6" t="inlineStr">
        <is>
          <t>Mola yerinde gözleme beklerken otobüs kalktı. Kırk kilometre sonra fark ettiler; rehber mikrofona “Bir eksiğiz” dedi. Otobüs geri döndü; yolun kalanında kırk kişi sana baktı, sen gözlemene.</t>
        </is>
      </c>
      <c r="L722" s="6" t="inlineStr"/>
      <c r="M722" s="5" t="inlineStr"/>
      <c r="N722" s="5" t="inlineStr"/>
      <c r="O722" s="6" t="inlineStr"/>
      <c r="P722" s="6" t="inlineStr"/>
      <c r="Q722" s="5" t="inlineStr"/>
      <c r="R722" s="5" t="inlineStr"/>
      <c r="S722" s="5" t="inlineStr"/>
      <c r="T722" s="5" t="inlineStr"/>
      <c r="U722" s="5" t="inlineStr"/>
      <c r="V722" s="5" t="inlineStr"/>
      <c r="W722" s="5" t="inlineStr"/>
      <c r="X722" s="5" t="inlineStr"/>
      <c r="Y722" s="5" t="inlineStr"/>
      <c r="Z722" s="6" t="inlineStr"/>
      <c r="AA722" s="5" t="inlineStr"/>
      <c r="AB722" s="5" t="inlineStr"/>
      <c r="AC722" s="5" t="inlineStr"/>
      <c r="AD722" s="5" t="inlineStr"/>
      <c r="AE722" s="5" t="inlineStr"/>
      <c r="AF722" s="5" t="inlineStr"/>
      <c r="AG722" s="5" t="inlineStr"/>
      <c r="AH722" s="5" t="inlineStr"/>
      <c r="AI722" s="5" t="inlineStr"/>
      <c r="AJ722" s="5" t="inlineStr"/>
    </row>
    <row r="723">
      <c r="A723" s="5" t="inlineStr">
        <is>
          <t>mb-terfi-yarisi</t>
        </is>
      </c>
      <c r="B723" s="5" t="n">
        <v>1</v>
      </c>
      <c r="C723" s="6" t="inlineStr">
        <is>
          <t>Yönetime sunum yap</t>
        </is>
      </c>
      <c r="D723" s="5" t="inlineStr">
        <is>
          <t>Cesaret</t>
        </is>
      </c>
      <c r="E723" s="5" t="inlineStr">
        <is>
          <t>Zor</t>
        </is>
      </c>
      <c r="F723" s="5" t="inlineStr"/>
      <c r="G723" s="6" t="inlineStr"/>
      <c r="H723" s="6" t="inlineStr">
        <is>
          <t>Sunum bitti, sessizlik oldu, sonra biri “Harika” dedi. Unvanına “kıdemli” eklendi. Annen aile grubuna “Bizimki müdür oldu” yazdı. Düzeltmedin.</t>
        </is>
      </c>
      <c r="I723" s="6" t="inlineStr">
        <is>
          <t>Genel müdür bir slaydının fotoğrafını çekti. Terfin aynı gün e-postayla geldi.</t>
        </is>
      </c>
      <c r="J723" s="6" t="inlineStr">
        <is>
          <t>Sunumun ortasında slayt dondu. Sen de dondun. İkiniz birlikte çözüldünüz; çok geç.</t>
        </is>
      </c>
      <c r="K723" s="6" t="inlineStr">
        <is>
          <t>Sunum yerine tatil fotoğraflarını açtın. Yönetim kurulu yirmi dokuz fotoğraf izledi. Hepsini.</t>
        </is>
      </c>
      <c r="L723" s="6" t="inlineStr">
        <is>
          <t>Sesin iki kez titredi ama rakamlar sağlamdı. Karar 'bir sonraki çeyreğe' ertelendi.</t>
        </is>
      </c>
      <c r="M723" s="5" t="inlineStr">
        <is>
          <t>duel</t>
        </is>
      </c>
      <c r="N723" s="5" t="inlineStr">
        <is>
          <t>Sunum Düellosu</t>
        </is>
      </c>
      <c r="O723" s="6" t="inlineStr">
        <is>
          <t>Karşındakinin sabrı bitmeden en iyi cevabı seç.</t>
        </is>
      </c>
      <c r="P723" s="6" t="inlineStr">
        <is>
          <t>{"who": "Yönetici", "rounds": [{"q": "Rakamlarınız nerede?", "o": [{"t": "Slayt üçte, özetle: yüzde on iki artış.", "s": 1}, {"t": "Bir bakayım, birazdan bulurum.", "s": 0.4}, {"t": "Rakamlar kalbimizde.", "s": 0.15}]}, {"q": "Rakibiniz daha tecrübeli, ne diyorsunuz?", "o": [{"t": "Tecrübeye saygı duyarım; sonuçlarım ortada.", "s": 1}, {"t": "Doğru, ben de aynısını düşünüyordum.", "s": 0.3}, {"t": "O öğle yemeklerinde çok iyi.", "s": 0.15}]}, {"q": "Son söz sizin.", "o": [{"t": "Üç hedef, bir takvim, bir sorumlu: ben.", "s": 1}, {"t": "Teşekkürler, çok güzel bir toplantıydı.", "s": 0.5}, {"t": "Slaytları e-postayla yollarım.", "s": 0.35}]}]}</t>
        </is>
      </c>
      <c r="Q723" s="5" t="inlineStr"/>
      <c r="R723" s="5" t="inlineStr"/>
      <c r="S723" s="5" t="inlineStr"/>
      <c r="T723" s="5" t="inlineStr"/>
      <c r="U723" s="5" t="inlineStr"/>
      <c r="V723" s="5" t="inlineStr">
        <is>
          <t>beyazyaka-terfi-aldi</t>
        </is>
      </c>
      <c r="W723" s="5" t="inlineStr"/>
      <c r="X723" s="5" t="inlineStr"/>
      <c r="Y723" s="5" t="inlineStr"/>
      <c r="Z723" s="6" t="inlineStr"/>
      <c r="AA723" s="5" t="inlineStr"/>
      <c r="AB723" s="5" t="inlineStr"/>
      <c r="AC723" s="5" t="inlineStr"/>
      <c r="AD723" s="5" t="inlineStr"/>
      <c r="AE723" s="5" t="inlineStr"/>
      <c r="AF723" s="5" t="inlineStr"/>
      <c r="AG723" s="5" t="inlineStr"/>
      <c r="AH723" s="5" t="inlineStr"/>
      <c r="AI723" s="5" t="inlineStr"/>
      <c r="AJ723" s="5" t="inlineStr"/>
    </row>
    <row r="724">
      <c r="A724" s="5" t="inlineStr">
        <is>
          <t>mb-terfi-yarisi</t>
        </is>
      </c>
      <c r="B724" s="5" t="n">
        <v>2</v>
      </c>
      <c r="C724" s="6" t="inlineStr">
        <is>
          <t>Öğle yemeği masasına sen de otur</t>
        </is>
      </c>
      <c r="D724" s="5" t="inlineStr">
        <is>
          <t>Sosyal Radar</t>
        </is>
      </c>
      <c r="E724" s="5" t="inlineStr">
        <is>
          <t>Orta</t>
        </is>
      </c>
      <c r="F724" s="5" t="inlineStr"/>
      <c r="G724" s="6" t="inlineStr"/>
      <c r="H724" s="6" t="inlineStr">
        <is>
          <t>Üç hafta yöneticinin yemek düzenine uydun. Terfin mercimek çorbası üstünde onaylandı.</t>
        </is>
      </c>
      <c r="I724" s="6" t="inlineStr">
        <is>
          <t>Yöneticiyle aynı tatlıyı sevdiğinizi keşfettiniz. Terfi ve tatlı tarifi aynı gün geldi.</t>
        </is>
      </c>
      <c r="J724" s="6" t="inlineStr">
        <is>
          <t>Masaya oturdun; yöneticin diyete girdi ve öğle yemeğini bıraktı.</t>
        </is>
      </c>
      <c r="K724" s="6" t="inlineStr">
        <is>
          <t>Masaya oturdun, çatalın rakibinin köftesine gitti; herkesin gözü önünde. O günden beri yemekhanede sana “Köfte” diyorlar. Terfiyi rakibin aldı.</t>
        </is>
      </c>
      <c r="L724" s="6" t="inlineStr"/>
      <c r="M724" s="5" t="inlineStr"/>
      <c r="N724" s="5" t="inlineStr"/>
      <c r="O724" s="6" t="inlineStr"/>
      <c r="P724" s="6" t="inlineStr"/>
      <c r="Q724" s="5" t="inlineStr"/>
      <c r="R724" s="5" t="inlineStr"/>
      <c r="S724" s="5" t="inlineStr"/>
      <c r="T724" s="5" t="inlineStr"/>
      <c r="U724" s="5" t="inlineStr"/>
      <c r="V724" s="5" t="inlineStr">
        <is>
          <t>beyazyaka-terfi-aldi</t>
        </is>
      </c>
      <c r="W724" s="5" t="inlineStr"/>
      <c r="X724" s="5" t="inlineStr"/>
      <c r="Y724" s="5" t="inlineStr"/>
      <c r="Z724" s="6" t="inlineStr"/>
      <c r="AA724" s="5" t="inlineStr"/>
      <c r="AB724" s="5" t="inlineStr"/>
      <c r="AC724" s="5" t="inlineStr"/>
      <c r="AD724" s="5" t="inlineStr"/>
      <c r="AE724" s="5" t="inlineStr"/>
      <c r="AF724" s="5" t="inlineStr"/>
      <c r="AG724" s="5" t="inlineStr"/>
      <c r="AH724" s="5" t="inlineStr"/>
      <c r="AI724" s="5" t="inlineStr">
        <is>
          <t>Köfte</t>
        </is>
      </c>
      <c r="AJ724" s="5" t="inlineStr"/>
    </row>
    <row r="725">
      <c r="A725" s="5" t="inlineStr">
        <is>
          <t>mb-terfi-yarisi</t>
        </is>
      </c>
      <c r="B725" s="5" t="n">
        <v>3</v>
      </c>
      <c r="C725" s="6" t="inlineStr">
        <is>
          <t>Ekip adına proje planı hazırla</t>
        </is>
      </c>
      <c r="D725" s="5" t="inlineStr">
        <is>
          <t>Akıl</t>
        </is>
      </c>
      <c r="E725" s="5" t="inlineStr">
        <is>
          <t>Kolay</t>
        </is>
      </c>
      <c r="F725" s="5" t="inlineStr"/>
      <c r="G725" s="6" t="inlineStr"/>
      <c r="H725" s="6" t="inlineStr">
        <is>
          <t>Planın o kadar düzenliydi ki yönetim, ekibi zaten senin yönettiğini düşündü. Unvan geldi.</t>
        </is>
      </c>
      <c r="I725" s="6" t="inlineStr">
        <is>
          <t>Genel müdür planı bütün şirkete “Böyle yapılır” diye iletti. Terfin geldi. Rakibin e-postayı “Ellerine sağlık” diye herkese yanıtladı; dişlerini sıkarak yazdığı belliydi.</t>
        </is>
      </c>
      <c r="J725" s="6" t="inlineStr">
        <is>
          <t>Plan harikaydı. Rakibin onu yönetime 'bizim plan' diye sundu.</t>
        </is>
      </c>
      <c r="K725" s="6" t="inlineStr">
        <is>
          <t>Planı hazırladın, e-postayı rakibine gönderdin. Terfi, planla birlikte ona geçti.</t>
        </is>
      </c>
      <c r="L725" s="6" t="inlineStr"/>
      <c r="M725" s="5" t="inlineStr"/>
      <c r="N725" s="5" t="inlineStr"/>
      <c r="O725" s="6" t="inlineStr"/>
      <c r="P725" s="6" t="inlineStr"/>
      <c r="Q725" s="5" t="inlineStr">
        <is>
          <t>Kuralı Koyan</t>
        </is>
      </c>
      <c r="R725" s="5" t="inlineStr"/>
      <c r="S725" s="5" t="inlineStr"/>
      <c r="T725" s="5" t="inlineStr"/>
      <c r="U725" s="5" t="inlineStr"/>
      <c r="V725" s="5" t="inlineStr">
        <is>
          <t>beyazyaka-terfi-aldi</t>
        </is>
      </c>
      <c r="W725" s="5" t="inlineStr"/>
      <c r="X725" s="5" t="inlineStr"/>
      <c r="Y725" s="5" t="inlineStr"/>
      <c r="Z725" s="6" t="inlineStr"/>
      <c r="AA725" s="5" t="inlineStr"/>
      <c r="AB725" s="5" t="inlineStr"/>
      <c r="AC725" s="5" t="inlineStr"/>
      <c r="AD725" s="5" t="inlineStr"/>
      <c r="AE725" s="5" t="inlineStr"/>
      <c r="AF725" s="5" t="inlineStr"/>
      <c r="AG725" s="5" t="inlineStr"/>
      <c r="AH725" s="5" t="inlineStr"/>
      <c r="AI725" s="5" t="inlineStr"/>
      <c r="AJ725" s="5" t="inlineStr"/>
    </row>
    <row r="726">
      <c r="A726" s="5" t="inlineStr">
        <is>
          <t>mb-terfi-yarisi</t>
        </is>
      </c>
      <c r="B726" s="5" t="n">
        <v>4</v>
      </c>
      <c r="C726" s="6" t="inlineStr">
        <is>
          <t>Rakibini tebrik et, çekil</t>
        </is>
      </c>
      <c r="D726" s="5" t="inlineStr"/>
      <c r="E726" s="5" t="inlineStr"/>
      <c r="F726" s="5" t="inlineStr">
        <is>
          <t>İtibar +1</t>
        </is>
      </c>
      <c r="G726" s="6" t="inlineStr">
        <is>
          <t>Rakibin terfi etti, sen ona pasta aldın. Artık o senin yöneticin; pasta faturası sende.</t>
        </is>
      </c>
      <c r="H726" s="6" t="inlineStr"/>
      <c r="I726" s="6" t="inlineStr"/>
      <c r="J726" s="6" t="inlineStr"/>
      <c r="K726" s="6" t="inlineStr"/>
      <c r="L726" s="6" t="inlineStr"/>
      <c r="M726" s="5" t="inlineStr"/>
      <c r="N726" s="5" t="inlineStr"/>
      <c r="O726" s="6" t="inlineStr"/>
      <c r="P726" s="6" t="inlineStr"/>
      <c r="Q726" s="5" t="inlineStr"/>
      <c r="R726" s="5" t="inlineStr"/>
      <c r="S726" s="5" t="inlineStr"/>
      <c r="T726" s="5" t="inlineStr"/>
      <c r="U726" s="5" t="inlineStr"/>
      <c r="V726" s="5" t="inlineStr"/>
      <c r="W726" s="5" t="inlineStr"/>
      <c r="X726" s="5" t="inlineStr"/>
      <c r="Y726" s="5" t="inlineStr"/>
      <c r="Z726" s="6" t="inlineStr"/>
      <c r="AA726" s="5" t="inlineStr"/>
      <c r="AB726" s="5" t="inlineStr"/>
      <c r="AC726" s="5" t="inlineStr"/>
      <c r="AD726" s="5" t="inlineStr"/>
      <c r="AE726" s="5" t="inlineStr"/>
      <c r="AF726" s="5" t="inlineStr"/>
      <c r="AG726" s="5" t="inlineStr"/>
      <c r="AH726" s="5" t="inlineStr"/>
      <c r="AI726" s="5" t="inlineStr"/>
      <c r="AJ726" s="5" t="inlineStr"/>
    </row>
    <row r="727">
      <c r="A727" s="5" t="inlineStr">
        <is>
          <t>mm-lojman-kurasi</t>
        </is>
      </c>
      <c r="B727" s="5" t="n">
        <v>1</v>
      </c>
      <c r="C727" s="6" t="inlineStr">
        <is>
          <t>Kuraya gir</t>
        </is>
      </c>
      <c r="D727" s="5" t="inlineStr">
        <is>
          <t>Dayanıklılık</t>
        </is>
      </c>
      <c r="E727" s="5" t="inlineStr">
        <is>
          <t>Orta</t>
        </is>
      </c>
      <c r="F727" s="5" t="inlineStr"/>
      <c r="G727" s="6" t="inlineStr"/>
      <c r="H727" s="6" t="inlineStr">
        <is>
          <t>Daire çıktı. Kalorifer yok; ilk kış annen üç battaniye ve bir elektrikli soba getirdi: “Devlet ısıtmıyorsa ana ısıtır.”</t>
        </is>
      </c>
      <c r="I727" s="6" t="inlineStr">
        <is>
          <t>En iyi daire çıktı. Duvarlar kalın, müdür uzak, kalorifer çalışıyor. Kıskançlık da.</t>
        </is>
      </c>
      <c r="J727" s="6" t="inlineStr">
        <is>
          <t>Yedek listedesin. Yedek listedekiler, yedek listenin yedeğini bekliyor.</t>
        </is>
      </c>
      <c r="K727" s="6" t="inlineStr">
        <is>
          <t>Müdürün alt katı çıktı. Evde terlikle yürümek kurum içi yazıyla düzenlendi.</t>
        </is>
      </c>
      <c r="L727" s="6" t="inlineStr"/>
      <c r="M727" s="5" t="inlineStr"/>
      <c r="N727" s="5" t="inlineStr"/>
      <c r="O727" s="6" t="inlineStr"/>
      <c r="P727" s="6" t="inlineStr"/>
      <c r="Q727" s="5" t="inlineStr"/>
      <c r="R727" s="5" t="inlineStr"/>
      <c r="S727" s="5" t="inlineStr"/>
      <c r="T727" s="5" t="inlineStr"/>
      <c r="U727" s="5" t="inlineStr"/>
      <c r="V727" s="5" t="inlineStr"/>
      <c r="W727" s="5" t="inlineStr"/>
      <c r="X727" s="5" t="inlineStr"/>
      <c r="Y727" s="5" t="inlineStr"/>
      <c r="Z727" s="6" t="inlineStr"/>
      <c r="AA727" s="5" t="inlineStr"/>
      <c r="AB727" s="5" t="inlineStr"/>
      <c r="AC727" s="5" t="inlineStr"/>
      <c r="AD727" s="5" t="inlineStr"/>
      <c r="AE727" s="5" t="inlineStr"/>
      <c r="AF727" s="5" t="inlineStr"/>
      <c r="AG727" s="5" t="inlineStr"/>
      <c r="AH727" s="5" t="inlineStr"/>
      <c r="AI727" s="5" t="inlineStr"/>
      <c r="AJ727" s="5" t="inlineStr"/>
    </row>
    <row r="728">
      <c r="A728" s="5" t="inlineStr">
        <is>
          <t>mm-lojman-kurasi</t>
        </is>
      </c>
      <c r="B728" s="5" t="n">
        <v>2</v>
      </c>
      <c r="C728" s="6" t="inlineStr">
        <is>
          <t>Evli olduğunu belirt</t>
        </is>
      </c>
      <c r="D728" s="5" t="inlineStr">
        <is>
          <t>Çene</t>
        </is>
      </c>
      <c r="E728" s="5" t="inlineStr">
        <is>
          <t>Kolay</t>
        </is>
      </c>
      <c r="F728" s="5" t="inlineStr"/>
      <c r="G728" s="6" t="inlineStr"/>
      <c r="H728" s="6" t="inlineStr">
        <is>
          <t>Aile puanın yükseldi, daire çıktı. Evliliğin ilk resmî getirisi.</t>
        </is>
      </c>
      <c r="I728" s="6" t="inlineStr">
        <is>
          <t>Kaloriferli, balkonlu, müdürden uzak bir daire çıktı. Nikâh şahitlerine teşekkür mesajı attın.</t>
        </is>
      </c>
      <c r="J728" s="6" t="inlineStr">
        <is>
          <t>Başvuranların otuz dokuzu da evliymiş. Puanlar eşitlendi, kura yine kura.</t>
        </is>
      </c>
      <c r="K728" s="6" t="inlineStr">
        <is>
          <t>Evlilik cüzdanının aslını istediler. Cüzdan, taşınmadaki kolilerden birinde. Hangisinde, bilinmiyor.</t>
        </is>
      </c>
      <c r="L728" s="6" t="inlineStr"/>
      <c r="M728" s="5" t="inlineStr"/>
      <c r="N728" s="5" t="inlineStr"/>
      <c r="O728" s="6" t="inlineStr"/>
      <c r="P728" s="6" t="inlineStr"/>
      <c r="Q728" s="5" t="inlineStr"/>
      <c r="R728" s="5" t="inlineStr">
        <is>
          <t>evli</t>
        </is>
      </c>
      <c r="S728" s="5" t="inlineStr"/>
      <c r="T728" s="5" t="inlineStr"/>
      <c r="U728" s="5" t="inlineStr"/>
      <c r="V728" s="5" t="inlineStr"/>
      <c r="W728" s="5" t="inlineStr"/>
      <c r="X728" s="5" t="inlineStr"/>
      <c r="Y728" s="5" t="inlineStr"/>
      <c r="Z728" s="6" t="inlineStr"/>
      <c r="AA728" s="5" t="inlineStr"/>
      <c r="AB728" s="5" t="inlineStr"/>
      <c r="AC728" s="5" t="inlineStr"/>
      <c r="AD728" s="5" t="inlineStr"/>
      <c r="AE728" s="5" t="inlineStr"/>
      <c r="AF728" s="5" t="inlineStr"/>
      <c r="AG728" s="5" t="inlineStr"/>
      <c r="AH728" s="5" t="inlineStr"/>
      <c r="AI728" s="5" t="inlineStr"/>
      <c r="AJ728" s="5" t="inlineStr"/>
    </row>
    <row r="729">
      <c r="A729" s="5" t="inlineStr">
        <is>
          <t>mm-lojman-kurasi</t>
        </is>
      </c>
      <c r="B729" s="5" t="n">
        <v>3</v>
      </c>
      <c r="C729" s="6" t="inlineStr">
        <is>
          <t>Dilekçeye “Bebek yolda” diye ekle</t>
        </is>
      </c>
      <c r="D729" s="5" t="inlineStr">
        <is>
          <t>İtibar</t>
        </is>
      </c>
      <c r="E729" s="5" t="inlineStr">
        <is>
          <t>Orta</t>
        </is>
      </c>
      <c r="F729" s="5" t="inlineStr"/>
      <c r="G729" s="6" t="inlineStr"/>
      <c r="H729" s="6" t="inlineStr">
        <is>
          <t>Aile puanına daha doğmamış biri eklendi. Kaloriferli bir daire çıktı; bebek odası evin en sıcak odası.</t>
        </is>
      </c>
      <c r="I729" s="6" t="inlineStr">
        <is>
          <t>Dilekçeye ultrason fotoğrafını iliştirdin. Komisyondaki üç kişi fotoğrafı elden ele dolaştırdı; zemin kat, güneş alan, müdürden uzak daire senin. Bebek arabası asansör beklemeyecek.</t>
        </is>
      </c>
      <c r="J729" s="6" t="inlineStr">
        <is>
          <t>Komisyon “Doğunca nüfus kaydıyla gelin” dedi. Bebek doğdu, kayıt çıktı; kura çoktan çekilmişti.</t>
        </is>
      </c>
      <c r="K729" s="6" t="inlineStr">
        <is>
          <t>Müdürün alt katı çıktı. Bebek gece üçte ağladı; üç buçukta müdürün terlikleri tavanda volta atmaya başladı. Sabah müdür kapıda seni bekliyordu, gözleri kıpkırmızı: “Gece mesaisi mi vardı?”</t>
        </is>
      </c>
      <c r="L729" s="6" t="inlineStr"/>
      <c r="M729" s="5" t="inlineStr"/>
      <c r="N729" s="5" t="inlineStr"/>
      <c r="O729" s="6" t="inlineStr"/>
      <c r="P729" s="6" t="inlineStr"/>
      <c r="Q729" s="5" t="inlineStr"/>
      <c r="R729" s="5" t="inlineStr">
        <is>
          <t>cocuklu</t>
        </is>
      </c>
      <c r="S729" s="5" t="inlineStr"/>
      <c r="T729" s="5" t="inlineStr"/>
      <c r="U729" s="5" t="inlineStr"/>
      <c r="V729" s="5" t="inlineStr"/>
      <c r="W729" s="5" t="inlineStr"/>
      <c r="X729" s="5" t="inlineStr"/>
      <c r="Y729" s="5" t="inlineStr"/>
      <c r="Z729" s="6" t="inlineStr"/>
      <c r="AA729" s="5" t="inlineStr"/>
      <c r="AB729" s="5" t="inlineStr"/>
      <c r="AC729" s="5" t="inlineStr"/>
      <c r="AD729" s="5" t="inlineStr"/>
      <c r="AE729" s="5" t="inlineStr"/>
      <c r="AF729" s="5" t="inlineStr"/>
      <c r="AG729" s="5" t="inlineStr"/>
      <c r="AH729" s="5" t="inlineStr"/>
      <c r="AI729" s="5" t="inlineStr"/>
      <c r="AJ729" s="5" t="inlineStr"/>
    </row>
    <row r="730">
      <c r="A730" s="5" t="inlineStr">
        <is>
          <t>mm-lojman-kurasi</t>
        </is>
      </c>
      <c r="B730" s="5" t="n">
        <v>4</v>
      </c>
      <c r="C730" s="6" t="inlineStr">
        <is>
          <t>Kirada kal</t>
        </is>
      </c>
      <c r="D730" s="5" t="inlineStr"/>
      <c r="E730" s="5" t="inlineStr"/>
      <c r="F730" s="5" t="inlineStr">
        <is>
          <t>İtibar +1</t>
        </is>
      </c>
      <c r="G730" s="6" t="inlineStr">
        <is>
          <t>Lojmandan vazgeçtin. Kira artışı yine geldi ama en azından üst katta müdür yok.</t>
        </is>
      </c>
      <c r="H730" s="6" t="inlineStr"/>
      <c r="I730" s="6" t="inlineStr"/>
      <c r="J730" s="6" t="inlineStr"/>
      <c r="K730" s="6" t="inlineStr"/>
      <c r="L730" s="6" t="inlineStr"/>
      <c r="M730" s="5" t="inlineStr"/>
      <c r="N730" s="5" t="inlineStr"/>
      <c r="O730" s="6" t="inlineStr"/>
      <c r="P730" s="6" t="inlineStr"/>
      <c r="Q730" s="5" t="inlineStr"/>
      <c r="R730" s="5" t="inlineStr"/>
      <c r="S730" s="5" t="inlineStr"/>
      <c r="T730" s="5" t="inlineStr"/>
      <c r="U730" s="5" t="inlineStr"/>
      <c r="V730" s="5" t="inlineStr"/>
      <c r="W730" s="5" t="inlineStr"/>
      <c r="X730" s="5" t="inlineStr"/>
      <c r="Y730" s="5" t="inlineStr"/>
      <c r="Z730" s="6" t="inlineStr"/>
      <c r="AA730" s="5" t="inlineStr"/>
      <c r="AB730" s="5" t="inlineStr"/>
      <c r="AC730" s="5" t="inlineStr"/>
      <c r="AD730" s="5" t="inlineStr"/>
      <c r="AE730" s="5" t="inlineStr"/>
      <c r="AF730" s="5" t="inlineStr"/>
      <c r="AG730" s="5" t="inlineStr"/>
      <c r="AH730" s="5" t="inlineStr"/>
      <c r="AI730" s="5" t="inlineStr"/>
      <c r="AJ730" s="5" t="inlineStr"/>
    </row>
    <row r="731">
      <c r="A731" s="5" t="inlineStr">
        <is>
          <t>b7-bayram-rotasi</t>
        </is>
      </c>
      <c r="B731" s="5" t="n">
        <v>1</v>
      </c>
      <c r="C731" s="6" t="inlineStr">
        <is>
          <t>Bu yıl eşinin ailesine git</t>
        </is>
      </c>
      <c r="D731" s="5" t="inlineStr"/>
      <c r="E731" s="5" t="inlineStr"/>
      <c r="F731" s="5" t="inlineStr">
        <is>
          <t>Gönül +1</t>
        </is>
      </c>
      <c r="G731" s="6" t="inlineStr">
        <is>
          <t>Eşinin ailesine gittiniz. Senin ailen telefonda 'Önemli değil' dedi. Önemliydi.</t>
        </is>
      </c>
      <c r="H731" s="6" t="inlineStr"/>
      <c r="I731" s="6" t="inlineStr"/>
      <c r="J731" s="6" t="inlineStr"/>
      <c r="K731" s="6" t="inlineStr"/>
      <c r="L731" s="6" t="inlineStr"/>
      <c r="M731" s="5" t="inlineStr"/>
      <c r="N731" s="5" t="inlineStr"/>
      <c r="O731" s="6" t="inlineStr"/>
      <c r="P731" s="6" t="inlineStr"/>
      <c r="Q731" s="5" t="inlineStr"/>
      <c r="R731" s="5" t="inlineStr"/>
      <c r="S731" s="5" t="inlineStr"/>
      <c r="T731" s="5" t="inlineStr"/>
      <c r="U731" s="5" t="inlineStr"/>
      <c r="V731" s="5" t="inlineStr"/>
      <c r="W731" s="5" t="inlineStr"/>
      <c r="X731" s="5" t="inlineStr"/>
      <c r="Y731" s="5" t="inlineStr"/>
      <c r="Z731" s="6" t="inlineStr"/>
      <c r="AA731" s="5" t="inlineStr"/>
      <c r="AB731" s="5" t="inlineStr"/>
      <c r="AC731" s="5" t="inlineStr"/>
      <c r="AD731" s="5" t="inlineStr"/>
      <c r="AE731" s="5" t="inlineStr"/>
      <c r="AF731" s="5" t="inlineStr"/>
      <c r="AG731" s="5" t="inlineStr"/>
      <c r="AH731" s="5" t="inlineStr"/>
      <c r="AI731" s="5" t="inlineStr"/>
      <c r="AJ731" s="5" t="inlineStr"/>
    </row>
    <row r="732">
      <c r="A732" s="5" t="inlineStr">
        <is>
          <t>b7-bayram-rotasi</t>
        </is>
      </c>
      <c r="B732" s="5" t="n">
        <v>2</v>
      </c>
      <c r="C732" s="6" t="inlineStr">
        <is>
          <t>İki aileyi aynı bayramda gez</t>
        </is>
      </c>
      <c r="D732" s="5" t="inlineStr">
        <is>
          <t>Dayanıklılık</t>
        </is>
      </c>
      <c r="E732" s="5" t="inlineStr">
        <is>
          <t>Zor</t>
        </is>
      </c>
      <c r="F732" s="5" t="inlineStr"/>
      <c r="G732" s="6" t="inlineStr"/>
      <c r="H732" s="6" t="inlineStr">
        <is>
          <t>Dört günde iki şehir, dokuz ev, on bir sofra. Yeğenlere dağıttığın harçlık, bir zamanlar topladığından fazlaydı. Başardın.</t>
        </is>
      </c>
      <c r="I732" s="6" t="inlineStr">
        <is>
          <t>Rotayı öyle kurdun ki iki anne de “Bizde daha çok kaldılar” diye düşündü. Dönüşte bagaja iki taraftan da tam on ikişer kavanoz kondu. Saydın.</t>
        </is>
      </c>
      <c r="J732" s="6" t="inlineStr">
        <is>
          <t>Yolda trafiğe takıldın. Bayramın ikinci günü arabada, annenin yola koyduğu börekle geçti. Yeğenlere harçlığı görüntülü aramada söz verdin; ekrandan el öptüler.</t>
        </is>
      </c>
      <c r="K732" s="6" t="inlineStr">
        <is>
          <t>Rotanın ortasında iki anne de aynı saatte “Sofra hazır, neredesiniz?” yazdı. İkisine de “Yoldayız” dedin. İkisi de konum istedi.</t>
        </is>
      </c>
      <c r="L732" s="6" t="inlineStr"/>
      <c r="M732" s="5" t="inlineStr"/>
      <c r="N732" s="5" t="inlineStr"/>
      <c r="O732" s="6" t="inlineStr"/>
      <c r="P732" s="6" t="inlineStr"/>
      <c r="Q732" s="5" t="inlineStr"/>
      <c r="R732" s="5" t="inlineStr"/>
      <c r="S732" s="5" t="inlineStr"/>
      <c r="T732" s="5" t="inlineStr"/>
      <c r="U732" s="5" t="inlineStr"/>
      <c r="V732" s="5" t="inlineStr"/>
      <c r="W732" s="5" t="inlineStr"/>
      <c r="X732" s="5" t="inlineStr"/>
      <c r="Y732" s="5" t="inlineStr"/>
      <c r="Z732" s="6" t="inlineStr"/>
      <c r="AA732" s="5" t="inlineStr"/>
      <c r="AB732" s="5" t="inlineStr"/>
      <c r="AC732" s="5" t="inlineStr"/>
      <c r="AD732" s="5" t="inlineStr"/>
      <c r="AE732" s="5" t="inlineStr"/>
      <c r="AF732" s="5" t="inlineStr"/>
      <c r="AG732" s="5" t="inlineStr"/>
      <c r="AH732" s="5" t="inlineStr"/>
      <c r="AI732" s="5" t="inlineStr"/>
      <c r="AJ732" s="5" t="inlineStr"/>
    </row>
    <row r="733">
      <c r="A733" s="5" t="inlineStr">
        <is>
          <t>b7-bayram-rotasi</t>
        </is>
      </c>
      <c r="B733" s="5" t="n">
        <v>3</v>
      </c>
      <c r="C733" s="6" t="inlineStr">
        <is>
          <t>İki aileyi aynı sofrada buluştur</t>
        </is>
      </c>
      <c r="D733" s="5" t="inlineStr">
        <is>
          <t>Sosyal Radar</t>
        </is>
      </c>
      <c r="E733" s="5" t="inlineStr">
        <is>
          <t>Orta</t>
        </is>
      </c>
      <c r="F733" s="5" t="inlineStr"/>
      <c r="G733" s="6" t="inlineStr"/>
      <c r="H733" s="6" t="inlineStr">
        <is>
          <t>İki aile tanıştı, güldü, yemekler karşılaştırıldı. İki taraf da kendi dolmasının kazandığını düşünüyor.</t>
        </is>
      </c>
      <c r="I733" s="6" t="inlineStr">
        <is>
          <t>Sofra o kadar iyi geçti ki iki aile birlikte tatil planı yaptı. Sizi davet etmediler.</t>
        </is>
      </c>
      <c r="J733" s="6" t="inlineStr">
        <is>
          <t>Sofrada kimin baklavasının daha iyi olduğu tartışıldı. Karar çıkmadı, baklava bitti.</t>
        </is>
      </c>
      <c r="K733" s="6" t="inlineStr">
        <is>
          <t>İki anne de sofraya dolma getirdi. Eşin gülerek “Hangisi daha güzel?” diye sordu; sen dürüstçe cevap verdin. Sofra buz kesti, bayramın kalanı iki ayrı odada geçti.</t>
        </is>
      </c>
      <c r="L733" s="6" t="inlineStr"/>
      <c r="M733" s="5" t="inlineStr"/>
      <c r="N733" s="5" t="inlineStr"/>
      <c r="O733" s="6" t="inlineStr"/>
      <c r="P733" s="6" t="inlineStr"/>
      <c r="Q733" s="5" t="inlineStr">
        <is>
          <t>Kayınvalide Diplomatı</t>
        </is>
      </c>
      <c r="R733" s="5" t="inlineStr"/>
      <c r="S733" s="5" t="inlineStr"/>
      <c r="T733" s="5" t="inlineStr"/>
      <c r="U733" s="5" t="inlineStr"/>
      <c r="V733" s="5" t="inlineStr"/>
      <c r="W733" s="5" t="inlineStr"/>
      <c r="X733" s="5" t="inlineStr"/>
      <c r="Y733" s="5" t="inlineStr"/>
      <c r="Z733" s="6" t="inlineStr"/>
      <c r="AA733" s="5" t="inlineStr"/>
      <c r="AB733" s="5" t="inlineStr"/>
      <c r="AC733" s="5" t="inlineStr"/>
      <c r="AD733" s="5" t="inlineStr"/>
      <c r="AE733" s="5" t="inlineStr"/>
      <c r="AF733" s="5" t="inlineStr"/>
      <c r="AG733" s="5" t="inlineStr"/>
      <c r="AH733" s="5" t="inlineStr"/>
      <c r="AI733" s="5" t="inlineStr"/>
      <c r="AJ733" s="5" t="inlineStr"/>
    </row>
    <row r="734">
      <c r="A734" s="5" t="inlineStr">
        <is>
          <t>b7-bayram-rotasi</t>
        </is>
      </c>
      <c r="B734" s="5" t="n">
        <v>4</v>
      </c>
      <c r="C734" s="6" t="inlineStr">
        <is>
          <t>'Arabamızla ortada buluşalım' diye öner</t>
        </is>
      </c>
      <c r="D734" s="5" t="inlineStr">
        <is>
          <t>Kurnazlık</t>
        </is>
      </c>
      <c r="E734" s="5" t="inlineStr">
        <is>
          <t>Kolay</t>
        </is>
      </c>
      <c r="F734" s="5" t="inlineStr"/>
      <c r="G734" s="6" t="inlineStr"/>
      <c r="H734" s="6" t="inlineStr">
        <is>
          <t>Yol üstündeki dinlenme tesisinde iki aileyle ayrı ayrı çay içtiniz. Tarafsız bölge işe yaradı.</t>
        </is>
      </c>
      <c r="I734" s="6" t="inlineStr">
        <is>
          <t>Dinlenme tesisinde bayramlaştınız, üç saatte eve döndünüz. Bu model bütün akrabalara ilham oldu.</t>
        </is>
      </c>
      <c r="J734" s="6" t="inlineStr">
        <is>
          <t>Tesis bayram kalabalığıydı. Aileleri bulana kadar çaylar soğudu.</t>
        </is>
      </c>
      <c r="K734" s="6" t="inlineStr">
        <is>
          <t>Arabanın aküsü tesiste bitti. İki aile birlikte seni itti. Barış böyle geldi.</t>
        </is>
      </c>
      <c r="L734" s="6" t="inlineStr"/>
      <c r="M734" s="5" t="inlineStr"/>
      <c r="N734" s="5" t="inlineStr"/>
      <c r="O734" s="6" t="inlineStr"/>
      <c r="P734" s="6" t="inlineStr"/>
      <c r="Q734" s="5" t="inlineStr"/>
      <c r="R734" s="5" t="inlineStr">
        <is>
          <t>arabali</t>
        </is>
      </c>
      <c r="S734" s="5" t="inlineStr"/>
      <c r="T734" s="5" t="inlineStr"/>
      <c r="U734" s="5" t="inlineStr"/>
      <c r="V734" s="5" t="inlineStr"/>
      <c r="W734" s="5" t="inlineStr"/>
      <c r="X734" s="5" t="inlineStr"/>
      <c r="Y734" s="5" t="inlineStr"/>
      <c r="Z734" s="6" t="inlineStr"/>
      <c r="AA734" s="5" t="inlineStr"/>
      <c r="AB734" s="5" t="inlineStr"/>
      <c r="AC734" s="5" t="inlineStr"/>
      <c r="AD734" s="5" t="inlineStr"/>
      <c r="AE734" s="5" t="inlineStr"/>
      <c r="AF734" s="5" t="inlineStr"/>
      <c r="AG734" s="5" t="inlineStr"/>
      <c r="AH734" s="5" t="inlineStr"/>
      <c r="AI734" s="5" t="inlineStr"/>
      <c r="AJ734" s="5" t="inlineStr"/>
    </row>
    <row r="735">
      <c r="A735" s="5" t="inlineStr">
        <is>
          <t>b7-uykusuz-geceler</t>
        </is>
      </c>
      <c r="B735" s="5" t="n">
        <v>1</v>
      </c>
      <c r="C735" s="6" t="inlineStr">
        <is>
          <t>Kucağına al, nefesini eşle, uyut</t>
        </is>
      </c>
      <c r="D735" s="5" t="inlineStr">
        <is>
          <t>Dayanıklılık</t>
        </is>
      </c>
      <c r="E735" s="5" t="inlineStr">
        <is>
          <t>Zor</t>
        </is>
      </c>
      <c r="F735" s="5" t="inlineStr"/>
      <c r="G735" s="6" t="inlineStr"/>
      <c r="H735" s="6" t="inlineStr">
        <is>
          <t>Nefesiniz aynı ritme girdi. Bebek uyudu. Sen de ayakta, kapıya yaslanarak.</t>
        </is>
      </c>
      <c r="I735" s="6" t="inlineStr">
        <is>
          <t>Bebek on dakikada uyudu ve sabaha kadar uyanmadı. Annene anlattın, inanmadı; “Nazar değmesin” deyip beşiğe bir boncuk iliştirdi.</t>
        </is>
      </c>
      <c r="J735" s="6" t="inlineStr">
        <is>
          <t>Bebek uyudu. Beşiğe koyduğun an gözlerini açtı ve sana baktı; “Bu kadar mı?” der gibi. Baştan.</t>
        </is>
      </c>
      <c r="K735" s="6" t="inlineStr">
        <is>
          <t>Bebeği uyuttun. Beşiğe yürürken oyuncak ördeğe bastın, ördek öttü. Bebek uyandı, eşin uyandı, alt komşu tavana süpürge sapıyla vurdu. Güneş doğarken üçünüz de hâlâ ayaktaydınız.</t>
        </is>
      </c>
      <c r="L735" s="6" t="inlineStr">
        <is>
          <t>Bebek yarım saat uyudu. Eşinle mutfakta ayakta, fısıltıyla birer çay içtiniz; kaşığı bardağa değdirmeden.</t>
        </is>
      </c>
      <c r="M735" s="5" t="inlineStr">
        <is>
          <t>simon</t>
        </is>
      </c>
      <c r="N735" s="5" t="inlineStr">
        <is>
          <t>Ninni Sırası</t>
        </is>
      </c>
      <c r="O735" s="6" t="inlineStr">
        <is>
          <t>Sırayı dinle, aynı sırayla tekrar et.</t>
        </is>
      </c>
      <c r="P735" s="6" t="inlineStr">
        <is>
          <t>{"items": ["🌙", "🍼", "🎵", "🧸"]}</t>
        </is>
      </c>
      <c r="Q735" s="5" t="inlineStr"/>
      <c r="R735" s="5" t="inlineStr"/>
      <c r="S735" s="5" t="inlineStr"/>
      <c r="T735" s="5" t="inlineStr">
        <is>
          <t>Gözüne Uyku Girmez</t>
        </is>
      </c>
      <c r="U735" s="5" t="inlineStr"/>
      <c r="V735" s="5" t="inlineStr"/>
      <c r="W735" s="5" t="inlineStr"/>
      <c r="X735" s="5" t="inlineStr"/>
      <c r="Y735" s="5" t="inlineStr"/>
      <c r="Z735" s="6" t="inlineStr"/>
      <c r="AA735" s="5" t="inlineStr"/>
      <c r="AB735" s="5" t="inlineStr"/>
      <c r="AC735" s="5" t="inlineStr"/>
      <c r="AD735" s="5" t="inlineStr"/>
      <c r="AE735" s="5" t="inlineStr"/>
      <c r="AF735" s="5" t="inlineStr"/>
      <c r="AG735" s="5" t="inlineStr"/>
      <c r="AH735" s="5" t="inlineStr"/>
      <c r="AI735" s="5" t="inlineStr"/>
      <c r="AJ735" s="5" t="inlineStr"/>
    </row>
    <row r="736">
      <c r="A736" s="5" t="inlineStr">
        <is>
          <t>b7-uykusuz-geceler</t>
        </is>
      </c>
      <c r="B736" s="5" t="n">
        <v>2</v>
      </c>
      <c r="C736" s="6" t="inlineStr">
        <is>
          <t>Nöbeti eşine devret</t>
        </is>
      </c>
      <c r="D736" s="5" t="inlineStr"/>
      <c r="E736" s="5" t="inlineStr"/>
      <c r="F736" s="5" t="inlineStr">
        <is>
          <t>Kurnazlık +1</t>
        </is>
      </c>
      <c r="G736" s="6" t="inlineStr">
        <is>
          <t>Eşini dürttün: “Sıra sende.” Tek kelime etmeden kalktı. On yıl sonra bir tartışmada bu gece, tarihiyle saatiyle önüne konacak.</t>
        </is>
      </c>
      <c r="H736" s="6" t="inlineStr"/>
      <c r="I736" s="6" t="inlineStr"/>
      <c r="J736" s="6" t="inlineStr"/>
      <c r="K736" s="6" t="inlineStr"/>
      <c r="L736" s="6" t="inlineStr"/>
      <c r="M736" s="5" t="inlineStr"/>
      <c r="N736" s="5" t="inlineStr"/>
      <c r="O736" s="6" t="inlineStr"/>
      <c r="P736" s="6" t="inlineStr"/>
      <c r="Q736" s="5" t="inlineStr"/>
      <c r="R736" s="5" t="inlineStr"/>
      <c r="S736" s="5" t="inlineStr"/>
      <c r="T736" s="5" t="inlineStr"/>
      <c r="U736" s="5" t="inlineStr"/>
      <c r="V736" s="5" t="inlineStr"/>
      <c r="W736" s="5" t="inlineStr"/>
      <c r="X736" s="5" t="inlineStr"/>
      <c r="Y736" s="5" t="inlineStr"/>
      <c r="Z736" s="6" t="inlineStr"/>
      <c r="AA736" s="5" t="inlineStr"/>
      <c r="AB736" s="5" t="inlineStr"/>
      <c r="AC736" s="5" t="inlineStr"/>
      <c r="AD736" s="5" t="inlineStr"/>
      <c r="AE736" s="5" t="inlineStr"/>
      <c r="AF736" s="5" t="inlineStr"/>
      <c r="AG736" s="5" t="inlineStr"/>
      <c r="AH736" s="5" t="inlineStr"/>
      <c r="AI736" s="5" t="inlineStr"/>
      <c r="AJ736" s="5" t="inlineStr"/>
    </row>
    <row r="737">
      <c r="A737" s="5" t="inlineStr">
        <is>
          <t>b7-uykusuz-geceler</t>
        </is>
      </c>
      <c r="B737" s="5" t="n">
        <v>3</v>
      </c>
      <c r="C737" s="6" t="inlineStr">
        <is>
          <t>Arabayla mahallede tur at</t>
        </is>
      </c>
      <c r="D737" s="5" t="inlineStr">
        <is>
          <t>Kurnazlık</t>
        </is>
      </c>
      <c r="E737" s="5" t="inlineStr">
        <is>
          <t>Kolay</t>
        </is>
      </c>
      <c r="F737" s="5" t="inlineStr"/>
      <c r="G737" s="6" t="inlineStr"/>
      <c r="H737" s="6" t="inlineStr">
        <is>
          <t>Motor sesi işe yaradı. Bebek uyudu. Sen de otoparkta, emniyet kemeri takılı.</t>
        </is>
      </c>
      <c r="I737" s="6" t="inlineStr">
        <is>
          <t>Üç tur sonra bebek uyudu ve eve geri taşırken uyanmadı. Bu gece senin adına yazıldı.</t>
        </is>
      </c>
      <c r="J737" s="6" t="inlineStr">
        <is>
          <t>Bebek arabada uyudu. Kontağı kapattığın an uyandı. Arabayla gece turu sabaha kadar sürdü.</t>
        </is>
      </c>
      <c r="K737" s="6" t="inlineStr">
        <is>
          <t>Dördüncü turda devriye arabası arkana takıldı, sireni bir kez kısaca çaldı. Bebek uyandı. Polis camdan baktı, durumu anladı, özür diledi; bebek kabul etmedi. Sabaha kadar ağladı.</t>
        </is>
      </c>
      <c r="L737" s="6" t="inlineStr"/>
      <c r="M737" s="5" t="inlineStr"/>
      <c r="N737" s="5" t="inlineStr"/>
      <c r="O737" s="6" t="inlineStr"/>
      <c r="P737" s="6" t="inlineStr"/>
      <c r="Q737" s="5" t="inlineStr"/>
      <c r="R737" s="5" t="inlineStr">
        <is>
          <t>arabali</t>
        </is>
      </c>
      <c r="S737" s="5" t="inlineStr"/>
      <c r="T737" s="5" t="inlineStr"/>
      <c r="U737" s="5" t="inlineStr"/>
      <c r="V737" s="5" t="inlineStr"/>
      <c r="W737" s="5" t="inlineStr"/>
      <c r="X737" s="5" t="inlineStr"/>
      <c r="Y737" s="5" t="inlineStr"/>
      <c r="Z737" s="6" t="inlineStr"/>
      <c r="AA737" s="5" t="inlineStr"/>
      <c r="AB737" s="5" t="inlineStr"/>
      <c r="AC737" s="5" t="inlineStr"/>
      <c r="AD737" s="5" t="inlineStr"/>
      <c r="AE737" s="5" t="inlineStr"/>
      <c r="AF737" s="5" t="inlineStr"/>
      <c r="AG737" s="5" t="inlineStr"/>
      <c r="AH737" s="5" t="inlineStr"/>
      <c r="AI737" s="5" t="inlineStr"/>
      <c r="AJ737" s="5" t="inlineStr"/>
    </row>
    <row r="738">
      <c r="A738" s="5" t="inlineStr">
        <is>
          <t>b7-site-toplantisi</t>
        </is>
      </c>
      <c r="B738" s="5" t="n">
        <v>1</v>
      </c>
      <c r="C738" s="6" t="inlineStr">
        <is>
          <t>Arka sırada otur, sadece el kaldır</t>
        </is>
      </c>
      <c r="D738" s="5" t="inlineStr"/>
      <c r="E738" s="5" t="inlineStr"/>
      <c r="F738" s="5" t="inlineStr">
        <is>
          <t>Dayanıklılık +1</t>
        </is>
      </c>
      <c r="G738" s="6" t="inlineStr">
        <is>
          <t>Üç saat oturdun, iki kez el kaldırdın. Birinde yanlış maddeye oy verdin. Aidat arttı.</t>
        </is>
      </c>
      <c r="H738" s="6" t="inlineStr"/>
      <c r="I738" s="6" t="inlineStr"/>
      <c r="J738" s="6" t="inlineStr"/>
      <c r="K738" s="6" t="inlineStr"/>
      <c r="L738" s="6" t="inlineStr"/>
      <c r="M738" s="5" t="inlineStr"/>
      <c r="N738" s="5" t="inlineStr"/>
      <c r="O738" s="6" t="inlineStr"/>
      <c r="P738" s="6" t="inlineStr"/>
      <c r="Q738" s="5" t="inlineStr"/>
      <c r="R738" s="5" t="inlineStr"/>
      <c r="S738" s="5" t="inlineStr"/>
      <c r="T738" s="5" t="inlineStr"/>
      <c r="U738" s="5" t="inlineStr"/>
      <c r="V738" s="5" t="inlineStr"/>
      <c r="W738" s="5" t="inlineStr"/>
      <c r="X738" s="5" t="inlineStr"/>
      <c r="Y738" s="5" t="inlineStr"/>
      <c r="Z738" s="6" t="inlineStr"/>
      <c r="AA738" s="5" t="inlineStr"/>
      <c r="AB738" s="5" t="inlineStr"/>
      <c r="AC738" s="5" t="inlineStr"/>
      <c r="AD738" s="5" t="inlineStr"/>
      <c r="AE738" s="5" t="inlineStr"/>
      <c r="AF738" s="5" t="inlineStr"/>
      <c r="AG738" s="5" t="inlineStr"/>
      <c r="AH738" s="5" t="inlineStr"/>
      <c r="AI738" s="5" t="inlineStr"/>
      <c r="AJ738" s="5" t="inlineStr"/>
    </row>
    <row r="739">
      <c r="A739" s="5" t="inlineStr">
        <is>
          <t>b7-site-toplantisi</t>
        </is>
      </c>
      <c r="B739" s="5" t="n">
        <v>2</v>
      </c>
      <c r="C739" s="6" t="inlineStr">
        <is>
          <t>Aidat artışına itiraz et</t>
        </is>
      </c>
      <c r="D739" s="5" t="inlineStr">
        <is>
          <t>İtibar</t>
        </is>
      </c>
      <c r="E739" s="5" t="inlineStr">
        <is>
          <t>Orta</t>
        </is>
      </c>
      <c r="F739" s="5" t="inlineStr"/>
      <c r="G739" s="6" t="inlineStr"/>
      <c r="H739" s="6" t="inlineStr">
        <is>
          <t>İtirazın kabul edildi, artış yarıya indi. Toplantının sonunda biri “Bu işi en iyi o bilir” dedi; yönetici sen oldun. Asansörde artık sana selam veriyorlar, dertlerini de anlatıyorlar.</t>
        </is>
      </c>
      <c r="I739" s="6" t="inlineStr">
        <is>
          <t>İtirazından sonra artış oylamada geri çekildi; salon da seni yönetici seçti. Toplantı çıkışı dördüncü kattaki teyze kapısını açıp seslendi: “Gel evladım, bir çay iç; yöneticiyle iyi geçinmek lazım.”</t>
        </is>
      </c>
      <c r="J739" s="6" t="inlineStr">
        <is>
          <t>İtiraz ettin. Yönetici 'Not alındı' dedi. Not hiçbir yere alınmadı.</t>
        </is>
      </c>
      <c r="K739" s="6" t="inlineStr">
        <is>
          <t>İtiraz ederken bütçe sorusu sordun. Yanıtı bulmak için bir komisyon kuruldu. Komisyonun başkanı sensin.</t>
        </is>
      </c>
      <c r="L739" s="6" t="inlineStr"/>
      <c r="M739" s="5" t="inlineStr"/>
      <c r="N739" s="5" t="inlineStr"/>
      <c r="O739" s="6" t="inlineStr"/>
      <c r="P739" s="6" t="inlineStr"/>
      <c r="Q739" s="5" t="inlineStr"/>
      <c r="R739" s="5" t="inlineStr"/>
      <c r="S739" s="5" t="inlineStr"/>
      <c r="T739" s="5" t="inlineStr"/>
      <c r="U739" s="5" t="inlineStr"/>
      <c r="V739" s="5" t="inlineStr">
        <is>
          <t>site-yoneticisi</t>
        </is>
      </c>
      <c r="W739" s="5" t="inlineStr">
        <is>
          <t>site-yoneticisi</t>
        </is>
      </c>
      <c r="X739" s="5" t="inlineStr"/>
      <c r="Y739" s="5" t="inlineStr"/>
      <c r="Z739" s="6" t="inlineStr"/>
      <c r="AA739" s="5" t="inlineStr"/>
      <c r="AB739" s="5" t="inlineStr"/>
      <c r="AC739" s="5" t="inlineStr"/>
      <c r="AD739" s="5" t="inlineStr"/>
      <c r="AE739" s="5" t="inlineStr"/>
      <c r="AF739" s="5" t="inlineStr"/>
      <c r="AG739" s="5" t="inlineStr"/>
      <c r="AH739" s="5" t="inlineStr"/>
      <c r="AI739" s="5" t="inlineStr"/>
      <c r="AJ739" s="5" t="inlineStr"/>
    </row>
    <row r="740">
      <c r="A740" s="5" t="inlineStr">
        <is>
          <t>b7-site-toplantisi</t>
        </is>
      </c>
      <c r="B740" s="5" t="n">
        <v>3</v>
      </c>
      <c r="C740" s="6" t="inlineStr">
        <is>
          <t>Çatı yalıtımını bizzat kontrol etmeyi teklif et</t>
        </is>
      </c>
      <c r="D740" s="5" t="inlineStr">
        <is>
          <t>Cesaret</t>
        </is>
      </c>
      <c r="E740" s="5" t="inlineStr">
        <is>
          <t>Zor</t>
        </is>
      </c>
      <c r="F740" s="5" t="inlineStr"/>
      <c r="G740" s="6" t="inlineStr"/>
      <c r="H740" s="6" t="inlineStr">
        <is>
          <t>Çatıya çıktın, sorunu buldun, fotoğrafladın. Aşağı indiğinde salon seni alkışladı; yönetici de alkışladı, sonra aidat artışını oylamaya koydu.</t>
        </is>
      </c>
      <c r="I740" s="6" t="inlineStr">
        <is>
          <t>Çatıda sorunu buldun ve ustanın fiyatının yarısına çözdürdün. Site tarihine 'çatıdaki kişi' olarak geçtin.</t>
        </is>
      </c>
      <c r="J740" s="6" t="inlineStr">
        <is>
          <t>Çatıya çıktın, hiçbir şey anlamadın. İndiğinde toplantı bitmişti ve aidat artmıştı.</t>
        </is>
      </c>
      <c r="K740" s="6" t="inlineStr">
        <is>
          <t>Çatı kapısı arkandan kilitlendi. Toplantının geri kalanını çatıdan, mesaj grubu üzerinden takip ettin.</t>
        </is>
      </c>
      <c r="L740" s="6" t="inlineStr"/>
      <c r="M740" s="5" t="inlineStr"/>
      <c r="N740" s="5" t="inlineStr"/>
      <c r="O740" s="6" t="inlineStr"/>
      <c r="P740" s="6" t="inlineStr"/>
      <c r="Q740" s="5" t="inlineStr"/>
      <c r="R740" s="5" t="inlineStr"/>
      <c r="S740" s="5" t="inlineStr"/>
      <c r="T740" s="5" t="inlineStr"/>
      <c r="U740" s="5" t="inlineStr"/>
      <c r="V740" s="5" t="inlineStr"/>
      <c r="W740" s="5" t="inlineStr"/>
      <c r="X740" s="5" t="inlineStr"/>
      <c r="Y740" s="5" t="n">
        <v>2</v>
      </c>
      <c r="Z740" s="6" t="inlineStr">
        <is>
          <t>Site çatısında yalıtım kontrolü yaparken. Karar defterine 'gönüllü' diye geçti.</t>
        </is>
      </c>
      <c r="AA740" s="5" t="inlineStr"/>
      <c r="AB740" s="5" t="inlineStr"/>
      <c r="AC740" s="5" t="inlineStr"/>
      <c r="AD740" s="5" t="inlineStr"/>
      <c r="AE740" s="5" t="inlineStr"/>
      <c r="AF740" s="5" t="inlineStr"/>
      <c r="AG740" s="5" t="inlineStr"/>
      <c r="AH740" s="5" t="inlineStr"/>
      <c r="AI740" s="5" t="inlineStr"/>
      <c r="AJ740" s="5" t="inlineStr"/>
    </row>
    <row r="741">
      <c r="A741" s="5" t="inlineStr">
        <is>
          <t>b7-site-toplantisi</t>
        </is>
      </c>
      <c r="B741" s="5" t="n">
        <v>4</v>
      </c>
      <c r="C741" s="6" t="inlineStr">
        <is>
          <t>Ayakkabılık meselesinde arabuluculuk yap</t>
        </is>
      </c>
      <c r="D741" s="5" t="inlineStr">
        <is>
          <t>Sosyal Radar</t>
        </is>
      </c>
      <c r="E741" s="5" t="inlineStr">
        <is>
          <t>Zor</t>
        </is>
      </c>
      <c r="F741" s="5" t="inlineStr"/>
      <c r="G741" s="6" t="inlineStr"/>
      <c r="H741" s="6" t="inlineStr">
        <is>
          <t>Ayakkabılık kapının içine alındı. On yıllık bir sorun, on dakikada çözüldü.</t>
        </is>
      </c>
      <c r="I741" s="6" t="inlineStr">
        <is>
          <t>İki komşu barıştı, ortak bir ayakkabılık aldı; ikisinin kapısının tam ortasına koydular. Şimdiki kavga, kimin terliğinin hangi rafta duracağı.</t>
        </is>
      </c>
      <c r="J741" s="6" t="inlineStr">
        <is>
          <t>Ayakkabılık konusu açıldığında salon ikiye bölündü. Sen ortada kaldın.</t>
        </is>
      </c>
      <c r="K741" s="6" t="inlineStr">
        <is>
          <t>Arabuluculuk yaparken senin paspasın da gündeme geldi. Oylama yapıldı: ayakkabılık kalıyor, paspasın gidiyor. Komşular artık kapının önünden basmadan geçiyor.</t>
        </is>
      </c>
      <c r="L741" s="6" t="inlineStr"/>
      <c r="M741" s="5" t="inlineStr"/>
      <c r="N741" s="5" t="inlineStr"/>
      <c r="O741" s="6" t="inlineStr"/>
      <c r="P741" s="6" t="inlineStr"/>
      <c r="Q741" s="5" t="inlineStr"/>
      <c r="R741" s="5" t="inlineStr"/>
      <c r="S741" s="5" t="inlineStr"/>
      <c r="T741" s="5" t="inlineStr"/>
      <c r="U741" s="5" t="inlineStr"/>
      <c r="V741" s="5" t="inlineStr"/>
      <c r="W741" s="5" t="inlineStr"/>
      <c r="X741" s="5" t="inlineStr"/>
      <c r="Y741" s="5" t="inlineStr"/>
      <c r="Z741" s="6" t="inlineStr"/>
      <c r="AA741" s="5" t="inlineStr"/>
      <c r="AB741" s="5" t="inlineStr"/>
      <c r="AC741" s="5" t="inlineStr"/>
      <c r="AD741" s="5" t="inlineStr"/>
      <c r="AE741" s="5" t="inlineStr"/>
      <c r="AF741" s="5" t="inlineStr"/>
      <c r="AG741" s="5" t="inlineStr"/>
      <c r="AH741" s="5" t="inlineStr"/>
      <c r="AI741" s="5" t="inlineStr"/>
      <c r="AJ741" s="5" t="inlineStr"/>
    </row>
    <row r="742">
      <c r="A742" s="5" t="inlineStr">
        <is>
          <t>ms-yapay-zeka-rakip</t>
        </is>
      </c>
      <c r="B742" s="5" t="n">
        <v>1</v>
      </c>
      <c r="C742" s="6" t="inlineStr">
        <is>
          <t>Fiyatını düşür</t>
        </is>
      </c>
      <c r="D742" s="5" t="inlineStr"/>
      <c r="E742" s="5" t="inlineStr"/>
      <c r="F742" s="5" t="inlineStr">
        <is>
          <t>Dayanıklılık +1</t>
        </is>
      </c>
      <c r="G742" s="6" t="inlineStr">
        <is>
          <t>Fiyatını yarıya indirdin. Müşteri 'Yapay zekâ bedava ama' dedi. Rakibin artık bir yazılım.</t>
        </is>
      </c>
      <c r="H742" s="6" t="inlineStr"/>
      <c r="I742" s="6" t="inlineStr"/>
      <c r="J742" s="6" t="inlineStr"/>
      <c r="K742" s="6" t="inlineStr"/>
      <c r="L742" s="6" t="inlineStr"/>
      <c r="M742" s="5" t="inlineStr"/>
      <c r="N742" s="5" t="inlineStr"/>
      <c r="O742" s="6" t="inlineStr"/>
      <c r="P742" s="6" t="inlineStr"/>
      <c r="Q742" s="5" t="inlineStr"/>
      <c r="R742" s="5" t="inlineStr"/>
      <c r="S742" s="5" t="inlineStr"/>
      <c r="T742" s="5" t="inlineStr"/>
      <c r="U742" s="5" t="inlineStr"/>
      <c r="V742" s="5" t="inlineStr"/>
      <c r="W742" s="5" t="inlineStr"/>
      <c r="X742" s="5" t="inlineStr"/>
      <c r="Y742" s="5" t="inlineStr"/>
      <c r="Z742" s="6" t="inlineStr"/>
      <c r="AA742" s="5" t="inlineStr"/>
      <c r="AB742" s="5" t="inlineStr"/>
      <c r="AC742" s="5" t="inlineStr"/>
      <c r="AD742" s="5" t="inlineStr"/>
      <c r="AE742" s="5" t="inlineStr"/>
      <c r="AF742" s="5" t="inlineStr"/>
      <c r="AG742" s="5" t="inlineStr"/>
      <c r="AH742" s="5" t="inlineStr"/>
      <c r="AI742" s="5" t="inlineStr"/>
      <c r="AJ742" s="5" t="inlineStr"/>
    </row>
    <row r="743">
      <c r="A743" s="5" t="inlineStr">
        <is>
          <t>ms-yapay-zeka-rakip</t>
        </is>
      </c>
      <c r="B743" s="5" t="n">
        <v>2</v>
      </c>
      <c r="C743" s="6" t="inlineStr">
        <is>
          <t>Hataları tek tek işaretle</t>
        </is>
      </c>
      <c r="D743" s="5" t="inlineStr">
        <is>
          <t>Akıl</t>
        </is>
      </c>
      <c r="E743" s="5" t="inlineStr">
        <is>
          <t>Kolay</t>
        </is>
      </c>
      <c r="F743" s="5" t="inlineStr"/>
      <c r="G743" s="6" t="inlineStr"/>
      <c r="H743" s="6" t="inlineStr">
        <is>
          <t>Altı parmağı, üç farklı yazılmış şirket adını ve ters gölgeyi işaretledin. İş sende.</t>
        </is>
      </c>
      <c r="I743" s="6" t="inlineStr">
        <is>
          <t>Hata listen o kadar uzundu ki müşteri seni yapay zekâ denetçisi olarak da tuttu.</t>
        </is>
      </c>
      <c r="J743" s="6" t="inlineStr">
        <is>
          <t>İşaretledin; müşteri hataları yapay zekâya düzelttirdi. Beş saniye sürdü.</t>
        </is>
      </c>
      <c r="K743" s="6" t="inlineStr">
        <is>
          <t>Hataları işaretledin; müşteri altı parmağı 'yenilikçi' buldu ve kullanmaya karar verdi.</t>
        </is>
      </c>
      <c r="L743" s="6" t="inlineStr"/>
      <c r="M743" s="5" t="inlineStr"/>
      <c r="N743" s="5" t="inlineStr"/>
      <c r="O743" s="6" t="inlineStr"/>
      <c r="P743" s="6" t="inlineStr"/>
      <c r="Q743" s="5" t="inlineStr"/>
      <c r="R743" s="5" t="inlineStr"/>
      <c r="S743" s="5" t="inlineStr">
        <is>
          <t>Akıl</t>
        </is>
      </c>
      <c r="T743" s="5" t="inlineStr"/>
      <c r="U743" s="5" t="inlineStr"/>
      <c r="V743" s="5" t="inlineStr"/>
      <c r="W743" s="5" t="inlineStr"/>
      <c r="X743" s="5" t="inlineStr"/>
      <c r="Y743" s="5" t="inlineStr"/>
      <c r="Z743" s="6" t="inlineStr"/>
      <c r="AA743" s="5" t="inlineStr"/>
      <c r="AB743" s="5" t="inlineStr"/>
      <c r="AC743" s="5" t="inlineStr"/>
      <c r="AD743" s="5" t="inlineStr"/>
      <c r="AE743" s="5" t="inlineStr"/>
      <c r="AF743" s="5" t="inlineStr"/>
      <c r="AG743" s="5" t="inlineStr"/>
      <c r="AH743" s="5" t="inlineStr"/>
      <c r="AI743" s="5" t="inlineStr"/>
      <c r="AJ743" s="5" t="inlineStr"/>
    </row>
    <row r="744">
      <c r="A744" s="5" t="inlineStr">
        <is>
          <t>ms-yapay-zeka-rakip</t>
        </is>
      </c>
      <c r="B744" s="5" t="n">
        <v>3</v>
      </c>
      <c r="C744" s="6" t="inlineStr">
        <is>
          <t>'İnsan dokunuşunu' sat</t>
        </is>
      </c>
      <c r="D744" s="5" t="inlineStr">
        <is>
          <t>Çene</t>
        </is>
      </c>
      <c r="E744" s="5" t="inlineStr">
        <is>
          <t>Zor</t>
        </is>
      </c>
      <c r="F744" s="5" t="inlineStr"/>
      <c r="G744" s="6" t="inlineStr"/>
      <c r="H744" s="6" t="inlineStr">
        <is>
          <t>'Bu el beş parmaklı ve size ait' dedin. İş, iki katı ücretle sende.</t>
        </is>
      </c>
      <c r="I744" s="6" t="inlineStr">
        <is>
          <t>“İnsan yapımı” damgan moda oldu. Müşteri işini fuarda gururla gösterdi: “Bunu bir insan yaptı.” Gelenler eğilip parmaklarını saydı; beş. Fiyatını üçe katladın.</t>
        </is>
      </c>
      <c r="J744" s="6" t="inlineStr">
        <is>
          <t>Müşteri “İnsan dokunuşu güzel ama bütçemiz yapay zekâ kadar” dedi.</t>
        </is>
      </c>
      <c r="K744" s="6" t="inlineStr">
        <is>
          <t>'İnsan dokunuşu' konulu sunum metnini yapay zekâya yazdırdığın fark edildi.</t>
        </is>
      </c>
      <c r="L744" s="6" t="inlineStr"/>
      <c r="M744" s="5" t="inlineStr"/>
      <c r="N744" s="5" t="inlineStr"/>
      <c r="O744" s="6" t="inlineStr"/>
      <c r="P744" s="6" t="inlineStr"/>
      <c r="Q744" s="5" t="inlineStr"/>
      <c r="R744" s="5" t="inlineStr"/>
      <c r="S744" s="5" t="inlineStr"/>
      <c r="T744" s="5" t="inlineStr">
        <is>
          <t>Sözünü Geçirir</t>
        </is>
      </c>
      <c r="U744" s="5" t="inlineStr"/>
      <c r="V744" s="5" t="inlineStr"/>
      <c r="W744" s="5" t="inlineStr"/>
      <c r="X744" s="5" t="inlineStr"/>
      <c r="Y744" s="5" t="inlineStr"/>
      <c r="Z744" s="6" t="inlineStr"/>
      <c r="AA744" s="5" t="inlineStr"/>
      <c r="AB744" s="5" t="inlineStr"/>
      <c r="AC744" s="5" t="inlineStr"/>
      <c r="AD744" s="5" t="inlineStr"/>
      <c r="AE744" s="5" t="inlineStr"/>
      <c r="AF744" s="5" t="inlineStr"/>
      <c r="AG744" s="5" t="inlineStr"/>
      <c r="AH744" s="5" t="inlineStr"/>
      <c r="AI744" s="5" t="inlineStr"/>
      <c r="AJ744" s="5" t="inlineStr"/>
    </row>
    <row r="745">
      <c r="A745" s="5" t="inlineStr">
        <is>
          <t>ms-yapay-zeka-rakip</t>
        </is>
      </c>
      <c r="B745" s="5" t="n">
        <v>4</v>
      </c>
      <c r="C745" s="6" t="inlineStr">
        <is>
          <t>Yapay zekâyı kendin kullan, beşe böl</t>
        </is>
      </c>
      <c r="D745" s="5" t="inlineStr">
        <is>
          <t>Kurnazlık</t>
        </is>
      </c>
      <c r="E745" s="5" t="inlineStr">
        <is>
          <t>Orta</t>
        </is>
      </c>
      <c r="F745" s="5" t="inlineStr"/>
      <c r="G745" s="6" t="inlineStr"/>
      <c r="H745" s="6" t="inlineStr">
        <is>
          <t>Aracı kullandın, üstüne emek koydun. Beş saniye sürmedi ama beş gün de değil.</t>
        </is>
      </c>
      <c r="I745" s="6" t="inlineStr">
        <is>
          <t>Aynı sürede beş müşteriye iş yetiştirdin. Artık bir ajanssın. Tek kişilik, sekiz sekmeli.</t>
        </is>
      </c>
      <c r="J745" s="6" t="inlineStr">
        <is>
          <t>Araç kullandın; müşteri 'Bunu ben de yapabilirdim' dedi. Yaptı da.</t>
        </is>
      </c>
      <c r="K745" s="6" t="inlineStr">
        <is>
          <t>Teslim ettiğin işte bir el yedi parmaklıydı. Müşteri 'Bizimki altı yapıyordu' dedi.</t>
        </is>
      </c>
      <c r="L745" s="6" t="inlineStr"/>
      <c r="M745" s="5" t="inlineStr"/>
      <c r="N745" s="5" t="inlineStr"/>
      <c r="O745" s="6" t="inlineStr"/>
      <c r="P745" s="6" t="inlineStr"/>
      <c r="Q745" s="5" t="inlineStr">
        <is>
          <t>Şifreyi Bilen</t>
        </is>
      </c>
      <c r="R745" s="5" t="inlineStr"/>
      <c r="S745" s="5" t="inlineStr"/>
      <c r="T745" s="5" t="inlineStr"/>
      <c r="U745" s="5" t="inlineStr"/>
      <c r="V745" s="5" t="inlineStr"/>
      <c r="W745" s="5" t="inlineStr"/>
      <c r="X745" s="5" t="inlineStr"/>
      <c r="Y745" s="5" t="inlineStr"/>
      <c r="Z745" s="6" t="inlineStr"/>
      <c r="AA745" s="5" t="inlineStr"/>
      <c r="AB745" s="5" t="inlineStr"/>
      <c r="AC745" s="5" t="inlineStr"/>
      <c r="AD745" s="5" t="inlineStr"/>
      <c r="AE745" s="5" t="inlineStr"/>
      <c r="AF745" s="5" t="inlineStr"/>
      <c r="AG745" s="5" t="inlineStr"/>
      <c r="AH745" s="5" t="inlineStr"/>
      <c r="AI745" s="5" t="inlineStr"/>
      <c r="AJ745" s="5" t="inlineStr"/>
    </row>
    <row r="746">
      <c r="A746" s="5" t="inlineStr">
        <is>
          <t>b7-ilk-kelime</t>
        </is>
      </c>
      <c r="B746" s="5" t="n">
        <v>1</v>
      </c>
      <c r="C746" s="6" t="inlineStr">
        <is>
          <t>Sessizce izle</t>
        </is>
      </c>
      <c r="D746" s="5" t="inlineStr"/>
      <c r="E746" s="5" t="inlineStr"/>
      <c r="F746" s="5" t="inlineStr">
        <is>
          <t>Gönül +1</t>
        </is>
      </c>
      <c r="G746" s="6" t="inlineStr">
        <is>
          <t>Çocuk “Ba” dedi. Babaanne “Babaanne dedi!” diye ayağa fırladı, anneanne “Bal istiyor” deyip kavanozu açtı. Aile grubuna aynı video iki ayrı altyazıyla düştü.</t>
        </is>
      </c>
      <c r="H746" s="6" t="inlineStr"/>
      <c r="I746" s="6" t="inlineStr"/>
      <c r="J746" s="6" t="inlineStr"/>
      <c r="K746" s="6" t="inlineStr"/>
      <c r="L746" s="6" t="inlineStr"/>
      <c r="M746" s="5" t="inlineStr"/>
      <c r="N746" s="5" t="inlineStr"/>
      <c r="O746" s="6" t="inlineStr"/>
      <c r="P746" s="6" t="inlineStr"/>
      <c r="Q746" s="5" t="inlineStr"/>
      <c r="R746" s="5" t="inlineStr"/>
      <c r="S746" s="5" t="inlineStr"/>
      <c r="T746" s="5" t="inlineStr"/>
      <c r="U746" s="5" t="inlineStr"/>
      <c r="V746" s="5" t="inlineStr"/>
      <c r="W746" s="5" t="inlineStr"/>
      <c r="X746" s="5" t="inlineStr"/>
      <c r="Y746" s="5" t="inlineStr"/>
      <c r="Z746" s="6" t="inlineStr"/>
      <c r="AA746" s="5" t="inlineStr"/>
      <c r="AB746" s="5" t="inlineStr"/>
      <c r="AC746" s="5" t="inlineStr"/>
      <c r="AD746" s="5" t="inlineStr"/>
      <c r="AE746" s="5" t="inlineStr"/>
      <c r="AF746" s="5" t="inlineStr"/>
      <c r="AG746" s="5" t="inlineStr"/>
      <c r="AH746" s="5" t="inlineStr"/>
      <c r="AI746" s="5" t="inlineStr"/>
      <c r="AJ746" s="5" t="inlineStr"/>
    </row>
    <row r="747">
      <c r="A747" s="5" t="inlineStr">
        <is>
          <t>b7-ilk-kelime</t>
        </is>
      </c>
      <c r="B747" s="5" t="n">
        <v>2</v>
      </c>
      <c r="C747" s="6" t="inlineStr">
        <is>
          <t>Seni çağırması için her gün çalıştır</t>
        </is>
      </c>
      <c r="D747" s="5" t="inlineStr">
        <is>
          <t>Gönül</t>
        </is>
      </c>
      <c r="E747" s="5" t="inlineStr">
        <is>
          <t>Orta</t>
        </is>
      </c>
      <c r="F747" s="5" t="inlineStr"/>
      <c r="G747" s="6" t="inlineStr"/>
      <c r="H747" s="6" t="inlineStr">
        <is>
          <t>Çocuk sana dönüp seni çağırdı. Bir an kimse kıpırdamadı; sonra sen ağladın. Eşin videoyu çekmeyi unutmuştu; sen de ona bunu hiç unutturmadın.</t>
        </is>
      </c>
      <c r="I747" s="6" t="inlineStr">
        <is>
          <t>İlk kelimesi seni çağırmak oldu; video aile grubunda iki yüz kez izlendi. Eşin de izledi. İki yüz kez.</t>
        </is>
      </c>
      <c r="J747" s="6" t="inlineStr">
        <is>
          <t>Bir ay sabah akşam çalıştırdın; çocuk dönüp eşini çağırdı. Eşin videoyu aile grubuna attı, altına tek kelime yazdı: “Kazandım.”</t>
        </is>
      </c>
      <c r="K747" s="6" t="inlineStr">
        <is>
          <t>Çocuk net bir sesle “Kargo!” dedi. Bütün sofra yavaşça sana döndü. Tam o an kapı çaldı; kurye “Yine siz” dedi.</t>
        </is>
      </c>
      <c r="L747" s="6" t="inlineStr"/>
      <c r="M747" s="5" t="inlineStr"/>
      <c r="N747" s="5" t="inlineStr"/>
      <c r="O747" s="6" t="inlineStr"/>
      <c r="P747" s="6" t="inlineStr"/>
      <c r="Q747" s="5" t="inlineStr"/>
      <c r="R747" s="5" t="inlineStr"/>
      <c r="S747" s="5" t="inlineStr"/>
      <c r="T747" s="5" t="inlineStr"/>
      <c r="U747" s="5" t="inlineStr"/>
      <c r="V747" s="5" t="inlineStr"/>
      <c r="W747" s="5" t="inlineStr"/>
      <c r="X747" s="5" t="inlineStr"/>
      <c r="Y747" s="5" t="inlineStr"/>
      <c r="Z747" s="6" t="inlineStr"/>
      <c r="AA747" s="5" t="inlineStr"/>
      <c r="AB747" s="5" t="inlineStr"/>
      <c r="AC747" s="5" t="inlineStr"/>
      <c r="AD747" s="5" t="inlineStr"/>
      <c r="AE747" s="5" t="inlineStr"/>
      <c r="AF747" s="5" t="inlineStr"/>
      <c r="AG747" s="5" t="inlineStr"/>
      <c r="AH747" s="5" t="inlineStr"/>
      <c r="AI747" s="5" t="inlineStr"/>
      <c r="AJ747" s="5" t="inlineStr"/>
    </row>
    <row r="748">
      <c r="A748" s="5" t="inlineStr">
        <is>
          <t>b7-ilk-kelime</t>
        </is>
      </c>
      <c r="B748" s="5" t="n">
        <v>3</v>
      </c>
      <c r="C748" s="6" t="inlineStr">
        <is>
          <t>'Para' demesini sağla — aile geleneği</t>
        </is>
      </c>
      <c r="D748" s="5" t="inlineStr">
        <is>
          <t>Kurnazlık</t>
        </is>
      </c>
      <c r="E748" s="5" t="inlineStr">
        <is>
          <t>Zor</t>
        </is>
      </c>
      <c r="F748" s="5" t="inlineStr"/>
      <c r="G748" s="6" t="inlineStr"/>
      <c r="H748" s="6" t="inlineStr">
        <is>
          <t>Çocuk “Para” dedi. Annen “Aynı sen” dedi; güldü mü ağladı mı, belli değil. Baban avucuna bir bozuk para koydu; çocuk avucunu kapattı, bir daha açmadı.</t>
        </is>
      </c>
      <c r="I748" s="6" t="inlineStr">
        <is>
          <t>Çocuk “Para” dedi, ardından “Daha”. Baban cüzdanını açtı, kayınpederin de. O akşam çocuğun kumbarası seninkinden doluydu.</t>
        </is>
      </c>
      <c r="J748" s="6" t="inlineStr">
        <is>
          <t>Çocuk “Pa” dedi ve durdu. Baban gururla açıkladı: “Bu peşinatı. Kalanı taksitle gelir.”</t>
        </is>
      </c>
      <c r="K748" s="6" t="inlineStr">
        <is>
          <t>Çocuk tertemiz bir sesle “Faiz” dedi. Sofrada çatallar indi. Baban sana döndü: “Bu kelimeyi bu evde kim bu kadar sık söylüyor?” Sen cevap vermedin; çocuk verdi: “Faiz!”</t>
        </is>
      </c>
      <c r="L748" s="6" t="inlineStr"/>
      <c r="M748" s="5" t="inlineStr"/>
      <c r="N748" s="5" t="inlineStr"/>
      <c r="O748" s="6" t="inlineStr"/>
      <c r="P748" s="6" t="inlineStr"/>
      <c r="Q748" s="5" t="inlineStr"/>
      <c r="R748" s="5" t="inlineStr">
        <is>
          <t>ilkKelimePara</t>
        </is>
      </c>
      <c r="S748" s="5" t="inlineStr"/>
      <c r="T748" s="5" t="inlineStr"/>
      <c r="U748" s="5" t="inlineStr"/>
      <c r="V748" s="5" t="inlineStr"/>
      <c r="W748" s="5" t="inlineStr"/>
      <c r="X748" s="5" t="inlineStr"/>
      <c r="Y748" s="5" t="inlineStr"/>
      <c r="Z748" s="6" t="inlineStr"/>
      <c r="AA748" s="5" t="inlineStr"/>
      <c r="AB748" s="5" t="inlineStr"/>
      <c r="AC748" s="5" t="inlineStr"/>
      <c r="AD748" s="5" t="inlineStr"/>
      <c r="AE748" s="5" t="inlineStr"/>
      <c r="AF748" s="5" t="inlineStr"/>
      <c r="AG748" s="5" t="inlineStr"/>
      <c r="AH748" s="5" t="inlineStr"/>
      <c r="AI748" s="5" t="inlineStr"/>
      <c r="AJ748" s="5" t="inlineStr"/>
    </row>
    <row r="749">
      <c r="A749" s="5" t="inlineStr">
        <is>
          <t>b7-ilk-kelime</t>
        </is>
      </c>
      <c r="B749" s="5" t="n">
        <v>4</v>
      </c>
      <c r="C749" s="6" t="inlineStr">
        <is>
          <t>Kameraya odaklan, anı yakala</t>
        </is>
      </c>
      <c r="D749" s="5" t="inlineStr">
        <is>
          <t>Akıl</t>
        </is>
      </c>
      <c r="E749" s="5" t="inlineStr">
        <is>
          <t>Kolay</t>
        </is>
      </c>
      <c r="F749" s="5" t="inlineStr"/>
      <c r="G749" s="6" t="inlineStr"/>
      <c r="H749" s="6" t="inlineStr">
        <is>
          <t>Anı yakaladın: kaşık, kelime, sonra sofradaki herkesin aynı anda “Ayyy!” demesi. Video bayramda üç kez, kına gecesinde bir kez daha izlendi; her seferinde aynı yerde aynı “Ayyy!”</t>
        </is>
      </c>
      <c r="I749" s="6" t="inlineStr">
        <is>
          <t>Videoda her şey var: kaşık, kelime, arkada babaannenin çığlığı. Aile grubundan teyzelerin gruplarına, oradan bakkala ulaştı; bakkal ekmeğin yanına bir çikolata koydu.</t>
        </is>
      </c>
      <c r="J749" s="6" t="inlineStr">
        <is>
          <t>Tam o anda telefon “Bellek dolu” dedi. İlk kelimeyi yalnızca sen duydun; kimse inanmıyor.</t>
        </is>
      </c>
      <c r="K749" s="6" t="inlineStr">
        <is>
          <t>Çekim sürerken ön kameraya geçmişsin. Videoda ilk kelime duyuluyor ama çocuk görünmüyor; kırk saniye yalnızca senin açık kalmış ağzın. Babaanne izledi, iç çekti: “Kelime çocuğun, rezillik senin.”</t>
        </is>
      </c>
      <c r="L749" s="6" t="inlineStr"/>
      <c r="M749" s="5" t="inlineStr"/>
      <c r="N749" s="5" t="inlineStr"/>
      <c r="O749" s="6" t="inlineStr"/>
      <c r="P749" s="6" t="inlineStr"/>
      <c r="Q749" s="5" t="inlineStr"/>
      <c r="R749" s="5" t="inlineStr"/>
      <c r="S749" s="5" t="inlineStr"/>
      <c r="T749" s="5" t="inlineStr"/>
      <c r="U749" s="5" t="inlineStr"/>
      <c r="V749" s="5" t="inlineStr"/>
      <c r="W749" s="5" t="inlineStr"/>
      <c r="X749" s="5" t="inlineStr"/>
      <c r="Y749" s="5" t="inlineStr"/>
      <c r="Z749" s="6" t="inlineStr"/>
      <c r="AA749" s="5" t="inlineStr"/>
      <c r="AB749" s="5" t="inlineStr"/>
      <c r="AC749" s="5" t="inlineStr"/>
      <c r="AD749" s="5" t="inlineStr"/>
      <c r="AE749" s="5" t="inlineStr"/>
      <c r="AF749" s="5" t="inlineStr"/>
      <c r="AG749" s="5" t="inlineStr"/>
      <c r="AH749" s="5" t="inlineStr"/>
      <c r="AI749" s="5" t="inlineStr"/>
      <c r="AJ749" s="5" t="inlineStr"/>
    </row>
    <row r="750">
      <c r="A750" s="5" t="inlineStr">
        <is>
          <t>b7-cocuklu-dogum-gunu</t>
        </is>
      </c>
      <c r="B750" s="5" t="n">
        <v>1</v>
      </c>
      <c r="C750" s="6" t="inlineStr">
        <is>
          <t>Hediyeyi bırak, pasta ye, git</t>
        </is>
      </c>
      <c r="D750" s="5" t="inlineStr"/>
      <c r="E750" s="5" t="inlineStr"/>
      <c r="F750" s="5" t="inlineStr">
        <is>
          <t>Kurnazlık +1</t>
        </is>
      </c>
      <c r="G750" s="6" t="inlineStr">
        <is>
          <t>Pastayı yedin, hediyeyi bıraktın, ayakkabını kapıda giydin. Arkandan çocuğun babaannesinin sesi geldi: “Seninkini ne zaman göreceğiz?” Asansör tam zamanında geldi.</t>
        </is>
      </c>
      <c r="H750" s="6" t="inlineStr"/>
      <c r="I750" s="6" t="inlineStr"/>
      <c r="J750" s="6" t="inlineStr"/>
      <c r="K750" s="6" t="inlineStr"/>
      <c r="L750" s="6" t="inlineStr"/>
      <c r="M750" s="5" t="inlineStr"/>
      <c r="N750" s="5" t="inlineStr"/>
      <c r="O750" s="6" t="inlineStr"/>
      <c r="P750" s="6" t="inlineStr"/>
      <c r="Q750" s="5" t="inlineStr"/>
      <c r="R750" s="5" t="inlineStr"/>
      <c r="S750" s="5" t="inlineStr"/>
      <c r="T750" s="5" t="inlineStr"/>
      <c r="U750" s="5" t="inlineStr"/>
      <c r="V750" s="5" t="inlineStr"/>
      <c r="W750" s="5" t="inlineStr"/>
      <c r="X750" s="5" t="inlineStr"/>
      <c r="Y750" s="5" t="inlineStr"/>
      <c r="Z750" s="6" t="inlineStr"/>
      <c r="AA750" s="5" t="inlineStr"/>
      <c r="AB750" s="5" t="inlineStr"/>
      <c r="AC750" s="5" t="inlineStr"/>
      <c r="AD750" s="5" t="inlineStr"/>
      <c r="AE750" s="5" t="inlineStr"/>
      <c r="AF750" s="5" t="inlineStr"/>
      <c r="AG750" s="5" t="inlineStr"/>
      <c r="AH750" s="5" t="inlineStr"/>
      <c r="AI750" s="5" t="inlineStr"/>
      <c r="AJ750" s="5" t="inlineStr"/>
    </row>
    <row r="751">
      <c r="A751" s="5" t="inlineStr">
        <is>
          <t>b7-cocuklu-dogum-gunu</t>
        </is>
      </c>
      <c r="B751" s="5" t="n">
        <v>2</v>
      </c>
      <c r="C751" s="6" t="inlineStr">
        <is>
          <t>Çocuklarla oyuna katıl</t>
        </is>
      </c>
      <c r="D751" s="5" t="inlineStr">
        <is>
          <t>Gönül</t>
        </is>
      </c>
      <c r="E751" s="5" t="inlineStr">
        <is>
          <t>Orta</t>
        </is>
      </c>
      <c r="F751" s="5" t="inlineStr"/>
      <c r="G751" s="6" t="inlineStr"/>
      <c r="H751" s="6" t="inlineStr">
        <is>
          <t>Kovalamaca oynadın, bilerek üç kez yakalandın. Çocuklar seni ebe yapıp bırakmadı. Çıkarken biri bacağına sarıldı: “Sen yine gel, annemler gelmesin.”</t>
        </is>
      </c>
      <c r="I751" s="6" t="inlineStr">
        <is>
          <t>Oyunun sonunda üç çocuk kendi doğum gününe seni istedi. Takvimin bahara kadar doldu; her partide pasta, her partide aynı soru: “Senin çocuğun nerede?”</t>
        </is>
      </c>
      <c r="J751" s="6" t="inlineStr">
        <is>
          <t>Kovalamacada beş yaşındakilere yetişemedin. Banka oturup nefesini toplarken bir çocuk sana bardakla su getirdi: “Dedem de böyle oluyor.”</t>
        </is>
      </c>
      <c r="K751" s="6" t="inlineStr">
        <is>
          <t>Oyunda şişme kaleye sıkıştın. Çocuklar kurtarmak için sıraya girdi. Fotoğraf aile grubunda dolaşıyor.</t>
        </is>
      </c>
      <c r="L751" s="6" t="inlineStr"/>
      <c r="M751" s="5" t="inlineStr"/>
      <c r="N751" s="5" t="inlineStr"/>
      <c r="O751" s="6" t="inlineStr"/>
      <c r="P751" s="6" t="inlineStr"/>
      <c r="Q751" s="5" t="inlineStr"/>
      <c r="R751" s="5" t="inlineStr"/>
      <c r="S751" s="5" t="inlineStr"/>
      <c r="T751" s="5" t="inlineStr"/>
      <c r="U751" s="5" t="inlineStr"/>
      <c r="V751" s="5" t="inlineStr"/>
      <c r="W751" s="5" t="inlineStr"/>
      <c r="X751" s="5" t="inlineStr"/>
      <c r="Y751" s="5" t="inlineStr"/>
      <c r="Z751" s="6" t="inlineStr"/>
      <c r="AA751" s="5" t="inlineStr"/>
      <c r="AB751" s="5" t="inlineStr"/>
      <c r="AC751" s="5" t="inlineStr"/>
      <c r="AD751" s="5" t="inlineStr"/>
      <c r="AE751" s="5" t="inlineStr"/>
      <c r="AF751" s="5" t="inlineStr"/>
      <c r="AG751" s="5" t="inlineStr"/>
      <c r="AH751" s="5" t="inlineStr"/>
      <c r="AI751" s="5" t="inlineStr"/>
      <c r="AJ751" s="5" t="inlineStr"/>
    </row>
    <row r="752">
      <c r="A752" s="5" t="inlineStr">
        <is>
          <t>b7-cocuklu-dogum-gunu</t>
        </is>
      </c>
      <c r="B752" s="5" t="n">
        <v>3</v>
      </c>
      <c r="C752" s="6" t="inlineStr">
        <is>
          <t>Ebeveyn sohbetine katılmaya çalış</t>
        </is>
      </c>
      <c r="D752" s="5" t="inlineStr">
        <is>
          <t>Sosyal Radar</t>
        </is>
      </c>
      <c r="E752" s="5" t="inlineStr">
        <is>
          <t>Zor</t>
        </is>
      </c>
      <c r="F752" s="5" t="inlineStr"/>
      <c r="G752" s="6" t="inlineStr"/>
      <c r="H752" s="6" t="inlineStr">
        <is>
          <t>Ebeveynlerle kreş fiyatlarını konuştun; az önce duyduğun rakamları tekrar ederek. Bir baba dönüp sordu: “Siz hangisini seçtiniz?” “Daha düşünüyoruz” dedin. Doğruydu.</t>
        </is>
      </c>
      <c r="I752" s="6" t="inlineStr">
        <is>
          <t>Sohbete öyle uydun ki bir anne uyku düzeni için sana akıl danıştı. “Ninni yerine hava durumu oku” dedin. Ertesi sabah mesaj attı: “Mışıl mışıl.”</t>
        </is>
      </c>
      <c r="J752" s="6" t="inlineStr">
        <is>
          <t>Uyku düzeni konuşuldu. Senin tek katkın 'Ben on ikide yatıyorum' oldu.</t>
        </is>
      </c>
      <c r="K752" s="6" t="inlineStr">
        <is>
          <t>Bir anneye “Bunlar bu yaşta ne yer?” diye sordun. Soru veli grubuna düştü; artık her partide biri kulağına “Bunlar pasta yer” diye fısıldıyor.</t>
        </is>
      </c>
      <c r="L752" s="6" t="inlineStr"/>
      <c r="M752" s="5" t="inlineStr"/>
      <c r="N752" s="5" t="inlineStr"/>
      <c r="O752" s="6" t="inlineStr"/>
      <c r="P752" s="6" t="inlineStr"/>
      <c r="Q752" s="5" t="inlineStr"/>
      <c r="R752" s="5" t="inlineStr"/>
      <c r="S752" s="5" t="inlineStr"/>
      <c r="T752" s="5" t="inlineStr"/>
      <c r="U752" s="5" t="inlineStr"/>
      <c r="V752" s="5" t="inlineStr"/>
      <c r="W752" s="5" t="inlineStr"/>
      <c r="X752" s="5" t="inlineStr"/>
      <c r="Y752" s="5" t="inlineStr"/>
      <c r="Z752" s="6" t="inlineStr"/>
      <c r="AA752" s="5" t="inlineStr"/>
      <c r="AB752" s="5" t="inlineStr"/>
      <c r="AC752" s="5" t="inlineStr"/>
      <c r="AD752" s="5" t="inlineStr"/>
      <c r="AE752" s="5" t="inlineStr"/>
      <c r="AF752" s="5" t="inlineStr"/>
      <c r="AG752" s="5" t="inlineStr"/>
      <c r="AH752" s="5" t="inlineStr"/>
      <c r="AI752" s="5" t="inlineStr"/>
      <c r="AJ752" s="5" t="inlineStr"/>
    </row>
    <row r="753">
      <c r="A753" s="5" t="inlineStr">
        <is>
          <t>b7-ev-esyasi</t>
        </is>
      </c>
      <c r="B753" s="5" t="n">
        <v>1</v>
      </c>
      <c r="C753" s="6" t="inlineStr">
        <is>
          <t>Eşinin seçtiğini al</t>
        </is>
      </c>
      <c r="D753" s="5" t="inlineStr"/>
      <c r="E753" s="5" t="inlineStr"/>
      <c r="F753" s="5" t="inlineStr">
        <is>
          <t>Gönül +1</t>
        </is>
      </c>
      <c r="G753" s="6" t="inlineStr">
        <is>
          <t>Eşinin seçtiği takım geldi. Çok güzel. Annen naylonunu çıkarttırmadı: “Misafir gelince açarsınız.” Sen her oturduğunda naylon “gıcırt” diyor.</t>
        </is>
      </c>
      <c r="H753" s="6" t="inlineStr"/>
      <c r="I753" s="6" t="inlineStr"/>
      <c r="J753" s="6" t="inlineStr"/>
      <c r="K753" s="6" t="inlineStr"/>
      <c r="L753" s="6" t="inlineStr"/>
      <c r="M753" s="5" t="inlineStr"/>
      <c r="N753" s="5" t="inlineStr"/>
      <c r="O753" s="6" t="inlineStr"/>
      <c r="P753" s="6" t="inlineStr"/>
      <c r="Q753" s="5" t="inlineStr"/>
      <c r="R753" s="5" t="inlineStr"/>
      <c r="S753" s="5" t="inlineStr"/>
      <c r="T753" s="5" t="inlineStr"/>
      <c r="U753" s="5" t="inlineStr"/>
      <c r="V753" s="5" t="inlineStr"/>
      <c r="W753" s="5" t="inlineStr"/>
      <c r="X753" s="5" t="inlineStr"/>
      <c r="Y753" s="5" t="inlineStr"/>
      <c r="Z753" s="6" t="inlineStr"/>
      <c r="AA753" s="5" t="inlineStr"/>
      <c r="AB753" s="5" t="inlineStr"/>
      <c r="AC753" s="5" t="inlineStr"/>
      <c r="AD753" s="5" t="inlineStr"/>
      <c r="AE753" s="5" t="inlineStr"/>
      <c r="AF753" s="5" t="inlineStr"/>
      <c r="AG753" s="5" t="inlineStr"/>
      <c r="AH753" s="5" t="inlineStr"/>
      <c r="AI753" s="5" t="inlineStr"/>
      <c r="AJ753" s="5" t="inlineStr"/>
    </row>
    <row r="754">
      <c r="A754" s="5" t="inlineStr">
        <is>
          <t>b7-ev-esyasi</t>
        </is>
      </c>
      <c r="B754" s="5" t="n">
        <v>2</v>
      </c>
      <c r="C754" s="6" t="inlineStr">
        <is>
          <t>Kendi favorini savun</t>
        </is>
      </c>
      <c r="D754" s="5" t="inlineStr">
        <is>
          <t>Çene</t>
        </is>
      </c>
      <c r="E754" s="5" t="inlineStr">
        <is>
          <t>Orta</t>
        </is>
      </c>
      <c r="F754" s="5" t="inlineStr"/>
      <c r="G754" s="6" t="inlineStr"/>
      <c r="H754" s="6" t="inlineStr">
        <is>
          <t>Koltuğun kazandı. Eşin ilk hafta ona oturmadı. İkinci hafta hep o oturdu.</t>
        </is>
      </c>
      <c r="I754" s="6" t="inlineStr">
        <is>
          <t>Öyle güzel savundun ki satış danışmanı kendi evine de aynısını sipariş etti. Eşin “Adam bile aldı” dedi ve ikna oldu.</t>
        </is>
      </c>
      <c r="J754" s="6" t="inlineStr">
        <is>
          <t>Tartışma üçüncü saate girdi. Güvenlik kepengi yarıya indirip sizi bekledi. Eve iki koltuğun fotoğrafıyla döndünüz; o akşam yerde oturdunuz.</t>
        </is>
      </c>
      <c r="K754" s="6" t="inlineStr">
        <is>
          <t>İkiniz de aynı anda fikir değiştirdiniz, birbirinizin eski fikrine. Danışman ikisini de faturaya yazdı. Salonda şimdi iki koltuk var; ikiniz de öbürüne oturuyorsunuz.</t>
        </is>
      </c>
      <c r="L754" s="6" t="inlineStr"/>
      <c r="M754" s="5" t="inlineStr"/>
      <c r="N754" s="5" t="inlineStr"/>
      <c r="O754" s="6" t="inlineStr"/>
      <c r="P754" s="6" t="inlineStr"/>
      <c r="Q754" s="5" t="inlineStr"/>
      <c r="R754" s="5" t="inlineStr"/>
      <c r="S754" s="5" t="inlineStr"/>
      <c r="T754" s="5" t="inlineStr"/>
      <c r="U754" s="5" t="inlineStr"/>
      <c r="V754" s="5" t="inlineStr"/>
      <c r="W754" s="5" t="inlineStr"/>
      <c r="X754" s="5" t="inlineStr"/>
      <c r="Y754" s="5" t="inlineStr"/>
      <c r="Z754" s="6" t="inlineStr"/>
      <c r="AA754" s="5" t="inlineStr"/>
      <c r="AB754" s="5" t="inlineStr"/>
      <c r="AC754" s="5" t="inlineStr"/>
      <c r="AD754" s="5" t="inlineStr"/>
      <c r="AE754" s="5" t="inlineStr"/>
      <c r="AF754" s="5" t="inlineStr"/>
      <c r="AG754" s="5" t="inlineStr"/>
      <c r="AH754" s="5" t="inlineStr"/>
      <c r="AI754" s="5" t="inlineStr"/>
      <c r="AJ754" s="5" t="inlineStr"/>
    </row>
    <row r="755">
      <c r="A755" s="5" t="inlineStr">
        <is>
          <t>b7-ev-esyasi</t>
        </is>
      </c>
      <c r="B755" s="5" t="n">
        <v>3</v>
      </c>
      <c r="C755" s="6" t="inlineStr">
        <is>
          <t>Satış danışmanını hakem yap</t>
        </is>
      </c>
      <c r="D755" s="5" t="inlineStr">
        <is>
          <t>Kurnazlık</t>
        </is>
      </c>
      <c r="E755" s="5" t="inlineStr">
        <is>
          <t>Kolay</t>
        </is>
      </c>
      <c r="F755" s="5" t="inlineStr"/>
      <c r="G755" s="6" t="inlineStr"/>
      <c r="H755" s="6" t="inlineStr">
        <is>
          <t>Danışman senin koltuğunu seçti. Eşin faturayı imzalarken danışmana döndü: “Siz evli misiniz?” “Evet.” “Belli değil.”</t>
        </is>
      </c>
      <c r="I755" s="6" t="inlineStr">
        <is>
          <t>Danışman üçüncü bir koltuk gösterdi; ikiniz aynı anda “Bu” dediniz, üstüne indirim de yaptı. Eve dönerken arabada el ele tuttunuz, koltuktan hiç bahsetmeden.</t>
        </is>
      </c>
      <c r="J755" s="6" t="inlineStr">
        <is>
          <t>Danışman “İkisi de çok güzel” dedi. İkiniz aynı anda “Ama hangisi?” dediniz. Danışman üç çay söyledi.</t>
        </is>
      </c>
      <c r="K755" s="6" t="inlineStr">
        <is>
          <t>Danışman “Bence ikisi de sizin evinize göre değil” dedi. Haklıydı. İkiniz de ona küstünüz; mağazanın önünden hâlâ karşı kaldırımdan geçiyorsunuz.</t>
        </is>
      </c>
      <c r="L755" s="6" t="inlineStr"/>
      <c r="M755" s="5" t="inlineStr"/>
      <c r="N755" s="5" t="inlineStr"/>
      <c r="O755" s="6" t="inlineStr"/>
      <c r="P755" s="6" t="inlineStr"/>
      <c r="Q755" s="5" t="inlineStr"/>
      <c r="R755" s="5" t="inlineStr"/>
      <c r="S755" s="5" t="inlineStr"/>
      <c r="T755" s="5" t="inlineStr"/>
      <c r="U755" s="5" t="inlineStr"/>
      <c r="V755" s="5" t="inlineStr"/>
      <c r="W755" s="5" t="inlineStr"/>
      <c r="X755" s="5" t="inlineStr"/>
      <c r="Y755" s="5" t="inlineStr"/>
      <c r="Z755" s="6" t="inlineStr"/>
      <c r="AA755" s="5" t="inlineStr"/>
      <c r="AB755" s="5" t="inlineStr"/>
      <c r="AC755" s="5" t="inlineStr"/>
      <c r="AD755" s="5" t="inlineStr"/>
      <c r="AE755" s="5" t="inlineStr"/>
      <c r="AF755" s="5" t="inlineStr"/>
      <c r="AG755" s="5" t="inlineStr"/>
      <c r="AH755" s="5" t="inlineStr"/>
      <c r="AI755" s="5" t="inlineStr"/>
      <c r="AJ755" s="5" t="inlineStr"/>
    </row>
    <row r="756">
      <c r="A756" s="5" t="inlineStr">
        <is>
          <t>mb-yillik-izin</t>
        </is>
      </c>
      <c r="B756" s="5" t="n">
        <v>1</v>
      </c>
      <c r="C756" s="6" t="inlineStr">
        <is>
          <t>Kasımda izin al</t>
        </is>
      </c>
      <c r="D756" s="5" t="inlineStr"/>
      <c r="E756" s="5" t="inlineStr"/>
      <c r="F756" s="5" t="inlineStr">
        <is>
          <t>Dayanıklılık +1</t>
        </is>
      </c>
      <c r="G756" s="6" t="inlineStr">
        <is>
          <t>Kasımda izne çıktın. Otel boştu, deniz soğuktu; havuz başındaki tek müşteri sendin, garson seni görünce sevindi. Dönüşte ekip bayram fotoğraflarını gösterdi: hepsi trafikte çekilmiş.</t>
        </is>
      </c>
      <c r="H756" s="6" t="inlineStr"/>
      <c r="I756" s="6" t="inlineStr"/>
      <c r="J756" s="6" t="inlineStr"/>
      <c r="K756" s="6" t="inlineStr"/>
      <c r="L756" s="6" t="inlineStr"/>
      <c r="M756" s="5" t="inlineStr"/>
      <c r="N756" s="5" t="inlineStr"/>
      <c r="O756" s="6" t="inlineStr"/>
      <c r="P756" s="6" t="inlineStr"/>
      <c r="Q756" s="5" t="inlineStr"/>
      <c r="R756" s="5" t="inlineStr"/>
      <c r="S756" s="5" t="inlineStr"/>
      <c r="T756" s="5" t="inlineStr"/>
      <c r="U756" s="5" t="inlineStr"/>
      <c r="V756" s="5" t="inlineStr"/>
      <c r="W756" s="5" t="inlineStr"/>
      <c r="X756" s="5" t="inlineStr"/>
      <c r="Y756" s="5" t="inlineStr"/>
      <c r="Z756" s="6" t="inlineStr"/>
      <c r="AA756" s="5" t="inlineStr"/>
      <c r="AB756" s="5" t="inlineStr"/>
      <c r="AC756" s="5" t="inlineStr"/>
      <c r="AD756" s="5" t="inlineStr"/>
      <c r="AE756" s="5" t="inlineStr"/>
      <c r="AF756" s="5" t="inlineStr"/>
      <c r="AG756" s="5" t="inlineStr"/>
      <c r="AH756" s="5" t="inlineStr"/>
      <c r="AI756" s="5" t="inlineStr"/>
      <c r="AJ756" s="5" t="inlineStr"/>
    </row>
    <row r="757">
      <c r="A757" s="5" t="inlineStr">
        <is>
          <t>mb-yillik-izin</t>
        </is>
      </c>
      <c r="B757" s="5" t="n">
        <v>2</v>
      </c>
      <c r="C757" s="6" t="inlineStr">
        <is>
          <t>Gece yarısı tekrar dene</t>
        </is>
      </c>
      <c r="D757" s="5" t="inlineStr">
        <is>
          <t>Kurnazlık</t>
        </is>
      </c>
      <c r="E757" s="5" t="inlineStr">
        <is>
          <t>Orta</t>
        </is>
      </c>
      <c r="F757" s="5" t="inlineStr"/>
      <c r="G757" s="6" t="inlineStr"/>
      <c r="H757" s="6" t="inlineStr">
        <is>
          <t>Sistem gece 00.03'te açıldı, sen 00.03'teydin. İzin onaylandı.</t>
        </is>
      </c>
      <c r="I757" s="6" t="inlineStr">
        <is>
          <t>Hem bayram köprüsünü hem ardından gelen haftayı kaptın. Sabah ofise girdiğinde kimse “Günaydın” demedi. Yalnızca yöneticin sordu: “Sen gece hiç uyumuyor musun?”</t>
        </is>
      </c>
      <c r="J757" s="6" t="inlineStr">
        <is>
          <t>Sistem açıldı; ekipten biri 00.02'de girmiş. Kim olduğu hâlâ bilinmiyor.</t>
        </is>
      </c>
      <c r="K757" s="6" t="inlineStr">
        <is>
          <t>Gece yarısı başvurdun; ertesi yılın tarihini seçmişsin. Onaylandı.</t>
        </is>
      </c>
      <c r="L757" s="6" t="inlineStr"/>
      <c r="M757" s="5" t="inlineStr"/>
      <c r="N757" s="5" t="inlineStr"/>
      <c r="O757" s="6" t="inlineStr"/>
      <c r="P757" s="6" t="inlineStr"/>
      <c r="Q757" s="5" t="inlineStr"/>
      <c r="R757" s="5" t="inlineStr"/>
      <c r="S757" s="5" t="inlineStr"/>
      <c r="T757" s="5" t="inlineStr"/>
      <c r="U757" s="5" t="inlineStr"/>
      <c r="V757" s="5" t="inlineStr"/>
      <c r="W757" s="5" t="inlineStr"/>
      <c r="X757" s="5" t="inlineStr"/>
      <c r="Y757" s="5" t="inlineStr"/>
      <c r="Z757" s="6" t="inlineStr"/>
      <c r="AA757" s="5" t="inlineStr"/>
      <c r="AB757" s="5" t="inlineStr"/>
      <c r="AC757" s="5" t="inlineStr"/>
      <c r="AD757" s="5" t="inlineStr"/>
      <c r="AE757" s="5" t="inlineStr"/>
      <c r="AF757" s="5" t="inlineStr"/>
      <c r="AG757" s="5" t="inlineStr"/>
      <c r="AH757" s="5" t="inlineStr"/>
      <c r="AI757" s="5" t="inlineStr"/>
      <c r="AJ757" s="5" t="inlineStr"/>
    </row>
    <row r="758">
      <c r="A758" s="5" t="inlineStr">
        <is>
          <t>mb-yillik-izin</t>
        </is>
      </c>
      <c r="B758" s="5" t="n">
        <v>3</v>
      </c>
      <c r="C758" s="6" t="inlineStr">
        <is>
          <t>Yöneticinin izin tarihini öğren, aynısını al</t>
        </is>
      </c>
      <c r="D758" s="5" t="inlineStr">
        <is>
          <t>Sosyal Radar</t>
        </is>
      </c>
      <c r="E758" s="5" t="inlineStr">
        <is>
          <t>Kolay</t>
        </is>
      </c>
      <c r="F758" s="5" t="inlineStr"/>
      <c r="G758" s="6" t="inlineStr"/>
      <c r="H758" s="6" t="inlineStr">
        <is>
          <t>Yöneticin yokken sen de yoktun. Döndüğünde masanda tek satırlık bir not vardı: “Ben de yoktum, bir şey olmadı.”</t>
        </is>
      </c>
      <c r="I758" s="6" t="inlineStr">
        <is>
          <t>Yöneticinle aynı tarihleri aldın, aynı otele düştünüz. Terfi sohbetin şezlongda yapıldı.</t>
        </is>
      </c>
      <c r="J758" s="6" t="inlineStr">
        <is>
          <t>Yöneticin son anda iptal etti. Sen gittin. Her gün seni aradı.</t>
        </is>
      </c>
      <c r="K758" s="6" t="inlineStr">
        <is>
          <t>Yöneticinle aynı tarihleri aldın; ikiniz yokken bütün işler sana yönlendirildi. Tatili şezlongda, dizüstü bilgisayarla geçirdin. Yan şezlongdaki teyze üçüncü gün dayanamadı: “Evladım, sen burada mı çalışıyorsun?”</t>
        </is>
      </c>
      <c r="L758" s="6" t="inlineStr"/>
      <c r="M758" s="5" t="inlineStr"/>
      <c r="N758" s="5" t="inlineStr"/>
      <c r="O758" s="6" t="inlineStr"/>
      <c r="P758" s="6" t="inlineStr"/>
      <c r="Q758" s="5" t="inlineStr"/>
      <c r="R758" s="5" t="inlineStr"/>
      <c r="S758" s="5" t="inlineStr">
        <is>
          <t>Sosyal Radar</t>
        </is>
      </c>
      <c r="T758" s="5" t="inlineStr"/>
      <c r="U758" s="5" t="inlineStr"/>
      <c r="V758" s="5" t="inlineStr"/>
      <c r="W758" s="5" t="inlineStr"/>
      <c r="X758" s="5" t="inlineStr"/>
      <c r="Y758" s="5" t="inlineStr"/>
      <c r="Z758" s="6" t="inlineStr"/>
      <c r="AA758" s="5" t="inlineStr"/>
      <c r="AB758" s="5" t="inlineStr"/>
      <c r="AC758" s="5" t="inlineStr"/>
      <c r="AD758" s="5" t="inlineStr"/>
      <c r="AE758" s="5" t="inlineStr"/>
      <c r="AF758" s="5" t="inlineStr"/>
      <c r="AG758" s="5" t="inlineStr"/>
      <c r="AH758" s="5" t="inlineStr"/>
      <c r="AI758" s="5" t="inlineStr"/>
      <c r="AJ758" s="5" t="inlineStr"/>
    </row>
    <row r="759">
      <c r="A759" s="5" t="inlineStr">
        <is>
          <t>mb-yillik-izin</t>
        </is>
      </c>
      <c r="B759" s="5" t="n">
        <v>4</v>
      </c>
      <c r="C759" s="6" t="inlineStr">
        <is>
          <t>'Bakıcı izinde' gerekçesini sun</t>
        </is>
      </c>
      <c r="D759" s="5" t="inlineStr">
        <is>
          <t>Çene</t>
        </is>
      </c>
      <c r="E759" s="5" t="inlineStr">
        <is>
          <t>Kolay</t>
        </is>
      </c>
      <c r="F759" s="5" t="inlineStr"/>
      <c r="G759" s="6" t="inlineStr"/>
      <c r="H759" s="6" t="inlineStr">
        <is>
          <t>“Bakıcı izinde” dedin. Kimse itiraz edemedi. Bakıcı anneanneydi ve hiç izin almamıştı.</t>
        </is>
      </c>
      <c r="I759" s="6" t="inlineStr">
        <is>
          <t>Gerekçen öyle sağlam çıktı ki şirket küçük çocuklu çalışanlara izinde öncelik kuralı getirdi. Ekipteki bekârlar bayramda sana mesaj atmadı.</t>
        </is>
      </c>
      <c r="J759" s="6" t="inlineStr">
        <is>
          <t>Ekipteki herkesin çocuğu varmış. Kura çekildi.</t>
        </is>
      </c>
      <c r="K759" s="6" t="inlineStr">
        <is>
          <t>İzni aldın. Tatilin ilk sabahı yöneticin görüntülü aradı; telefonu çocuğun kaptı, ekranı yaladı, kapattı. Döndüğünde masanda bir not vardı: “Kısa bir görüşme.”</t>
        </is>
      </c>
      <c r="L759" s="6" t="inlineStr"/>
      <c r="M759" s="5" t="inlineStr"/>
      <c r="N759" s="5" t="inlineStr"/>
      <c r="O759" s="6" t="inlineStr"/>
      <c r="P759" s="6" t="inlineStr"/>
      <c r="Q759" s="5" t="inlineStr"/>
      <c r="R759" s="5" t="inlineStr">
        <is>
          <t>cocuklu</t>
        </is>
      </c>
      <c r="S759" s="5" t="inlineStr"/>
      <c r="T759" s="5" t="inlineStr"/>
      <c r="U759" s="5" t="inlineStr"/>
      <c r="V759" s="5" t="inlineStr"/>
      <c r="W759" s="5" t="inlineStr"/>
      <c r="X759" s="5" t="inlineStr"/>
      <c r="Y759" s="5" t="inlineStr"/>
      <c r="Z759" s="6" t="inlineStr"/>
      <c r="AA759" s="5" t="inlineStr"/>
      <c r="AB759" s="5" t="inlineStr"/>
      <c r="AC759" s="5" t="inlineStr"/>
      <c r="AD759" s="5" t="inlineStr"/>
      <c r="AE759" s="5" t="inlineStr"/>
      <c r="AF759" s="5" t="inlineStr"/>
      <c r="AG759" s="5" t="inlineStr"/>
      <c r="AH759" s="5" t="inlineStr"/>
      <c r="AI759" s="5" t="inlineStr"/>
      <c r="AJ759" s="5" t="inlineStr"/>
    </row>
    <row r="760">
      <c r="A760" s="5" t="inlineStr">
        <is>
          <t>mb-yillik-izin</t>
        </is>
      </c>
      <c r="B760" s="5" t="n">
        <v>5</v>
      </c>
      <c r="C760" s="6" t="inlineStr">
        <is>
          <t>Yöneticiyle yüz yüze pazarlık et</t>
        </is>
      </c>
      <c r="D760" s="5" t="inlineStr">
        <is>
          <t>Cesaret</t>
        </is>
      </c>
      <c r="E760" s="5" t="inlineStr">
        <is>
          <t>Orta</t>
        </is>
      </c>
      <c r="F760" s="5" t="inlineStr"/>
      <c r="G760" s="6" t="inlineStr"/>
      <c r="H760" s="6" t="inlineStr">
        <is>
          <t>Beş gün istedin, dört gün aldın. İstediğin zaten dört gündü.</t>
        </is>
      </c>
      <c r="I760" s="6" t="inlineStr">
        <is>
          <t>Yöneticin izni imzaladı, üstüne “Bu arada telefona da bakma” dedi. Bakmadın. Döndüğünde ekip seni kapıda karşıladı: “Nasıl yaptın?” Söylemedin.</t>
        </is>
      </c>
      <c r="J760" s="6" t="inlineStr">
        <is>
          <t>Pazarlık ettin; iznin 'takvim uygunsa' onaylandı. Takvim hiç uygun olmadı.</t>
        </is>
      </c>
      <c r="K760" s="6" t="inlineStr">
        <is>
          <t>Pazarlık uzadı. İzin başvurusu yerine yıllık hedeflerin görüşüldü. Hedefler arttı.</t>
        </is>
      </c>
      <c r="L760" s="6" t="inlineStr"/>
      <c r="M760" s="5" t="inlineStr"/>
      <c r="N760" s="5" t="inlineStr"/>
      <c r="O760" s="6" t="inlineStr"/>
      <c r="P760" s="6" t="inlineStr"/>
      <c r="Q760" s="5" t="inlineStr">
        <is>
          <t>Sözünü Geçirir</t>
        </is>
      </c>
      <c r="R760" s="5" t="inlineStr"/>
      <c r="S760" s="5" t="inlineStr"/>
      <c r="T760" s="5" t="inlineStr"/>
      <c r="U760" s="5" t="inlineStr"/>
      <c r="V760" s="5" t="inlineStr"/>
      <c r="W760" s="5" t="inlineStr"/>
      <c r="X760" s="5" t="inlineStr"/>
      <c r="Y760" s="5" t="inlineStr"/>
      <c r="Z760" s="6" t="inlineStr"/>
      <c r="AA760" s="5" t="inlineStr"/>
      <c r="AB760" s="5" t="inlineStr"/>
      <c r="AC760" s="5" t="inlineStr"/>
      <c r="AD760" s="5" t="inlineStr"/>
      <c r="AE760" s="5" t="inlineStr"/>
      <c r="AF760" s="5" t="inlineStr"/>
      <c r="AG760" s="5" t="inlineStr"/>
      <c r="AH760" s="5" t="inlineStr"/>
      <c r="AI760" s="5" t="inlineStr"/>
      <c r="AJ760" s="5" t="inlineStr"/>
    </row>
    <row r="761">
      <c r="A761" s="5" t="inlineStr">
        <is>
          <t>me-cirak</t>
        </is>
      </c>
      <c r="B761" s="5" t="n">
        <v>1</v>
      </c>
      <c r="C761" s="6" t="inlineStr">
        <is>
          <t>Deneme süresi ver</t>
        </is>
      </c>
      <c r="D761" s="5" t="inlineStr"/>
      <c r="E761" s="5" t="inlineStr"/>
      <c r="F761" s="5" t="inlineStr">
        <is>
          <t>Akıl +1, Kurnazlık +1</t>
        </is>
      </c>
      <c r="G761" s="6" t="inlineStr">
        <is>
          <t>Üç aylık deneme verdin. Çırak da seni üç ay denedi. İkiniz de geçtiniz.</t>
        </is>
      </c>
      <c r="H761" s="6" t="inlineStr"/>
      <c r="I761" s="6" t="inlineStr"/>
      <c r="J761" s="6" t="inlineStr"/>
      <c r="K761" s="6" t="inlineStr"/>
      <c r="L761" s="6" t="inlineStr"/>
      <c r="M761" s="5" t="inlineStr"/>
      <c r="N761" s="5" t="inlineStr"/>
      <c r="O761" s="6" t="inlineStr"/>
      <c r="P761" s="6" t="inlineStr"/>
      <c r="Q761" s="5" t="inlineStr"/>
      <c r="R761" s="5" t="inlineStr"/>
      <c r="S761" s="5" t="inlineStr"/>
      <c r="T761" s="5" t="inlineStr"/>
      <c r="U761" s="5" t="inlineStr">
        <is>
          <t>esnaf-cirak</t>
        </is>
      </c>
      <c r="V761" s="5" t="inlineStr"/>
      <c r="W761" s="5" t="inlineStr"/>
      <c r="X761" s="5" t="inlineStr"/>
      <c r="Y761" s="5" t="inlineStr"/>
      <c r="Z761" s="6" t="inlineStr"/>
      <c r="AA761" s="5" t="inlineStr"/>
      <c r="AB761" s="5" t="inlineStr"/>
      <c r="AC761" s="5" t="inlineStr"/>
      <c r="AD761" s="5" t="inlineStr"/>
      <c r="AE761" s="5" t="inlineStr"/>
      <c r="AF761" s="5" t="inlineStr"/>
      <c r="AG761" s="5" t="inlineStr"/>
      <c r="AH761" s="5" t="inlineStr"/>
      <c r="AI761" s="5" t="inlineStr"/>
      <c r="AJ761" s="5" t="inlineStr"/>
    </row>
    <row r="762">
      <c r="A762" s="5" t="inlineStr">
        <is>
          <t>me-cirak</t>
        </is>
      </c>
      <c r="B762" s="5" t="n">
        <v>2</v>
      </c>
      <c r="C762" s="6" t="inlineStr">
        <is>
          <t>İşe al, her şeyi öğret</t>
        </is>
      </c>
      <c r="D762" s="5" t="inlineStr">
        <is>
          <t>İtibar</t>
        </is>
      </c>
      <c r="E762" s="5" t="inlineStr">
        <is>
          <t>Orta</t>
        </is>
      </c>
      <c r="F762" s="5" t="inlineStr"/>
      <c r="G762" s="6" t="inlineStr"/>
      <c r="H762" s="6" t="inlineStr">
        <is>
          <t>Kasayı, defteri ve müşteri sabrını öğrettin. Üçüncüsü en uzun sürdü.</t>
        </is>
      </c>
      <c r="I762" s="6" t="inlineStr">
        <is>
          <t>Çırak altı ayda işi kaptı, bir yılda sana bir şeyler öğretmeye başladı. Mesela telefonunun ayarlarını.</t>
        </is>
      </c>
      <c r="J762" s="6" t="inlineStr">
        <is>
          <t>Öğrettin, öğrettin. Bir ay sonra askerlik celbi geldi; uğurlamasında sen de vardın. Dönünce uğramadı; ama annesi her bayram bir tabak baklava gönderiyor.</t>
        </is>
      </c>
      <c r="K762" s="6" t="inlineStr">
        <is>
          <t>Her şeyi öğrettin, en son veresiye defterini. Çırak karşı sokakta dükkân açtı ve ilk iş defterdekileri aradı: “Ustanın fiyatından beş aşağı.”</t>
        </is>
      </c>
      <c r="L762" s="6" t="inlineStr"/>
      <c r="M762" s="5" t="inlineStr"/>
      <c r="N762" s="5" t="inlineStr"/>
      <c r="O762" s="6" t="inlineStr"/>
      <c r="P762" s="6" t="inlineStr"/>
      <c r="Q762" s="5" t="inlineStr"/>
      <c r="R762" s="5" t="inlineStr"/>
      <c r="S762" s="5" t="inlineStr"/>
      <c r="T762" s="5" t="inlineStr"/>
      <c r="U762" s="5" t="inlineStr"/>
      <c r="V762" s="5" t="inlineStr">
        <is>
          <t>esnaf-cirak</t>
        </is>
      </c>
      <c r="W762" s="5" t="inlineStr"/>
      <c r="X762" s="5" t="inlineStr"/>
      <c r="Y762" s="5" t="inlineStr"/>
      <c r="Z762" s="6" t="inlineStr"/>
      <c r="AA762" s="5" t="inlineStr"/>
      <c r="AB762" s="5" t="inlineStr"/>
      <c r="AC762" s="5" t="inlineStr"/>
      <c r="AD762" s="5" t="inlineStr"/>
      <c r="AE762" s="5" t="inlineStr"/>
      <c r="AF762" s="5" t="inlineStr"/>
      <c r="AG762" s="5" t="inlineStr"/>
      <c r="AH762" s="5" t="inlineStr"/>
      <c r="AI762" s="5" t="inlineStr"/>
      <c r="AJ762" s="5" t="inlineStr"/>
    </row>
    <row r="763">
      <c r="A763" s="5" t="inlineStr">
        <is>
          <t>me-cirak</t>
        </is>
      </c>
      <c r="B763" s="5" t="n">
        <v>3</v>
      </c>
      <c r="C763" s="6" t="inlineStr">
        <is>
          <t>'Etiketleri sen de gördün, değil mi?' de</t>
        </is>
      </c>
      <c r="D763" s="5" t="inlineStr">
        <is>
          <t>Sosyal Radar</t>
        </is>
      </c>
      <c r="E763" s="5" t="inlineStr">
        <is>
          <t>Kolay</t>
        </is>
      </c>
      <c r="F763" s="5" t="inlineStr"/>
      <c r="G763" s="6" t="inlineStr"/>
      <c r="H763" s="6" t="inlineStr">
        <is>
          <t>Çırağı etiket sorumlusu yaptın. Dükkânın fiyatları ilk kez birbiriyle tutarlı.</t>
        </is>
      </c>
      <c r="I763" s="6" t="inlineStr">
        <is>
          <t>Çırak vitrini, stoku ve etiketleri baştan düzenledi. Ciro arttı, senin gözlük ihtiyacın azaldı.</t>
        </is>
      </c>
      <c r="J763" s="6" t="inlineStr">
        <is>
          <t>“Hangi etiketler?” dedi. Gösterdin; yanlışları değil, doğruları göstermişsin.</t>
        </is>
      </c>
      <c r="K763" s="6" t="inlineStr">
        <is>
          <t>Çırak etiketleri düzeltti; ters yöne. Bir hafta boyunca en ucuz ürün, en pahalı üründü.</t>
        </is>
      </c>
      <c r="L763" s="6" t="inlineStr"/>
      <c r="M763" s="5" t="inlineStr"/>
      <c r="N763" s="5" t="inlineStr"/>
      <c r="O763" s="6" t="inlineStr"/>
      <c r="P763" s="6" t="inlineStr"/>
      <c r="Q763" s="5" t="inlineStr"/>
      <c r="R763" s="5" t="inlineStr"/>
      <c r="S763" s="5" t="inlineStr">
        <is>
          <t>Sosyal Radar</t>
        </is>
      </c>
      <c r="T763" s="5" t="inlineStr"/>
      <c r="U763" s="5" t="inlineStr"/>
      <c r="V763" s="5" t="inlineStr">
        <is>
          <t>esnaf-cirak</t>
        </is>
      </c>
      <c r="W763" s="5" t="inlineStr"/>
      <c r="X763" s="5" t="inlineStr"/>
      <c r="Y763" s="5" t="inlineStr"/>
      <c r="Z763" s="6" t="inlineStr"/>
      <c r="AA763" s="5" t="inlineStr"/>
      <c r="AB763" s="5" t="inlineStr"/>
      <c r="AC763" s="5" t="inlineStr"/>
      <c r="AD763" s="5" t="inlineStr"/>
      <c r="AE763" s="5" t="inlineStr"/>
      <c r="AF763" s="5" t="inlineStr"/>
      <c r="AG763" s="5" t="inlineStr"/>
      <c r="AH763" s="5" t="inlineStr"/>
      <c r="AI763" s="5" t="inlineStr"/>
      <c r="AJ763" s="5" t="inlineStr"/>
    </row>
    <row r="764">
      <c r="A764" s="5" t="inlineStr">
        <is>
          <t>me-cirak</t>
        </is>
      </c>
      <c r="B764" s="5" t="n">
        <v>4</v>
      </c>
      <c r="C764" s="6" t="inlineStr">
        <is>
          <t>'Kendim yeterim' de</t>
        </is>
      </c>
      <c r="D764" s="5" t="inlineStr"/>
      <c r="E764" s="5" t="inlineStr"/>
      <c r="F764" s="5" t="inlineStr">
        <is>
          <t>Dayanıklılık +1</t>
        </is>
      </c>
      <c r="G764" s="6" t="inlineStr">
        <is>
          <t>“Kendim yeterim” dedin. Baba “Peki usta” deyip çocuğu karşıdaki tamirciye götürdü. Bir ay sonra çırak önünden tulumla geçti, sana el salladı; tulum ona yakışmıştı.</t>
        </is>
      </c>
      <c r="H764" s="6" t="inlineStr"/>
      <c r="I764" s="6" t="inlineStr"/>
      <c r="J764" s="6" t="inlineStr"/>
      <c r="K764" s="6" t="inlineStr"/>
      <c r="L764" s="6" t="inlineStr"/>
      <c r="M764" s="5" t="inlineStr"/>
      <c r="N764" s="5" t="inlineStr"/>
      <c r="O764" s="6" t="inlineStr"/>
      <c r="P764" s="6" t="inlineStr"/>
      <c r="Q764" s="5" t="inlineStr"/>
      <c r="R764" s="5" t="inlineStr"/>
      <c r="S764" s="5" t="inlineStr"/>
      <c r="T764" s="5" t="inlineStr"/>
      <c r="U764" s="5" t="inlineStr"/>
      <c r="V764" s="5" t="inlineStr"/>
      <c r="W764" s="5" t="inlineStr"/>
      <c r="X764" s="5" t="inlineStr"/>
      <c r="Y764" s="5" t="inlineStr"/>
      <c r="Z764" s="6" t="inlineStr"/>
      <c r="AA764" s="5" t="inlineStr"/>
      <c r="AB764" s="5" t="inlineStr"/>
      <c r="AC764" s="5" t="inlineStr"/>
      <c r="AD764" s="5" t="inlineStr"/>
      <c r="AE764" s="5" t="inlineStr"/>
      <c r="AF764" s="5" t="inlineStr"/>
      <c r="AG764" s="5" t="inlineStr"/>
      <c r="AH764" s="5" t="inlineStr"/>
      <c r="AI764" s="5" t="inlineStr"/>
      <c r="AJ764" s="5" t="inlineStr"/>
    </row>
    <row r="765">
      <c r="A765" s="5" t="inlineStr">
        <is>
          <t>b7-ev-kredisi</t>
        </is>
      </c>
      <c r="B765" s="5" t="n">
        <v>1</v>
      </c>
      <c r="C765" s="6" t="inlineStr">
        <is>
          <t>Kirada kal</t>
        </is>
      </c>
      <c r="D765" s="5" t="inlineStr"/>
      <c r="E765" s="5" t="inlineStr"/>
      <c r="F765" s="5" t="inlineStr">
        <is>
          <t>Akıl +1, Dayanıklılık +1</t>
        </is>
      </c>
      <c r="G765" s="6" t="inlineStr">
        <is>
          <t>Kirada kalmaya karar verdin. Parayla değil, esnekliğinle övünüyorsun. Ev sahibi de esnek; her yıl kirayı esnetiyor.</t>
        </is>
      </c>
      <c r="H765" s="6" t="inlineStr"/>
      <c r="I765" s="6" t="inlineStr"/>
      <c r="J765" s="6" t="inlineStr"/>
      <c r="K765" s="6" t="inlineStr"/>
      <c r="L765" s="6" t="inlineStr"/>
      <c r="M765" s="5" t="inlineStr"/>
      <c r="N765" s="5" t="inlineStr"/>
      <c r="O765" s="6" t="inlineStr"/>
      <c r="P765" s="6" t="inlineStr"/>
      <c r="Q765" s="5" t="inlineStr"/>
      <c r="R765" s="5" t="inlineStr"/>
      <c r="S765" s="5" t="inlineStr"/>
      <c r="T765" s="5" t="inlineStr"/>
      <c r="U765" s="5" t="inlineStr">
        <is>
          <t>kiraci-kaldi</t>
        </is>
      </c>
      <c r="V765" s="5" t="inlineStr"/>
      <c r="W765" s="5" t="inlineStr"/>
      <c r="X765" s="5" t="inlineStr"/>
      <c r="Y765" s="5" t="inlineStr"/>
      <c r="Z765" s="6" t="inlineStr"/>
      <c r="AA765" s="5" t="inlineStr"/>
      <c r="AB765" s="5" t="inlineStr"/>
      <c r="AC765" s="5" t="inlineStr"/>
      <c r="AD765" s="5" t="inlineStr"/>
      <c r="AE765" s="5" t="inlineStr"/>
      <c r="AF765" s="5" t="inlineStr"/>
      <c r="AG765" s="5" t="inlineStr"/>
      <c r="AH765" s="5" t="inlineStr"/>
      <c r="AI765" s="5" t="inlineStr"/>
      <c r="AJ765" s="5" t="inlineStr"/>
    </row>
    <row r="766">
      <c r="A766" s="5" t="inlineStr">
        <is>
          <t>b7-ev-kredisi</t>
        </is>
      </c>
      <c r="B766" s="5" t="n">
        <v>2</v>
      </c>
      <c r="C766" s="6" t="inlineStr">
        <is>
          <t>Krediyle al, satıcıyla pazarlık et</t>
        </is>
      </c>
      <c r="D766" s="5" t="inlineStr">
        <is>
          <t>Çene</t>
        </is>
      </c>
      <c r="E766" s="5" t="inlineStr">
        <is>
          <t>Zor</t>
        </is>
      </c>
      <c r="F766" s="5" t="inlineStr"/>
      <c r="G766" s="6" t="inlineStr"/>
      <c r="H766" s="6" t="inlineStr">
        <is>
          <t>Fiyatı indirdin, krediyi aldın, anahtarı teslim aldın. Annen tapunun fotoğrafını aile grubuna attı; altına üç kalp, bir de “Nazar değmesin.”</t>
        </is>
      </c>
      <c r="I766" s="6" t="inlineStr">
        <is>
          <t>Pazarlık o kadar iyi gitti ki satıcı perdeleri ve bir koltuğu da bıraktı. Koltuk kötü ama ücretsiz.</t>
        </is>
      </c>
      <c r="J766" s="6" t="inlineStr">
        <is>
          <t>Satıcı rakamda direndi; anlaşma olmadı. Akşam annen telefonda tek cümle kurdu: “Kiraya verilen para sokağa atılan paradır.” Bu ay da sokağa attın.</t>
        </is>
      </c>
      <c r="K766" s="6" t="inlineStr">
        <is>
          <t>“Son sözüm bu” deyip masadan kalktın; satıcının arkandan koşacağını sandın. Koşmadı. Kapıdaki çifte “Buyurun” dedi; telefonunda hâlâ salonun ölçüleri var.</t>
        </is>
      </c>
      <c r="L766" s="6" t="inlineStr">
        <is>
          <t>Fiyatı biraz indirdin. Kredi onaylandı, vade bir yıl uzadı. Ev senin; biraz da bankanın.</t>
        </is>
      </c>
      <c r="M766" s="5" t="inlineStr">
        <is>
          <t>duel</t>
        </is>
      </c>
      <c r="N766" s="5" t="inlineStr">
        <is>
          <t>Ev Pazarlığı</t>
        </is>
      </c>
      <c r="O766" s="6" t="inlineStr">
        <is>
          <t>Karşındakinin sabrı bitmeden en iyi cevabı seç.</t>
        </is>
      </c>
      <c r="P766" s="6" t="inlineStr">
        <is>
          <t>{"who": "Satıcı", "item": "ev", "mode": "buy"}</t>
        </is>
      </c>
      <c r="Q766" s="5" t="inlineStr"/>
      <c r="R766" s="5" t="inlineStr"/>
      <c r="S766" s="5" t="inlineStr"/>
      <c r="T766" s="5" t="inlineStr"/>
      <c r="U766" s="5" t="inlineStr"/>
      <c r="V766" s="5" t="inlineStr">
        <is>
          <t>ev-sahibi</t>
        </is>
      </c>
      <c r="W766" s="5" t="inlineStr"/>
      <c r="X766" s="5" t="inlineStr"/>
      <c r="Y766" s="5" t="inlineStr"/>
      <c r="Z766" s="6" t="inlineStr"/>
      <c r="AA766" s="5" t="inlineStr"/>
      <c r="AB766" s="5" t="inlineStr">
        <is>
          <t>kiraci-kaldi</t>
        </is>
      </c>
      <c r="AC766" s="5" t="inlineStr">
        <is>
          <t>Orta</t>
        </is>
      </c>
      <c r="AD766" s="5" t="inlineStr"/>
      <c r="AE766" s="5" t="inlineStr"/>
      <c r="AF766" s="5" t="n">
        <v>1</v>
      </c>
      <c r="AG766" s="5" t="inlineStr"/>
      <c r="AH766" s="5" t="inlineStr"/>
      <c r="AI766" s="5" t="inlineStr"/>
      <c r="AJ766" s="5" t="inlineStr"/>
    </row>
    <row r="767">
      <c r="A767" s="5" t="inlineStr">
        <is>
          <t>b7-ev-kredisi</t>
        </is>
      </c>
      <c r="B767" s="5" t="n">
        <v>3</v>
      </c>
      <c r="C767" s="6" t="inlineStr">
        <is>
          <t>Ailenin yardımıyla al</t>
        </is>
      </c>
      <c r="D767" s="5" t="inlineStr"/>
      <c r="E767" s="5" t="inlineStr"/>
      <c r="F767" s="5" t="inlineStr">
        <is>
          <t>İtibar +1, Sosyal Radar +1</t>
        </is>
      </c>
      <c r="G767" s="6" t="inlineStr">
        <is>
          <t>Baban “Bizden sana” dedi ve tapuyu uzattı; anahtarın yedeği annende kaldı. Ev senin, pazar günleri onların. Her pazar habersiz gelen misafirlerin var; yemek de getiriyorlar.</t>
        </is>
      </c>
      <c r="H767" s="6" t="inlineStr"/>
      <c r="I767" s="6" t="inlineStr"/>
      <c r="J767" s="6" t="inlineStr"/>
      <c r="K767" s="6" t="inlineStr"/>
      <c r="L767" s="6" t="inlineStr"/>
      <c r="M767" s="5" t="inlineStr"/>
      <c r="N767" s="5" t="inlineStr"/>
      <c r="O767" s="6" t="inlineStr"/>
      <c r="P767" s="6" t="inlineStr"/>
      <c r="Q767" s="5" t="inlineStr"/>
      <c r="R767" s="5" t="inlineStr"/>
      <c r="S767" s="5" t="inlineStr"/>
      <c r="T767" s="5" t="inlineStr"/>
      <c r="U767" s="5" t="inlineStr">
        <is>
          <t>ev-sahibi, aile-yardimi-ev</t>
        </is>
      </c>
      <c r="V767" s="5" t="inlineStr"/>
      <c r="W767" s="5" t="inlineStr"/>
      <c r="X767" s="5" t="inlineStr"/>
      <c r="Y767" s="5" t="inlineStr"/>
      <c r="Z767" s="6" t="inlineStr"/>
      <c r="AA767" s="5" t="inlineStr">
        <is>
          <t>hepsi +1</t>
        </is>
      </c>
      <c r="AB767" s="5" t="inlineStr"/>
      <c r="AC767" s="5" t="inlineStr">
        <is>
          <t>Rahat</t>
        </is>
      </c>
      <c r="AD767" s="5" t="inlineStr"/>
      <c r="AE767" s="5" t="inlineStr">
        <is>
          <t>Tam</t>
        </is>
      </c>
      <c r="AF767" s="5" t="inlineStr"/>
      <c r="AG767" s="5" t="inlineStr"/>
      <c r="AH767" s="5" t="inlineStr"/>
      <c r="AI767" s="5" t="inlineStr"/>
      <c r="AJ767" s="5" t="inlineStr"/>
    </row>
    <row r="768">
      <c r="A768" s="5" t="inlineStr">
        <is>
          <t>b7-ev-kredisi</t>
        </is>
      </c>
      <c r="B768" s="5" t="n">
        <v>4</v>
      </c>
      <c r="C768" s="6" t="inlineStr">
        <is>
          <t>Peşin öde</t>
        </is>
      </c>
      <c r="D768" s="5" t="inlineStr"/>
      <c r="E768" s="5" t="inlineStr"/>
      <c r="F768" s="5" t="inlineStr">
        <is>
          <t>Pişkinlik +1, Kurnazlık +1</t>
        </is>
      </c>
      <c r="G768" s="6" t="inlineStr">
        <is>
          <t>Peşin ödedin. Emlakçı ilk kez sustu; banka temsilcisi ilk kez aradı. Tapuda kimse soru sormadı, sen de cevap vermedin.</t>
        </is>
      </c>
      <c r="H768" s="6" t="inlineStr"/>
      <c r="I768" s="6" t="inlineStr"/>
      <c r="J768" s="6" t="inlineStr"/>
      <c r="K768" s="6" t="inlineStr"/>
      <c r="L768" s="6" t="inlineStr"/>
      <c r="M768" s="5" t="inlineStr"/>
      <c r="N768" s="5" t="inlineStr"/>
      <c r="O768" s="6" t="inlineStr"/>
      <c r="P768" s="6" t="inlineStr"/>
      <c r="Q768" s="5" t="inlineStr"/>
      <c r="R768" s="5" t="inlineStr"/>
      <c r="S768" s="5" t="inlineStr"/>
      <c r="T768" s="5" t="inlineStr"/>
      <c r="U768" s="5" t="inlineStr">
        <is>
          <t>ev-sahibi</t>
        </is>
      </c>
      <c r="V768" s="5" t="inlineStr"/>
      <c r="W768" s="5" t="inlineStr"/>
      <c r="X768" s="5" t="inlineStr"/>
      <c r="Y768" s="5" t="inlineStr"/>
      <c r="Z768" s="6" t="inlineStr"/>
      <c r="AA768" s="5" t="inlineStr"/>
      <c r="AB768" s="5" t="inlineStr"/>
      <c r="AC768" s="5" t="inlineStr">
        <is>
          <t>Varlıklı</t>
        </is>
      </c>
      <c r="AD768" s="5" t="inlineStr"/>
      <c r="AE768" s="5" t="inlineStr"/>
      <c r="AF768" s="5" t="inlineStr"/>
      <c r="AG768" s="5" t="inlineStr"/>
      <c r="AH768" s="5" t="inlineStr"/>
      <c r="AI768" s="5" t="inlineStr"/>
      <c r="AJ768" s="5" t="inlineStr"/>
    </row>
    <row r="769">
      <c r="A769" s="5" t="inlineStr">
        <is>
          <t>b7-ev-kredisi</t>
        </is>
      </c>
      <c r="B769" s="5" t="n">
        <v>5</v>
      </c>
      <c r="C769" s="6" t="inlineStr">
        <is>
          <t>Nakitle al, kaynağını sorma</t>
        </is>
      </c>
      <c r="D769" s="5" t="inlineStr">
        <is>
          <t>Kurnazlık</t>
        </is>
      </c>
      <c r="E769" s="5" t="inlineStr">
        <is>
          <t>Zor</t>
        </is>
      </c>
      <c r="F769" s="5" t="inlineStr"/>
      <c r="G769" s="6" t="inlineStr"/>
      <c r="H769" s="6" t="inlineStr">
        <is>
          <t>Çantayla gittin, tapuyla döndün. Tapu memuru çantaya baktı, sonra saatine baktı, sonra imzaladı.</t>
        </is>
      </c>
      <c r="I769" s="6" t="inlineStr">
        <is>
          <t>Satıcı nakdi görünce bir de yazlığını önerdi. Aldın mı? Bunu sadece sen ve çanta biliyor.</t>
        </is>
      </c>
      <c r="J769" s="6" t="inlineStr">
        <is>
          <t>Tapu müdürü paranın kaynağını sordu. “Tasarruf” dedin. Müdür güldü, işlemi erteledi.</t>
        </is>
      </c>
      <c r="K769" s="6" t="inlineStr">
        <is>
          <t>Tapu dairesinin önünde bir tanıdık müfettişle karşılaştın; çanta elindeydi. Sorusu kısaydı, cevabın daha kısa.</t>
        </is>
      </c>
      <c r="L769" s="6" t="inlineStr"/>
      <c r="M769" s="5" t="inlineStr"/>
      <c r="N769" s="5" t="inlineStr"/>
      <c r="O769" s="6" t="inlineStr"/>
      <c r="P769" s="6" t="inlineStr"/>
      <c r="Q769" s="5" t="inlineStr"/>
      <c r="R769" s="5" t="inlineStr">
        <is>
          <t>hat-cete</t>
        </is>
      </c>
      <c r="S769" s="5" t="inlineStr"/>
      <c r="T769" s="5" t="inlineStr"/>
      <c r="U769" s="5" t="inlineStr"/>
      <c r="V769" s="5" t="inlineStr">
        <is>
          <t>ev-sahibi</t>
        </is>
      </c>
      <c r="W769" s="5" t="inlineStr">
        <is>
          <t>hapis</t>
        </is>
      </c>
      <c r="X769" s="5" t="inlineStr"/>
      <c r="Y769" s="5" t="n">
        <v>3</v>
      </c>
      <c r="Z769" s="6" t="inlineStr">
        <is>
          <t>Kaynağı sorulmayan nakitle alınan evin eski sahibiyle merdivende “dostça” pazarlıkta. Pazarlık yarım kaldı.</t>
        </is>
      </c>
      <c r="AA769" s="5" t="inlineStr"/>
      <c r="AB769" s="5" t="inlineStr">
        <is>
          <t>kiraci-kaldi</t>
        </is>
      </c>
      <c r="AC769" s="5" t="inlineStr">
        <is>
          <t>Rahat</t>
        </is>
      </c>
      <c r="AD769" s="5" t="inlineStr"/>
      <c r="AE769" s="5" t="inlineStr"/>
      <c r="AF769" s="5" t="inlineStr"/>
      <c r="AG769" s="5" t="inlineStr"/>
      <c r="AH769" s="5" t="inlineStr"/>
      <c r="AI769" s="5" t="inlineStr"/>
      <c r="AJ769" s="5" t="inlineStr"/>
    </row>
    <row r="770">
      <c r="A770" s="5" t="inlineStr">
        <is>
          <t>b7-ev-kredisi</t>
        </is>
      </c>
      <c r="B770" s="5" t="n">
        <v>6</v>
      </c>
      <c r="C770" s="6" t="inlineStr">
        <is>
          <t>Ailenin dairesinde kalmaya devam et</t>
        </is>
      </c>
      <c r="D770" s="5" t="inlineStr"/>
      <c r="E770" s="5" t="inlineStr"/>
      <c r="F770" s="5" t="inlineStr">
        <is>
          <t>İtibar +1, Kurnazlık +1</t>
        </is>
      </c>
      <c r="G770" s="6" t="inlineStr">
        <is>
          <t>Tapu hâlâ babanda, anahtar hâlâ sende. Kira yok, kredi yok; sadece babanın “Duvara çivi çakma” telefonları var.</t>
        </is>
      </c>
      <c r="H770" s="6" t="inlineStr"/>
      <c r="I770" s="6" t="inlineStr"/>
      <c r="J770" s="6" t="inlineStr"/>
      <c r="K770" s="6" t="inlineStr"/>
      <c r="L770" s="6" t="inlineStr"/>
      <c r="M770" s="5" t="inlineStr"/>
      <c r="N770" s="5" t="inlineStr"/>
      <c r="O770" s="6" t="inlineStr"/>
      <c r="P770" s="6" t="inlineStr"/>
      <c r="Q770" s="5" t="inlineStr"/>
      <c r="R770" s="5" t="inlineStr">
        <is>
          <t>aile-dairesi</t>
        </is>
      </c>
      <c r="S770" s="5" t="inlineStr"/>
      <c r="T770" s="5" t="inlineStr"/>
      <c r="U770" s="5" t="inlineStr">
        <is>
          <t>aile-dairesi</t>
        </is>
      </c>
      <c r="V770" s="5" t="inlineStr"/>
      <c r="W770" s="5" t="inlineStr"/>
      <c r="X770" s="5" t="inlineStr"/>
      <c r="Y770" s="5" t="inlineStr"/>
      <c r="Z770" s="6" t="inlineStr"/>
      <c r="AA770" s="5" t="inlineStr"/>
      <c r="AB770" s="5" t="inlineStr"/>
      <c r="AC770" s="5" t="inlineStr"/>
      <c r="AD770" s="5" t="inlineStr"/>
      <c r="AE770" s="5" t="inlineStr"/>
      <c r="AF770" s="5" t="inlineStr"/>
      <c r="AG770" s="5" t="inlineStr"/>
      <c r="AH770" s="5" t="inlineStr"/>
      <c r="AI770" s="5" t="inlineStr"/>
      <c r="AJ770" s="5" t="inlineStr"/>
    </row>
    <row r="771">
      <c r="A771" s="5" t="inlineStr">
        <is>
          <t>b7-ev-kredisi</t>
        </is>
      </c>
      <c r="B771" s="5" t="n">
        <v>7</v>
      </c>
      <c r="C771" s="6" t="inlineStr">
        <is>
          <t>Annenin evinde kal</t>
        </is>
      </c>
      <c r="D771" s="5" t="inlineStr"/>
      <c r="E771" s="5" t="inlineStr"/>
      <c r="F771" s="5" t="inlineStr">
        <is>
          <t>İtibar +1, Dayanıklılık +1</t>
        </is>
      </c>
      <c r="G771" s="6" t="inlineStr">
        <is>
          <t>Ev almana gerek yok; odan hâlâ senin, dolabın hâlâ annenin. Kredi tablosunu annen katlayıp mutfak çekmecesine koydu; tarif kâğıtlarının yanına.</t>
        </is>
      </c>
      <c r="H771" s="6" t="inlineStr"/>
      <c r="I771" s="6" t="inlineStr"/>
      <c r="J771" s="6" t="inlineStr"/>
      <c r="K771" s="6" t="inlineStr"/>
      <c r="L771" s="6" t="inlineStr"/>
      <c r="M771" s="5" t="inlineStr"/>
      <c r="N771" s="5" t="inlineStr"/>
      <c r="O771" s="6" t="inlineStr"/>
      <c r="P771" s="6" t="inlineStr"/>
      <c r="Q771" s="5" t="inlineStr"/>
      <c r="R771" s="5" t="inlineStr">
        <is>
          <t>evde-kaldi</t>
        </is>
      </c>
      <c r="S771" s="5" t="inlineStr"/>
      <c r="T771" s="5" t="inlineStr"/>
      <c r="U771" s="5" t="inlineStr">
        <is>
          <t>evin-oglu</t>
        </is>
      </c>
      <c r="V771" s="5" t="inlineStr"/>
      <c r="W771" s="5" t="inlineStr"/>
      <c r="X771" s="5" t="inlineStr"/>
      <c r="Y771" s="5" t="inlineStr"/>
      <c r="Z771" s="6" t="inlineStr"/>
      <c r="AA771" s="5" t="inlineStr"/>
      <c r="AB771" s="5" t="inlineStr"/>
      <c r="AC771" s="5" t="inlineStr"/>
      <c r="AD771" s="5" t="inlineStr"/>
      <c r="AE771" s="5" t="inlineStr"/>
      <c r="AF771" s="5" t="inlineStr"/>
      <c r="AG771" s="5" t="inlineStr"/>
      <c r="AH771" s="5" t="inlineStr"/>
      <c r="AI771" s="5" t="inlineStr"/>
      <c r="AJ771" s="5" t="inlineStr"/>
    </row>
    <row r="772">
      <c r="A772" s="5" t="inlineStr">
        <is>
          <t>b7-ev-kredisi</t>
        </is>
      </c>
      <c r="B772" s="5" t="n">
        <v>8</v>
      </c>
      <c r="C772" s="6" t="inlineStr">
        <is>
          <t>Kefil bul, krediyle al</t>
        </is>
      </c>
      <c r="D772" s="5" t="inlineStr"/>
      <c r="E772" s="5" t="inlineStr"/>
      <c r="F772" s="5" t="inlineStr">
        <is>
          <t>İtibar +1, Dayanıklılık +1</t>
        </is>
      </c>
      <c r="G772" s="6" t="inlineStr">
        <is>
          <t>Banka bir kefil istedi; mahallede üç kişi aynı gün imzaya geldi. Ev senin, borç senin; ama imzalar da senin. Bayramlarda üç kapıya ayrı ayrı tatlı götürüyorsun.</t>
        </is>
      </c>
      <c r="H772" s="6" t="inlineStr"/>
      <c r="I772" s="6" t="inlineStr"/>
      <c r="J772" s="6" t="inlineStr"/>
      <c r="K772" s="6" t="inlineStr"/>
      <c r="L772" s="6" t="inlineStr"/>
      <c r="M772" s="5" t="inlineStr"/>
      <c r="N772" s="5" t="inlineStr"/>
      <c r="O772" s="6" t="inlineStr"/>
      <c r="P772" s="6" t="inlineStr"/>
      <c r="Q772" s="5" t="inlineStr"/>
      <c r="R772" s="5" t="inlineStr"/>
      <c r="S772" s="5" t="inlineStr"/>
      <c r="T772" s="5" t="inlineStr"/>
      <c r="U772" s="5" t="inlineStr">
        <is>
          <t>ev-sahibi, borclu</t>
        </is>
      </c>
      <c r="V772" s="5" t="inlineStr"/>
      <c r="W772" s="5" t="inlineStr"/>
      <c r="X772" s="5" t="inlineStr"/>
      <c r="Y772" s="5" t="inlineStr"/>
      <c r="Z772" s="6" t="inlineStr"/>
      <c r="AA772" s="5" t="inlineStr"/>
      <c r="AB772" s="5" t="inlineStr"/>
      <c r="AC772" s="5" t="inlineStr"/>
      <c r="AD772" s="5" t="inlineStr"/>
      <c r="AE772" s="5" t="inlineStr"/>
      <c r="AF772" s="5" t="inlineStr"/>
      <c r="AG772" s="5" t="inlineStr"/>
      <c r="AH772" s="5" t="inlineStr">
        <is>
          <t>İtibar 43</t>
        </is>
      </c>
      <c r="AI772" s="5" t="inlineStr"/>
      <c r="AJ772" s="5" t="inlineStr"/>
    </row>
    <row r="773">
      <c r="A773" s="5" t="inlineStr">
        <is>
          <t>b7-kres-kaydi</t>
        </is>
      </c>
      <c r="B773" s="5" t="n">
        <v>1</v>
      </c>
      <c r="C773" s="6" t="inlineStr">
        <is>
          <t>Dürüst cevap ver</t>
        </is>
      </c>
      <c r="D773" s="5" t="inlineStr"/>
      <c r="E773" s="5" t="inlineStr"/>
      <c r="F773" s="5" t="inlineStr">
        <is>
          <t>İtibar +1</t>
        </is>
      </c>
      <c r="G773" s="6" t="inlineStr">
        <is>
          <t>“Uyuyamıyor, biz de uyuyamıyoruz” dedin. Müdür başını salladı, esnedi, özür diledi: “Bizimki de diş çıkarıyor.” Kaydı yaptı.</t>
        </is>
      </c>
      <c r="H773" s="6" t="inlineStr"/>
      <c r="I773" s="6" t="inlineStr"/>
      <c r="J773" s="6" t="inlineStr"/>
      <c r="K773" s="6" t="inlineStr"/>
      <c r="L773" s="6" t="inlineStr"/>
      <c r="M773" s="5" t="inlineStr"/>
      <c r="N773" s="5" t="inlineStr"/>
      <c r="O773" s="6" t="inlineStr"/>
      <c r="P773" s="6" t="inlineStr"/>
      <c r="Q773" s="5" t="inlineStr"/>
      <c r="R773" s="5" t="inlineStr"/>
      <c r="S773" s="5" t="inlineStr"/>
      <c r="T773" s="5" t="inlineStr"/>
      <c r="U773" s="5" t="inlineStr"/>
      <c r="V773" s="5" t="inlineStr"/>
      <c r="W773" s="5" t="inlineStr"/>
      <c r="X773" s="5" t="inlineStr"/>
      <c r="Y773" s="5" t="inlineStr"/>
      <c r="Z773" s="6" t="inlineStr"/>
      <c r="AA773" s="5" t="inlineStr"/>
      <c r="AB773" s="5" t="inlineStr"/>
      <c r="AC773" s="5" t="inlineStr"/>
      <c r="AD773" s="5" t="inlineStr"/>
      <c r="AE773" s="5" t="inlineStr"/>
      <c r="AF773" s="5" t="inlineStr"/>
      <c r="AG773" s="5" t="inlineStr"/>
      <c r="AH773" s="5" t="inlineStr"/>
      <c r="AI773" s="5" t="inlineStr"/>
      <c r="AJ773" s="5" t="inlineStr"/>
    </row>
    <row r="774">
      <c r="A774" s="5" t="inlineStr">
        <is>
          <t>b7-kres-kaydi</t>
        </is>
      </c>
      <c r="B774" s="5" t="n">
        <v>2</v>
      </c>
      <c r="C774" s="6" t="inlineStr">
        <is>
          <t>Özgeçmiş gibi sun</t>
        </is>
      </c>
      <c r="D774" s="5" t="inlineStr">
        <is>
          <t>Çene</t>
        </is>
      </c>
      <c r="E774" s="5" t="inlineStr">
        <is>
          <t>Orta</t>
        </is>
      </c>
      <c r="F774" s="5" t="inlineStr"/>
      <c r="G774" s="6" t="inlineStr"/>
      <c r="H774" s="6" t="inlineStr">
        <is>
          <t>Çocuğunun becerilerini tek tek saydın: paylaşır, sırasını bekler, “lütfen” der. Müdür ikna oldu, kayıt açıldı. Çocuk o sırada müdürün şekerliğini ceplerine boşaltıyordu.</t>
        </is>
      </c>
      <c r="I774" s="6" t="inlineStr">
        <is>
          <t>Müdür dosyayı kapattı: “Çocuğu sırasız alıyorum; sizi de veli toplantısına konuşmacı yazdım.” İlk toplantıda yirmi veliye uyku düzenini anlattın. O gece yine uyuyamadınız.</t>
        </is>
      </c>
      <c r="J774" s="6" t="inlineStr">
        <is>
          <t>Müdür “Çok etkileyici, bekleme listesine alıyoruz” dedi. Listede otuz sekizinci sıradasın; müdüre göre “En fazla üç buçuk yıl.” Çocuğun o zaman ilkokulda olacak.</t>
        </is>
      </c>
      <c r="K774" s="6" t="inlineStr">
        <is>
          <t>Sen “Çok uyumludur, eşyalara saygılıdır” derken çocuğun müdürün masasına tırmandı, kalemliği devirdi, bir kalemi akvaryuma attı. Müdür kalemi sudan çıkarırken sordu: “Uyumlu olan bu mu?”</t>
        </is>
      </c>
      <c r="L774" s="6" t="inlineStr"/>
      <c r="M774" s="5" t="inlineStr"/>
      <c r="N774" s="5" t="inlineStr"/>
      <c r="O774" s="6" t="inlineStr"/>
      <c r="P774" s="6" t="inlineStr"/>
      <c r="Q774" s="5" t="inlineStr"/>
      <c r="R774" s="5" t="inlineStr"/>
      <c r="S774" s="5" t="inlineStr"/>
      <c r="T774" s="5" t="inlineStr"/>
      <c r="U774" s="5" t="inlineStr"/>
      <c r="V774" s="5" t="inlineStr"/>
      <c r="W774" s="5" t="inlineStr"/>
      <c r="X774" s="5" t="inlineStr"/>
      <c r="Y774" s="5" t="inlineStr"/>
      <c r="Z774" s="6" t="inlineStr"/>
      <c r="AA774" s="5" t="inlineStr"/>
      <c r="AB774" s="5" t="inlineStr"/>
      <c r="AC774" s="5" t="inlineStr"/>
      <c r="AD774" s="5" t="inlineStr"/>
      <c r="AE774" s="5" t="inlineStr"/>
      <c r="AF774" s="5" t="inlineStr"/>
      <c r="AG774" s="5" t="inlineStr"/>
      <c r="AH774" s="5" t="inlineStr"/>
      <c r="AI774" s="5" t="inlineStr"/>
      <c r="AJ774" s="5" t="inlineStr"/>
    </row>
    <row r="775">
      <c r="A775" s="5" t="inlineStr">
        <is>
          <t>b7-kres-kaydi</t>
        </is>
      </c>
      <c r="B775" s="5" t="n">
        <v>3</v>
      </c>
      <c r="C775" s="6" t="inlineStr">
        <is>
          <t>Kreşin güvenlik açıklarını kontrol et</t>
        </is>
      </c>
      <c r="D775" s="5" t="inlineStr">
        <is>
          <t>Sosyal Radar</t>
        </is>
      </c>
      <c r="E775" s="5" t="inlineStr">
        <is>
          <t>Kolay</t>
        </is>
      </c>
      <c r="F775" s="5" t="inlineStr"/>
      <c r="G775" s="6" t="inlineStr"/>
      <c r="H775" s="6" t="inlineStr">
        <is>
          <t>Her prizi, her merdiveni, mutfaktaki son kaşığı inceledin. Kreş iyi çıktı. Müdür kapıda kibarca sordu: “Kaydı çocuğunuz için mi yaptırıyoruz, sizin için mi?”</t>
        </is>
      </c>
      <c r="I775" s="6" t="inlineStr">
        <is>
          <t>Yangın merdiveninden mutfağa kadar her şeye baktın. Müdür iki prize kapak taktırdı, kapıda sana teşekkür etti. Çocuğun ilk gün ağlamadı; sen ağladın.</t>
        </is>
      </c>
      <c r="J775" s="6" t="inlineStr">
        <is>
          <t>Soruların müdürü rahatsız etti. Bekleme listesi uzadı.</t>
        </is>
      </c>
      <c r="K775" s="6" t="inlineStr">
        <is>
          <t>İncelerken oyuncak dolabına girdin, kapı arkandan kapandı. Üç yaşında bir kız kapıyı açtı, seni elinden tutup müdüre götürdü: “Bu kaybolmuş.”</t>
        </is>
      </c>
      <c r="L775" s="6" t="inlineStr"/>
      <c r="M775" s="5" t="inlineStr"/>
      <c r="N775" s="5" t="inlineStr"/>
      <c r="O775" s="6" t="inlineStr"/>
      <c r="P775" s="6" t="inlineStr"/>
      <c r="Q775" s="5" t="inlineStr"/>
      <c r="R775" s="5" t="inlineStr"/>
      <c r="S775" s="5" t="inlineStr"/>
      <c r="T775" s="5" t="inlineStr"/>
      <c r="U775" s="5" t="inlineStr"/>
      <c r="V775" s="5" t="inlineStr"/>
      <c r="W775" s="5" t="inlineStr"/>
      <c r="X775" s="5" t="inlineStr"/>
      <c r="Y775" s="5" t="inlineStr"/>
      <c r="Z775" s="6" t="inlineStr"/>
      <c r="AA775" s="5" t="inlineStr"/>
      <c r="AB775" s="5" t="inlineStr"/>
      <c r="AC775" s="5" t="inlineStr"/>
      <c r="AD775" s="5" t="inlineStr"/>
      <c r="AE775" s="5" t="inlineStr"/>
      <c r="AF775" s="5" t="inlineStr"/>
      <c r="AG775" s="5" t="inlineStr"/>
      <c r="AH775" s="5" t="inlineStr"/>
      <c r="AI775" s="5" t="inlineStr"/>
      <c r="AJ775" s="5" t="inlineStr"/>
    </row>
    <row r="776">
      <c r="A776" s="5" t="inlineStr">
        <is>
          <t>b7-kres-kaydi</t>
        </is>
      </c>
      <c r="B776" s="5" t="n">
        <v>4</v>
      </c>
      <c r="C776" s="6" t="inlineStr">
        <is>
          <t>Üç saat uykuyla sabah yedide ilk sıraya gir</t>
        </is>
      </c>
      <c r="D776" s="5" t="inlineStr">
        <is>
          <t>Dayanıklılık</t>
        </is>
      </c>
      <c r="E776" s="5" t="inlineStr">
        <is>
          <t>Orta</t>
        </is>
      </c>
      <c r="F776" s="5" t="inlineStr"/>
      <c r="G776" s="6" t="inlineStr"/>
      <c r="H776" s="6" t="inlineStr">
        <is>
          <t>Kapı açılınca ilk sen girdin. Elinde termos, gözlerin kıpkırmızı; arkadaki veliler sana kahramana bakar gibi baktı. Kayıt tamam.</t>
        </is>
      </c>
      <c r="I776" s="6" t="inlineStr">
        <is>
          <t>Üç saat uykuyla sırada ilk sendin. Kaydı yaptırdın, işe de zamanında yetiştin. Akşam eşin kapıda seni alkışladı; çocuk da, neye olduğunu bilmeden.</t>
        </is>
      </c>
      <c r="J776" s="6" t="inlineStr">
        <is>
          <t>Sıradaydın ama uyuyakaldın. Arkadaki veli seni nazikçe uyandırdı, sonra önüne geçti.</t>
        </is>
      </c>
      <c r="K776" s="6" t="inlineStr">
        <is>
          <t>Sabahın yedisinde sıraya girdin; yanlış kreşteymişsin. Yine de kayıt oldu. Artık iki kreşin var.</t>
        </is>
      </c>
      <c r="L776" s="6" t="inlineStr"/>
      <c r="M776" s="5" t="inlineStr"/>
      <c r="N776" s="5" t="inlineStr"/>
      <c r="O776" s="6" t="inlineStr"/>
      <c r="P776" s="6" t="inlineStr"/>
      <c r="Q776" s="5" t="inlineStr">
        <is>
          <t>Gözüne Uyku Girmez</t>
        </is>
      </c>
      <c r="R776" s="5" t="inlineStr"/>
      <c r="S776" s="5" t="inlineStr"/>
      <c r="T776" s="5" t="inlineStr"/>
      <c r="U776" s="5" t="inlineStr"/>
      <c r="V776" s="5" t="inlineStr"/>
      <c r="W776" s="5" t="inlineStr"/>
      <c r="X776" s="5" t="inlineStr"/>
      <c r="Y776" s="5" t="inlineStr"/>
      <c r="Z776" s="6" t="inlineStr"/>
      <c r="AA776" s="5" t="inlineStr"/>
      <c r="AB776" s="5" t="inlineStr"/>
      <c r="AC776" s="5" t="inlineStr"/>
      <c r="AD776" s="5" t="inlineStr"/>
      <c r="AE776" s="5" t="inlineStr"/>
      <c r="AF776" s="5" t="inlineStr"/>
      <c r="AG776" s="5" t="inlineStr"/>
      <c r="AH776" s="5" t="inlineStr"/>
      <c r="AI776" s="5" t="inlineStr"/>
      <c r="AJ776" s="5" t="inlineStr"/>
    </row>
    <row r="777">
      <c r="A777" s="5" t="inlineStr">
        <is>
          <t>b7-kres-kaydi</t>
        </is>
      </c>
      <c r="B777" s="5" t="n">
        <v>5</v>
      </c>
      <c r="C777" s="6" t="inlineStr">
        <is>
          <t>Kreşi boş ver, çocuğu anneanneye bırak</t>
        </is>
      </c>
      <c r="D777" s="5" t="inlineStr"/>
      <c r="E777" s="5" t="inlineStr"/>
      <c r="F777" s="5" t="inlineStr">
        <is>
          <t>Gönül +1</t>
        </is>
      </c>
      <c r="G777" s="6" t="inlineStr">
        <is>
          <t>Kreş formunu katlayıp çantana koydun, çocuğu anneanneye bıraktın. Üç ayda iki kilo aldı, dört tekerleme öğrendi, kreşi hiç sormadı. Anneanne her akşam ne yediğini tek tek anlatıyor.</t>
        </is>
      </c>
      <c r="H777" s="6" t="inlineStr"/>
      <c r="I777" s="6" t="inlineStr"/>
      <c r="J777" s="6" t="inlineStr"/>
      <c r="K777" s="6" t="inlineStr"/>
      <c r="L777" s="6" t="inlineStr"/>
      <c r="M777" s="5" t="inlineStr"/>
      <c r="N777" s="5" t="inlineStr"/>
      <c r="O777" s="6" t="inlineStr"/>
      <c r="P777" s="6" t="inlineStr"/>
      <c r="Q777" s="5" t="inlineStr"/>
      <c r="R777" s="5" t="inlineStr"/>
      <c r="S777" s="5" t="inlineStr"/>
      <c r="T777" s="5" t="inlineStr"/>
      <c r="U777" s="5" t="inlineStr"/>
      <c r="V777" s="5" t="inlineStr"/>
      <c r="W777" s="5" t="inlineStr"/>
      <c r="X777" s="5" t="inlineStr"/>
      <c r="Y777" s="5" t="inlineStr"/>
      <c r="Z777" s="6" t="inlineStr"/>
      <c r="AA777" s="5" t="inlineStr"/>
      <c r="AB777" s="5" t="inlineStr"/>
      <c r="AC777" s="5" t="inlineStr"/>
      <c r="AD777" s="5" t="inlineStr"/>
      <c r="AE777" s="5" t="inlineStr"/>
      <c r="AF777" s="5" t="inlineStr"/>
      <c r="AG777" s="5" t="inlineStr"/>
      <c r="AH777" s="5" t="inlineStr"/>
      <c r="AI777" s="5" t="inlineStr"/>
      <c r="AJ777" s="5" t="inlineStr"/>
    </row>
    <row r="778">
      <c r="A778" s="5" t="inlineStr">
        <is>
          <t>mm-kayip-dosya</t>
        </is>
      </c>
      <c r="B778" s="5" t="n">
        <v>1</v>
      </c>
      <c r="C778" s="6" t="inlineStr">
        <is>
          <t>Tutanakla 'kayıp' diye kaydet</t>
        </is>
      </c>
      <c r="D778" s="5" t="inlineStr"/>
      <c r="E778" s="5" t="inlineStr"/>
      <c r="F778" s="5" t="inlineStr">
        <is>
          <t>Pişkinlik +1, Dayanıklılık +1</t>
        </is>
      </c>
      <c r="G778" s="6" t="inlineStr">
        <is>
          <t>Dosya artık resmen kayıp. Kayıp olduğunu kanıtlayan tek belge senin masanda duruyor.</t>
        </is>
      </c>
      <c r="H778" s="6" t="inlineStr"/>
      <c r="I778" s="6" t="inlineStr"/>
      <c r="J778" s="6" t="inlineStr"/>
      <c r="K778" s="6" t="inlineStr"/>
      <c r="L778" s="6" t="inlineStr"/>
      <c r="M778" s="5" t="inlineStr"/>
      <c r="N778" s="5" t="inlineStr"/>
      <c r="O778" s="6" t="inlineStr"/>
      <c r="P778" s="6" t="inlineStr"/>
      <c r="Q778" s="5" t="inlineStr"/>
      <c r="R778" s="5" t="inlineStr"/>
      <c r="S778" s="5" t="inlineStr"/>
      <c r="T778" s="5" t="inlineStr"/>
      <c r="U778" s="5" t="inlineStr">
        <is>
          <t>memur-kayip-dosya</t>
        </is>
      </c>
      <c r="V778" s="5" t="inlineStr"/>
      <c r="W778" s="5" t="inlineStr"/>
      <c r="X778" s="5" t="inlineStr"/>
      <c r="Y778" s="5" t="inlineStr"/>
      <c r="Z778" s="6" t="inlineStr"/>
      <c r="AA778" s="5" t="inlineStr"/>
      <c r="AB778" s="5" t="inlineStr"/>
      <c r="AC778" s="5" t="inlineStr"/>
      <c r="AD778" s="5" t="inlineStr"/>
      <c r="AE778" s="5" t="inlineStr"/>
      <c r="AF778" s="5" t="inlineStr"/>
      <c r="AG778" s="5" t="inlineStr"/>
      <c r="AH778" s="5" t="inlineStr"/>
      <c r="AI778" s="5" t="inlineStr"/>
      <c r="AJ778" s="5" t="inlineStr"/>
    </row>
    <row r="779">
      <c r="A779" s="5" t="inlineStr">
        <is>
          <t>mm-kayip-dosya</t>
        </is>
      </c>
      <c r="B779" s="5" t="n">
        <v>2</v>
      </c>
      <c r="C779" s="6" t="inlineStr">
        <is>
          <t>Arşive in, ara</t>
        </is>
      </c>
      <c r="D779" s="5" t="inlineStr">
        <is>
          <t>Dayanıklılık</t>
        </is>
      </c>
      <c r="E779" s="5" t="inlineStr">
        <is>
          <t>Orta</t>
        </is>
      </c>
      <c r="F779" s="5" t="inlineStr"/>
      <c r="G779" s="6" t="inlineStr"/>
      <c r="H779" s="6" t="inlineStr">
        <is>
          <t>Arşivde dört saat geçirdin. Dosya başka bir dosyanın içindeydi; saklanıyormuş gibi.</t>
        </is>
      </c>
      <c r="I779" s="6" t="inlineStr">
        <is>
          <t>Dosyayı ve yedi yıl önce kaybolmuş üç dosyayı daha buldun. Arşivdeki teyze sana kendi demliğinden çay koydu; bunu o güne kadar kimse görmemişti.</t>
        </is>
      </c>
      <c r="J779" s="6" t="inlineStr">
        <is>
          <t>Dosyayı bulamadın ama kendi işe giriş dosyanı buldun. Fotoğrafta daha umutlusun.</t>
        </is>
      </c>
      <c r="K779" s="6" t="inlineStr">
        <is>
          <t>Arşivde kayboldun; telefon çekmedi, ışık zamanlıydı. Üç saat sonra arşivdeki teyze seni bir rafın dibinde buldu, kucağında yedi dosya. Tutanağa yazdı: “Bulunan: bir memur.” Dosya hâlâ kayıp.</t>
        </is>
      </c>
      <c r="L779" s="6" t="inlineStr"/>
      <c r="M779" s="5" t="inlineStr"/>
      <c r="N779" s="5" t="inlineStr"/>
      <c r="O779" s="6" t="inlineStr"/>
      <c r="P779" s="6" t="inlineStr"/>
      <c r="Q779" s="5" t="inlineStr"/>
      <c r="R779" s="5" t="inlineStr"/>
      <c r="S779" s="5" t="inlineStr"/>
      <c r="T779" s="5" t="inlineStr"/>
      <c r="U779" s="5" t="inlineStr"/>
      <c r="V779" s="5" t="inlineStr"/>
      <c r="W779" s="5" t="inlineStr">
        <is>
          <t>memur-kayip-dosya</t>
        </is>
      </c>
      <c r="X779" s="5" t="inlineStr"/>
      <c r="Y779" s="5" t="inlineStr"/>
      <c r="Z779" s="6" t="inlineStr"/>
      <c r="AA779" s="5" t="inlineStr"/>
      <c r="AB779" s="5" t="inlineStr"/>
      <c r="AC779" s="5" t="inlineStr"/>
      <c r="AD779" s="5" t="inlineStr"/>
      <c r="AE779" s="5" t="inlineStr"/>
      <c r="AF779" s="5" t="inlineStr"/>
      <c r="AG779" s="5" t="inlineStr"/>
      <c r="AH779" s="5" t="inlineStr"/>
      <c r="AI779" s="5" t="inlineStr"/>
      <c r="AJ779" s="5" t="inlineStr"/>
    </row>
    <row r="780">
      <c r="A780" s="5" t="inlineStr">
        <is>
          <t>mm-kayip-dosya</t>
        </is>
      </c>
      <c r="B780" s="5" t="n">
        <v>3</v>
      </c>
      <c r="C780" s="6" t="inlineStr">
        <is>
          <t>Sahibine dürüstçe söyle</t>
        </is>
      </c>
      <c r="D780" s="5" t="inlineStr">
        <is>
          <t>İtibar</t>
        </is>
      </c>
      <c r="E780" s="5" t="inlineStr">
        <is>
          <t>Kolay</t>
        </is>
      </c>
      <c r="F780" s="5" t="inlineStr"/>
      <c r="G780" s="6" t="inlineStr"/>
      <c r="H780" s="6" t="inlineStr">
        <is>
          <t>Kızmadı, yorgun güldü. Dosyayı birlikte yeniden hazırladınız.</t>
        </is>
      </c>
      <c r="I780" s="6" t="inlineStr">
        <is>
          <t>Dosyayı sıfırdan hazırladın; iki haftada bitti. Ertesi salı yine geldi, aynı saatte aynı sandalyeye oturdu, elinde bir kutu lokum: “İşim bitti ama alışmışım.”</t>
        </is>
      </c>
      <c r="J780" s="6" t="inlineStr">
        <is>
          <t>“Biliyordum” dedi. Paltosunu giydi, kapıda döndü: “Salıya görüşürüz.”</t>
        </is>
      </c>
      <c r="K780" s="6" t="inlineStr">
        <is>
          <t>Şikâyet dilekçesi yazdı. Dilekçe de kayboldu. Müdür ikisini birden bulmanı istedi; salıları artık ikiniz birlikte arıyorsunuz.</t>
        </is>
      </c>
      <c r="L780" s="6" t="inlineStr"/>
      <c r="M780" s="5" t="inlineStr"/>
      <c r="N780" s="5" t="inlineStr"/>
      <c r="O780" s="6" t="inlineStr"/>
      <c r="P780" s="6" t="inlineStr"/>
      <c r="Q780" s="5" t="inlineStr"/>
      <c r="R780" s="5" t="inlineStr"/>
      <c r="S780" s="5" t="inlineStr">
        <is>
          <t>İtibar</t>
        </is>
      </c>
      <c r="T780" s="5" t="inlineStr"/>
      <c r="U780" s="5" t="inlineStr"/>
      <c r="V780" s="5" t="inlineStr"/>
      <c r="W780" s="5" t="inlineStr">
        <is>
          <t>memur-kayip-dosya</t>
        </is>
      </c>
      <c r="X780" s="5" t="inlineStr"/>
      <c r="Y780" s="5" t="inlineStr"/>
      <c r="Z780" s="6" t="inlineStr"/>
      <c r="AA780" s="5" t="inlineStr"/>
      <c r="AB780" s="5" t="inlineStr"/>
      <c r="AC780" s="5" t="inlineStr"/>
      <c r="AD780" s="5" t="inlineStr"/>
      <c r="AE780" s="5" t="inlineStr"/>
      <c r="AF780" s="5" t="inlineStr"/>
      <c r="AG780" s="5" t="inlineStr"/>
      <c r="AH780" s="5" t="inlineStr"/>
      <c r="AI780" s="5" t="inlineStr"/>
      <c r="AJ780" s="5" t="inlineStr"/>
    </row>
    <row r="781">
      <c r="A781" s="5" t="inlineStr">
        <is>
          <t>mm-kayip-dosya</t>
        </is>
      </c>
      <c r="B781" s="5" t="n">
        <v>4</v>
      </c>
      <c r="C781" s="6" t="inlineStr">
        <is>
          <t>Başka birimi suçla</t>
        </is>
      </c>
      <c r="D781" s="5" t="inlineStr">
        <is>
          <t>Pişkinlik</t>
        </is>
      </c>
      <c r="E781" s="5" t="inlineStr">
        <is>
          <t>Orta</t>
        </is>
      </c>
      <c r="F781" s="5" t="inlineStr"/>
      <c r="G781" s="6" t="inlineStr"/>
      <c r="H781" s="6" t="inlineStr">
        <is>
          <t>'Dosya yazı işlerine gitti' dedin. Yazı işleri reddedemedi; kanıt yoktu. Vazodan beri tanıdık bir yöntem.</t>
        </is>
      </c>
      <c r="I781" s="6" t="inlineStr">
        <is>
          <t>Yazı işleri dosyayı bulmak için ekip kurdu ve sana özür yazısı gönderdi.</t>
        </is>
      </c>
      <c r="J781" s="6" t="inlineStr">
        <is>
          <t>Yazı işleri zimmet fişini gösterdi. İmza seninkiydi.</t>
        </is>
      </c>
      <c r="K781" s="6" t="inlineStr">
        <is>
          <t>“Dosya yazı işlerine gitti” dedin. Yazı işleri gelip çekmeceni açtı: dosya oradaydı, çay bardağının altında, halka izli. Fotoğrafı koridor panosunda.</t>
        </is>
      </c>
      <c r="L781" s="6" t="inlineStr"/>
      <c r="M781" s="5" t="inlineStr"/>
      <c r="N781" s="5" t="inlineStr"/>
      <c r="O781" s="6" t="inlineStr"/>
      <c r="P781" s="6" t="inlineStr"/>
      <c r="Q781" s="5" t="inlineStr"/>
      <c r="R781" s="5" t="inlineStr">
        <is>
          <t>kediSuclu</t>
        </is>
      </c>
      <c r="S781" s="5" t="inlineStr"/>
      <c r="T781" s="5" t="inlineStr"/>
      <c r="U781" s="5" t="inlineStr">
        <is>
          <t>memur-kayip-dosya</t>
        </is>
      </c>
      <c r="V781" s="5" t="inlineStr"/>
      <c r="W781" s="5" t="inlineStr"/>
      <c r="X781" s="5" t="inlineStr"/>
      <c r="Y781" s="5" t="inlineStr"/>
      <c r="Z781" s="6" t="inlineStr"/>
      <c r="AA781" s="5" t="inlineStr"/>
      <c r="AB781" s="5" t="inlineStr"/>
      <c r="AC781" s="5" t="inlineStr"/>
      <c r="AD781" s="5" t="inlineStr"/>
      <c r="AE781" s="5" t="inlineStr"/>
      <c r="AF781" s="5" t="inlineStr"/>
      <c r="AG781" s="5" t="inlineStr"/>
      <c r="AH781" s="5" t="inlineStr"/>
      <c r="AI781" s="5" t="inlineStr"/>
      <c r="AJ781" s="5" t="inlineStr"/>
    </row>
    <row r="782">
      <c r="A782" s="5" t="inlineStr">
        <is>
          <t>b7-saglik-kontrolu</t>
        </is>
      </c>
      <c r="B782" s="5" t="n">
        <v>1</v>
      </c>
      <c r="C782" s="6" t="inlineStr">
        <is>
          <t>Dürüst ol</t>
        </is>
      </c>
      <c r="D782" s="5" t="inlineStr"/>
      <c r="E782" s="5" t="inlineStr"/>
      <c r="F782" s="5" t="inlineStr">
        <is>
          <t>İtibar +1, Akıl +1</t>
        </is>
      </c>
      <c r="G782" s="6" t="inlineStr">
        <is>
          <t>Dürüstçe 'Hayır' dedin. Doktor bir broşür verdi. Broşür çantanda yaşlanıyor.</t>
        </is>
      </c>
      <c r="H782" s="6" t="inlineStr"/>
      <c r="I782" s="6" t="inlineStr"/>
      <c r="J782" s="6" t="inlineStr"/>
      <c r="K782" s="6" t="inlineStr"/>
      <c r="L782" s="6" t="inlineStr"/>
      <c r="M782" s="5" t="inlineStr"/>
      <c r="N782" s="5" t="inlineStr"/>
      <c r="O782" s="6" t="inlineStr"/>
      <c r="P782" s="6" t="inlineStr"/>
      <c r="Q782" s="5" t="inlineStr"/>
      <c r="R782" s="5" t="inlineStr"/>
      <c r="S782" s="5" t="inlineStr"/>
      <c r="T782" s="5" t="inlineStr"/>
      <c r="U782" s="5" t="inlineStr"/>
      <c r="V782" s="5" t="inlineStr"/>
      <c r="W782" s="5" t="inlineStr"/>
      <c r="X782" s="5" t="inlineStr"/>
      <c r="Y782" s="5" t="inlineStr"/>
      <c r="Z782" s="6" t="inlineStr"/>
      <c r="AA782" s="5" t="inlineStr"/>
      <c r="AB782" s="5" t="inlineStr"/>
      <c r="AC782" s="5" t="inlineStr"/>
      <c r="AD782" s="5" t="inlineStr"/>
      <c r="AE782" s="5" t="inlineStr"/>
      <c r="AF782" s="5" t="inlineStr"/>
      <c r="AG782" s="5" t="inlineStr"/>
      <c r="AH782" s="5" t="inlineStr"/>
      <c r="AI782" s="5" t="inlineStr"/>
      <c r="AJ782" s="5" t="inlineStr"/>
    </row>
    <row r="783">
      <c r="A783" s="5" t="inlineStr">
        <is>
          <t>b7-saglik-kontrolu</t>
        </is>
      </c>
      <c r="B783" s="5" t="n">
        <v>2</v>
      </c>
      <c r="C783" s="6" t="inlineStr">
        <is>
          <t>'Haftada dört gün' de</t>
        </is>
      </c>
      <c r="D783" s="5" t="inlineStr">
        <is>
          <t>Pişkinlik</t>
        </is>
      </c>
      <c r="E783" s="5" t="inlineStr">
        <is>
          <t>Orta</t>
        </is>
      </c>
      <c r="F783" s="5" t="inlineStr"/>
      <c r="G783" s="6" t="inlineStr"/>
      <c r="H783" s="6" t="inlineStr">
        <is>
          <t>Doktor inandı. 'Harika, devam' dedi. Sen de devam ettin. Hiçbir şeye.</t>
        </is>
      </c>
      <c r="I783" s="6" t="inlineStr">
        <is>
          <t>Doktor sana inandı, seni stajyerlere gösterdi: “İşte düzenli spor böyle bir şey.” Stajyerler not aldı. Çıkışta merdiven yerine asansöre bindin; kimse görmesin diye.</t>
        </is>
      </c>
      <c r="J783" s="6" t="inlineStr">
        <is>
          <t>Doktor sonuçlara tekrar baktı ve 'Hangi spor?' dedi. 'Yürüyüş' dedin. 'Nereye?' dedi.</t>
        </is>
      </c>
      <c r="K783" s="6" t="inlineStr">
        <is>
          <t>Doktor “O zaman bu sonuçlar çok ilginç” dedi, seni efor testine yolladı. Koşu bandının üçüncü dakikasında hemşire düğmeye bastı: “Haftada dört gün, öyle mi?”</t>
        </is>
      </c>
      <c r="L783" s="6" t="inlineStr"/>
      <c r="M783" s="5" t="inlineStr"/>
      <c r="N783" s="5" t="inlineStr"/>
      <c r="O783" s="6" t="inlineStr"/>
      <c r="P783" s="6" t="inlineStr"/>
      <c r="Q783" s="5" t="inlineStr"/>
      <c r="R783" s="5" t="inlineStr"/>
      <c r="S783" s="5" t="inlineStr"/>
      <c r="T783" s="5" t="inlineStr"/>
      <c r="U783" s="5" t="inlineStr"/>
      <c r="V783" s="5" t="inlineStr"/>
      <c r="W783" s="5" t="inlineStr"/>
      <c r="X783" s="5" t="inlineStr"/>
      <c r="Y783" s="5" t="inlineStr"/>
      <c r="Z783" s="6" t="inlineStr"/>
      <c r="AA783" s="5" t="inlineStr"/>
      <c r="AB783" s="5" t="inlineStr"/>
      <c r="AC783" s="5" t="inlineStr"/>
      <c r="AD783" s="5" t="inlineStr"/>
      <c r="AE783" s="5" t="inlineStr"/>
      <c r="AF783" s="5" t="inlineStr"/>
      <c r="AG783" s="5" t="inlineStr"/>
      <c r="AH783" s="5" t="inlineStr"/>
      <c r="AI783" s="5" t="inlineStr"/>
      <c r="AJ783" s="5" t="inlineStr"/>
    </row>
    <row r="784">
      <c r="A784" s="5" t="inlineStr">
        <is>
          <t>b7-saglik-kontrolu</t>
        </is>
      </c>
      <c r="B784" s="5" t="n">
        <v>3</v>
      </c>
      <c r="C784" s="6" t="inlineStr">
        <is>
          <t>Hepsini sorgulayıp not al</t>
        </is>
      </c>
      <c r="D784" s="5" t="inlineStr">
        <is>
          <t>Akıl</t>
        </is>
      </c>
      <c r="E784" s="5" t="inlineStr">
        <is>
          <t>Kolay</t>
        </is>
      </c>
      <c r="F784" s="5" t="inlineStr"/>
      <c r="G784" s="6" t="inlineStr"/>
      <c r="H784" s="6" t="inlineStr">
        <is>
          <t>Her değeri sordun, not aldın. Akşam annene telefonda bir saat anlattın. Annen sonunda sordu: “Yani zayıflayacak mısın?”</t>
        </is>
      </c>
      <c r="I784" s="6" t="inlineStr">
        <is>
          <t>Sorularının kalitesi doktoru etkiledi. 'Keşke herkes sizin gibi olsa' dedi. Bunu çerçevelettin.</t>
        </is>
      </c>
      <c r="J784" s="6" t="inlineStr">
        <is>
          <t>Değerlerin çoğunu anlamadın, sorduklarının cevabını da.</t>
        </is>
      </c>
      <c r="K784" s="6" t="inlineStr">
        <is>
          <t>İnternette okuduklarını doktora anlattın. Doktor sessizce yeni bir form açtı. Formun adı: 'Endişeli hasta'.</t>
        </is>
      </c>
      <c r="L784" s="6" t="inlineStr"/>
      <c r="M784" s="5" t="inlineStr"/>
      <c r="N784" s="5" t="inlineStr"/>
      <c r="O784" s="6" t="inlineStr"/>
      <c r="P784" s="6" t="inlineStr"/>
      <c r="Q784" s="5" t="inlineStr"/>
      <c r="R784" s="5" t="inlineStr"/>
      <c r="S784" s="5" t="inlineStr"/>
      <c r="T784" s="5" t="inlineStr"/>
      <c r="U784" s="5" t="inlineStr"/>
      <c r="V784" s="5" t="inlineStr"/>
      <c r="W784" s="5" t="inlineStr"/>
      <c r="X784" s="5" t="inlineStr"/>
      <c r="Y784" s="5" t="inlineStr"/>
      <c r="Z784" s="6" t="inlineStr"/>
      <c r="AA784" s="5" t="inlineStr"/>
      <c r="AB784" s="5" t="inlineStr"/>
      <c r="AC784" s="5" t="inlineStr"/>
      <c r="AD784" s="5" t="inlineStr"/>
      <c r="AE784" s="5" t="inlineStr"/>
      <c r="AF784" s="5" t="inlineStr"/>
      <c r="AG784" s="5" t="inlineStr"/>
      <c r="AH784" s="5" t="inlineStr"/>
      <c r="AI784" s="5" t="inlineStr"/>
      <c r="AJ784" s="5" t="inlineStr"/>
    </row>
    <row r="785">
      <c r="A785" s="5" t="inlineStr">
        <is>
          <t>b7-bekar-evi</t>
        </is>
      </c>
      <c r="B785" s="5" t="n">
        <v>1</v>
      </c>
      <c r="C785" s="6" t="inlineStr">
        <is>
          <t>Yine sipariş ver</t>
        </is>
      </c>
      <c r="D785" s="5" t="inlineStr"/>
      <c r="E785" s="5" t="inlineStr"/>
      <c r="F785" s="5" t="inlineStr">
        <is>
          <t>Dayanıklılık +1</t>
        </is>
      </c>
      <c r="G785" s="6" t="inlineStr">
        <is>
          <t>Sipariş verdin. Kurye seni adınla selamlıyor. Arkadaş listesindeki tek düzenli kişi o.</t>
        </is>
      </c>
      <c r="H785" s="6" t="inlineStr"/>
      <c r="I785" s="6" t="inlineStr"/>
      <c r="J785" s="6" t="inlineStr"/>
      <c r="K785" s="6" t="inlineStr"/>
      <c r="L785" s="6" t="inlineStr"/>
      <c r="M785" s="5" t="inlineStr"/>
      <c r="N785" s="5" t="inlineStr"/>
      <c r="O785" s="6" t="inlineStr"/>
      <c r="P785" s="6" t="inlineStr"/>
      <c r="Q785" s="5" t="inlineStr"/>
      <c r="R785" s="5" t="inlineStr"/>
      <c r="S785" s="5" t="inlineStr"/>
      <c r="T785" s="5" t="inlineStr"/>
      <c r="U785" s="5" t="inlineStr"/>
      <c r="V785" s="5" t="inlineStr"/>
      <c r="W785" s="5" t="inlineStr"/>
      <c r="X785" s="5" t="inlineStr"/>
      <c r="Y785" s="5" t="inlineStr"/>
      <c r="Z785" s="6" t="inlineStr"/>
      <c r="AA785" s="5" t="inlineStr"/>
      <c r="AB785" s="5" t="inlineStr"/>
      <c r="AC785" s="5" t="inlineStr"/>
      <c r="AD785" s="5" t="inlineStr"/>
      <c r="AE785" s="5" t="inlineStr"/>
      <c r="AF785" s="5" t="inlineStr"/>
      <c r="AG785" s="5" t="inlineStr"/>
      <c r="AH785" s="5" t="inlineStr"/>
      <c r="AI785" s="5" t="inlineStr"/>
      <c r="AJ785" s="5" t="inlineStr"/>
    </row>
    <row r="786">
      <c r="A786" s="5" t="inlineStr">
        <is>
          <t>b7-bekar-evi</t>
        </is>
      </c>
      <c r="B786" s="5" t="n">
        <v>2</v>
      </c>
      <c r="C786" s="6" t="inlineStr">
        <is>
          <t>Bir haftalık yemek hazırla</t>
        </is>
      </c>
      <c r="D786" s="5" t="inlineStr">
        <is>
          <t>Akıl</t>
        </is>
      </c>
      <c r="E786" s="5" t="inlineStr">
        <is>
          <t>Orta</t>
        </is>
      </c>
      <c r="F786" s="5" t="inlineStr"/>
      <c r="G786" s="6" t="inlineStr"/>
      <c r="H786" s="6" t="inlineStr">
        <is>
          <t>Pazar günü yedi kap yemek hazırladın. Salı akşamı hepsi bitmişti. Çarşamba yine sipariş verdin; kurye “Özledik” dedi.</t>
        </is>
      </c>
      <c r="I786" s="6" t="inlineStr">
        <is>
          <t>Arkadaşların yemeklerin tarifini istedi. Annen inanmadı; görüntülü arayıp tencerenin içine baktı: “Bunu sen mi yaptın, yoksa yine o kurye mi getirdi?”</t>
        </is>
      </c>
      <c r="J786" s="6" t="inlineStr">
        <is>
          <t>Yedi kap yaptın, hepsi aynı yemek. Perşembe günü tabaktaki yemek sana baktı.</t>
        </is>
      </c>
      <c r="K786" s="6" t="inlineStr">
        <is>
          <t>Soğanı kavururken ocağı unuttun. Duman merdiven boşluğuna çıktı; alt kat balkona çıkıp “Yangın mı var?” diye bağırdı, yönetici kapını çaldı. Akşam yemek uygulaması “Seni özledik” kuponu gönderdi.</t>
        </is>
      </c>
      <c r="L786" s="6" t="inlineStr"/>
      <c r="M786" s="5" t="inlineStr"/>
      <c r="N786" s="5" t="inlineStr"/>
      <c r="O786" s="6" t="inlineStr"/>
      <c r="P786" s="6" t="inlineStr"/>
      <c r="Q786" s="5" t="inlineStr"/>
      <c r="R786" s="5" t="inlineStr"/>
      <c r="S786" s="5" t="inlineStr"/>
      <c r="T786" s="5" t="inlineStr"/>
      <c r="U786" s="5" t="inlineStr"/>
      <c r="V786" s="5" t="inlineStr"/>
      <c r="W786" s="5" t="inlineStr"/>
      <c r="X786" s="5" t="inlineStr"/>
      <c r="Y786" s="5" t="inlineStr"/>
      <c r="Z786" s="6" t="inlineStr"/>
      <c r="AA786" s="5" t="inlineStr"/>
      <c r="AB786" s="5" t="inlineStr"/>
      <c r="AC786" s="5" t="inlineStr"/>
      <c r="AD786" s="5" t="inlineStr"/>
      <c r="AE786" s="5" t="inlineStr"/>
      <c r="AF786" s="5" t="inlineStr"/>
      <c r="AG786" s="5" t="inlineStr"/>
      <c r="AH786" s="5" t="inlineStr"/>
      <c r="AI786" s="5" t="inlineStr"/>
      <c r="AJ786" s="5" t="inlineStr"/>
    </row>
    <row r="787">
      <c r="A787" s="5" t="inlineStr">
        <is>
          <t>b7-bekar-evi</t>
        </is>
      </c>
      <c r="B787" s="5" t="n">
        <v>3</v>
      </c>
      <c r="C787" s="6" t="inlineStr">
        <is>
          <t>Buzdolabındakilerle yaratıcı bir yemek yap</t>
        </is>
      </c>
      <c r="D787" s="5" t="inlineStr">
        <is>
          <t>Kurnazlık</t>
        </is>
      </c>
      <c r="E787" s="5" t="inlineStr">
        <is>
          <t>Zor</t>
        </is>
      </c>
      <c r="F787" s="5" t="inlineStr"/>
      <c r="G787" s="6" t="inlineStr"/>
      <c r="H787" s="6" t="inlineStr">
        <is>
          <t>Hardal, yumurta ve belirsiz tencereden yenilebilir bir şey çıktı. Adını koymadın.</t>
        </is>
      </c>
      <c r="I787" s="6" t="inlineStr">
        <is>
          <t>Yarattığın yemek o kadar iyiydi ki bir video çektin. Yorumlarda insanlar tarif istiyor. Tarif sende de yok.</t>
        </is>
      </c>
      <c r="J787" s="6" t="inlineStr">
        <is>
          <t>Yemek oldu. Yenmedi. Kediye bile verilmedi.</t>
        </is>
      </c>
      <c r="K787" s="6" t="inlineStr">
        <is>
          <t>Belirsiz tencerenin kapağını açtın; koku merdiven boşluğuna yayıldı. Kapıcı çöpü almaya geldi, tencereyi görünce geri adım attı: “Bunu ben almam, belediyeyi arayın.”</t>
        </is>
      </c>
      <c r="L787" s="6" t="inlineStr"/>
      <c r="M787" s="5" t="inlineStr"/>
      <c r="N787" s="5" t="inlineStr"/>
      <c r="O787" s="6" t="inlineStr"/>
      <c r="P787" s="6" t="inlineStr"/>
      <c r="Q787" s="5" t="inlineStr"/>
      <c r="R787" s="5" t="inlineStr"/>
      <c r="S787" s="5" t="inlineStr"/>
      <c r="T787" s="5" t="inlineStr"/>
      <c r="U787" s="5" t="inlineStr"/>
      <c r="V787" s="5" t="inlineStr"/>
      <c r="W787" s="5" t="inlineStr"/>
      <c r="X787" s="5" t="inlineStr"/>
      <c r="Y787" s="5" t="inlineStr"/>
      <c r="Z787" s="6" t="inlineStr"/>
      <c r="AA787" s="5" t="inlineStr"/>
      <c r="AB787" s="5" t="inlineStr"/>
      <c r="AC787" s="5" t="inlineStr"/>
      <c r="AD787" s="5" t="inlineStr"/>
      <c r="AE787" s="5" t="inlineStr"/>
      <c r="AF787" s="5" t="inlineStr"/>
      <c r="AG787" s="5" t="inlineStr"/>
      <c r="AH787" s="5" t="inlineStr"/>
      <c r="AI787" s="5" t="inlineStr"/>
      <c r="AJ787" s="5" t="inlineStr"/>
    </row>
    <row r="788">
      <c r="A788" s="5" t="inlineStr">
        <is>
          <t>b7-hastane-gecesi</t>
        </is>
      </c>
      <c r="B788" s="5" t="n">
        <v>1</v>
      </c>
      <c r="C788" s="6" t="inlineStr">
        <is>
          <t>Sakin kal, bekle</t>
        </is>
      </c>
      <c r="D788" s="5" t="inlineStr"/>
      <c r="E788" s="5" t="inlineStr"/>
      <c r="F788" s="5" t="inlineStr">
        <is>
          <t>Dayanıklılık +1, İtibar +1</t>
        </is>
      </c>
      <c r="G788" s="6" t="inlineStr">
        <is>
          <t>Bekledin. Doktor 'Bir şey yok, ateş düşürücü verin' dedi. Sen de kendine bir ateş düşürücü istedin.</t>
        </is>
      </c>
      <c r="H788" s="6" t="inlineStr"/>
      <c r="I788" s="6" t="inlineStr"/>
      <c r="J788" s="6" t="inlineStr"/>
      <c r="K788" s="6" t="inlineStr"/>
      <c r="L788" s="6" t="inlineStr"/>
      <c r="M788" s="5" t="inlineStr"/>
      <c r="N788" s="5" t="inlineStr"/>
      <c r="O788" s="6" t="inlineStr"/>
      <c r="P788" s="6" t="inlineStr"/>
      <c r="Q788" s="5" t="inlineStr"/>
      <c r="R788" s="5" t="inlineStr"/>
      <c r="S788" s="5" t="inlineStr"/>
      <c r="T788" s="5" t="inlineStr"/>
      <c r="U788" s="5" t="inlineStr"/>
      <c r="V788" s="5" t="inlineStr"/>
      <c r="W788" s="5" t="inlineStr"/>
      <c r="X788" s="5" t="inlineStr"/>
      <c r="Y788" s="5" t="inlineStr"/>
      <c r="Z788" s="6" t="inlineStr"/>
      <c r="AA788" s="5" t="inlineStr"/>
      <c r="AB788" s="5" t="inlineStr"/>
      <c r="AC788" s="5" t="inlineStr"/>
      <c r="AD788" s="5" t="inlineStr"/>
      <c r="AE788" s="5" t="inlineStr"/>
      <c r="AF788" s="5" t="inlineStr"/>
      <c r="AG788" s="5" t="inlineStr"/>
      <c r="AH788" s="5" t="inlineStr"/>
      <c r="AI788" s="5" t="inlineStr"/>
      <c r="AJ788" s="5" t="inlineStr"/>
    </row>
    <row r="789">
      <c r="A789" s="5" t="inlineStr">
        <is>
          <t>b7-hastane-gecesi</t>
        </is>
      </c>
      <c r="B789" s="5" t="n">
        <v>2</v>
      </c>
      <c r="C789" s="6" t="inlineStr">
        <is>
          <t>Uyuyan çocuğu uyandırmadan arabaya taşı</t>
        </is>
      </c>
      <c r="D789" s="5" t="inlineStr">
        <is>
          <t>Dayanıklılık</t>
        </is>
      </c>
      <c r="E789" s="5" t="inlineStr">
        <is>
          <t>Orta</t>
        </is>
      </c>
      <c r="F789" s="5" t="inlineStr"/>
      <c r="G789" s="6" t="inlineStr"/>
      <c r="H789" s="6" t="inlineStr">
        <is>
          <t>Çocuğu arabaya kadar taşıdın, uyanmadı. Eve kadar uyudu, sen de nefes aldın.</t>
        </is>
      </c>
      <c r="I789" s="6" t="inlineStr">
        <is>
          <t>Çocuğu arabaya, sonra eve, sonra yatağına taşıdın. Hiç uyanmadı. Bir ebeveynin en büyük zaferi, kimse görmedi.</t>
        </is>
      </c>
      <c r="J789" s="6" t="inlineStr">
        <is>
          <t>Otoparkta çocuk uyandı. 'Neredeyiz?' dedi. Sen de bilmiyordun.</t>
        </is>
      </c>
      <c r="K789" s="6" t="inlineStr">
        <is>
          <t>Çocuğu arabaya sorunsuz yatırdın. Kapıyı kapatırken kendi parmağını sıkıştırdın; bağırmamak için koluna ısırdın. Çocuk uyudu; acile ikinci kez sen girdin, bu sefer kendi adına sıra alarak.</t>
        </is>
      </c>
      <c r="L789" s="6" t="inlineStr">
        <is>
          <t>Çocuk arabada gözünü açtı, “Dondurma” dedi, yine uyudu. Sabah kahvaltıda ilk sözü de bu oldu; unutmamıştı.</t>
        </is>
      </c>
      <c r="M789" s="5" t="inlineStr">
        <is>
          <t>timing</t>
        </is>
      </c>
      <c r="N789" s="5" t="inlineStr">
        <is>
          <t>Uyuyan Yük</t>
        </is>
      </c>
      <c r="O789" s="6" t="inlineStr">
        <is>
          <t>İbre yeşil alandayken DURDUR'a bas. Art arda tutturdukça kombo kazanırsın.</t>
        </is>
      </c>
      <c r="P789" s="6" t="n"/>
      <c r="Q789" s="5" t="inlineStr"/>
      <c r="R789" s="5" t="inlineStr"/>
      <c r="S789" s="5" t="inlineStr"/>
      <c r="T789" s="5" t="inlineStr"/>
      <c r="U789" s="5" t="inlineStr"/>
      <c r="V789" s="5" t="inlineStr"/>
      <c r="W789" s="5" t="inlineStr"/>
      <c r="X789" s="5" t="inlineStr"/>
      <c r="Y789" s="5" t="inlineStr"/>
      <c r="Z789" s="6" t="inlineStr"/>
      <c r="AA789" s="5" t="inlineStr"/>
      <c r="AB789" s="5" t="inlineStr"/>
      <c r="AC789" s="5" t="inlineStr"/>
      <c r="AD789" s="5" t="inlineStr"/>
      <c r="AE789" s="5" t="inlineStr"/>
      <c r="AF789" s="5" t="inlineStr"/>
      <c r="AG789" s="5" t="inlineStr"/>
      <c r="AH789" s="5" t="inlineStr"/>
      <c r="AI789" s="5" t="inlineStr"/>
      <c r="AJ789" s="5" t="inlineStr"/>
    </row>
    <row r="790">
      <c r="A790" s="5" t="inlineStr">
        <is>
          <t>b7-hastane-gecesi</t>
        </is>
      </c>
      <c r="B790" s="5" t="n">
        <v>3</v>
      </c>
      <c r="C790" s="6" t="inlineStr">
        <is>
          <t>Hemşireyle dostluk kur</t>
        </is>
      </c>
      <c r="D790" s="5" t="inlineStr">
        <is>
          <t>Sosyal Radar</t>
        </is>
      </c>
      <c r="E790" s="5" t="inlineStr">
        <is>
          <t>Kolay</t>
        </is>
      </c>
      <c r="F790" s="5" t="inlineStr"/>
      <c r="G790" s="6" t="inlineStr"/>
      <c r="H790" s="6" t="inlineStr">
        <is>
          <t>Hemşire sizi sıraya aldı, battaniye verdi, çocuğun alnına ıslak bez koydu. Sana da bir bardak çay getirdi: “Sen de iç, sen de ateşlisin.”</t>
        </is>
      </c>
      <c r="I790" s="6" t="inlineStr">
        <is>
          <t>Hemşire sıranızı öne aldı, çocuğa bir de çıkartma yapıştırdı. Çıkarken numarasını verdi: “Gece korkarsanız arayın.” Hiç aramadın; numara hâlâ telefonunda “Acil Hemşire” diye kayıtlı.</t>
        </is>
      </c>
      <c r="J790" s="6" t="inlineStr">
        <is>
          <t>Hemşire başını kaldırmadan “Sırası gelince” dedi. Sıranız gelince de kaldırmadı.</t>
        </is>
      </c>
      <c r="K790" s="6" t="inlineStr">
        <is>
          <t>Hemşire sana kendi kayınvalidesini anlattı, sen bir saat dinledin. Sıra size geldiğinde çocuğun ateşi düşmüş, uyumuştu. Doktor “Niye geldiniz?” dedi; hemşire başka yere baktı.</t>
        </is>
      </c>
      <c r="L790" s="6" t="inlineStr"/>
      <c r="M790" s="5" t="inlineStr"/>
      <c r="N790" s="5" t="inlineStr"/>
      <c r="O790" s="6" t="inlineStr"/>
      <c r="P790" s="6" t="inlineStr"/>
      <c r="Q790" s="5" t="inlineStr"/>
      <c r="R790" s="5" t="inlineStr"/>
      <c r="S790" s="5" t="inlineStr"/>
      <c r="T790" s="5" t="inlineStr"/>
      <c r="U790" s="5" t="inlineStr"/>
      <c r="V790" s="5" t="inlineStr"/>
      <c r="W790" s="5" t="inlineStr"/>
      <c r="X790" s="5" t="inlineStr"/>
      <c r="Y790" s="5" t="inlineStr"/>
      <c r="Z790" s="6" t="inlineStr"/>
      <c r="AA790" s="5" t="inlineStr"/>
      <c r="AB790" s="5" t="inlineStr"/>
      <c r="AC790" s="5" t="inlineStr"/>
      <c r="AD790" s="5" t="inlineStr"/>
      <c r="AE790" s="5" t="inlineStr"/>
      <c r="AF790" s="5" t="inlineStr"/>
      <c r="AG790" s="5" t="inlineStr"/>
      <c r="AH790" s="5" t="inlineStr"/>
      <c r="AI790" s="5" t="inlineStr"/>
      <c r="AJ790" s="5" t="inlineStr"/>
    </row>
    <row r="791">
      <c r="A791" s="5" t="inlineStr">
        <is>
          <t>ms-gercek-is</t>
        </is>
      </c>
      <c r="B791" s="5" t="n">
        <v>1</v>
      </c>
      <c r="C791" s="6" t="inlineStr">
        <is>
          <t>'Yakında' de</t>
        </is>
      </c>
      <c r="D791" s="5" t="inlineStr"/>
      <c r="E791" s="5" t="inlineStr"/>
      <c r="F791" s="5" t="inlineStr">
        <is>
          <t>Dayanıklılık +1</t>
        </is>
      </c>
      <c r="G791" s="6" t="inlineStr">
        <is>
          <t>'Yakında' dedin. On yıldır bu cevabı veriyorsun, teyze on yıldır aynı soruyu soruyor. İstikrar ikinizde de var.</t>
        </is>
      </c>
      <c r="H791" s="6" t="inlineStr"/>
      <c r="I791" s="6" t="inlineStr"/>
      <c r="J791" s="6" t="inlineStr"/>
      <c r="K791" s="6" t="inlineStr"/>
      <c r="L791" s="6" t="inlineStr"/>
      <c r="M791" s="5" t="inlineStr"/>
      <c r="N791" s="5" t="inlineStr"/>
      <c r="O791" s="6" t="inlineStr"/>
      <c r="P791" s="6" t="inlineStr"/>
      <c r="Q791" s="5" t="inlineStr"/>
      <c r="R791" s="5" t="inlineStr"/>
      <c r="S791" s="5" t="inlineStr"/>
      <c r="T791" s="5" t="inlineStr"/>
      <c r="U791" s="5" t="inlineStr"/>
      <c r="V791" s="5" t="inlineStr"/>
      <c r="W791" s="5" t="inlineStr"/>
      <c r="X791" s="5" t="inlineStr"/>
      <c r="Y791" s="5" t="inlineStr"/>
      <c r="Z791" s="6" t="inlineStr"/>
      <c r="AA791" s="5" t="inlineStr"/>
      <c r="AB791" s="5" t="inlineStr"/>
      <c r="AC791" s="5" t="inlineStr"/>
      <c r="AD791" s="5" t="inlineStr"/>
      <c r="AE791" s="5" t="inlineStr"/>
      <c r="AF791" s="5" t="inlineStr"/>
      <c r="AG791" s="5" t="inlineStr"/>
      <c r="AH791" s="5" t="inlineStr"/>
      <c r="AI791" s="5" t="inlineStr"/>
      <c r="AJ791" s="5" t="inlineStr"/>
    </row>
    <row r="792">
      <c r="A792" s="5" t="inlineStr">
        <is>
          <t>ms-gercek-is</t>
        </is>
      </c>
      <c r="B792" s="5" t="n">
        <v>2</v>
      </c>
      <c r="C792" s="6" t="inlineStr">
        <is>
          <t>Kazancını söyle</t>
        </is>
      </c>
      <c r="D792" s="5" t="inlineStr">
        <is>
          <t>Pişkinlik</t>
        </is>
      </c>
      <c r="E792" s="5" t="inlineStr">
        <is>
          <t>Orta</t>
        </is>
      </c>
      <c r="F792" s="5" t="inlineStr"/>
      <c r="G792" s="6" t="inlineStr"/>
      <c r="H792" s="6" t="inlineStr">
        <is>
          <t>Kazancını söyledin. Teyze sessizce çayını karıştırdı.</t>
        </is>
      </c>
      <c r="I792" s="6" t="inlineStr">
        <is>
          <t>Rakamı duyan teyze ertesi gün oğlunu kapına getirdi: “Bunu da yanına al.” Artık bir çırağın var; maaşını teyze soruyor.</t>
        </is>
      </c>
      <c r="J792" s="6" t="inlineStr">
        <is>
          <t>Teyze “Aylık mı, yıllık mı?” diye sordu. “Aylık” dedin. Teyze masaya dönüp “Yıllık” diye düzeltti.</t>
        </is>
      </c>
      <c r="K792" s="6" t="inlineStr">
        <is>
          <t>Kazancını söyledin. Teyze bir an durdu, çantasından bir zarf çıkarıp avucuna sıkıştırdı: “Al kuzum, annene söyleme.”</t>
        </is>
      </c>
      <c r="L792" s="6" t="inlineStr"/>
      <c r="M792" s="5" t="inlineStr"/>
      <c r="N792" s="5" t="inlineStr"/>
      <c r="O792" s="6" t="inlineStr"/>
      <c r="P792" s="6" t="inlineStr"/>
      <c r="Q792" s="5" t="inlineStr"/>
      <c r="R792" s="5" t="inlineStr"/>
      <c r="S792" s="5" t="inlineStr"/>
      <c r="T792" s="5" t="inlineStr"/>
      <c r="U792" s="5" t="inlineStr"/>
      <c r="V792" s="5" t="inlineStr"/>
      <c r="W792" s="5" t="inlineStr"/>
      <c r="X792" s="5" t="inlineStr"/>
      <c r="Y792" s="5" t="inlineStr"/>
      <c r="Z792" s="6" t="inlineStr"/>
      <c r="AA792" s="5" t="inlineStr"/>
      <c r="AB792" s="5" t="inlineStr"/>
      <c r="AC792" s="5" t="inlineStr"/>
      <c r="AD792" s="5" t="inlineStr"/>
      <c r="AE792" s="5" t="inlineStr"/>
      <c r="AF792" s="5" t="inlineStr"/>
      <c r="AG792" s="5" t="inlineStr"/>
      <c r="AH792" s="5" t="inlineStr"/>
      <c r="AI792" s="5" t="inlineStr"/>
      <c r="AJ792" s="5" t="inlineStr"/>
    </row>
    <row r="793">
      <c r="A793" s="5" t="inlineStr">
        <is>
          <t>ms-gercek-is</t>
        </is>
      </c>
      <c r="B793" s="5" t="n">
        <v>3</v>
      </c>
      <c r="C793" s="6" t="inlineStr">
        <is>
          <t>Masadaki kuzeni ittifaka davet et</t>
        </is>
      </c>
      <c r="D793" s="5" t="inlineStr">
        <is>
          <t>Sosyal Radar</t>
        </is>
      </c>
      <c r="E793" s="5" t="inlineStr">
        <is>
          <t>Kolay</t>
        </is>
      </c>
      <c r="F793" s="5" t="inlineStr"/>
      <c r="G793" s="6" t="inlineStr"/>
      <c r="H793" s="6" t="inlineStr">
        <is>
          <t>'Biz ikimiz de danışmanız' dediniz. Teyze iki danışmanın karşısında saygıyla sustu.</t>
        </is>
      </c>
      <c r="I793" s="6" t="inlineStr">
        <is>
          <t>Kuzenle ortak iş kurdunuz. Teyze artık 'şirket sahibi yeğenlerim' diyor.</t>
        </is>
      </c>
      <c r="J793" s="6" t="inlineStr">
        <is>
          <t>Kuzen seni satıp 'Ben aslında şirkette çalışıyorum' dedi.</t>
        </is>
      </c>
      <c r="K793" s="6" t="inlineStr">
        <is>
          <t>Kuzenle birlikte savunma yaptınız; teyze ikinizi de düğündeki iş sahibi amcaya tanıttı. Mülakat başladı.</t>
        </is>
      </c>
      <c r="L793" s="6" t="inlineStr"/>
      <c r="M793" s="5" t="inlineStr"/>
      <c r="N793" s="5" t="inlineStr"/>
      <c r="O793" s="6" t="inlineStr"/>
      <c r="P793" s="6" t="inlineStr"/>
      <c r="Q793" s="5" t="inlineStr"/>
      <c r="R793" s="5" t="inlineStr"/>
      <c r="S793" s="5" t="inlineStr">
        <is>
          <t>Sosyal Radar</t>
        </is>
      </c>
      <c r="T793" s="5" t="inlineStr"/>
      <c r="U793" s="5" t="inlineStr"/>
      <c r="V793" s="5" t="inlineStr"/>
      <c r="W793" s="5" t="inlineStr"/>
      <c r="X793" s="5" t="inlineStr"/>
      <c r="Y793" s="5" t="inlineStr"/>
      <c r="Z793" s="6" t="inlineStr"/>
      <c r="AA793" s="5" t="inlineStr"/>
      <c r="AB793" s="5" t="inlineStr"/>
      <c r="AC793" s="5" t="inlineStr"/>
      <c r="AD793" s="5" t="inlineStr"/>
      <c r="AE793" s="5" t="inlineStr"/>
      <c r="AF793" s="5" t="inlineStr"/>
      <c r="AG793" s="5" t="inlineStr"/>
      <c r="AH793" s="5" t="inlineStr"/>
      <c r="AI793" s="5" t="inlineStr"/>
      <c r="AJ793" s="5" t="inlineStr"/>
    </row>
    <row r="794">
      <c r="A794" s="5" t="inlineStr">
        <is>
          <t>ms-gercek-is</t>
        </is>
      </c>
      <c r="B794" s="5" t="n">
        <v>4</v>
      </c>
      <c r="C794" s="6" t="inlineStr">
        <is>
          <t>Viral videonu göster</t>
        </is>
      </c>
      <c r="D794" s="5" t="inlineStr">
        <is>
          <t>Pişkinlik</t>
        </is>
      </c>
      <c r="E794" s="5" t="inlineStr">
        <is>
          <t>Kolay</t>
        </is>
      </c>
      <c r="F794" s="5" t="inlineStr"/>
      <c r="G794" s="6" t="inlineStr"/>
      <c r="H794" s="6" t="inlineStr">
        <is>
          <t>Teyze 'Bunu biz de gördük! Sen miydin?' dedi. Masada itibarın yükseldi.</t>
        </is>
      </c>
      <c r="I794" s="6" t="inlineStr">
        <is>
          <t>Teyze orkestrayı susturup videoyu bütün düğüne gösterdi. Gelinle damat da izledi; sonra seninle fotoğraf çektirmek için sıraya girdiler.</t>
        </is>
      </c>
      <c r="J794" s="6" t="inlineStr">
        <is>
          <t>Teyze videoyu izledi ve 'Peki para veriyorlar mı?' dedi. Soru cevapsız kaldı.</t>
        </is>
      </c>
      <c r="K794" s="6" t="inlineStr">
        <is>
          <t>Yanlış videoyu açtın: canlıda ritmi kaçırdığın kayıt. Düğün salonu bir daha izledi.</t>
        </is>
      </c>
      <c r="L794" s="6" t="inlineStr"/>
      <c r="M794" s="5" t="inlineStr"/>
      <c r="N794" s="5" t="inlineStr"/>
      <c r="O794" s="6" t="inlineStr"/>
      <c r="P794" s="6" t="inlineStr"/>
      <c r="Q794" s="5" t="inlineStr"/>
      <c r="R794" s="5" t="inlineStr">
        <is>
          <t>serbest-viral-oldu</t>
        </is>
      </c>
      <c r="S794" s="5" t="inlineStr"/>
      <c r="T794" s="5" t="inlineStr"/>
      <c r="U794" s="5" t="inlineStr"/>
      <c r="V794" s="5" t="inlineStr"/>
      <c r="W794" s="5" t="inlineStr"/>
      <c r="X794" s="5" t="inlineStr"/>
      <c r="Y794" s="5" t="inlineStr"/>
      <c r="Z794" s="6" t="inlineStr"/>
      <c r="AA794" s="5" t="inlineStr"/>
      <c r="AB794" s="5" t="inlineStr"/>
      <c r="AC794" s="5" t="inlineStr"/>
      <c r="AD794" s="5" t="inlineStr"/>
      <c r="AE794" s="5" t="inlineStr"/>
      <c r="AF794" s="5" t="inlineStr"/>
      <c r="AG794" s="5" t="inlineStr"/>
      <c r="AH794" s="5" t="inlineStr"/>
      <c r="AI794" s="5" t="inlineStr"/>
      <c r="AJ794" s="5" t="inlineStr"/>
    </row>
    <row r="795">
      <c r="A795" s="5" t="inlineStr">
        <is>
          <t>b7-mutfak-tadilati</t>
        </is>
      </c>
      <c r="B795" s="5" t="n">
        <v>1</v>
      </c>
      <c r="C795" s="6" t="inlineStr">
        <is>
          <t>Eşinin rengine razı ol</t>
        </is>
      </c>
      <c r="D795" s="5" t="inlineStr"/>
      <c r="E795" s="5" t="inlineStr"/>
      <c r="F795" s="5" t="inlineStr">
        <is>
          <t>Gönül +1</t>
        </is>
      </c>
      <c r="G795" s="6" t="inlineStr">
        <is>
          <t>Dolaplar krem oldu. Güzel. Sadece her sabah kahve yaparken bir şey içinde antrasit kalıyor.</t>
        </is>
      </c>
      <c r="H795" s="6" t="inlineStr"/>
      <c r="I795" s="6" t="inlineStr"/>
      <c r="J795" s="6" t="inlineStr"/>
      <c r="K795" s="6" t="inlineStr"/>
      <c r="L795" s="6" t="inlineStr"/>
      <c r="M795" s="5" t="inlineStr"/>
      <c r="N795" s="5" t="inlineStr"/>
      <c r="O795" s="6" t="inlineStr"/>
      <c r="P795" s="6" t="inlineStr"/>
      <c r="Q795" s="5" t="inlineStr"/>
      <c r="R795" s="5" t="inlineStr"/>
      <c r="S795" s="5" t="inlineStr"/>
      <c r="T795" s="5" t="inlineStr"/>
      <c r="U795" s="5" t="inlineStr"/>
      <c r="V795" s="5" t="inlineStr"/>
      <c r="W795" s="5" t="inlineStr"/>
      <c r="X795" s="5" t="inlineStr"/>
      <c r="Y795" s="5" t="inlineStr"/>
      <c r="Z795" s="6" t="inlineStr"/>
      <c r="AA795" s="5" t="inlineStr"/>
      <c r="AB795" s="5" t="inlineStr"/>
      <c r="AC795" s="5" t="inlineStr"/>
      <c r="AD795" s="5" t="inlineStr"/>
      <c r="AE795" s="5" t="inlineStr"/>
      <c r="AF795" s="5" t="inlineStr"/>
      <c r="AG795" s="5" t="inlineStr"/>
      <c r="AH795" s="5" t="inlineStr"/>
      <c r="AI795" s="5" t="inlineStr"/>
      <c r="AJ795" s="5" t="inlineStr"/>
    </row>
    <row r="796">
      <c r="A796" s="5" t="inlineStr">
        <is>
          <t>b7-mutfak-tadilati</t>
        </is>
      </c>
      <c r="B796" s="5" t="n">
        <v>2</v>
      </c>
      <c r="C796" s="6" t="inlineStr">
        <is>
          <t>Ortak bir renk bul</t>
        </is>
      </c>
      <c r="D796" s="5" t="inlineStr">
        <is>
          <t>Sosyal Radar</t>
        </is>
      </c>
      <c r="E796" s="5" t="inlineStr">
        <is>
          <t>Orta</t>
        </is>
      </c>
      <c r="F796" s="5" t="inlineStr"/>
      <c r="G796" s="6" t="inlineStr"/>
      <c r="H796" s="6" t="inlineStr">
        <is>
          <t>'Antrasit-krem' karışımı bir gri seçildi. İkiniz de memnun değilsiniz ama eşit memnun değilsiniz.</t>
        </is>
      </c>
      <c r="I796" s="6" t="inlineStr">
        <is>
          <t>Ortak renk o kadar güzel oldu ki usta başka müşterilere de öneriyor. Adı 'uzlaşma grisi'.</t>
        </is>
      </c>
      <c r="J796" s="6" t="inlineStr">
        <is>
          <t>Ortak renk bulunamadı. Usta çayını ikinci kez tazeledi.</t>
        </is>
      </c>
      <c r="K796" s="6" t="inlineStr">
        <is>
          <t>Ortak renk aranırken tadilat üç ay uzadı. Üç ay yemekleri balkonda, tüpte pişirdiniz. Kayınvaliden ziyarete geldi, tencereye baktı, sonra size: “Kamp mı yapıyorsunuz?”</t>
        </is>
      </c>
      <c r="L796" s="6" t="inlineStr"/>
      <c r="M796" s="5" t="inlineStr"/>
      <c r="N796" s="5" t="inlineStr"/>
      <c r="O796" s="6" t="inlineStr"/>
      <c r="P796" s="6" t="inlineStr"/>
      <c r="Q796" s="5" t="inlineStr"/>
      <c r="R796" s="5" t="inlineStr"/>
      <c r="S796" s="5" t="inlineStr"/>
      <c r="T796" s="5" t="inlineStr"/>
      <c r="U796" s="5" t="inlineStr"/>
      <c r="V796" s="5" t="inlineStr"/>
      <c r="W796" s="5" t="inlineStr"/>
      <c r="X796" s="5" t="inlineStr"/>
      <c r="Y796" s="5" t="inlineStr"/>
      <c r="Z796" s="6" t="inlineStr"/>
      <c r="AA796" s="5" t="inlineStr"/>
      <c r="AB796" s="5" t="inlineStr"/>
      <c r="AC796" s="5" t="inlineStr"/>
      <c r="AD796" s="5" t="inlineStr"/>
      <c r="AE796" s="5" t="inlineStr"/>
      <c r="AF796" s="5" t="inlineStr"/>
      <c r="AG796" s="5" t="inlineStr"/>
      <c r="AH796" s="5" t="inlineStr"/>
      <c r="AI796" s="5" t="inlineStr"/>
      <c r="AJ796" s="5" t="inlineStr"/>
    </row>
    <row r="797">
      <c r="A797" s="5" t="inlineStr">
        <is>
          <t>b7-mutfak-tadilati</t>
        </is>
      </c>
      <c r="B797" s="5" t="n">
        <v>3</v>
      </c>
      <c r="C797" s="6" t="inlineStr">
        <is>
          <t>Kendi rengini sonuna kadar savun</t>
        </is>
      </c>
      <c r="D797" s="5" t="inlineStr">
        <is>
          <t>Cesaret</t>
        </is>
      </c>
      <c r="E797" s="5" t="inlineStr">
        <is>
          <t>Zor</t>
        </is>
      </c>
      <c r="F797" s="5" t="inlineStr"/>
      <c r="G797" s="6" t="inlineStr"/>
      <c r="H797" s="6" t="inlineStr">
        <is>
          <t>Antrasit kazandı. Mutfak güzel oldu. Eşin, zamanla sana hak verdi. Zamanla.</t>
        </is>
      </c>
      <c r="I797" s="6" t="inlineStr">
        <is>
          <t>Eşin ikna oldu. Bir hafta sonra onu telefonda annesine antrasit anlatırken duydun; senin cümlelerinle, kendi fikriymiş gibi. Sesini çıkarmadın.</t>
        </is>
      </c>
      <c r="J797" s="6" t="inlineStr">
        <is>
          <t>Savunmanın sonunda usta 'Ben yarın geleyim' dedi ve gelmedi.</t>
        </is>
      </c>
      <c r="K797" s="6" t="inlineStr">
        <is>
          <t>Savunurken “Senin zevkin zaten…” diye bir cümleye başladın. Bitiremedin; eşin bitirmene izin vermedi. Usta çayını bırakıp gitti, eşin de annesine; dolaplar ortada kaldı.</t>
        </is>
      </c>
      <c r="L797" s="6" t="inlineStr"/>
      <c r="M797" s="5" t="inlineStr"/>
      <c r="N797" s="5" t="inlineStr"/>
      <c r="O797" s="6" t="inlineStr"/>
      <c r="P797" s="6" t="inlineStr"/>
      <c r="Q797" s="5" t="inlineStr"/>
      <c r="R797" s="5" t="inlineStr"/>
      <c r="S797" s="5" t="inlineStr"/>
      <c r="T797" s="5" t="inlineStr"/>
      <c r="U797" s="5" t="inlineStr"/>
      <c r="V797" s="5" t="inlineStr"/>
      <c r="W797" s="5" t="inlineStr"/>
      <c r="X797" s="5" t="inlineStr"/>
      <c r="Y797" s="5" t="inlineStr"/>
      <c r="Z797" s="6" t="inlineStr"/>
      <c r="AA797" s="5" t="inlineStr"/>
      <c r="AB797" s="5" t="inlineStr"/>
      <c r="AC797" s="5" t="inlineStr"/>
      <c r="AD797" s="5" t="inlineStr"/>
      <c r="AE797" s="5" t="inlineStr"/>
      <c r="AF797" s="5" t="inlineStr"/>
      <c r="AG797" s="5" t="inlineStr"/>
      <c r="AH797" s="5" t="inlineStr"/>
      <c r="AI797" s="5" t="inlineStr"/>
      <c r="AJ797" s="5" t="inlineStr"/>
    </row>
    <row r="798">
      <c r="A798" s="5" t="inlineStr">
        <is>
          <t>b7-mutfak-tadilati</t>
        </is>
      </c>
      <c r="B798" s="5" t="n">
        <v>4</v>
      </c>
      <c r="C798" s="6" t="inlineStr">
        <is>
          <t>'Belki ayrı mutfaklar, ayrı hayatlar?' de</t>
        </is>
      </c>
      <c r="D798" s="5" t="inlineStr"/>
      <c r="E798" s="5" t="inlineStr"/>
      <c r="F798" s="5" t="inlineStr">
        <is>
          <t>Cesaret +1, Pişkinlik +1</t>
        </is>
      </c>
      <c r="G798" s="6" t="inlineStr">
        <is>
          <t>“Belki ayrı mutfaklar, ayrı hayatlar?” dedin. Şaka gibi çıktı, şaka gibi durmadı. Eşin uzun süre sustu, sonra ustaya “Siz gidin” dedi. Altı ay sonra anlaşmalı ayrıldınız; dolap kapakları hâlâ kolilerde.</t>
        </is>
      </c>
      <c r="H798" s="6" t="inlineStr"/>
      <c r="I798" s="6" t="inlineStr"/>
      <c r="J798" s="6" t="inlineStr"/>
      <c r="K798" s="6" t="inlineStr"/>
      <c r="L798" s="6" t="inlineStr"/>
      <c r="M798" s="5" t="inlineStr"/>
      <c r="N798" s="5" t="inlineStr"/>
      <c r="O798" s="6" t="inlineStr"/>
      <c r="P798" s="6" t="inlineStr"/>
      <c r="Q798" s="5" t="inlineStr"/>
      <c r="R798" s="5" t="inlineStr"/>
      <c r="S798" s="5" t="inlineStr"/>
      <c r="T798" s="5" t="inlineStr"/>
      <c r="U798" s="5" t="inlineStr">
        <is>
          <t>bosandi</t>
        </is>
      </c>
      <c r="V798" s="5" t="inlineStr"/>
      <c r="W798" s="5" t="inlineStr"/>
      <c r="X798" s="5" t="inlineStr">
        <is>
          <t>evli</t>
        </is>
      </c>
      <c r="Y798" s="5" t="inlineStr"/>
      <c r="Z798" s="6" t="inlineStr"/>
      <c r="AA798" s="5" t="inlineStr"/>
      <c r="AB798" s="5" t="inlineStr"/>
      <c r="AC798" s="5" t="inlineStr"/>
      <c r="AD798" s="5" t="inlineStr"/>
      <c r="AE798" s="5" t="inlineStr"/>
      <c r="AF798" s="5" t="inlineStr"/>
      <c r="AG798" s="5" t="inlineStr"/>
      <c r="AH798" s="5" t="inlineStr"/>
      <c r="AI798" s="5" t="inlineStr"/>
      <c r="AJ798" s="5" t="inlineStr"/>
    </row>
    <row r="799">
      <c r="A799" s="5" t="inlineStr">
        <is>
          <t>b7-ebeveyn-grubu</t>
        </is>
      </c>
      <c r="B799" s="5" t="n">
        <v>1</v>
      </c>
      <c r="C799" s="6" t="inlineStr">
        <is>
          <t>Sadece 'Katılıyorum' yaz</t>
        </is>
      </c>
      <c r="D799" s="5" t="inlineStr"/>
      <c r="E799" s="5" t="inlineStr"/>
      <c r="F799" s="5" t="inlineStr">
        <is>
          <t>Dayanıklılık +1</t>
        </is>
      </c>
      <c r="G799" s="6" t="inlineStr">
        <is>
          <t>“Katılıyorum” yazdın. Neye katıldığını hiç öğrenmedin. Akşam gruba bir hesap numarası düştü; altında senin adın ve bir tutar.</t>
        </is>
      </c>
      <c r="H799" s="6" t="inlineStr"/>
      <c r="I799" s="6" t="inlineStr"/>
      <c r="J799" s="6" t="inlineStr"/>
      <c r="K799" s="6" t="inlineStr"/>
      <c r="L799" s="6" t="inlineStr"/>
      <c r="M799" s="5" t="inlineStr"/>
      <c r="N799" s="5" t="inlineStr"/>
      <c r="O799" s="6" t="inlineStr"/>
      <c r="P799" s="6" t="inlineStr"/>
      <c r="Q799" s="5" t="inlineStr"/>
      <c r="R799" s="5" t="inlineStr"/>
      <c r="S799" s="5" t="inlineStr"/>
      <c r="T799" s="5" t="inlineStr"/>
      <c r="U799" s="5" t="inlineStr"/>
      <c r="V799" s="5" t="inlineStr"/>
      <c r="W799" s="5" t="inlineStr"/>
      <c r="X799" s="5" t="inlineStr"/>
      <c r="Y799" s="5" t="inlineStr"/>
      <c r="Z799" s="6" t="inlineStr"/>
      <c r="AA799" s="5" t="inlineStr"/>
      <c r="AB799" s="5" t="inlineStr"/>
      <c r="AC799" s="5" t="inlineStr"/>
      <c r="AD799" s="5" t="inlineStr"/>
      <c r="AE799" s="5" t="inlineStr"/>
      <c r="AF799" s="5" t="inlineStr"/>
      <c r="AG799" s="5" t="inlineStr"/>
      <c r="AH799" s="5" t="inlineStr"/>
      <c r="AI799" s="5" t="inlineStr"/>
      <c r="AJ799" s="5" t="inlineStr"/>
    </row>
    <row r="800">
      <c r="A800" s="5" t="inlineStr">
        <is>
          <t>b7-ebeveyn-grubu</t>
        </is>
      </c>
      <c r="B800" s="5" t="n">
        <v>2</v>
      </c>
      <c r="C800" s="6" t="inlineStr">
        <is>
          <t>Hediye organizasyonunu üstlen</t>
        </is>
      </c>
      <c r="D800" s="5" t="inlineStr">
        <is>
          <t>Sosyal Radar</t>
        </is>
      </c>
      <c r="E800" s="5" t="inlineStr">
        <is>
          <t>Zor</t>
        </is>
      </c>
      <c r="F800" s="5" t="inlineStr"/>
      <c r="G800" s="6" t="inlineStr"/>
      <c r="H800" s="6" t="inlineStr">
        <is>
          <t>Çiçek mi, çeyrek altın mı tartışması iki gün sürdü; çiçek kazandı. Grup sana teşekkür etti. Bir kişi hariç: o altın istiyordu.</t>
        </is>
      </c>
      <c r="I800" s="6" t="inlineStr">
        <is>
          <t>Öğretmen hediyeyi açınca ağladı, veliler de. Ertesi yıl grup kurulur kurulmaz ilk mesaj sana geldi: “Bu yıl da sen, değil mi?” Altına otuz iki kişi kalp bıraktı.</t>
        </is>
      </c>
      <c r="J800" s="6" t="inlineStr">
        <is>
          <t>Organizasyonu üstlendin. Üç kişi 'Ben vermiştim' dedi. Kimse vermemişti.</t>
        </is>
      </c>
      <c r="K800" s="6" t="inlineStr">
        <is>
          <t>Hediye alındı: kristal bir vazo. Yan sınıfın velileri de aynı vazoyu almış. Öğretmen ikisini masasında yan yana koyup teşekkür etti; iki grup birbirine düştü, ortada sen vardın.</t>
        </is>
      </c>
      <c r="L800" s="6" t="inlineStr"/>
      <c r="M800" s="5" t="inlineStr"/>
      <c r="N800" s="5" t="inlineStr"/>
      <c r="O800" s="6" t="inlineStr"/>
      <c r="P800" s="6" t="inlineStr"/>
      <c r="Q800" s="5" t="inlineStr">
        <is>
          <t>Kuralı Koyan</t>
        </is>
      </c>
      <c r="R800" s="5" t="inlineStr"/>
      <c r="S800" s="5" t="inlineStr"/>
      <c r="T800" s="5" t="inlineStr"/>
      <c r="U800" s="5" t="inlineStr"/>
      <c r="V800" s="5" t="inlineStr"/>
      <c r="W800" s="5" t="inlineStr"/>
      <c r="X800" s="5" t="inlineStr"/>
      <c r="Y800" s="5" t="inlineStr"/>
      <c r="Z800" s="6" t="inlineStr"/>
      <c r="AA800" s="5" t="inlineStr"/>
      <c r="AB800" s="5" t="inlineStr"/>
      <c r="AC800" s="5" t="inlineStr"/>
      <c r="AD800" s="5" t="inlineStr"/>
      <c r="AE800" s="5" t="inlineStr"/>
      <c r="AF800" s="5" t="inlineStr"/>
      <c r="AG800" s="5" t="inlineStr"/>
      <c r="AH800" s="5" t="inlineStr"/>
      <c r="AI800" s="5" t="inlineStr"/>
      <c r="AJ800" s="5" t="inlineStr"/>
    </row>
    <row r="801">
      <c r="A801" s="5" t="inlineStr">
        <is>
          <t>b7-ebeveyn-grubu</t>
        </is>
      </c>
      <c r="B801" s="5" t="n">
        <v>3</v>
      </c>
      <c r="C801" s="6" t="inlineStr">
        <is>
          <t>Grubu sessize al</t>
        </is>
      </c>
      <c r="D801" s="5" t="inlineStr">
        <is>
          <t>Kurnazlık</t>
        </is>
      </c>
      <c r="E801" s="5" t="inlineStr">
        <is>
          <t>Kolay</t>
        </is>
      </c>
      <c r="F801" s="5" t="inlineStr"/>
      <c r="G801" s="6" t="inlineStr"/>
      <c r="H801" s="6" t="inlineStr">
        <is>
          <t>Grubu sessize aldın. Akşam yemeğinde telefon ilk kez titremedi; çocuğun “Telefonun bozuldu mu?” diye sordu.</t>
        </is>
      </c>
      <c r="I801" s="6" t="inlineStr">
        <is>
          <t>Grubu sessize aldın ve kimse fark etmedi. Toplantılarda 'Aynen' diyerek var olmaya devam ediyorsun.</t>
        </is>
      </c>
      <c r="J801" s="6" t="inlineStr">
        <is>
          <t>Grubu sessize aldın. Anaokulu gezisini sabah kapıda çocuğundan öğrendin; beslenme çantası boş, izin kâğıdı imzasız.</t>
        </is>
      </c>
      <c r="K801" s="6" t="inlineStr">
        <is>
          <t>Grubu sessize aldın, bir hafta sonra açtın: 'Veli temsilcimiz olarak sizi seçtik.' Oylamada yoktun.</t>
        </is>
      </c>
      <c r="L801" s="6" t="inlineStr"/>
      <c r="M801" s="5" t="inlineStr"/>
      <c r="N801" s="5" t="inlineStr"/>
      <c r="O801" s="6" t="inlineStr"/>
      <c r="P801" s="6" t="inlineStr"/>
      <c r="Q801" s="5" t="inlineStr"/>
      <c r="R801" s="5" t="inlineStr"/>
      <c r="S801" s="5" t="inlineStr"/>
      <c r="T801" s="5" t="inlineStr"/>
      <c r="U801" s="5" t="inlineStr"/>
      <c r="V801" s="5" t="inlineStr"/>
      <c r="W801" s="5" t="inlineStr"/>
      <c r="X801" s="5" t="inlineStr"/>
      <c r="Y801" s="5" t="inlineStr"/>
      <c r="Z801" s="6" t="inlineStr"/>
      <c r="AA801" s="5" t="inlineStr"/>
      <c r="AB801" s="5" t="inlineStr"/>
      <c r="AC801" s="5" t="inlineStr"/>
      <c r="AD801" s="5" t="inlineStr"/>
      <c r="AE801" s="5" t="inlineStr"/>
      <c r="AF801" s="5" t="inlineStr"/>
      <c r="AG801" s="5" t="inlineStr"/>
      <c r="AH801" s="5" t="inlineStr"/>
      <c r="AI801" s="5" t="inlineStr"/>
      <c r="AJ801" s="5" t="inlineStr"/>
    </row>
    <row r="802">
      <c r="A802" s="5" t="inlineStr">
        <is>
          <t>mb-takim-ruhu</t>
        </is>
      </c>
      <c r="B802" s="5" t="n">
        <v>1</v>
      </c>
      <c r="C802" s="6" t="inlineStr">
        <is>
          <t>Güven düşüşü tatbikatına gönüllü ol</t>
        </is>
      </c>
      <c r="D802" s="5" t="inlineStr">
        <is>
          <t>Cesaret</t>
        </is>
      </c>
      <c r="E802" s="5" t="inlineStr">
        <is>
          <t>Orta</t>
        </is>
      </c>
      <c r="F802" s="5" t="inlineStr"/>
      <c r="G802" s="6" t="inlineStr"/>
      <c r="H802" s="6" t="inlineStr">
        <is>
          <t>Arkana düştün, ekip seni tuttu. Muhasebeden biri kulağına fısıldadı: “Raporunu yine reddedeceğim ama düşmene izin vermem.”</t>
        </is>
      </c>
      <c r="I802" s="6" t="inlineStr">
        <is>
          <t>Ekip seni tuttu, havaya attı. İnsan kaynakları görüntüyü tanıtım videosuna koydu.</t>
        </is>
      </c>
      <c r="J802" s="6" t="inlineStr">
        <is>
          <t>Ekip seni son anda tuttu. Güven, yüzde elli olarak raporlandı.</t>
        </is>
      </c>
      <c r="K802" s="6" t="inlineStr">
        <is>
          <t>Düştün; ekip o sırada grup fotoğrafı için dönmüştü. Fotoğrafta herkes gülümsüyor, sen yerdesin.</t>
        </is>
      </c>
      <c r="L802" s="6" t="inlineStr"/>
      <c r="M802" s="5" t="inlineStr"/>
      <c r="N802" s="5" t="inlineStr"/>
      <c r="O802" s="6" t="inlineStr"/>
      <c r="P802" s="6" t="inlineStr"/>
      <c r="Q802" s="5" t="inlineStr"/>
      <c r="R802" s="5" t="inlineStr"/>
      <c r="S802" s="5" t="inlineStr"/>
      <c r="T802" s="5" t="inlineStr"/>
      <c r="U802" s="5" t="inlineStr"/>
      <c r="V802" s="5" t="inlineStr"/>
      <c r="W802" s="5" t="inlineStr"/>
      <c r="X802" s="5" t="inlineStr"/>
      <c r="Y802" s="5" t="inlineStr"/>
      <c r="Z802" s="6" t="inlineStr"/>
      <c r="AA802" s="5" t="inlineStr"/>
      <c r="AB802" s="5" t="inlineStr"/>
      <c r="AC802" s="5" t="inlineStr"/>
      <c r="AD802" s="5" t="inlineStr"/>
      <c r="AE802" s="5" t="inlineStr"/>
      <c r="AF802" s="5" t="inlineStr"/>
      <c r="AG802" s="5" t="inlineStr"/>
      <c r="AH802" s="5" t="inlineStr"/>
      <c r="AI802" s="5" t="inlineStr"/>
      <c r="AJ802" s="5" t="inlineStr"/>
    </row>
    <row r="803">
      <c r="A803" s="5" t="inlineStr">
        <is>
          <t>mb-takim-ruhu</t>
        </is>
      </c>
      <c r="B803" s="5" t="n">
        <v>2</v>
      </c>
      <c r="C803" s="6" t="inlineStr">
        <is>
          <t>Sadece yemek kısmına kadar kal</t>
        </is>
      </c>
      <c r="D803" s="5" t="inlineStr"/>
      <c r="E803" s="5" t="inlineStr"/>
      <c r="F803" s="5" t="inlineStr">
        <is>
          <t>Kurnazlık +1</t>
        </is>
      </c>
      <c r="G803" s="6" t="inlineStr">
        <is>
          <t>Etkinliğe öğle yemeğinde katıldın, halat çekmeden önce kayboldun. Katılım listesinde adın var.</t>
        </is>
      </c>
      <c r="H803" s="6" t="inlineStr"/>
      <c r="I803" s="6" t="inlineStr"/>
      <c r="J803" s="6" t="inlineStr"/>
      <c r="K803" s="6" t="inlineStr"/>
      <c r="L803" s="6" t="inlineStr"/>
      <c r="M803" s="5" t="inlineStr"/>
      <c r="N803" s="5" t="inlineStr"/>
      <c r="O803" s="6" t="inlineStr"/>
      <c r="P803" s="6" t="inlineStr"/>
      <c r="Q803" s="5" t="inlineStr"/>
      <c r="R803" s="5" t="inlineStr"/>
      <c r="S803" s="5" t="inlineStr"/>
      <c r="T803" s="5" t="inlineStr"/>
      <c r="U803" s="5" t="inlineStr"/>
      <c r="V803" s="5" t="inlineStr"/>
      <c r="W803" s="5" t="inlineStr"/>
      <c r="X803" s="5" t="inlineStr"/>
      <c r="Y803" s="5" t="inlineStr"/>
      <c r="Z803" s="6" t="inlineStr"/>
      <c r="AA803" s="5" t="inlineStr"/>
      <c r="AB803" s="5" t="inlineStr"/>
      <c r="AC803" s="5" t="inlineStr"/>
      <c r="AD803" s="5" t="inlineStr"/>
      <c r="AE803" s="5" t="inlineStr"/>
      <c r="AF803" s="5" t="inlineStr"/>
      <c r="AG803" s="5" t="inlineStr"/>
      <c r="AH803" s="5" t="inlineStr"/>
      <c r="AI803" s="5" t="inlineStr"/>
      <c r="AJ803" s="5" t="inlineStr"/>
    </row>
    <row r="804">
      <c r="A804" s="5" t="inlineStr">
        <is>
          <t>mb-takim-ruhu</t>
        </is>
      </c>
      <c r="B804" s="5" t="n">
        <v>3</v>
      </c>
      <c r="C804" s="6" t="inlineStr">
        <is>
          <t>Dans yarışmasına katıl</t>
        </is>
      </c>
      <c r="D804" s="5" t="inlineStr">
        <is>
          <t>Pişkinlik</t>
        </is>
      </c>
      <c r="E804" s="5" t="inlineStr">
        <is>
          <t>Kolay</t>
        </is>
      </c>
      <c r="F804" s="5" t="inlineStr"/>
      <c r="G804" s="6" t="inlineStr"/>
      <c r="H804" s="6" t="inlineStr">
        <is>
          <t>Dans ettin, alkış aldın. Pazartesi asansörde genel müdür yanına geldi, tek kelime etmeden küçük bir omuz hareketi yaptı; kapı açılınca indi.</t>
        </is>
      </c>
      <c r="I804" s="6" t="inlineStr">
        <is>
          <t>Dans yarışmasını kazandın. Ödül: genel müdürle öğle yemeği ve bir kupa. Kupa daha samimiydi.</t>
        </is>
      </c>
      <c r="J804" s="6" t="inlineStr">
        <is>
          <t>Dans ettin; ekip videoyu kurumsal mesaj grubuna attı. Grup susmadı.</t>
        </is>
      </c>
      <c r="K804" s="6" t="inlineStr">
        <is>
          <t>Dans ederken muhasebe müdürünün ayağına bastın. Masraf onayların yavaşladı.</t>
        </is>
      </c>
      <c r="L804" s="6" t="inlineStr"/>
      <c r="M804" s="5" t="inlineStr"/>
      <c r="N804" s="5" t="inlineStr"/>
      <c r="O804" s="6" t="inlineStr"/>
      <c r="P804" s="6" t="inlineStr"/>
      <c r="Q804" s="5" t="inlineStr">
        <is>
          <t>Sahne Sever</t>
        </is>
      </c>
      <c r="R804" s="5" t="inlineStr"/>
      <c r="S804" s="5" t="inlineStr"/>
      <c r="T804" s="5" t="inlineStr"/>
      <c r="U804" s="5" t="inlineStr"/>
      <c r="V804" s="5" t="inlineStr"/>
      <c r="W804" s="5" t="inlineStr"/>
      <c r="X804" s="5" t="inlineStr"/>
      <c r="Y804" s="5" t="inlineStr"/>
      <c r="Z804" s="6" t="inlineStr"/>
      <c r="AA804" s="5" t="inlineStr"/>
      <c r="AB804" s="5" t="inlineStr"/>
      <c r="AC804" s="5" t="inlineStr"/>
      <c r="AD804" s="5" t="inlineStr"/>
      <c r="AE804" s="5" t="inlineStr"/>
      <c r="AF804" s="5" t="inlineStr"/>
      <c r="AG804" s="5" t="inlineStr"/>
      <c r="AH804" s="5" t="inlineStr"/>
      <c r="AI804" s="5" t="inlineStr"/>
      <c r="AJ804" s="5" t="inlineStr"/>
    </row>
    <row r="805">
      <c r="A805" s="5" t="inlineStr">
        <is>
          <t>mb-takim-ruhu</t>
        </is>
      </c>
      <c r="B805" s="5" t="n">
        <v>4</v>
      </c>
      <c r="C805" s="6" t="inlineStr">
        <is>
          <t>Katılma</t>
        </is>
      </c>
      <c r="D805" s="5" t="inlineStr"/>
      <c r="E805" s="5" t="inlineStr"/>
      <c r="F805" s="5" t="inlineStr">
        <is>
          <t>Dayanıklılık +1</t>
        </is>
      </c>
      <c r="G805" s="6" t="inlineStr">
        <is>
          <t>Katılmadın. Pazartesi herkes aynı iç şakaya güldü. Dışarıda kaldın ama sırtın sağlam.</t>
        </is>
      </c>
      <c r="H805" s="6" t="inlineStr"/>
      <c r="I805" s="6" t="inlineStr"/>
      <c r="J805" s="6" t="inlineStr"/>
      <c r="K805" s="6" t="inlineStr"/>
      <c r="L805" s="6" t="inlineStr"/>
      <c r="M805" s="5" t="inlineStr"/>
      <c r="N805" s="5" t="inlineStr"/>
      <c r="O805" s="6" t="inlineStr"/>
      <c r="P805" s="6" t="inlineStr"/>
      <c r="Q805" s="5" t="inlineStr"/>
      <c r="R805" s="5" t="inlineStr"/>
      <c r="S805" s="5" t="inlineStr"/>
      <c r="T805" s="5" t="inlineStr"/>
      <c r="U805" s="5" t="inlineStr"/>
      <c r="V805" s="5" t="inlineStr"/>
      <c r="W805" s="5" t="inlineStr"/>
      <c r="X805" s="5" t="inlineStr"/>
      <c r="Y805" s="5" t="inlineStr"/>
      <c r="Z805" s="6" t="inlineStr"/>
      <c r="AA805" s="5" t="inlineStr"/>
      <c r="AB805" s="5" t="inlineStr"/>
      <c r="AC805" s="5" t="inlineStr"/>
      <c r="AD805" s="5" t="inlineStr"/>
      <c r="AE805" s="5" t="inlineStr"/>
      <c r="AF805" s="5" t="inlineStr"/>
      <c r="AG805" s="5" t="inlineStr"/>
      <c r="AH805" s="5" t="inlineStr"/>
      <c r="AI805" s="5" t="inlineStr"/>
      <c r="AJ805" s="5" t="inlineStr"/>
    </row>
    <row r="806">
      <c r="A806" s="5" t="inlineStr">
        <is>
          <t>me-indirim-sezonu</t>
        </is>
      </c>
      <c r="B806" s="5" t="n">
        <v>1</v>
      </c>
      <c r="C806" s="6" t="inlineStr">
        <is>
          <t>Pazarlıkçı müşteriye sat</t>
        </is>
      </c>
      <c r="D806" s="5" t="inlineStr">
        <is>
          <t>Çene</t>
        </is>
      </c>
      <c r="E806" s="5" t="inlineStr">
        <is>
          <t>Orta</t>
        </is>
      </c>
      <c r="F806" s="5" t="inlineStr"/>
      <c r="G806" s="6" t="inlineStr"/>
      <c r="H806" s="6" t="inlineStr">
        <is>
          <t>İyi fiyattan sattın. Müşteri de indirim yakaladığına inanarak çıktı. Herkes kazandı; sen biraz fazla.</t>
        </is>
      </c>
      <c r="I806" s="6" t="inlineStr">
        <is>
          <t>Pazarlık bitince müşteri bir tane daha aldı. Sonra annesi için bir tane daha. Stok bitti, hikâyen tuttu.</t>
        </is>
      </c>
      <c r="J806" s="6" t="inlineStr">
        <is>
          <t>Müşteri 'Karşıda daha ucuzu var' dedi. Yoktu. Ama ikiniz de bakmaya gittiniz.</t>
        </is>
      </c>
      <c r="K806" s="6" t="inlineStr">
        <is>
          <t>“Son fiyat” dedin, üç kez. Müşteri dördüncüyü bekledi; dayanamayıp “Senin olsun” dedin. Ertesi gün annesini getirdi: “Bu da aynı fiyattan.”</t>
        </is>
      </c>
      <c r="L806" s="6" t="inlineStr">
        <is>
          <t>Sattın. Kâr, sezonun geri kalanı kadar ince.</t>
        </is>
      </c>
      <c r="M806" s="5" t="inlineStr">
        <is>
          <t>duel</t>
        </is>
      </c>
      <c r="N806" s="5" t="inlineStr">
        <is>
          <t>Sezon Sonu Pazarlığı</t>
        </is>
      </c>
      <c r="O806" s="6" t="inlineStr">
        <is>
          <t>Karşındakinin sabrı bitmeden en iyi cevabı seç.</t>
        </is>
      </c>
      <c r="P806" s="6" t="inlineStr">
        <is>
          <t>{"who": "Müşteri", "item": "sezon sonu mal", "mode": "sell"}</t>
        </is>
      </c>
      <c r="Q806" s="5" t="inlineStr"/>
      <c r="R806" s="5" t="inlineStr"/>
      <c r="S806" s="5" t="inlineStr"/>
      <c r="T806" s="5" t="inlineStr"/>
      <c r="U806" s="5" t="inlineStr"/>
      <c r="V806" s="5" t="inlineStr"/>
      <c r="W806" s="5" t="inlineStr"/>
      <c r="X806" s="5" t="inlineStr"/>
      <c r="Y806" s="5" t="inlineStr"/>
      <c r="Z806" s="6" t="inlineStr"/>
      <c r="AA806" s="5" t="inlineStr"/>
      <c r="AB806" s="5" t="inlineStr"/>
      <c r="AC806" s="5" t="inlineStr"/>
      <c r="AD806" s="5" t="inlineStr"/>
      <c r="AE806" s="5" t="inlineStr"/>
      <c r="AF806" s="5" t="inlineStr"/>
      <c r="AG806" s="5" t="inlineStr"/>
      <c r="AH806" s="5" t="inlineStr"/>
      <c r="AI806" s="5" t="inlineStr"/>
      <c r="AJ806" s="5" t="inlineStr"/>
    </row>
    <row r="807">
      <c r="A807" s="5" t="inlineStr">
        <is>
          <t>me-indirim-sezonu</t>
        </is>
      </c>
      <c r="B807" s="5" t="n">
        <v>2</v>
      </c>
      <c r="C807" s="6" t="inlineStr">
        <is>
          <t>En üst raftaki son malı indir</t>
        </is>
      </c>
      <c r="D807" s="5" t="inlineStr">
        <is>
          <t>Dayanıklılık</t>
        </is>
      </c>
      <c r="E807" s="5" t="inlineStr">
        <is>
          <t>Zor</t>
        </is>
      </c>
      <c r="F807" s="5" t="inlineStr"/>
      <c r="G807" s="6" t="inlineStr"/>
      <c r="H807" s="6" t="inlineStr">
        <is>
          <t>Merdivene çıktın, malı indirdin, tozunu üfledin. Müşteri kutuyu çevirdi: “Bu son mu?” “Son.” Pazarlık etmeden aldı.</t>
        </is>
      </c>
      <c r="I807" s="6" t="inlineStr">
        <is>
          <t>Rafın arkasında unutulmuş bir koli buldun. Tamamı satıldı; sezon ikinci kez açıldı.</t>
        </is>
      </c>
      <c r="J807" s="6" t="inlineStr">
        <is>
          <t>Mal indi, merdiven de indi. Malı yerden aldın.</t>
        </is>
      </c>
      <c r="K807" s="6" t="inlineStr">
        <is>
          <t>Son basamakta raf seninle birlikte eğildi; sezonun bütün kolileri üstüne yağdı. Müşteri koliler arasından önce malı çıkardı: “Bunun başka rengi var mı?”</t>
        </is>
      </c>
      <c r="L807" s="6" t="inlineStr"/>
      <c r="M807" s="5" t="inlineStr"/>
      <c r="N807" s="5" t="inlineStr"/>
      <c r="O807" s="6" t="inlineStr"/>
      <c r="P807" s="6" t="inlineStr"/>
      <c r="Q807" s="5" t="inlineStr"/>
      <c r="R807" s="5" t="inlineStr"/>
      <c r="S807" s="5" t="inlineStr"/>
      <c r="T807" s="5" t="inlineStr"/>
      <c r="U807" s="5" t="inlineStr"/>
      <c r="V807" s="5" t="inlineStr"/>
      <c r="W807" s="5" t="inlineStr"/>
      <c r="X807" s="5" t="inlineStr"/>
      <c r="Y807" s="5" t="inlineStr"/>
      <c r="Z807" s="6" t="inlineStr"/>
      <c r="AA807" s="5" t="inlineStr"/>
      <c r="AB807" s="5" t="inlineStr"/>
      <c r="AC807" s="5" t="inlineStr"/>
      <c r="AD807" s="5" t="inlineStr"/>
      <c r="AE807" s="5" t="inlineStr"/>
      <c r="AF807" s="5" t="inlineStr"/>
      <c r="AG807" s="5" t="inlineStr"/>
      <c r="AH807" s="5" t="inlineStr"/>
      <c r="AI807" s="5" t="inlineStr"/>
      <c r="AJ807" s="5" t="inlineStr"/>
    </row>
    <row r="808">
      <c r="A808" s="5" t="inlineStr">
        <is>
          <t>me-indirim-sezonu</t>
        </is>
      </c>
      <c r="B808" s="5" t="n">
        <v>3</v>
      </c>
      <c r="C808" s="6" t="inlineStr">
        <is>
          <t>Cama 'Stok sınırlı' yaz</t>
        </is>
      </c>
      <c r="D808" s="5" t="inlineStr">
        <is>
          <t>Kurnazlık</t>
        </is>
      </c>
      <c r="E808" s="5" t="inlineStr">
        <is>
          <t>Kolay</t>
        </is>
      </c>
      <c r="F808" s="5" t="inlineStr"/>
      <c r="G808" s="6" t="inlineStr"/>
      <c r="H808" s="6" t="inlineStr">
        <is>
          <t>'Stok sınırlı' yazdın. Stok sınırlı değildi. Kuyruk ise kapıya kadardı.</t>
        </is>
      </c>
      <c r="I808" s="6" t="inlineStr">
        <is>
          <t>Müşteriler sınırlı stoku sınırsız aldı. Mahalle maçında çekirdek sattığın günden beri bu kadar kuyruk görmemiştin.</t>
        </is>
      </c>
      <c r="J808" s="6" t="inlineStr">
        <is>
          <t>Mahalle camı okudu, “Sınırlıysa bitmiştir” deyip karşıya gitti. Akşam teyzenin biri geri geldi: “Bitmediyse bana bir tane ayır.”</t>
        </is>
      </c>
      <c r="K808" s="6" t="inlineStr">
        <is>
          <t>Tabelayı gören zabıta sınırlı stoğun belgesini istedi. Stoku saymak iki gün sürdü.</t>
        </is>
      </c>
      <c r="L808" s="6" t="inlineStr"/>
      <c r="M808" s="5" t="inlineStr"/>
      <c r="N808" s="5" t="inlineStr"/>
      <c r="O808" s="6" t="inlineStr"/>
      <c r="P808" s="6" t="inlineStr"/>
      <c r="Q808" s="5" t="inlineStr">
        <is>
          <t>Çekirdek Baronu</t>
        </is>
      </c>
      <c r="R808" s="5" t="inlineStr"/>
      <c r="S808" s="5" t="inlineStr"/>
      <c r="T808" s="5" t="inlineStr"/>
      <c r="U808" s="5" t="inlineStr"/>
      <c r="V808" s="5" t="inlineStr"/>
      <c r="W808" s="5" t="inlineStr"/>
      <c r="X808" s="5" t="inlineStr"/>
      <c r="Y808" s="5" t="inlineStr"/>
      <c r="Z808" s="6" t="inlineStr"/>
      <c r="AA808" s="5" t="inlineStr"/>
      <c r="AB808" s="5" t="inlineStr"/>
      <c r="AC808" s="5" t="inlineStr"/>
      <c r="AD808" s="5" t="inlineStr"/>
      <c r="AE808" s="5" t="inlineStr"/>
      <c r="AF808" s="5" t="inlineStr"/>
      <c r="AG808" s="5" t="inlineStr"/>
      <c r="AH808" s="5" t="inlineStr"/>
      <c r="AI808" s="5" t="inlineStr"/>
      <c r="AJ808" s="5" t="inlineStr"/>
    </row>
    <row r="809">
      <c r="A809" s="5" t="inlineStr">
        <is>
          <t>me-indirim-sezonu</t>
        </is>
      </c>
      <c r="B809" s="5" t="n">
        <v>4</v>
      </c>
      <c r="C809" s="6" t="inlineStr">
        <is>
          <t>İndirim yapma, sabret</t>
        </is>
      </c>
      <c r="D809" s="5" t="inlineStr"/>
      <c r="E809" s="5" t="inlineStr"/>
      <c r="F809" s="5" t="inlineStr">
        <is>
          <t>İtibar +1, Dayanıklılık +1</t>
        </is>
      </c>
      <c r="G809" s="6" t="inlineStr">
        <is>
          <t>Etiketlere dokunmadın. Sezon bitti, mallar rafta. Gelecek sezona 'klasik' olarak girecekler.</t>
        </is>
      </c>
      <c r="H809" s="6" t="inlineStr"/>
      <c r="I809" s="6" t="inlineStr"/>
      <c r="J809" s="6" t="inlineStr"/>
      <c r="K809" s="6" t="inlineStr"/>
      <c r="L809" s="6" t="inlineStr"/>
      <c r="M809" s="5" t="inlineStr"/>
      <c r="N809" s="5" t="inlineStr"/>
      <c r="O809" s="6" t="inlineStr"/>
      <c r="P809" s="6" t="inlineStr"/>
      <c r="Q809" s="5" t="inlineStr"/>
      <c r="R809" s="5" t="inlineStr"/>
      <c r="S809" s="5" t="inlineStr"/>
      <c r="T809" s="5" t="inlineStr"/>
      <c r="U809" s="5" t="inlineStr"/>
      <c r="V809" s="5" t="inlineStr"/>
      <c r="W809" s="5" t="inlineStr"/>
      <c r="X809" s="5" t="inlineStr"/>
      <c r="Y809" s="5" t="inlineStr"/>
      <c r="Z809" s="6" t="inlineStr"/>
      <c r="AA809" s="5" t="inlineStr"/>
      <c r="AB809" s="5" t="inlineStr"/>
      <c r="AC809" s="5" t="inlineStr"/>
      <c r="AD809" s="5" t="inlineStr"/>
      <c r="AE809" s="5" t="inlineStr"/>
      <c r="AF809" s="5" t="inlineStr"/>
      <c r="AG809" s="5" t="inlineStr"/>
      <c r="AH809" s="5" t="inlineStr"/>
      <c r="AI809" s="5" t="inlineStr"/>
      <c r="AJ809" s="5" t="inlineStr"/>
    </row>
    <row r="810">
      <c r="A810" s="5" t="inlineStr">
        <is>
          <t>b7-borc-batagi</t>
        </is>
      </c>
      <c r="B810" s="5" t="n">
        <v>1</v>
      </c>
      <c r="C810" s="6" t="inlineStr">
        <is>
          <t>Tamamını öde</t>
        </is>
      </c>
      <c r="D810" s="5" t="inlineStr"/>
      <c r="E810" s="5" t="inlineStr"/>
      <c r="F810" s="5" t="inlineStr">
        <is>
          <t>İtibar +1, Akıl +1</t>
        </is>
      </c>
      <c r="G810" s="6" t="inlineStr">
        <is>
          <t>Borcu kapattın. Hesap bakiyesi de kapandı. Ay sonuna kadar sadece evdeki makarnayı yediniz.</t>
        </is>
      </c>
      <c r="H810" s="6" t="inlineStr"/>
      <c r="I810" s="6" t="inlineStr"/>
      <c r="J810" s="6" t="inlineStr"/>
      <c r="K810" s="6" t="inlineStr"/>
      <c r="L810" s="6" t="inlineStr"/>
      <c r="M810" s="5" t="inlineStr"/>
      <c r="N810" s="5" t="inlineStr"/>
      <c r="O810" s="6" t="inlineStr"/>
      <c r="P810" s="6" t="inlineStr"/>
      <c r="Q810" s="5" t="inlineStr"/>
      <c r="R810" s="5" t="inlineStr"/>
      <c r="S810" s="5" t="inlineStr"/>
      <c r="T810" s="5" t="inlineStr"/>
      <c r="U810" s="5" t="inlineStr"/>
      <c r="V810" s="5" t="inlineStr"/>
      <c r="W810" s="5" t="inlineStr"/>
      <c r="X810" s="5" t="inlineStr"/>
      <c r="Y810" s="5" t="inlineStr"/>
      <c r="Z810" s="6" t="inlineStr"/>
      <c r="AA810" s="5" t="inlineStr"/>
      <c r="AB810" s="5" t="inlineStr"/>
      <c r="AC810" s="5" t="inlineStr"/>
      <c r="AD810" s="5" t="inlineStr"/>
      <c r="AE810" s="5" t="inlineStr"/>
      <c r="AF810" s="5" t="inlineStr"/>
      <c r="AG810" s="5" t="inlineStr"/>
      <c r="AH810" s="5" t="inlineStr"/>
      <c r="AI810" s="5" t="inlineStr"/>
      <c r="AJ810" s="5" t="inlineStr"/>
    </row>
    <row r="811">
      <c r="A811" s="5" t="inlineStr">
        <is>
          <t>b7-borc-batagi</t>
        </is>
      </c>
      <c r="B811" s="5" t="n">
        <v>2</v>
      </c>
      <c r="C811" s="6" t="inlineStr">
        <is>
          <t>Asgariyi öde</t>
        </is>
      </c>
      <c r="D811" s="5" t="inlineStr"/>
      <c r="E811" s="5" t="inlineStr"/>
      <c r="F811" s="5" t="inlineStr">
        <is>
          <t>Kurnazlık +1</t>
        </is>
      </c>
      <c r="G811" s="6" t="inlineStr">
        <is>
          <t>Asgariyi ödedin. Ertesi ay banka doğum gününü kutladı; o yıl doğum gününü hatırlayan tek yer orasıydı.</t>
        </is>
      </c>
      <c r="H811" s="6" t="inlineStr"/>
      <c r="I811" s="6" t="inlineStr"/>
      <c r="J811" s="6" t="inlineStr"/>
      <c r="K811" s="6" t="inlineStr"/>
      <c r="L811" s="6" t="inlineStr"/>
      <c r="M811" s="5" t="inlineStr"/>
      <c r="N811" s="5" t="inlineStr"/>
      <c r="O811" s="6" t="inlineStr"/>
      <c r="P811" s="6" t="inlineStr"/>
      <c r="Q811" s="5" t="inlineStr"/>
      <c r="R811" s="5" t="inlineStr"/>
      <c r="S811" s="5" t="inlineStr"/>
      <c r="T811" s="5" t="inlineStr"/>
      <c r="U811" s="5" t="inlineStr">
        <is>
          <t>borclu</t>
        </is>
      </c>
      <c r="V811" s="5" t="inlineStr"/>
      <c r="W811" s="5" t="inlineStr"/>
      <c r="X811" s="5" t="inlineStr"/>
      <c r="Y811" s="5" t="inlineStr"/>
      <c r="Z811" s="6" t="inlineStr"/>
      <c r="AA811" s="5" t="inlineStr"/>
      <c r="AB811" s="5" t="inlineStr"/>
      <c r="AC811" s="5" t="inlineStr"/>
      <c r="AD811" s="5" t="inlineStr"/>
      <c r="AE811" s="5" t="inlineStr"/>
      <c r="AF811" s="5" t="inlineStr"/>
      <c r="AG811" s="5" t="inlineStr"/>
      <c r="AH811" s="5" t="inlineStr"/>
      <c r="AI811" s="5" t="inlineStr"/>
      <c r="AJ811" s="5" t="inlineStr"/>
    </row>
    <row r="812">
      <c r="A812" s="5" t="inlineStr">
        <is>
          <t>b7-borc-batagi</t>
        </is>
      </c>
      <c r="B812" s="5" t="n">
        <v>3</v>
      </c>
      <c r="C812" s="6" t="inlineStr">
        <is>
          <t>Kartla kartı öde</t>
        </is>
      </c>
      <c r="D812" s="5" t="inlineStr">
        <is>
          <t>Kurnazlık</t>
        </is>
      </c>
      <c r="E812" s="5" t="inlineStr">
        <is>
          <t>Zor</t>
        </is>
      </c>
      <c r="F812" s="5" t="inlineStr"/>
      <c r="G812" s="6" t="inlineStr"/>
      <c r="H812" s="6" t="inlineStr">
        <is>
          <t>Bir kartın borcunu öbür kartla ödedin. Bu ay kurtuldu. Gelecek ayı düşünmemek için telefonu yüzüstü çevirdin.</t>
        </is>
      </c>
      <c r="I812" s="6" t="inlineStr">
        <is>
          <t>Borcu üç kart arasında ustalıkla dolaştırdın. Ay sonunda bankadan telefon geldi: “Sadık müşterimiz olduğunuz için limitinizi artırdık.”</t>
        </is>
      </c>
      <c r="J812" s="6" t="inlineStr">
        <is>
          <t>Transfer sırasında bir karta limit düştü. Borç şimdi iki yerde, iki kat.</t>
        </is>
      </c>
      <c r="K812" s="6" t="inlineStr">
        <is>
          <t>Kartları birbirine bağladın; ay sonunda üçü de aynı anda reddetti. Market kasasında, poşetler doluyken. Arkadaki teyze senin ekmeğinin parasını uzattı: “Olur öyle.” Bütün sıra duydu.</t>
        </is>
      </c>
      <c r="L812" s="6" t="inlineStr"/>
      <c r="M812" s="5" t="inlineStr"/>
      <c r="N812" s="5" t="inlineStr"/>
      <c r="O812" s="6" t="inlineStr"/>
      <c r="P812" s="6" t="inlineStr"/>
      <c r="Q812" s="5" t="inlineStr"/>
      <c r="R812" s="5" t="inlineStr"/>
      <c r="S812" s="5" t="inlineStr"/>
      <c r="T812" s="5" t="inlineStr"/>
      <c r="U812" s="5" t="inlineStr"/>
      <c r="V812" s="5" t="inlineStr"/>
      <c r="W812" s="5" t="inlineStr">
        <is>
          <t>borclu</t>
        </is>
      </c>
      <c r="X812" s="5" t="inlineStr"/>
      <c r="Y812" s="5" t="inlineStr"/>
      <c r="Z812" s="6" t="inlineStr"/>
      <c r="AA812" s="5" t="inlineStr"/>
      <c r="AB812" s="5" t="inlineStr"/>
      <c r="AC812" s="5" t="inlineStr"/>
      <c r="AD812" s="5" t="inlineStr"/>
      <c r="AE812" s="5" t="inlineStr"/>
      <c r="AF812" s="5" t="inlineStr"/>
      <c r="AG812" s="5" t="inlineStr"/>
      <c r="AH812" s="5" t="inlineStr"/>
      <c r="AI812" s="5" t="inlineStr"/>
      <c r="AJ812" s="5" t="inlineStr"/>
    </row>
    <row r="813">
      <c r="A813" s="5" t="inlineStr">
        <is>
          <t>b7-borc-batagi</t>
        </is>
      </c>
      <c r="B813" s="5" t="n">
        <v>4</v>
      </c>
      <c r="C813" s="6" t="inlineStr">
        <is>
          <t>Yastık altındaki dövizi boz</t>
        </is>
      </c>
      <c r="D813" s="5" t="inlineStr">
        <is>
          <t>Akıl</t>
        </is>
      </c>
      <c r="E813" s="5" t="inlineStr">
        <is>
          <t>Kolay</t>
        </is>
      </c>
      <c r="F813" s="5" t="inlineStr"/>
      <c r="G813" s="6" t="inlineStr"/>
      <c r="H813" s="6" t="inlineStr">
        <is>
          <t>Yastık altı birikim çıktı, borç kapandı. Yastık hafifledi ama uyku düzeldi.</t>
        </is>
      </c>
      <c r="I813" s="6" t="inlineStr">
        <is>
          <t>Tam kur yükselirken bozdun. Borç kapandı, üstüne bir tatil çıktı. Yastık seni gururla izliyor.</t>
        </is>
      </c>
      <c r="J813" s="6" t="inlineStr">
        <is>
          <t>Tam kur düştüğünde bozdun. Borç kapandı, yastık boşaldı. Ertesi sabah kur yine çıktı; döviz bürosunun önünden geçerken başını çevirdin.</t>
        </is>
      </c>
      <c r="K813" s="6" t="inlineStr">
        <is>
          <t>Yastığın altında sadece eski bir makbuz çıktı. Birikimi geçen yıl başka bir borca kullanmışsın.</t>
        </is>
      </c>
      <c r="L813" s="6" t="inlineStr"/>
      <c r="M813" s="5" t="inlineStr"/>
      <c r="N813" s="5" t="inlineStr"/>
      <c r="O813" s="6" t="inlineStr"/>
      <c r="P813" s="6" t="inlineStr"/>
      <c r="Q813" s="5" t="inlineStr">
        <is>
          <t>Yastık Altı Ekonomisti</t>
        </is>
      </c>
      <c r="R813" s="5" t="inlineStr"/>
      <c r="S813" s="5" t="inlineStr"/>
      <c r="T813" s="5" t="inlineStr"/>
      <c r="U813" s="5" t="inlineStr"/>
      <c r="V813" s="5" t="inlineStr"/>
      <c r="W813" s="5" t="inlineStr"/>
      <c r="X813" s="5" t="inlineStr"/>
      <c r="Y813" s="5" t="inlineStr"/>
      <c r="Z813" s="6" t="inlineStr"/>
      <c r="AA813" s="5" t="inlineStr"/>
      <c r="AB813" s="5" t="inlineStr"/>
      <c r="AC813" s="5" t="inlineStr"/>
      <c r="AD813" s="5" t="inlineStr"/>
      <c r="AE813" s="5" t="inlineStr"/>
      <c r="AF813" s="5" t="inlineStr"/>
      <c r="AG813" s="5" t="inlineStr"/>
      <c r="AH813" s="5" t="inlineStr"/>
      <c r="AI813" s="5" t="inlineStr"/>
      <c r="AJ813" s="5" t="inlineStr"/>
    </row>
    <row r="814">
      <c r="A814" s="5" t="inlineStr">
        <is>
          <t>b7-borc-batagi</t>
        </is>
      </c>
      <c r="B814" s="5" t="n">
        <v>5</v>
      </c>
      <c r="C814" s="6" t="inlineStr">
        <is>
          <t>Düğün takılarını kuyumcuya götür</t>
        </is>
      </c>
      <c r="D814" s="5" t="inlineStr">
        <is>
          <t>Gönül</t>
        </is>
      </c>
      <c r="E814" s="5" t="inlineStr">
        <is>
          <t>Orta</t>
        </is>
      </c>
      <c r="F814" s="5" t="inlineStr"/>
      <c r="G814" s="6" t="inlineStr"/>
      <c r="H814" s="6" t="inlineStr">
        <is>
          <t>Takıları kuyumcuya götürdünüz. Borç kapandı, kutu hafifledi. Eşin kapağı kapatırken “Bunlar yine gelir” dedi.</t>
        </is>
      </c>
      <c r="I814" s="6" t="inlineStr">
        <is>
          <t>Eşin takı kutusunu kendi açıp masaya koydu: “Altın bugün için.” Kuyumcu iyi fiyat verdi, borç kapandı. Kayınvalide hâlâ bilmiyor; bilmeyecek.</t>
        </is>
      </c>
      <c r="J814" s="6" t="inlineStr">
        <is>
          <t>Kuyumcu takıları tarttı, işçiliği saymadı. Borcun yarısı kapandı; öbür yarısı ve boş kutu kaldı.</t>
        </is>
      </c>
      <c r="K814" s="6" t="inlineStr">
        <is>
          <t>Kayınvalidenin taktığı bileziği de bozdurdun. Bayram ziyaretinde kayınvalide ilk iş bileklere baktı. Çay soğudu, mesele soğumadı.</t>
        </is>
      </c>
      <c r="L814" s="6" t="inlineStr"/>
      <c r="M814" s="5" t="inlineStr"/>
      <c r="N814" s="5" t="inlineStr"/>
      <c r="O814" s="6" t="inlineStr"/>
      <c r="P814" s="6" t="inlineStr"/>
      <c r="Q814" s="5" t="inlineStr"/>
      <c r="R814" s="5" t="inlineStr">
        <is>
          <t>evli</t>
        </is>
      </c>
      <c r="S814" s="5" t="inlineStr"/>
      <c r="T814" s="5" t="inlineStr"/>
      <c r="U814" s="5" t="inlineStr"/>
      <c r="V814" s="5" t="inlineStr"/>
      <c r="W814" s="5" t="inlineStr"/>
      <c r="X814" s="5" t="inlineStr"/>
      <c r="Y814" s="5" t="inlineStr"/>
      <c r="Z814" s="6" t="inlineStr"/>
      <c r="AA814" s="5" t="inlineStr"/>
      <c r="AB814" s="5" t="inlineStr"/>
      <c r="AC814" s="5" t="inlineStr"/>
      <c r="AD814" s="5" t="inlineStr"/>
      <c r="AE814" s="5" t="inlineStr"/>
      <c r="AF814" s="5" t="inlineStr"/>
      <c r="AG814" s="5" t="inlineStr"/>
      <c r="AH814" s="5" t="inlineStr"/>
      <c r="AI814" s="5" t="inlineStr"/>
      <c r="AJ814" s="5" t="inlineStr"/>
    </row>
    <row r="815">
      <c r="A815" s="5" t="inlineStr">
        <is>
          <t>b7-dogum-gunu-partisi</t>
        </is>
      </c>
      <c r="B815" s="5" t="n">
        <v>1</v>
      </c>
      <c r="C815" s="6" t="inlineStr">
        <is>
          <t>Evde, sade bir pasta</t>
        </is>
      </c>
      <c r="D815" s="5" t="inlineStr"/>
      <c r="E815" s="5" t="inlineStr"/>
      <c r="F815" s="5" t="inlineStr">
        <is>
          <t>Gönül +1</t>
        </is>
      </c>
      <c r="G815" s="6" t="inlineStr">
        <is>
          <t>Evde pasta kestiniz; mumu çocuğun üç kerede söndürdü. Yatarken sordu: “Seneye yine böyle mi?” Veli grubunda bunun adı “cesur tercih” oldu.</t>
        </is>
      </c>
      <c r="H815" s="6" t="inlineStr"/>
      <c r="I815" s="6" t="inlineStr"/>
      <c r="J815" s="6" t="inlineStr"/>
      <c r="K815" s="6" t="inlineStr"/>
      <c r="L815" s="6" t="inlineStr"/>
      <c r="M815" s="5" t="inlineStr"/>
      <c r="N815" s="5" t="inlineStr"/>
      <c r="O815" s="6" t="inlineStr"/>
      <c r="P815" s="6" t="inlineStr"/>
      <c r="Q815" s="5" t="inlineStr"/>
      <c r="R815" s="5" t="inlineStr"/>
      <c r="S815" s="5" t="inlineStr"/>
      <c r="T815" s="5" t="inlineStr"/>
      <c r="U815" s="5" t="inlineStr"/>
      <c r="V815" s="5" t="inlineStr"/>
      <c r="W815" s="5" t="inlineStr"/>
      <c r="X815" s="5" t="inlineStr"/>
      <c r="Y815" s="5" t="inlineStr"/>
      <c r="Z815" s="6" t="inlineStr"/>
      <c r="AA815" s="5" t="inlineStr"/>
      <c r="AB815" s="5" t="inlineStr"/>
      <c r="AC815" s="5" t="inlineStr"/>
      <c r="AD815" s="5" t="inlineStr"/>
      <c r="AE815" s="5" t="inlineStr"/>
      <c r="AF815" s="5" t="inlineStr"/>
      <c r="AG815" s="5" t="inlineStr"/>
      <c r="AH815" s="5" t="inlineStr"/>
      <c r="AI815" s="5" t="inlineStr"/>
      <c r="AJ815" s="5" t="inlineStr"/>
    </row>
    <row r="816">
      <c r="A816" s="5" t="inlineStr">
        <is>
          <t>b7-dogum-gunu-partisi</t>
        </is>
      </c>
      <c r="B816" s="5" t="n">
        <v>2</v>
      </c>
      <c r="C816" s="6" t="inlineStr">
        <is>
          <t>Büyük bir parti organize et</t>
        </is>
      </c>
      <c r="D816" s="5" t="inlineStr">
        <is>
          <t>Sosyal Radar</t>
        </is>
      </c>
      <c r="E816" s="5" t="inlineStr">
        <is>
          <t>Zor</t>
        </is>
      </c>
      <c r="F816" s="5" t="inlineStr"/>
      <c r="G816" s="6" t="inlineStr"/>
      <c r="H816" s="6" t="inlineStr">
        <is>
          <t>Parti harika geçti: uzay kurabiyeleri, folyodan kasklar, tavanda yıldızlar. Rekabetçi ailenin annesi kurabiyenin fotoğrafını çekti, tarifini sormadı; bir ay sonra kendi partisinde aynısı vardı.</t>
        </is>
      </c>
      <c r="I816" s="6" t="inlineStr">
        <is>
          <t>Parti öyle güzel geçti ki iki veli seni kendi partileri için tutmak istedi. Çocuğun gece yatarken “En güzeli bizimkiydi” dedi; bunu kimseye satmadın.</t>
        </is>
      </c>
      <c r="J816" s="6" t="inlineStr">
        <is>
          <t>Uzay kostümü gelmedi. Çocuk astronot yerine 'gezegen' oldu.</t>
        </is>
      </c>
      <c r="K816" s="6" t="inlineStr">
        <is>
          <t>Kiraladığın köpük makinesi durmadı. Parkın yarısı köpük altında; çocuklar bayıldı, veliler bayılmadı. Belediyeden temizlik faturası geldi, rekabetçi aileden de “Bizimkinin ayakkabıları nerede?” mesajı.</t>
        </is>
      </c>
      <c r="L816" s="6" t="inlineStr"/>
      <c r="M816" s="5" t="inlineStr"/>
      <c r="N816" s="5" t="inlineStr"/>
      <c r="O816" s="6" t="inlineStr"/>
      <c r="P816" s="6" t="inlineStr"/>
      <c r="Q816" s="5" t="inlineStr"/>
      <c r="R816" s="5" t="inlineStr"/>
      <c r="S816" s="5" t="inlineStr"/>
      <c r="T816" s="5" t="inlineStr"/>
      <c r="U816" s="5" t="inlineStr"/>
      <c r="V816" s="5" t="inlineStr"/>
      <c r="W816" s="5" t="inlineStr"/>
      <c r="X816" s="5" t="inlineStr"/>
      <c r="Y816" s="5" t="inlineStr"/>
      <c r="Z816" s="6" t="inlineStr"/>
      <c r="AA816" s="5" t="inlineStr"/>
      <c r="AB816" s="5" t="inlineStr"/>
      <c r="AC816" s="5" t="inlineStr"/>
      <c r="AD816" s="5" t="inlineStr"/>
      <c r="AE816" s="5" t="inlineStr"/>
      <c r="AF816" s="5" t="inlineStr"/>
      <c r="AG816" s="5" t="inlineStr"/>
      <c r="AH816" s="5" t="inlineStr"/>
      <c r="AI816" s="5" t="inlineStr"/>
      <c r="AJ816" s="5" t="inlineStr"/>
    </row>
    <row r="817">
      <c r="A817" s="5" t="inlineStr">
        <is>
          <t>b7-dogum-gunu-partisi</t>
        </is>
      </c>
      <c r="B817" s="5" t="n">
        <v>3</v>
      </c>
      <c r="C817" s="6" t="inlineStr">
        <is>
          <t>Doğum günü hediyelerini düğün takı defteri gibi kaydet</t>
        </is>
      </c>
      <c r="D817" s="5" t="inlineStr">
        <is>
          <t>Akıl</t>
        </is>
      </c>
      <c r="E817" s="5" t="inlineStr">
        <is>
          <t>Kolay</t>
        </is>
      </c>
      <c r="F817" s="5" t="inlineStr"/>
      <c r="G817" s="6" t="inlineStr"/>
      <c r="H817" s="6" t="inlineStr">
        <is>
          <t>Her hediyeyi deftere yazdın: kim, ne, kaç para. Annen defteri görünce gururlandı: “Bizim takı defterinin aynısı.”</t>
        </is>
      </c>
      <c r="I817" s="6" t="inlineStr">
        <is>
          <t>Defteri öyle tuttun ki kim neyi kaça almış, hepsi belli. Halan defteri görünce gelecek doğum gününün hediyesini bir boy büyüttü.</t>
        </is>
      </c>
      <c r="J817" s="6" t="inlineStr">
        <is>
          <t>Kaydederken çocuğun hediyelerin yarısını açtı. Kimin ne getirdiği bilinmiyor.</t>
        </is>
      </c>
      <c r="K817" s="6" t="inlineStr">
        <is>
          <t>Defteri yanlışlıkla veli grubuna gönderdin, notlarıyla birlikte: “Plastik roket – indirimden, belli.” Roketi getiren veli on dakika sonra gruptan çıktı.</t>
        </is>
      </c>
      <c r="L817" s="6" t="inlineStr"/>
      <c r="M817" s="5" t="inlineStr"/>
      <c r="N817" s="5" t="inlineStr"/>
      <c r="O817" s="6" t="inlineStr"/>
      <c r="P817" s="6" t="inlineStr"/>
      <c r="Q817" s="5" t="inlineStr"/>
      <c r="R817" s="5" t="inlineStr">
        <is>
          <t>taki-defteri</t>
        </is>
      </c>
      <c r="S817" s="5" t="inlineStr"/>
      <c r="T817" s="5" t="inlineStr"/>
      <c r="U817" s="5" t="inlineStr"/>
      <c r="V817" s="5" t="inlineStr"/>
      <c r="W817" s="5" t="inlineStr"/>
      <c r="X817" s="5" t="inlineStr"/>
      <c r="Y817" s="5" t="inlineStr"/>
      <c r="Z817" s="6" t="inlineStr"/>
      <c r="AA817" s="5" t="inlineStr"/>
      <c r="AB817" s="5" t="inlineStr"/>
      <c r="AC817" s="5" t="inlineStr"/>
      <c r="AD817" s="5" t="inlineStr"/>
      <c r="AE817" s="5" t="inlineStr"/>
      <c r="AF817" s="5" t="inlineStr"/>
      <c r="AG817" s="5" t="inlineStr"/>
      <c r="AH817" s="5" t="inlineStr"/>
      <c r="AI817" s="5" t="inlineStr"/>
      <c r="AJ817" s="5" t="inlineStr"/>
    </row>
    <row r="818">
      <c r="A818" s="5" t="inlineStr">
        <is>
          <t>mm-kurum-piknigi</t>
        </is>
      </c>
      <c r="B818" s="5" t="n">
        <v>1</v>
      </c>
      <c r="C818" s="6" t="inlineStr">
        <is>
          <t>Halat çekme finaline gir</t>
        </is>
      </c>
      <c r="D818" s="5" t="inlineStr">
        <is>
          <t>Dayanıklılık</t>
        </is>
      </c>
      <c r="E818" s="5" t="inlineStr">
        <is>
          <t>Zor</t>
        </is>
      </c>
      <c r="F818" s="5" t="inlineStr"/>
      <c r="G818" s="6" t="inlineStr"/>
      <c r="H818" s="6" t="inlineStr">
        <is>
          <t>Takımın kazandı. Kupa bir yıl biriminizin dolabında duracak; dolabın anahtarı kayıp.</t>
        </is>
      </c>
      <c r="I818" s="6" t="inlineStr">
        <is>
          <t>Takımı sen taşıdın. “Yılın Bileği” ilan edildin; müdür siciline bir satır ekletti: “Beden gücü: üstün.”</t>
        </is>
      </c>
      <c r="J818" s="6" t="inlineStr">
        <is>
          <t>Halat elinden kaydı, takım çime oturdu. Karşı takım el çırparken müdür eldivenini çıkarıp sana uzattı: “Seneye bununla gel.”</t>
        </is>
      </c>
      <c r="K818" s="6" t="inlineStr">
        <is>
          <t>Halatı bir anda bıraktın; karşı takım toptan çamura oturdu, en önde müdür. Kazandınız. Müdür çamurdan kalkarken yalnızca sana baktı; ertesi sabah izin dilekçen “uygun görülmedi.”</t>
        </is>
      </c>
      <c r="L818" s="6" t="inlineStr">
        <is>
          <t>Halat ortada kaldı, hakem berabere dedi. Kupa iki birimin dolabında altışar ay duracak; anahtar yine kayıp.</t>
        </is>
      </c>
      <c r="M818" s="5" t="inlineStr">
        <is>
          <t>fight</t>
        </is>
      </c>
      <c r="N818" s="5" t="inlineStr">
        <is>
          <t>Halat Çekme Finali</t>
        </is>
      </c>
      <c r="O818" s="6" t="inlineStr">
        <is>
          <t>Saldırının geldiği yöne karşılık ver.</t>
        </is>
      </c>
      <c r="P818" s="6" t="inlineStr">
        <is>
          <t>{"mode": "parry", "opp": "💪"}</t>
        </is>
      </c>
      <c r="Q818" s="5" t="inlineStr"/>
      <c r="R818" s="5" t="inlineStr"/>
      <c r="S818" s="5" t="inlineStr"/>
      <c r="T818" s="5" t="inlineStr"/>
      <c r="U818" s="5" t="inlineStr"/>
      <c r="V818" s="5" t="inlineStr"/>
      <c r="W818" s="5" t="inlineStr">
        <is>
          <t>memur-mudur-dusmani</t>
        </is>
      </c>
      <c r="X818" s="5" t="inlineStr"/>
      <c r="Y818" s="5" t="inlineStr"/>
      <c r="Z818" s="6" t="inlineStr"/>
      <c r="AA818" s="5" t="inlineStr"/>
      <c r="AB818" s="5" t="inlineStr"/>
      <c r="AC818" s="5" t="inlineStr"/>
      <c r="AD818" s="5" t="inlineStr"/>
      <c r="AE818" s="5" t="inlineStr"/>
      <c r="AF818" s="5" t="inlineStr"/>
      <c r="AG818" s="5" t="inlineStr"/>
      <c r="AH818" s="5" t="inlineStr"/>
      <c r="AI818" s="5" t="inlineStr"/>
      <c r="AJ818" s="5" t="inlineStr"/>
    </row>
    <row r="819">
      <c r="A819" s="5" t="inlineStr">
        <is>
          <t>mm-kurum-piknigi</t>
        </is>
      </c>
      <c r="B819" s="5" t="n">
        <v>2</v>
      </c>
      <c r="C819" s="6" t="inlineStr">
        <is>
          <t>Mangalın başına geç</t>
        </is>
      </c>
      <c r="D819" s="5" t="inlineStr"/>
      <c r="E819" s="5" t="inlineStr"/>
      <c r="F819" s="5" t="inlineStr">
        <is>
          <t>Sosyal Radar +1, Çene +1</t>
        </is>
      </c>
      <c r="G819" s="6" t="inlineStr">
        <is>
          <t>Köfteleri rütbeye göre değil, sıraya göre dağıttın. Kurum tarihindeki en büyük reform.</t>
        </is>
      </c>
      <c r="H819" s="6" t="inlineStr"/>
      <c r="I819" s="6" t="inlineStr"/>
      <c r="J819" s="6" t="inlineStr"/>
      <c r="K819" s="6" t="inlineStr"/>
      <c r="L819" s="6" t="inlineStr"/>
      <c r="M819" s="5" t="inlineStr"/>
      <c r="N819" s="5" t="inlineStr"/>
      <c r="O819" s="6" t="inlineStr"/>
      <c r="P819" s="6" t="inlineStr"/>
      <c r="Q819" s="5" t="inlineStr"/>
      <c r="R819" s="5" t="inlineStr"/>
      <c r="S819" s="5" t="inlineStr"/>
      <c r="T819" s="5" t="inlineStr"/>
      <c r="U819" s="5" t="inlineStr"/>
      <c r="V819" s="5" t="inlineStr"/>
      <c r="W819" s="5" t="inlineStr"/>
      <c r="X819" s="5" t="inlineStr"/>
      <c r="Y819" s="5" t="inlineStr"/>
      <c r="Z819" s="6" t="inlineStr"/>
      <c r="AA819" s="5" t="inlineStr"/>
      <c r="AB819" s="5" t="inlineStr"/>
      <c r="AC819" s="5" t="inlineStr"/>
      <c r="AD819" s="5" t="inlineStr"/>
      <c r="AE819" s="5" t="inlineStr"/>
      <c r="AF819" s="5" t="inlineStr"/>
      <c r="AG819" s="5" t="inlineStr"/>
      <c r="AH819" s="5" t="inlineStr"/>
      <c r="AI819" s="5" t="inlineStr"/>
      <c r="AJ819" s="5" t="inlineStr"/>
    </row>
    <row r="820">
      <c r="A820" s="5" t="inlineStr">
        <is>
          <t>mm-kurum-piknigi</t>
        </is>
      </c>
      <c r="B820" s="5" t="n">
        <v>3</v>
      </c>
      <c r="C820" s="6" t="inlineStr">
        <is>
          <t>Pikniği baştan organize et</t>
        </is>
      </c>
      <c r="D820" s="5" t="inlineStr">
        <is>
          <t>Sosyal Radar</t>
        </is>
      </c>
      <c r="E820" s="5" t="inlineStr">
        <is>
          <t>Kolay</t>
        </is>
      </c>
      <c r="F820" s="5" t="inlineStr"/>
      <c r="G820" s="6" t="inlineStr"/>
      <c r="H820" s="6" t="inlineStr">
        <is>
          <t>Servis saati, mangal nöbeti, oyun fikstürü. Yıllar sonra ilk kez kimse kimseye küsmedi.</t>
        </is>
      </c>
      <c r="I820" s="6" t="inlineStr">
        <is>
          <t>Müdürlük seni “Sosyal Faaliyetler Sorumlusu” yaptı. Ertesi hafta masana ilk dilekçe geldi: “Seneye kuzu çevirme de olsun.”</t>
        </is>
      </c>
      <c r="J820" s="6" t="inlineStr">
        <is>
          <t>Fikstürü mükemmel hazırladın. Yağmur fikstüre bakmadı.</t>
        </is>
      </c>
      <c r="K820" s="6" t="inlineStr">
        <is>
          <t>Servisleri yanlış parka yönlendirdin. Kurum pikniği başka bir kurumun pikniğiyle birleşti. İki kurum hâlâ yazışıyor.</t>
        </is>
      </c>
      <c r="L820" s="6" t="inlineStr"/>
      <c r="M820" s="5" t="inlineStr"/>
      <c r="N820" s="5" t="inlineStr"/>
      <c r="O820" s="6" t="inlineStr"/>
      <c r="P820" s="6" t="inlineStr"/>
      <c r="Q820" s="5" t="inlineStr">
        <is>
          <t>Kuralı Koyan</t>
        </is>
      </c>
      <c r="R820" s="5" t="inlineStr"/>
      <c r="S820" s="5" t="inlineStr"/>
      <c r="T820" s="5" t="inlineStr"/>
      <c r="U820" s="5" t="inlineStr"/>
      <c r="V820" s="5" t="inlineStr"/>
      <c r="W820" s="5" t="inlineStr"/>
      <c r="X820" s="5" t="inlineStr"/>
      <c r="Y820" s="5" t="inlineStr"/>
      <c r="Z820" s="6" t="inlineStr"/>
      <c r="AA820" s="5" t="inlineStr"/>
      <c r="AB820" s="5" t="inlineStr"/>
      <c r="AC820" s="5" t="inlineStr"/>
      <c r="AD820" s="5" t="inlineStr"/>
      <c r="AE820" s="5" t="inlineStr"/>
      <c r="AF820" s="5" t="inlineStr"/>
      <c r="AG820" s="5" t="inlineStr"/>
      <c r="AH820" s="5" t="inlineStr"/>
      <c r="AI820" s="5" t="inlineStr"/>
      <c r="AJ820" s="5" t="inlineStr"/>
    </row>
    <row r="821">
      <c r="A821" s="5" t="inlineStr">
        <is>
          <t>mm-kurum-piknigi</t>
        </is>
      </c>
      <c r="B821" s="5" t="n">
        <v>4</v>
      </c>
      <c r="C821" s="6" t="inlineStr">
        <is>
          <t>Müdürü kendi takımına al</t>
        </is>
      </c>
      <c r="D821" s="5" t="inlineStr">
        <is>
          <t>Çene</t>
        </is>
      </c>
      <c r="E821" s="5" t="inlineStr">
        <is>
          <t>Zor</t>
        </is>
      </c>
      <c r="F821" s="5" t="inlineStr"/>
      <c r="G821" s="6" t="inlineStr"/>
      <c r="H821" s="6" t="inlineStr">
        <is>
          <t>Birlikte kazandınız. Aranızdaki buz, halattan önce koptu.</t>
        </is>
      </c>
      <c r="I821" s="6" t="inlineStr">
        <is>
          <t>Omuz omuza çektiniz. Fotoğrafınız bültenin kapağına çıktı; altında tek kelime var: 'Barış.'</t>
        </is>
      </c>
      <c r="J821" s="6" t="inlineStr">
        <is>
          <t>Müdür 'Ben tarafsız kalayım' dedi ve hakem oldu. Takımına üç faul verdi.</t>
        </is>
      </c>
      <c r="K821" s="6" t="inlineStr">
        <is>
          <t>Müdür halatı bıraktı, sen çimde kaydın. Sicil notuna “Takım çalışması: zayıf” düşüldü; yazan da müdürdü.</t>
        </is>
      </c>
      <c r="L821" s="6" t="inlineStr"/>
      <c r="M821" s="5" t="inlineStr"/>
      <c r="N821" s="5" t="inlineStr"/>
      <c r="O821" s="6" t="inlineStr"/>
      <c r="P821" s="6" t="inlineStr"/>
      <c r="Q821" s="5" t="inlineStr"/>
      <c r="R821" s="5" t="inlineStr">
        <is>
          <t>memur-mudur-dusmani</t>
        </is>
      </c>
      <c r="S821" s="5" t="inlineStr"/>
      <c r="T821" s="5" t="inlineStr"/>
      <c r="U821" s="5" t="inlineStr"/>
      <c r="V821" s="5" t="inlineStr"/>
      <c r="W821" s="5" t="inlineStr"/>
      <c r="X821" s="5" t="inlineStr"/>
      <c r="Y821" s="5" t="inlineStr"/>
      <c r="Z821" s="6" t="inlineStr"/>
      <c r="AA821" s="5" t="inlineStr"/>
      <c r="AB821" s="5" t="inlineStr"/>
      <c r="AC821" s="5" t="inlineStr"/>
      <c r="AD821" s="5" t="inlineStr"/>
      <c r="AE821" s="5" t="inlineStr"/>
      <c r="AF821" s="5" t="inlineStr"/>
      <c r="AG821" s="5" t="inlineStr"/>
      <c r="AH821" s="5" t="inlineStr"/>
      <c r="AI821" s="5" t="inlineStr"/>
      <c r="AJ821" s="5" t="inlineStr"/>
    </row>
    <row r="822">
      <c r="A822" s="5" t="inlineStr">
        <is>
          <t>b7-yil-donumu</t>
        </is>
      </c>
      <c r="B822" s="5" t="n">
        <v>1</v>
      </c>
      <c r="C822" s="6" t="inlineStr">
        <is>
          <t>Sade bir akşam yemeği</t>
        </is>
      </c>
      <c r="D822" s="5" t="inlineStr"/>
      <c r="E822" s="5" t="inlineStr"/>
      <c r="F822" s="5" t="inlineStr">
        <is>
          <t>Gönül +1</t>
        </is>
      </c>
      <c r="G822" s="6" t="inlineStr">
        <is>
          <t>Evde yemek yediniz; eşin düğün albümünü çıkardı. Kayınvalidenin o günkü şapkasına yine güldünüz. Hatırlatıcının saatini kimse sormadı.</t>
        </is>
      </c>
      <c r="H822" s="6" t="inlineStr"/>
      <c r="I822" s="6" t="inlineStr"/>
      <c r="J822" s="6" t="inlineStr"/>
      <c r="K822" s="6" t="inlineStr"/>
      <c r="L822" s="6" t="inlineStr"/>
      <c r="M822" s="5" t="inlineStr"/>
      <c r="N822" s="5" t="inlineStr"/>
      <c r="O822" s="6" t="inlineStr"/>
      <c r="P822" s="6" t="inlineStr"/>
      <c r="Q822" s="5" t="inlineStr"/>
      <c r="R822" s="5" t="inlineStr"/>
      <c r="S822" s="5" t="inlineStr"/>
      <c r="T822" s="5" t="inlineStr"/>
      <c r="U822" s="5" t="inlineStr"/>
      <c r="V822" s="5" t="inlineStr"/>
      <c r="W822" s="5" t="inlineStr"/>
      <c r="X822" s="5" t="inlineStr"/>
      <c r="Y822" s="5" t="inlineStr"/>
      <c r="Z822" s="6" t="inlineStr"/>
      <c r="AA822" s="5" t="inlineStr"/>
      <c r="AB822" s="5" t="inlineStr"/>
      <c r="AC822" s="5" t="inlineStr"/>
      <c r="AD822" s="5" t="inlineStr"/>
      <c r="AE822" s="5" t="inlineStr"/>
      <c r="AF822" s="5" t="inlineStr"/>
      <c r="AG822" s="5" t="inlineStr"/>
      <c r="AH822" s="5" t="inlineStr"/>
      <c r="AI822" s="5" t="inlineStr"/>
      <c r="AJ822" s="5" t="inlineStr"/>
    </row>
    <row r="823">
      <c r="A823" s="5" t="inlineStr">
        <is>
          <t>b7-yil-donumu</t>
        </is>
      </c>
      <c r="B823" s="5" t="n">
        <v>2</v>
      </c>
      <c r="C823" s="6" t="inlineStr">
        <is>
          <t>Sürpriz yap</t>
        </is>
      </c>
      <c r="D823" s="5" t="inlineStr">
        <is>
          <t>Gönül</t>
        </is>
      </c>
      <c r="E823" s="5" t="inlineStr">
        <is>
          <t>Orta</t>
        </is>
      </c>
      <c r="F823" s="5" t="inlineStr"/>
      <c r="G823" s="6" t="inlineStr"/>
      <c r="H823" s="6" t="inlineStr">
        <is>
          <t>Sürpriz başarılı. Eşin şaşırdı, sevindi, ağladı. Sen de. Hatırlatıcıyı sildin.</t>
        </is>
      </c>
      <c r="I823" s="6" t="inlineStr">
        <is>
          <t>Sürprizin o kadar güzel oldu ki eşin arkadaşlarına anlattı. Artık her yıl bu seviyeyi tutturman gerekiyor.</t>
        </is>
      </c>
      <c r="J823" s="6" t="inlineStr">
        <is>
          <t>Sürprizini eşin önceden tahmin etti: “Biliyordum.” Nasıl bildiğini sonra anladın; hatırlatıcıyı senin telefonuna o kurmuştu, sabah 11:47'de.</t>
        </is>
      </c>
      <c r="K823" s="6" t="inlineStr">
        <is>
          <t>Restoranda telefonunu masaya koydun; ekran yandı: “Hatırlatıcı: Yıl dönümü. Oluşturulma: bugün, 11:47.” Eşin okudu. Tatlıyı ayrı ayrı yediniz.</t>
        </is>
      </c>
      <c r="L823" s="6" t="inlineStr"/>
      <c r="M823" s="5" t="inlineStr"/>
      <c r="N823" s="5" t="inlineStr"/>
      <c r="O823" s="6" t="inlineStr"/>
      <c r="P823" s="6" t="inlineStr"/>
      <c r="Q823" s="5" t="inlineStr"/>
      <c r="R823" s="5" t="inlineStr"/>
      <c r="S823" s="5" t="inlineStr"/>
      <c r="T823" s="5" t="inlineStr"/>
      <c r="U823" s="5" t="inlineStr"/>
      <c r="V823" s="5" t="inlineStr"/>
      <c r="W823" s="5" t="inlineStr"/>
      <c r="X823" s="5" t="inlineStr"/>
      <c r="Y823" s="5" t="inlineStr"/>
      <c r="Z823" s="6" t="inlineStr"/>
      <c r="AA823" s="5" t="inlineStr"/>
      <c r="AB823" s="5" t="inlineStr"/>
      <c r="AC823" s="5" t="inlineStr"/>
      <c r="AD823" s="5" t="inlineStr"/>
      <c r="AE823" s="5" t="inlineStr"/>
      <c r="AF823" s="5" t="inlineStr"/>
      <c r="AG823" s="5" t="inlineStr"/>
      <c r="AH823" s="5" t="inlineStr"/>
      <c r="AI823" s="5" t="inlineStr">
        <is>
          <t>On Bir Kırk Yedi</t>
        </is>
      </c>
      <c r="AJ823" s="5" t="inlineStr"/>
    </row>
    <row r="824">
      <c r="A824" s="5" t="inlineStr">
        <is>
          <t>b7-yil-donumu</t>
        </is>
      </c>
      <c r="B824" s="5" t="n">
        <v>3</v>
      </c>
      <c r="C824" s="6" t="inlineStr">
        <is>
          <t>Takı defterini açıp düğün anılarını yad et</t>
        </is>
      </c>
      <c r="D824" s="5" t="inlineStr">
        <is>
          <t>Sosyal Radar</t>
        </is>
      </c>
      <c r="E824" s="5" t="inlineStr">
        <is>
          <t>Kolay</t>
        </is>
      </c>
      <c r="F824" s="5" t="inlineStr"/>
      <c r="G824" s="6" t="inlineStr"/>
      <c r="H824" s="6" t="inlineStr">
        <is>
          <t>Defteri açtınız. Her satır bir anı. Bir de alacak listesi.</t>
        </is>
      </c>
      <c r="I824" s="6" t="inlineStr">
        <is>
          <t>Defteri okurken ikiniz de güldünüz, ağladınız. Deftere yıl dönümü sayfası eklendi.</t>
        </is>
      </c>
      <c r="J824" s="6" t="inlineStr">
        <is>
          <t>Defteri açtınız; eşin bir akrabanın takısının 'eksik' olduğunu hatırladı. Akşam o akrabaya ayrıldı.</t>
        </is>
      </c>
      <c r="K824" s="6" t="inlineStr">
        <is>
          <t>Defterin arka sayfasında kendi el yazınla bir not çıktı: “Takılar bozdurulacak, araba alınacak.” Altı çizili. Eşin o takıları hâlâ kutusunda sanıyordu.</t>
        </is>
      </c>
      <c r="L824" s="6" t="inlineStr"/>
      <c r="M824" s="5" t="inlineStr"/>
      <c r="N824" s="5" t="inlineStr"/>
      <c r="O824" s="6" t="inlineStr"/>
      <c r="P824" s="6" t="inlineStr"/>
      <c r="Q824" s="5" t="inlineStr"/>
      <c r="R824" s="5" t="inlineStr">
        <is>
          <t>taki-defteri</t>
        </is>
      </c>
      <c r="S824" s="5" t="inlineStr"/>
      <c r="T824" s="5" t="inlineStr"/>
      <c r="U824" s="5" t="inlineStr"/>
      <c r="V824" s="5" t="inlineStr"/>
      <c r="W824" s="5" t="inlineStr"/>
      <c r="X824" s="5" t="inlineStr"/>
      <c r="Y824" s="5" t="inlineStr"/>
      <c r="Z824" s="6" t="inlineStr"/>
      <c r="AA824" s="5" t="inlineStr"/>
      <c r="AB824" s="5" t="inlineStr"/>
      <c r="AC824" s="5" t="inlineStr"/>
      <c r="AD824" s="5" t="inlineStr"/>
      <c r="AE824" s="5" t="inlineStr"/>
      <c r="AF824" s="5" t="inlineStr"/>
      <c r="AG824" s="5" t="inlineStr"/>
      <c r="AH824" s="5" t="inlineStr"/>
      <c r="AI824" s="5" t="inlineStr"/>
      <c r="AJ824" s="5" t="inlineStr"/>
    </row>
    <row r="825">
      <c r="A825" s="5" t="inlineStr">
        <is>
          <t>b8-kirk-yas</t>
        </is>
      </c>
      <c r="B825" s="5" t="n">
        <v>1</v>
      </c>
      <c r="C825" s="6" t="inlineStr">
        <is>
          <t>Envanteri kabul et</t>
        </is>
      </c>
      <c r="D825" s="5" t="inlineStr"/>
      <c r="E825" s="5" t="inlineStr"/>
      <c r="F825" s="5" t="inlineStr">
        <is>
          <t>Dayanıklılık +1</t>
        </is>
      </c>
      <c r="G825" s="6" t="inlineStr">
        <is>
          <t>Aynaya bakıp “Eh, fena değil” dedin. Akşam pastanın mumlarını üç nefeste söndürdün; kimse saymadı, sen saydın.</t>
        </is>
      </c>
      <c r="H825" s="6" t="inlineStr"/>
      <c r="I825" s="6" t="inlineStr"/>
      <c r="J825" s="6" t="inlineStr"/>
      <c r="K825" s="6" t="inlineStr"/>
      <c r="L825" s="6" t="inlineStr"/>
      <c r="M825" s="5" t="inlineStr"/>
      <c r="N825" s="5" t="inlineStr"/>
      <c r="O825" s="6" t="inlineStr"/>
      <c r="P825" s="6" t="inlineStr"/>
      <c r="Q825" s="5" t="inlineStr"/>
      <c r="R825" s="5" t="inlineStr"/>
      <c r="S825" s="5" t="inlineStr"/>
      <c r="T825" s="5" t="inlineStr"/>
      <c r="U825" s="5" t="inlineStr"/>
      <c r="V825" s="5" t="inlineStr"/>
      <c r="W825" s="5" t="inlineStr"/>
      <c r="X825" s="5" t="inlineStr"/>
      <c r="Y825" s="5" t="inlineStr"/>
      <c r="Z825" s="6" t="inlineStr"/>
      <c r="AA825" s="5" t="inlineStr"/>
      <c r="AB825" s="5" t="inlineStr"/>
      <c r="AC825" s="5" t="inlineStr"/>
      <c r="AD825" s="5" t="inlineStr"/>
      <c r="AE825" s="5" t="inlineStr"/>
      <c r="AF825" s="5" t="inlineStr"/>
      <c r="AG825" s="5" t="inlineStr"/>
      <c r="AH825" s="5" t="inlineStr"/>
      <c r="AI825" s="5" t="inlineStr"/>
      <c r="AJ825" s="5" t="inlineStr"/>
    </row>
    <row r="826">
      <c r="A826" s="5" t="inlineStr">
        <is>
          <t>b8-kirk-yas</t>
        </is>
      </c>
      <c r="B826" s="5" t="n">
        <v>2</v>
      </c>
      <c r="C826" s="6" t="inlineStr">
        <is>
          <t>Büyük bir değişiklik ilan et</t>
        </is>
      </c>
      <c r="D826" s="5" t="inlineStr">
        <is>
          <t>Cesaret</t>
        </is>
      </c>
      <c r="E826" s="5" t="inlineStr">
        <is>
          <t>Orta</t>
        </is>
      </c>
      <c r="F826" s="5" t="inlineStr"/>
      <c r="G826" s="6" t="inlineStr"/>
      <c r="H826" s="6" t="inlineStr">
        <is>
          <t>Hayatını değiştireceğini ilan ettin, ertesi sabah spor salonuna yıllık üyelik aldın. Üç ay oldu, hâlâ gidiyorsun; en çok da duşunu seviyorsun.</t>
        </is>
      </c>
      <c r="I826" s="6" t="inlineStr">
        <is>
          <t>Sofrada “Hayatımı değiştiriyorum” dedin. Kimse gülmedi. Annen sessizce tabağına bir köfte daha koydu; bu evde saygı böyle gösterilir.</t>
        </is>
      </c>
      <c r="J826" s="6" t="inlineStr">
        <is>
          <t>Pazar sofrasında ilan ettin. Salı günü annen aradı: “Değiştirdin mi?” “Neyi?” dedin.</t>
        </is>
      </c>
      <c r="K826" s="6" t="inlineStr">
        <is>
          <t>Değişiklik olarak saçını sarıya boyattın. Bayram ziyaretinde teyzen uzun uzun baktı: “Kırkından sonra azanı teneke çalsan durduramazsın.” Fotoğraf aile grubunda en üste sabitlendi.</t>
        </is>
      </c>
      <c r="L826" s="6" t="inlineStr"/>
      <c r="M826" s="5" t="inlineStr"/>
      <c r="N826" s="5" t="inlineStr"/>
      <c r="O826" s="6" t="inlineStr"/>
      <c r="P826" s="6" t="inlineStr"/>
      <c r="Q826" s="5" t="inlineStr"/>
      <c r="R826" s="5" t="inlineStr"/>
      <c r="S826" s="5" t="inlineStr"/>
      <c r="T826" s="5" t="inlineStr"/>
      <c r="U826" s="5" t="inlineStr"/>
      <c r="V826" s="5" t="inlineStr"/>
      <c r="W826" s="5" t="inlineStr"/>
      <c r="X826" s="5" t="inlineStr"/>
      <c r="Y826" s="5" t="inlineStr"/>
      <c r="Z826" s="6" t="inlineStr"/>
      <c r="AA826" s="5" t="inlineStr"/>
      <c r="AB826" s="5" t="inlineStr"/>
      <c r="AC826" s="5" t="inlineStr"/>
      <c r="AD826" s="5" t="inlineStr"/>
      <c r="AE826" s="5" t="inlineStr"/>
      <c r="AF826" s="5" t="inlineStr"/>
      <c r="AG826" s="5" t="inlineStr"/>
      <c r="AH826" s="5" t="inlineStr"/>
      <c r="AI826" s="5" t="inlineStr">
        <is>
          <t>Sarı Kriz</t>
        </is>
      </c>
      <c r="AJ826" s="5" t="inlineStr"/>
    </row>
    <row r="827">
      <c r="A827" s="5" t="inlineStr">
        <is>
          <t>b8-kirk-yas</t>
        </is>
      </c>
      <c r="B827" s="5" t="n">
        <v>3</v>
      </c>
      <c r="C827" s="6" t="inlineStr">
        <is>
          <t>Kırk yaşın iyi yanlarını listele</t>
        </is>
      </c>
      <c r="D827" s="5" t="inlineStr">
        <is>
          <t>Akıl</t>
        </is>
      </c>
      <c r="E827" s="5" t="inlineStr">
        <is>
          <t>Zor</t>
        </is>
      </c>
      <c r="F827" s="5" t="inlineStr"/>
      <c r="G827" s="6" t="inlineStr"/>
      <c r="H827" s="6" t="inlineStr">
        <is>
          <t>Liste üç maddeden oluştu: kimseye bir şey kanıtlamamak, düğünlerden erken kalkma hakkı, gençlere “Siz bilmezsiniz” diyebilmek. Üçüncüyü aynı akşam kullandın.</t>
        </is>
      </c>
      <c r="I827" s="6" t="inlineStr">
        <is>
          <t>Liste o kadar ikna edici oldu ki otuzlu yaşlardaki arkadaşların kırka girmek için gün sayıyor.</t>
        </is>
      </c>
      <c r="J827" s="6" t="inlineStr">
        <is>
          <t>Listeye bir madde yazdın, sonra ne yazacağını düşünürken maç başladı.</t>
        </is>
      </c>
      <c r="K827" s="6" t="inlineStr">
        <is>
          <t>Listenin ilk maddesini yazdın: “Artık kimseye bir şey kanıtlamak zorunda değilim.” Ertesi gün halan aradı: “Kilo mu aldın sen?” Liste çöpe gitti.</t>
        </is>
      </c>
      <c r="L827" s="6" t="inlineStr"/>
      <c r="M827" s="5" t="inlineStr"/>
      <c r="N827" s="5" t="inlineStr"/>
      <c r="O827" s="6" t="inlineStr"/>
      <c r="P827" s="6" t="inlineStr"/>
      <c r="Q827" s="5" t="inlineStr"/>
      <c r="R827" s="5" t="inlineStr"/>
      <c r="S827" s="5" t="inlineStr">
        <is>
          <t>Akıl</t>
        </is>
      </c>
      <c r="T827" s="5" t="inlineStr">
        <is>
          <t>Ukala Ama Haklı</t>
        </is>
      </c>
      <c r="U827" s="5" t="inlineStr"/>
      <c r="V827" s="5" t="inlineStr"/>
      <c r="W827" s="5" t="inlineStr"/>
      <c r="X827" s="5" t="inlineStr"/>
      <c r="Y827" s="5" t="inlineStr"/>
      <c r="Z827" s="6" t="inlineStr"/>
      <c r="AA827" s="5" t="inlineStr"/>
      <c r="AB827" s="5" t="inlineStr"/>
      <c r="AC827" s="5" t="inlineStr"/>
      <c r="AD827" s="5" t="inlineStr"/>
      <c r="AE827" s="5" t="inlineStr"/>
      <c r="AF827" s="5" t="inlineStr"/>
      <c r="AG827" s="5" t="inlineStr"/>
      <c r="AH827" s="5" t="inlineStr"/>
      <c r="AI827" s="5" t="inlineStr"/>
      <c r="AJ827" s="5" t="inlineStr"/>
    </row>
    <row r="828">
      <c r="A828" s="5" t="inlineStr">
        <is>
          <t>b8-kirk-yas</t>
        </is>
      </c>
      <c r="B828" s="5" t="n">
        <v>4</v>
      </c>
      <c r="C828" s="6" t="inlineStr">
        <is>
          <t>Kutlamayı iptal et</t>
        </is>
      </c>
      <c r="D828" s="5" t="inlineStr">
        <is>
          <t>Pişkinlik</t>
        </is>
      </c>
      <c r="E828" s="5" t="inlineStr">
        <is>
          <t>Kolay</t>
        </is>
      </c>
      <c r="F828" s="5" t="inlineStr"/>
      <c r="G828" s="6" t="inlineStr"/>
      <c r="H828" s="6" t="inlineStr">
        <is>
          <t>“Kutlama yok” dedin. Akşam kapı çaldı: annen, elinde bir tencere sarma. “Kutlama değil bu, yemek” dedi; arkasından teyzen pastayla girdi.</t>
        </is>
      </c>
      <c r="I828" s="6" t="inlineStr">
        <is>
          <t>İptal ettin; gerçekten kimse gelmedi. Akşam kapı kolunda bir poşet buldun: en sevdiğin tatlı ve bir not, “Rahatsız etmeyelim dedik.”</t>
        </is>
      </c>
      <c r="J828" s="6" t="inlineStr">
        <is>
          <t>İptal edilemedi. Aile grubuna kırk yedi kez “İyi ki doğdun” düştü. Kırk sekizincisi halandan geldi: dört dakikalık sesli mesaj.</t>
        </is>
      </c>
      <c r="K828" s="6" t="inlineStr">
        <is>
          <t>Kutlamayı iptal ettin; herkes saygı gösterdi. Annenin sabahki telefonundan sonra kimse aramadı. Gece yarısına beş kala halan aradı: “Ay, bugün müydü?”</t>
        </is>
      </c>
      <c r="L828" s="6" t="inlineStr"/>
      <c r="M828" s="5" t="inlineStr"/>
      <c r="N828" s="5" t="inlineStr"/>
      <c r="O828" s="6" t="inlineStr"/>
      <c r="P828" s="6" t="inlineStr"/>
      <c r="Q828" s="5" t="inlineStr"/>
      <c r="R828" s="5" t="inlineStr"/>
      <c r="S828" s="5" t="inlineStr"/>
      <c r="T828" s="5" t="inlineStr"/>
      <c r="U828" s="5" t="inlineStr"/>
      <c r="V828" s="5" t="inlineStr"/>
      <c r="W828" s="5" t="inlineStr"/>
      <c r="X828" s="5" t="inlineStr"/>
      <c r="Y828" s="5" t="inlineStr"/>
      <c r="Z828" s="6" t="inlineStr"/>
      <c r="AA828" s="5" t="inlineStr"/>
      <c r="AB828" s="5" t="inlineStr"/>
      <c r="AC828" s="5" t="inlineStr"/>
      <c r="AD828" s="5" t="inlineStr"/>
      <c r="AE828" s="5" t="inlineStr"/>
      <c r="AF828" s="5" t="inlineStr"/>
      <c r="AG828" s="5" t="inlineStr"/>
      <c r="AH828" s="5" t="inlineStr"/>
      <c r="AI828" s="5" t="inlineStr"/>
      <c r="AJ828" s="5" t="inlineStr"/>
    </row>
    <row r="829">
      <c r="A829" s="5" t="inlineStr">
        <is>
          <t>b8-motosiklet</t>
        </is>
      </c>
      <c r="B829" s="5" t="n">
        <v>1</v>
      </c>
      <c r="C829" s="6" t="inlineStr">
        <is>
          <t>Broşürü al, eve git</t>
        </is>
      </c>
      <c r="D829" s="5" t="inlineStr"/>
      <c r="E829" s="5" t="inlineStr"/>
      <c r="F829" s="5" t="inlineStr">
        <is>
          <t>İtibar +1</t>
        </is>
      </c>
      <c r="G829" s="6" t="inlineStr">
        <is>
          <t>Broşürü buzdolabına astın. Yıllarca orada kaldı; her açışında ona bir kez baktın, sonra peyniri aldın.</t>
        </is>
      </c>
      <c r="H829" s="6" t="inlineStr"/>
      <c r="I829" s="6" t="inlineStr"/>
      <c r="J829" s="6" t="inlineStr"/>
      <c r="K829" s="6" t="inlineStr"/>
      <c r="L829" s="6" t="inlineStr"/>
      <c r="M829" s="5" t="inlineStr"/>
      <c r="N829" s="5" t="inlineStr"/>
      <c r="O829" s="6" t="inlineStr"/>
      <c r="P829" s="6" t="inlineStr"/>
      <c r="Q829" s="5" t="inlineStr"/>
      <c r="R829" s="5" t="inlineStr"/>
      <c r="S829" s="5" t="inlineStr"/>
      <c r="T829" s="5" t="inlineStr"/>
      <c r="U829" s="5" t="inlineStr"/>
      <c r="V829" s="5" t="inlineStr"/>
      <c r="W829" s="5" t="inlineStr"/>
      <c r="X829" s="5" t="inlineStr"/>
      <c r="Y829" s="5" t="inlineStr"/>
      <c r="Z829" s="6" t="inlineStr"/>
      <c r="AA829" s="5" t="inlineStr"/>
      <c r="AB829" s="5" t="inlineStr"/>
      <c r="AC829" s="5" t="inlineStr"/>
      <c r="AD829" s="5" t="inlineStr"/>
      <c r="AE829" s="5" t="inlineStr"/>
      <c r="AF829" s="5" t="inlineStr"/>
      <c r="AG829" s="5" t="inlineStr"/>
      <c r="AH829" s="5" t="inlineStr"/>
      <c r="AI829" s="5" t="inlineStr"/>
      <c r="AJ829" s="5" t="inlineStr"/>
    </row>
    <row r="830">
      <c r="A830" s="5" t="inlineStr">
        <is>
          <t>b8-motosiklet</t>
        </is>
      </c>
      <c r="B830" s="5" t="n">
        <v>2</v>
      </c>
      <c r="C830" s="6" t="inlineStr">
        <is>
          <t>Satın al, ilk turu at</t>
        </is>
      </c>
      <c r="D830" s="5" t="inlineStr">
        <is>
          <t>Cesaret</t>
        </is>
      </c>
      <c r="E830" s="5" t="inlineStr">
        <is>
          <t>Zor</t>
        </is>
      </c>
      <c r="F830" s="5" t="inlineStr"/>
      <c r="G830" s="6" t="inlineStr"/>
      <c r="H830" s="6" t="inlineStr">
        <is>
          <t>Sahil yolunda ilk turunu attın. Kaskın içinde kimse göremedi, ama gülümsüyordun.</t>
        </is>
      </c>
      <c r="I830" s="6" t="inlineStr">
        <is>
          <t>İlk turda karşıdan gelen motorcular sana el kaldırdı; sen de kaldırdın, az kalsın gidonu bırakıyordun. Akşam telefonuna bir grup eklendi: “Pazar kahvaltısı, saat yedi.”</t>
        </is>
      </c>
      <c r="J830" s="6" t="inlineStr">
        <is>
          <t>Motosikleti aldın; garajdan çıkarmaya cesaret etmen üç ay sürdü. Şu an üstünde çamaşır kuruyor.</t>
        </is>
      </c>
      <c r="K830" s="6" t="inlineStr">
        <is>
          <t>Galerinin önünde, daha kontağı çevirmeden devrildin; sabit dururken. Satıcı koştu, önce motoru kaldırdı, sonra seni. Ertesi hafta ilan: “Az kullanılmış, bir kez yatırılmış.”</t>
        </is>
      </c>
      <c r="L830" s="6" t="inlineStr"/>
      <c r="M830" s="5" t="inlineStr"/>
      <c r="N830" s="5" t="inlineStr"/>
      <c r="O830" s="6" t="inlineStr"/>
      <c r="P830" s="6" t="inlineStr"/>
      <c r="Q830" s="5" t="inlineStr"/>
      <c r="R830" s="5" t="inlineStr"/>
      <c r="S830" s="5" t="inlineStr"/>
      <c r="T830" s="5" t="inlineStr"/>
      <c r="U830" s="5" t="inlineStr"/>
      <c r="V830" s="5" t="inlineStr">
        <is>
          <t>motosikletli</t>
        </is>
      </c>
      <c r="W830" s="5" t="inlineStr"/>
      <c r="X830" s="5" t="inlineStr"/>
      <c r="Y830" s="5" t="n">
        <v>5</v>
      </c>
      <c r="Z830" s="6" t="inlineStr">
        <is>
          <t>Yeni aldığı motosikletle ilk virajda. Viraj hâlâ orada, sapasağlam.</t>
        </is>
      </c>
      <c r="AA830" s="5" t="inlineStr"/>
      <c r="AB830" s="5" t="inlineStr"/>
      <c r="AC830" s="5" t="inlineStr"/>
      <c r="AD830" s="5" t="inlineStr"/>
      <c r="AE830" s="5" t="inlineStr"/>
      <c r="AF830" s="5" t="inlineStr"/>
      <c r="AG830" s="5" t="inlineStr"/>
      <c r="AH830" s="5" t="inlineStr"/>
      <c r="AI830" s="5" t="inlineStr"/>
      <c r="AJ830" s="5" t="inlineStr"/>
    </row>
    <row r="831">
      <c r="A831" s="5" t="inlineStr">
        <is>
          <t>b8-motosiklet</t>
        </is>
      </c>
      <c r="B831" s="5" t="n">
        <v>3</v>
      </c>
      <c r="C831" s="6" t="inlineStr">
        <is>
          <t>Elektrikli bisiklete pazarlık et</t>
        </is>
      </c>
      <c r="D831" s="5" t="inlineStr">
        <is>
          <t>Çene</t>
        </is>
      </c>
      <c r="E831" s="5" t="inlineStr">
        <is>
          <t>Kolay</t>
        </is>
      </c>
      <c r="F831" s="5" t="inlineStr"/>
      <c r="G831" s="6" t="inlineStr"/>
      <c r="H831" s="6" t="inlineStr">
        <is>
          <t>Motosiklet yerine elektrikli bisiklet aldın. Rüzgâr aynı rüzgâr, prim yok.</t>
        </is>
      </c>
      <c r="I831" s="6" t="inlineStr">
        <is>
          <t>Satıcıyı öyle konuşturdun ki kaskı hediye verdi. Kask bisikletten pahalı.</t>
        </is>
      </c>
      <c r="J831" s="6" t="inlineStr">
        <is>
          <t>Bisikleti aldın; şarj aletinin ayrı satıldığını kasada öğrendin.</t>
        </is>
      </c>
      <c r="K831" s="6" t="inlineStr">
        <is>
          <t>Bisikleti aldın; ilk yokuşta şarjı bitti. Eve kadar ittin. Balkondaki komşu teyze seslendi: “Elektrikli dediler, sen mi onu şarj ediyorsun?” Akşama kadar bütün sokak aynı soruyu sordu.</t>
        </is>
      </c>
      <c r="L831" s="6" t="inlineStr"/>
      <c r="M831" s="5" t="inlineStr"/>
      <c r="N831" s="5" t="inlineStr"/>
      <c r="O831" s="6" t="inlineStr"/>
      <c r="P831" s="6" t="inlineStr"/>
      <c r="Q831" s="5" t="inlineStr"/>
      <c r="R831" s="5" t="inlineStr"/>
      <c r="S831" s="5" t="inlineStr"/>
      <c r="T831" s="5" t="inlineStr"/>
      <c r="U831" s="5" t="inlineStr"/>
      <c r="V831" s="5" t="inlineStr"/>
      <c r="W831" s="5" t="inlineStr"/>
      <c r="X831" s="5" t="inlineStr"/>
      <c r="Y831" s="5" t="inlineStr"/>
      <c r="Z831" s="6" t="inlineStr"/>
      <c r="AA831" s="5" t="inlineStr"/>
      <c r="AB831" s="5" t="inlineStr"/>
      <c r="AC831" s="5" t="inlineStr"/>
      <c r="AD831" s="5" t="inlineStr"/>
      <c r="AE831" s="5" t="inlineStr"/>
      <c r="AF831" s="5" t="inlineStr"/>
      <c r="AG831" s="5" t="inlineStr"/>
      <c r="AH831" s="5" t="inlineStr"/>
      <c r="AI831" s="5" t="inlineStr"/>
      <c r="AJ831" s="5" t="inlineStr"/>
    </row>
    <row r="832">
      <c r="A832" s="5" t="inlineStr">
        <is>
          <t>b8-motosiklet</t>
        </is>
      </c>
      <c r="B832" s="5" t="n">
        <v>4</v>
      </c>
      <c r="C832" s="6" t="inlineStr">
        <is>
          <t>Çocukluktaki alçıyı hatırla</t>
        </is>
      </c>
      <c r="D832" s="5" t="inlineStr"/>
      <c r="E832" s="5" t="inlineStr"/>
      <c r="F832" s="5" t="inlineStr">
        <is>
          <t>İtibar +1, Akıl +1</t>
        </is>
      </c>
      <c r="G832" s="6" t="inlineStr">
        <is>
          <t>Sol kolun hâlâ hava değişimini haber veriyor. Motosiklete teşekkür edip galeriden ayrıldın. Kol minnettar.</t>
        </is>
      </c>
      <c r="H832" s="6" t="inlineStr"/>
      <c r="I832" s="6" t="inlineStr"/>
      <c r="J832" s="6" t="inlineStr"/>
      <c r="K832" s="6" t="inlineStr"/>
      <c r="L832" s="6" t="inlineStr"/>
      <c r="M832" s="5" t="inlineStr"/>
      <c r="N832" s="5" t="inlineStr"/>
      <c r="O832" s="6" t="inlineStr"/>
      <c r="P832" s="6" t="inlineStr"/>
      <c r="Q832" s="5" t="inlineStr"/>
      <c r="R832" s="5" t="inlineStr">
        <is>
          <t>alcili-kol</t>
        </is>
      </c>
      <c r="S832" s="5" t="inlineStr"/>
      <c r="T832" s="5" t="inlineStr"/>
      <c r="U832" s="5" t="inlineStr"/>
      <c r="V832" s="5" t="inlineStr"/>
      <c r="W832" s="5" t="inlineStr"/>
      <c r="X832" s="5" t="inlineStr"/>
      <c r="Y832" s="5" t="inlineStr"/>
      <c r="Z832" s="6" t="inlineStr"/>
      <c r="AA832" s="5" t="inlineStr"/>
      <c r="AB832" s="5" t="inlineStr"/>
      <c r="AC832" s="5" t="inlineStr"/>
      <c r="AD832" s="5" t="inlineStr"/>
      <c r="AE832" s="5" t="inlineStr"/>
      <c r="AF832" s="5" t="inlineStr"/>
      <c r="AG832" s="5" t="inlineStr"/>
      <c r="AH832" s="5" t="inlineStr"/>
      <c r="AI832" s="5" t="inlineStr"/>
      <c r="AJ832" s="5" t="inlineStr"/>
    </row>
    <row r="833">
      <c r="A833" s="5" t="inlineStr">
        <is>
          <t>b8-sac-meselesi</t>
        </is>
      </c>
      <c r="B833" s="5" t="n">
        <v>1</v>
      </c>
      <c r="C833" s="6" t="inlineStr">
        <is>
          <t>Kabullen, sıfıra vur</t>
        </is>
      </c>
      <c r="D833" s="5" t="inlineStr">
        <is>
          <t>Cesaret</t>
        </is>
      </c>
      <c r="E833" s="5" t="inlineStr">
        <is>
          <t>Orta</t>
        </is>
      </c>
      <c r="F833" s="5" t="inlineStr"/>
      <c r="G833" s="6" t="inlineStr"/>
      <c r="H833" s="6" t="inlineStr">
        <is>
          <t>Sıfıra vurdun. Ertesi sabah komşu teyze kapıda uzun uzun baktı: “Geçmiş olsun yavrum, ne zaman çıktın?” Nereden çıktığını sormadın; gülüşüp ayrıldınız.</t>
        </is>
      </c>
      <c r="I833" s="6" t="inlineStr">
        <is>
          <t>Sıfıra vurdun; herkes neden daha önce yapmadığını sordu. Başın hiç bu kadar iyi görünmemişti.</t>
        </is>
      </c>
      <c r="J833" s="6" t="inlineStr">
        <is>
          <t>Sıfıra vurdun ve kafanın şekliyle ilk kez tanıştın; arkada bir çukur var. Annen “Küçükken hep sırtüstü yatırdık” dedi. Kasket aldın.</t>
        </is>
      </c>
      <c r="K833" s="6" t="inlineStr">
        <is>
          <t>Sıfıra vurdun, ilk gün şapkasız pazara çıktın. Akşam tepen kıpkırmızıydı; annen buzdolabından yoğurt çıkarıp kafana sürdü. Ertesi sabah kapıcı ekmeği uzatırken sordu: “Domates bu yıl erken mi çıktı?”</t>
        </is>
      </c>
      <c r="L833" s="6" t="inlineStr"/>
      <c r="M833" s="5" t="inlineStr"/>
      <c r="N833" s="5" t="inlineStr"/>
      <c r="O833" s="6" t="inlineStr"/>
      <c r="P833" s="6" t="inlineStr"/>
      <c r="Q833" s="5" t="inlineStr"/>
      <c r="R833" s="5" t="inlineStr"/>
      <c r="S833" s="5" t="inlineStr"/>
      <c r="T833" s="5" t="inlineStr"/>
      <c r="U833" s="5" t="inlineStr"/>
      <c r="V833" s="5" t="inlineStr"/>
      <c r="W833" s="5" t="inlineStr"/>
      <c r="X833" s="5" t="inlineStr"/>
      <c r="Y833" s="5" t="inlineStr"/>
      <c r="Z833" s="6" t="inlineStr"/>
      <c r="AA833" s="5" t="inlineStr"/>
      <c r="AB833" s="5" t="inlineStr"/>
      <c r="AC833" s="5" t="inlineStr"/>
      <c r="AD833" s="5" t="inlineStr"/>
      <c r="AE833" s="5" t="inlineStr"/>
      <c r="AF833" s="5" t="inlineStr"/>
      <c r="AG833" s="5" t="inlineStr"/>
      <c r="AH833" s="5" t="inlineStr"/>
      <c r="AI833" s="5" t="inlineStr"/>
      <c r="AJ833" s="5" t="inlineStr"/>
    </row>
    <row r="834">
      <c r="A834" s="5" t="inlineStr">
        <is>
          <t>b8-sac-meselesi</t>
        </is>
      </c>
      <c r="B834" s="5" t="n">
        <v>2</v>
      </c>
      <c r="C834" s="6" t="inlineStr">
        <is>
          <t>Saç ekimini araştır</t>
        </is>
      </c>
      <c r="D834" s="5" t="inlineStr">
        <is>
          <t>Akıl</t>
        </is>
      </c>
      <c r="E834" s="5" t="inlineStr">
        <is>
          <t>Kolay</t>
        </is>
      </c>
      <c r="F834" s="5" t="inlineStr"/>
      <c r="G834" s="6" t="inlineStr"/>
      <c r="H834" s="6" t="inlineStr">
        <is>
          <t>Yirmi sekme açtın, dört fiyat aldın. Karar bahara ertelendi; bahar her yıl gelir.</t>
        </is>
      </c>
      <c r="I834" s="6" t="inlineStr">
        <is>
          <t>Araştırman öyle derin çıktı ki arkadaş grubundaki üç kişi tepesinin fotoğrafını sana atıyor: “Bende de var mı?” Var.</t>
        </is>
      </c>
      <c r="J834" s="6" t="inlineStr">
        <is>
          <t>Araştırma sırasında reklamlar seni fark etti. Artık her ekranda şampuan var.</t>
        </is>
      </c>
      <c r="K834" s="6" t="inlineStr">
        <is>
          <t>Ücretsiz değerlendirme için kliniğe tepenin fotoğrafını yolladın. Bir ay sonra reklamlarında “önce” fotoğrafı olarak sen varsın. Kuzenin hemen tanıdı.</t>
        </is>
      </c>
      <c r="L834" s="6" t="inlineStr"/>
      <c r="M834" s="5" t="inlineStr"/>
      <c r="N834" s="5" t="inlineStr"/>
      <c r="O834" s="6" t="inlineStr"/>
      <c r="P834" s="6" t="inlineStr"/>
      <c r="Q834" s="5" t="inlineStr"/>
      <c r="R834" s="5" t="inlineStr"/>
      <c r="S834" s="5" t="inlineStr"/>
      <c r="T834" s="5" t="inlineStr"/>
      <c r="U834" s="5" t="inlineStr"/>
      <c r="V834" s="5" t="inlineStr"/>
      <c r="W834" s="5" t="inlineStr"/>
      <c r="X834" s="5" t="inlineStr"/>
      <c r="Y834" s="5" t="inlineStr"/>
      <c r="Z834" s="6" t="inlineStr"/>
      <c r="AA834" s="5" t="inlineStr"/>
      <c r="AB834" s="5" t="inlineStr"/>
      <c r="AC834" s="5" t="inlineStr"/>
      <c r="AD834" s="5" t="inlineStr"/>
      <c r="AE834" s="5" t="inlineStr"/>
      <c r="AF834" s="5" t="inlineStr"/>
      <c r="AG834" s="5" t="inlineStr"/>
      <c r="AH834" s="5" t="inlineStr"/>
      <c r="AI834" s="5" t="inlineStr"/>
      <c r="AJ834" s="5" t="inlineStr"/>
    </row>
    <row r="835">
      <c r="A835" s="5" t="inlineStr">
        <is>
          <t>b8-sac-meselesi</t>
        </is>
      </c>
      <c r="B835" s="5" t="n">
        <v>3</v>
      </c>
      <c r="C835" s="6" t="inlineStr">
        <is>
          <t>Yandan tarama tekniğini dene</t>
        </is>
      </c>
      <c r="D835" s="5" t="inlineStr">
        <is>
          <t>Pişkinlik</t>
        </is>
      </c>
      <c r="E835" s="5" t="inlineStr">
        <is>
          <t>Zor</t>
        </is>
      </c>
      <c r="F835" s="5" t="inlineStr"/>
      <c r="G835" s="6" t="inlineStr"/>
      <c r="H835" s="6" t="inlineStr">
        <is>
          <t>Yandan taradın. Rüzgârsız günlerde kusursuz.</t>
        </is>
      </c>
      <c r="I835" s="6" t="inlineStr">
        <is>
          <t>Tarama o kadar ustaca ki kuaför tekniğini sordu, sonra sıradaki müşteriye uyguladı. Mahallede artık iki tane senden var.</t>
        </is>
      </c>
      <c r="J835" s="6" t="inlineStr">
        <is>
          <t>Taradın; balkona çıktığın an ilk rüzgâr her şeyi geri aldı. Karşı balkondaki teyze seslendi: “Saçın uçtu evladım!” Uçtu.</t>
        </is>
      </c>
      <c r="K835" s="6" t="inlineStr">
        <is>
          <t>Kuzeninin düğününde halay başına geçtin. Üçüncü turda saçın kalktı, mendille aynı ritimde sallanmaya başladı. Video aile grubunda; herkes halayı değil saçını izliyor.</t>
        </is>
      </c>
      <c r="L835" s="6" t="inlineStr"/>
      <c r="M835" s="5" t="inlineStr"/>
      <c r="N835" s="5" t="inlineStr"/>
      <c r="O835" s="6" t="inlineStr"/>
      <c r="P835" s="6" t="inlineStr"/>
      <c r="Q835" s="5" t="inlineStr"/>
      <c r="R835" s="5" t="inlineStr"/>
      <c r="S835" s="5" t="inlineStr"/>
      <c r="T835" s="5" t="inlineStr">
        <is>
          <t>Yüzü Kızarmaz</t>
        </is>
      </c>
      <c r="U835" s="5" t="inlineStr"/>
      <c r="V835" s="5" t="inlineStr"/>
      <c r="W835" s="5" t="inlineStr"/>
      <c r="X835" s="5" t="inlineStr"/>
      <c r="Y835" s="5" t="inlineStr"/>
      <c r="Z835" s="6" t="inlineStr"/>
      <c r="AA835" s="5" t="inlineStr"/>
      <c r="AB835" s="5" t="inlineStr"/>
      <c r="AC835" s="5" t="inlineStr"/>
      <c r="AD835" s="5" t="inlineStr"/>
      <c r="AE835" s="5" t="inlineStr"/>
      <c r="AF835" s="5" t="inlineStr"/>
      <c r="AG835" s="5" t="inlineStr"/>
      <c r="AH835" s="5" t="inlineStr"/>
      <c r="AI835" s="5" t="inlineStr">
        <is>
          <t>Rüzgâr Gülü</t>
        </is>
      </c>
      <c r="AJ835" s="5" t="inlineStr"/>
    </row>
    <row r="836">
      <c r="A836" s="5" t="inlineStr">
        <is>
          <t>b8-sac-meselesi</t>
        </is>
      </c>
      <c r="B836" s="5" t="n">
        <v>4</v>
      </c>
      <c r="C836" s="6" t="inlineStr">
        <is>
          <t>Şapka koleksiyonuna başla</t>
        </is>
      </c>
      <c r="D836" s="5" t="inlineStr"/>
      <c r="E836" s="5" t="inlineStr"/>
      <c r="F836" s="5" t="inlineStr">
        <is>
          <t>Kurnazlık +1</t>
        </is>
      </c>
      <c r="G836" s="6" t="inlineStr">
        <is>
          <t>Dört şapka aldın. Annen “Evin içinde de mi?” dedi. Evin içinde de.</t>
        </is>
      </c>
      <c r="H836" s="6" t="inlineStr"/>
      <c r="I836" s="6" t="inlineStr"/>
      <c r="J836" s="6" t="inlineStr"/>
      <c r="K836" s="6" t="inlineStr"/>
      <c r="L836" s="6" t="inlineStr"/>
      <c r="M836" s="5" t="inlineStr"/>
      <c r="N836" s="5" t="inlineStr"/>
      <c r="O836" s="6" t="inlineStr"/>
      <c r="P836" s="6" t="inlineStr"/>
      <c r="Q836" s="5" t="inlineStr"/>
      <c r="R836" s="5" t="inlineStr"/>
      <c r="S836" s="5" t="inlineStr"/>
      <c r="T836" s="5" t="inlineStr"/>
      <c r="U836" s="5" t="inlineStr"/>
      <c r="V836" s="5" t="inlineStr"/>
      <c r="W836" s="5" t="inlineStr"/>
      <c r="X836" s="5" t="inlineStr"/>
      <c r="Y836" s="5" t="inlineStr"/>
      <c r="Z836" s="6" t="inlineStr"/>
      <c r="AA836" s="5" t="inlineStr"/>
      <c r="AB836" s="5" t="inlineStr"/>
      <c r="AC836" s="5" t="inlineStr"/>
      <c r="AD836" s="5" t="inlineStr"/>
      <c r="AE836" s="5" t="inlineStr"/>
      <c r="AF836" s="5" t="inlineStr"/>
      <c r="AG836" s="5" t="inlineStr"/>
      <c r="AH836" s="5" t="inlineStr"/>
      <c r="AI836" s="5" t="inlineStr"/>
      <c r="AJ836" s="5" t="inlineStr"/>
    </row>
    <row r="837">
      <c r="A837" s="5" t="inlineStr">
        <is>
          <t>ms-sigortasiz-hayat</t>
        </is>
      </c>
      <c r="B837" s="5" t="n">
        <v>1</v>
      </c>
      <c r="C837" s="6" t="inlineStr">
        <is>
          <t>Geriye dönük prim öde</t>
        </is>
      </c>
      <c r="D837" s="5" t="inlineStr"/>
      <c r="E837" s="5" t="inlineStr"/>
      <c r="F837" s="5" t="inlineStr">
        <is>
          <t>İtibar +1</t>
        </is>
      </c>
      <c r="G837" s="6" t="inlineStr">
        <is>
          <t>Birikmiş primleri yatırdın; kartın iki ay nefes alamadı. Annene “Sigortam var artık” dedin. “Hah” dedi; yirmi yıldır bu “hah”ı söylemek için bekliyordu.</t>
        </is>
      </c>
      <c r="H837" s="6" t="inlineStr"/>
      <c r="I837" s="6" t="inlineStr"/>
      <c r="J837" s="6" t="inlineStr"/>
      <c r="K837" s="6" t="inlineStr"/>
      <c r="L837" s="6" t="inlineStr"/>
      <c r="M837" s="5" t="inlineStr"/>
      <c r="N837" s="5" t="inlineStr"/>
      <c r="O837" s="6" t="inlineStr"/>
      <c r="P837" s="6" t="inlineStr"/>
      <c r="Q837" s="5" t="inlineStr"/>
      <c r="R837" s="5" t="inlineStr"/>
      <c r="S837" s="5" t="inlineStr"/>
      <c r="T837" s="5" t="inlineStr"/>
      <c r="U837" s="5" t="inlineStr"/>
      <c r="V837" s="5" t="inlineStr"/>
      <c r="W837" s="5" t="inlineStr"/>
      <c r="X837" s="5" t="inlineStr"/>
      <c r="Y837" s="5" t="inlineStr"/>
      <c r="Z837" s="6" t="inlineStr"/>
      <c r="AA837" s="5" t="inlineStr"/>
      <c r="AB837" s="5" t="inlineStr"/>
      <c r="AC837" s="5" t="inlineStr"/>
      <c r="AD837" s="5" t="inlineStr"/>
      <c r="AE837" s="5" t="inlineStr"/>
      <c r="AF837" s="5" t="inlineStr"/>
      <c r="AG837" s="5" t="inlineStr"/>
      <c r="AH837" s="5" t="inlineStr"/>
      <c r="AI837" s="5" t="inlineStr"/>
      <c r="AJ837" s="5" t="inlineStr"/>
    </row>
    <row r="838">
      <c r="A838" s="5" t="inlineStr">
        <is>
          <t>ms-sigortasiz-hayat</t>
        </is>
      </c>
      <c r="B838" s="5" t="n">
        <v>2</v>
      </c>
      <c r="C838" s="6" t="inlineStr">
        <is>
          <t>Özel sigorta araştır</t>
        </is>
      </c>
      <c r="D838" s="5" t="inlineStr">
        <is>
          <t>Akıl</t>
        </is>
      </c>
      <c r="E838" s="5" t="inlineStr">
        <is>
          <t>Orta</t>
        </is>
      </c>
      <c r="F838" s="5" t="inlineStr"/>
      <c r="G838" s="6" t="inlineStr"/>
      <c r="H838" s="6" t="inlineStr">
        <is>
          <t>Uygun bir poliçe buldun. Küçük harflerini de okudun. Tarihte bunu yapan ilk kişisin.</t>
        </is>
      </c>
      <c r="I838" s="6" t="inlineStr">
        <is>
          <t>Serbest çalışanlara uygun bir poliçe buldun, arkadaş grubuna attın. Altı kişi yaptırdı; sigortacı sana bir kutu baklava yolladı. Hayatında ilk kez biri sana zamanında ödeme yaptı.</t>
        </is>
      </c>
      <c r="J838" s="6" t="inlineStr">
        <is>
          <t>Poliçe buldun; aylık primi kiran kadardı. Ev sahibine anlattın, “Benimki daha ucuz” dedi. Haklıydı.</t>
        </is>
      </c>
      <c r="K838" s="6" t="inlineStr">
        <is>
          <t>Poliçeyi dikkatle okudun. Kapsam dışı: 'Serbest çalışmaktan doğan her şey.'</t>
        </is>
      </c>
      <c r="L838" s="6" t="inlineStr"/>
      <c r="M838" s="5" t="inlineStr"/>
      <c r="N838" s="5" t="inlineStr"/>
      <c r="O838" s="6" t="inlineStr"/>
      <c r="P838" s="6" t="inlineStr"/>
      <c r="Q838" s="5" t="inlineStr"/>
      <c r="R838" s="5" t="inlineStr"/>
      <c r="S838" s="5" t="inlineStr"/>
      <c r="T838" s="5" t="inlineStr"/>
      <c r="U838" s="5" t="inlineStr"/>
      <c r="V838" s="5" t="inlineStr"/>
      <c r="W838" s="5" t="inlineStr"/>
      <c r="X838" s="5" t="inlineStr"/>
      <c r="Y838" s="5" t="inlineStr"/>
      <c r="Z838" s="6" t="inlineStr"/>
      <c r="AA838" s="5" t="inlineStr"/>
      <c r="AB838" s="5" t="inlineStr"/>
      <c r="AC838" s="5" t="inlineStr"/>
      <c r="AD838" s="5" t="inlineStr"/>
      <c r="AE838" s="5" t="inlineStr"/>
      <c r="AF838" s="5" t="inlineStr"/>
      <c r="AG838" s="5" t="inlineStr"/>
      <c r="AH838" s="5" t="inlineStr"/>
      <c r="AI838" s="5" t="inlineStr"/>
      <c r="AJ838" s="5" t="inlineStr"/>
    </row>
    <row r="839">
      <c r="A839" s="5" t="inlineStr">
        <is>
          <t>ms-sigortasiz-hayat</t>
        </is>
      </c>
      <c r="B839" s="5" t="n">
        <v>3</v>
      </c>
      <c r="C839" s="6" t="inlineStr">
        <is>
          <t>Eşinin sigortasına bağlan</t>
        </is>
      </c>
      <c r="D839" s="5" t="inlineStr">
        <is>
          <t>Kurnazlık</t>
        </is>
      </c>
      <c r="E839" s="5" t="inlineStr">
        <is>
          <t>Kolay</t>
        </is>
      </c>
      <c r="F839" s="5" t="inlineStr"/>
      <c r="G839" s="6" t="inlineStr"/>
      <c r="H839" s="6" t="inlineStr">
        <is>
          <t>Eşinin sigortasına bağlandın. Eşin artık her tartışmanın sonunda “Sigortanı ben ödüyorum” diyor. Ödemiyor, ama diyor.</t>
        </is>
      </c>
      <c r="I839" s="6" t="inlineStr">
        <is>
          <t>Bütün belgeler tek seferde tamamdı. Gişedeki memur dosyayı iki kez karıştırdı, eksik bulamadı, yandaki arkadaşını çağırdı: “Bak, bu da varmış.”</t>
        </is>
      </c>
      <c r="J839" s="6" t="inlineStr">
        <is>
          <t>Belgelerden biri eksik: evlilik cüzdanının aslı. Aslı çekmecede, çekmece kayıp.</t>
        </is>
      </c>
      <c r="K839" s="6" t="inlineStr">
        <is>
          <t>Formda eşinin adını yanlış yazdın. Gişedeki memur yüksek sesle okudu: “Bu kim?” Eşin yanındaydı; akşam yemeği sessiz geçti.</t>
        </is>
      </c>
      <c r="L839" s="6" t="inlineStr"/>
      <c r="M839" s="5" t="inlineStr"/>
      <c r="N839" s="5" t="inlineStr"/>
      <c r="O839" s="6" t="inlineStr"/>
      <c r="P839" s="6" t="inlineStr"/>
      <c r="Q839" s="5" t="inlineStr"/>
      <c r="R839" s="5" t="inlineStr">
        <is>
          <t>evli</t>
        </is>
      </c>
      <c r="S839" s="5" t="inlineStr"/>
      <c r="T839" s="5" t="inlineStr"/>
      <c r="U839" s="5" t="inlineStr"/>
      <c r="V839" s="5" t="inlineStr"/>
      <c r="W839" s="5" t="inlineStr"/>
      <c r="X839" s="5" t="inlineStr"/>
      <c r="Y839" s="5" t="inlineStr"/>
      <c r="Z839" s="6" t="inlineStr"/>
      <c r="AA839" s="5" t="inlineStr"/>
      <c r="AB839" s="5" t="inlineStr"/>
      <c r="AC839" s="5" t="inlineStr"/>
      <c r="AD839" s="5" t="inlineStr"/>
      <c r="AE839" s="5" t="inlineStr"/>
      <c r="AF839" s="5" t="inlineStr"/>
      <c r="AG839" s="5" t="inlineStr"/>
      <c r="AH839" s="5" t="inlineStr"/>
      <c r="AI839" s="5" t="inlineStr"/>
      <c r="AJ839" s="5" t="inlineStr"/>
    </row>
    <row r="840">
      <c r="A840" s="5" t="inlineStr">
        <is>
          <t>ms-sigortasiz-hayat</t>
        </is>
      </c>
      <c r="B840" s="5" t="n">
        <v>4</v>
      </c>
      <c r="C840" s="6" t="inlineStr">
        <is>
          <t>Borçları yapılandır</t>
        </is>
      </c>
      <c r="D840" s="5" t="inlineStr">
        <is>
          <t>Çene</t>
        </is>
      </c>
      <c r="E840" s="5" t="inlineStr">
        <is>
          <t>Orta</t>
        </is>
      </c>
      <c r="F840" s="5" t="inlineStr"/>
      <c r="G840" s="6" t="inlineStr"/>
      <c r="H840" s="6" t="inlineStr">
        <is>
          <t>Prim borcunu taksitlendirdin. Taksitler seninle birlikte yaşlanacak.</t>
        </is>
      </c>
      <c r="I840" s="6" t="inlineStr">
        <is>
          <t>Yapılandırma dönemine denk geldin; borcun yarıya indi. Annene “Devlet bana bir iyilik yaptı” dedin. Annen “Kesin bir yanlışlık var, bir daha bak” dedi.</t>
        </is>
      </c>
      <c r="J840" s="6" t="inlineStr">
        <is>
          <t>Yapılandırdın; ilk taksit kredi kartının son ödeme günüyle aynı güne düştü. İki borç kapında tanıştı.</t>
        </is>
      </c>
      <c r="K840" s="6" t="inlineStr">
        <is>
          <t>Gişede sıra tam sana geldiğinde memur camı indirdi: “Sistem gitti.” Ertesi sabah yine numara aldın: 247. Dün 46'ydın.</t>
        </is>
      </c>
      <c r="L840" s="6" t="inlineStr"/>
      <c r="M840" s="5" t="inlineStr"/>
      <c r="N840" s="5" t="inlineStr"/>
      <c r="O840" s="6" t="inlineStr"/>
      <c r="P840" s="6" t="inlineStr"/>
      <c r="Q840" s="5" t="inlineStr"/>
      <c r="R840" s="5" t="inlineStr">
        <is>
          <t>borclu</t>
        </is>
      </c>
      <c r="S840" s="5" t="inlineStr"/>
      <c r="T840" s="5" t="inlineStr"/>
      <c r="U840" s="5" t="inlineStr"/>
      <c r="V840" s="5" t="inlineStr"/>
      <c r="W840" s="5" t="inlineStr"/>
      <c r="X840" s="5" t="inlineStr"/>
      <c r="Y840" s="5" t="inlineStr"/>
      <c r="Z840" s="6" t="inlineStr"/>
      <c r="AA840" s="5" t="inlineStr"/>
      <c r="AB840" s="5" t="inlineStr"/>
      <c r="AC840" s="5" t="inlineStr"/>
      <c r="AD840" s="5" t="inlineStr"/>
      <c r="AE840" s="5" t="inlineStr"/>
      <c r="AF840" s="5" t="inlineStr"/>
      <c r="AG840" s="5" t="inlineStr"/>
      <c r="AH840" s="5" t="inlineStr"/>
      <c r="AI840" s="5" t="inlineStr"/>
      <c r="AJ840" s="5" t="inlineStr"/>
    </row>
    <row r="841">
      <c r="A841" s="5" t="inlineStr">
        <is>
          <t>b8-ergen-telefon</t>
        </is>
      </c>
      <c r="B841" s="5" t="n">
        <v>1</v>
      </c>
      <c r="C841" s="6" t="inlineStr">
        <is>
          <t>Dokunma, masada bırak</t>
        </is>
      </c>
      <c r="D841" s="5" t="inlineStr"/>
      <c r="E841" s="5" t="inlineStr"/>
      <c r="F841" s="5" t="inlineStr">
        <is>
          <t>İtibar +1</t>
        </is>
      </c>
      <c r="G841" s="6" t="inlineStr">
        <is>
          <t>Telefona dokunmadın. O akşam çocuk telefonunu masada bırakıp duşa girdi. İlk kez.</t>
        </is>
      </c>
      <c r="H841" s="6" t="inlineStr"/>
      <c r="I841" s="6" t="inlineStr"/>
      <c r="J841" s="6" t="inlineStr"/>
      <c r="K841" s="6" t="inlineStr"/>
      <c r="L841" s="6" t="inlineStr"/>
      <c r="M841" s="5" t="inlineStr"/>
      <c r="N841" s="5" t="inlineStr"/>
      <c r="O841" s="6" t="inlineStr"/>
      <c r="P841" s="6" t="inlineStr"/>
      <c r="Q841" s="5" t="inlineStr"/>
      <c r="R841" s="5" t="inlineStr"/>
      <c r="S841" s="5" t="inlineStr"/>
      <c r="T841" s="5" t="inlineStr"/>
      <c r="U841" s="5" t="inlineStr"/>
      <c r="V841" s="5" t="inlineStr"/>
      <c r="W841" s="5" t="inlineStr"/>
      <c r="X841" s="5" t="inlineStr"/>
      <c r="Y841" s="5" t="inlineStr"/>
      <c r="Z841" s="6" t="inlineStr"/>
      <c r="AA841" s="5" t="inlineStr"/>
      <c r="AB841" s="5" t="inlineStr"/>
      <c r="AC841" s="5" t="inlineStr"/>
      <c r="AD841" s="5" t="inlineStr"/>
      <c r="AE841" s="5" t="inlineStr"/>
      <c r="AF841" s="5" t="inlineStr"/>
      <c r="AG841" s="5" t="inlineStr"/>
      <c r="AH841" s="5" t="inlineStr"/>
      <c r="AI841" s="5" t="inlineStr"/>
      <c r="AJ841" s="5" t="inlineStr"/>
    </row>
    <row r="842">
      <c r="A842" s="5" t="inlineStr">
        <is>
          <t>b8-ergen-telefon</t>
        </is>
      </c>
      <c r="B842" s="5" t="n">
        <v>2</v>
      </c>
      <c r="C842" s="6" t="inlineStr">
        <is>
          <t>Şifreyi tahmin et</t>
        </is>
      </c>
      <c r="D842" s="5" t="inlineStr">
        <is>
          <t>Kurnazlık</t>
        </is>
      </c>
      <c r="E842" s="5" t="inlineStr">
        <is>
          <t>Zor</t>
        </is>
      </c>
      <c r="F842" s="5" t="inlineStr"/>
      <c r="G842" s="6" t="inlineStr"/>
      <c r="H842" s="6" t="inlineStr">
        <is>
          <t>Şifreyi çözdün. İçeride ödev grubu ve kedi videoları vardı. Akşam yemeğinde çocuğun yüzüne bakamadın; o da “Ne oldu?” diye sordu.</t>
        </is>
      </c>
      <c r="I842" s="6" t="inlineStr">
        <is>
          <t>Açtın, baktın, iz bırakmadan kapattın. Tek gördüğün şey: seni rehbere “Evdeki Kahraman” diye kaydetmiş. Bunu sana asla söylemeyecek.</t>
        </is>
      </c>
      <c r="J842" s="6" t="inlineStr">
        <is>
          <t>Üç yanlış deneme. Telefon otuz dakika kilitlendi. Çocuk da.</t>
        </is>
      </c>
      <c r="K842" s="6" t="inlineStr">
        <is>
          <t>Yanlış şifre bildirimi çocuğun saatine düştü. Çocuk salona geldi, hiçbir şey demedi. Şifresini değiştirdi, kilit ekranına bir kedi fotoğrafı koydu. Sen yine yoksun.</t>
        </is>
      </c>
      <c r="L842" s="6" t="inlineStr"/>
      <c r="M842" s="5" t="inlineStr"/>
      <c r="N842" s="5" t="inlineStr"/>
      <c r="O842" s="6" t="inlineStr"/>
      <c r="P842" s="6" t="inlineStr"/>
      <c r="Q842" s="5" t="inlineStr"/>
      <c r="R842" s="5" t="inlineStr"/>
      <c r="S842" s="5" t="inlineStr"/>
      <c r="T842" s="5" t="inlineStr"/>
      <c r="U842" s="5" t="inlineStr"/>
      <c r="V842" s="5" t="inlineStr"/>
      <c r="W842" s="5" t="inlineStr"/>
      <c r="X842" s="5" t="inlineStr"/>
      <c r="Y842" s="5" t="inlineStr"/>
      <c r="Z842" s="6" t="inlineStr"/>
      <c r="AA842" s="5" t="inlineStr"/>
      <c r="AB842" s="5" t="inlineStr"/>
      <c r="AC842" s="5" t="inlineStr"/>
      <c r="AD842" s="5" t="inlineStr"/>
      <c r="AE842" s="5" t="inlineStr"/>
      <c r="AF842" s="5" t="inlineStr"/>
      <c r="AG842" s="5" t="inlineStr"/>
      <c r="AH842" s="5" t="inlineStr"/>
      <c r="AI842" s="5" t="inlineStr"/>
      <c r="AJ842" s="5" t="inlineStr"/>
    </row>
    <row r="843">
      <c r="A843" s="5" t="inlineStr">
        <is>
          <t>b8-ergen-telefon</t>
        </is>
      </c>
      <c r="B843" s="5" t="n">
        <v>3</v>
      </c>
      <c r="C843" s="6" t="inlineStr">
        <is>
          <t>Ekran süresini konuş</t>
        </is>
      </c>
      <c r="D843" s="5" t="inlineStr">
        <is>
          <t>Çene</t>
        </is>
      </c>
      <c r="E843" s="5" t="inlineStr">
        <is>
          <t>Orta</t>
        </is>
      </c>
      <c r="F843" s="5" t="inlineStr"/>
      <c r="G843" s="6" t="inlineStr"/>
      <c r="H843" s="6" t="inlineStr">
        <is>
          <t>Günde üç saatte anlaştınız. Anlaşmayı kâğıda yazıp buzdolabına astın; ertesi sabah üstüne bir pizza broşürü yapışmıştı.</t>
        </is>
      </c>
      <c r="I843" s="6" t="inlineStr">
        <is>
          <t>Öyle konuştun ki çocuk kendi ekran süresini kendisi kısıtladı. Sonra elini uzattı: “Telefonunu ver, seninkini de ayarlayayım.”</t>
        </is>
      </c>
      <c r="J843" s="6" t="inlineStr">
        <is>
          <t>Sen konuştun, çocuk telefona baktı. Sonunda başını kaldırdı: “Bitti mi? Bu arada senin ekran süren günde yedi saat.”</t>
        </is>
      </c>
      <c r="K843" s="6" t="inlineStr">
        <is>
          <t>Konuşmanın ortasında kendi telefonun çaldı. Konuşmayı kaybettin; ahlaki üstünlüğü de.</t>
        </is>
      </c>
      <c r="L843" s="6" t="inlineStr"/>
      <c r="M843" s="5" t="inlineStr"/>
      <c r="N843" s="5" t="inlineStr"/>
      <c r="O843" s="6" t="inlineStr"/>
      <c r="P843" s="6" t="inlineStr"/>
      <c r="Q843" s="5" t="inlineStr"/>
      <c r="R843" s="5" t="inlineStr"/>
      <c r="S843" s="5" t="inlineStr"/>
      <c r="T843" s="5" t="inlineStr"/>
      <c r="U843" s="5" t="inlineStr"/>
      <c r="V843" s="5" t="inlineStr"/>
      <c r="W843" s="5" t="inlineStr"/>
      <c r="X843" s="5" t="inlineStr"/>
      <c r="Y843" s="5" t="inlineStr"/>
      <c r="Z843" s="6" t="inlineStr"/>
      <c r="AA843" s="5" t="inlineStr"/>
      <c r="AB843" s="5" t="inlineStr"/>
      <c r="AC843" s="5" t="inlineStr"/>
      <c r="AD843" s="5" t="inlineStr"/>
      <c r="AE843" s="5" t="inlineStr"/>
      <c r="AF843" s="5" t="inlineStr"/>
      <c r="AG843" s="5" t="inlineStr"/>
      <c r="AH843" s="5" t="inlineStr"/>
      <c r="AI843" s="5" t="inlineStr"/>
      <c r="AJ843" s="5" t="inlineStr"/>
    </row>
    <row r="844">
      <c r="A844" s="5" t="inlineStr">
        <is>
          <t>b8-ergen-telefon</t>
        </is>
      </c>
      <c r="B844" s="5" t="n">
        <v>4</v>
      </c>
      <c r="C844" s="6" t="inlineStr">
        <is>
          <t>Kendi çocukluğunu anlat</t>
        </is>
      </c>
      <c r="D844" s="5" t="inlineStr">
        <is>
          <t>Gönül</t>
        </is>
      </c>
      <c r="E844" s="5" t="inlineStr">
        <is>
          <t>Kolay</t>
        </is>
      </c>
      <c r="F844" s="5" t="inlineStr"/>
      <c r="G844" s="6" t="inlineStr"/>
      <c r="H844" s="6" t="inlineStr">
        <is>
          <t>Kendi gizli defterini anlattın: kilitliydi, anahtarı ayakkabı kutusundaydı, annen ilk hafta bulmuştu. Çocuk telefonu bıraktı, güldü: “Hâlâ her şeyi buluyor zaten.”</t>
        </is>
      </c>
      <c r="I844" s="6" t="inlineStr">
        <is>
          <t>Anlattın; çocuk telefonu ters çevirdi. Bir saat konuştunuz. Kalkarken “Yine anlatırsın” dedi. Soru değildi.</t>
        </is>
      </c>
      <c r="J844" s="6" t="inlineStr">
        <is>
          <t>Anlattın; çocuk 'Tamam da ne alakası var' dedi. Alakası vardı.</t>
        </is>
      </c>
      <c r="K844" s="6" t="inlineStr">
        <is>
          <t>Hikâyeyi fazla detaylandırdın. Çocuk artık senin gizli defterini arıyor.</t>
        </is>
      </c>
      <c r="L844" s="6" t="inlineStr"/>
      <c r="M844" s="5" t="inlineStr"/>
      <c r="N844" s="5" t="inlineStr"/>
      <c r="O844" s="6" t="inlineStr"/>
      <c r="P844" s="6" t="inlineStr"/>
      <c r="Q844" s="5" t="inlineStr"/>
      <c r="R844" s="5" t="inlineStr"/>
      <c r="S844" s="5" t="inlineStr">
        <is>
          <t>Gönül</t>
        </is>
      </c>
      <c r="T844" s="5" t="inlineStr"/>
      <c r="U844" s="5" t="inlineStr"/>
      <c r="V844" s="5" t="inlineStr"/>
      <c r="W844" s="5" t="inlineStr"/>
      <c r="X844" s="5" t="inlineStr"/>
      <c r="Y844" s="5" t="inlineStr"/>
      <c r="Z844" s="6" t="inlineStr"/>
      <c r="AA844" s="5" t="inlineStr"/>
      <c r="AB844" s="5" t="inlineStr"/>
      <c r="AC844" s="5" t="inlineStr"/>
      <c r="AD844" s="5" t="inlineStr"/>
      <c r="AE844" s="5" t="inlineStr"/>
      <c r="AF844" s="5" t="inlineStr"/>
      <c r="AG844" s="5" t="inlineStr"/>
      <c r="AH844" s="5" t="inlineStr"/>
      <c r="AI844" s="5" t="inlineStr"/>
      <c r="AJ844" s="5" t="inlineStr"/>
    </row>
    <row r="845">
      <c r="A845" s="5" t="inlineStr">
        <is>
          <t>b8-metabolizma</t>
        </is>
      </c>
      <c r="B845" s="5" t="n">
        <v>1</v>
      </c>
      <c r="C845" s="6" t="inlineStr">
        <is>
          <t>Akşam yürüyüşüne başla</t>
        </is>
      </c>
      <c r="D845" s="5" t="inlineStr"/>
      <c r="E845" s="5" t="inlineStr"/>
      <c r="F845" s="5" t="inlineStr">
        <is>
          <t>Dayanıklılık +1</t>
        </is>
      </c>
      <c r="G845" s="6" t="inlineStr">
        <is>
          <t>Her akşam otuz dakika yürüdün. İkinci hafta mahallenin yürüyüş teyzeleri seni gruplarına aldı; artık kilodan çok dedikodu yakıyorsun.</t>
        </is>
      </c>
      <c r="H845" s="6" t="inlineStr"/>
      <c r="I845" s="6" t="inlineStr"/>
      <c r="J845" s="6" t="inlineStr"/>
      <c r="K845" s="6" t="inlineStr"/>
      <c r="L845" s="6" t="inlineStr"/>
      <c r="M845" s="5" t="inlineStr"/>
      <c r="N845" s="5" t="inlineStr"/>
      <c r="O845" s="6" t="inlineStr"/>
      <c r="P845" s="6" t="inlineStr"/>
      <c r="Q845" s="5" t="inlineStr"/>
      <c r="R845" s="5" t="inlineStr"/>
      <c r="S845" s="5" t="inlineStr"/>
      <c r="T845" s="5" t="inlineStr"/>
      <c r="U845" s="5" t="inlineStr"/>
      <c r="V845" s="5" t="inlineStr"/>
      <c r="W845" s="5" t="inlineStr"/>
      <c r="X845" s="5" t="inlineStr"/>
      <c r="Y845" s="5" t="inlineStr"/>
      <c r="Z845" s="6" t="inlineStr"/>
      <c r="AA845" s="5" t="inlineStr"/>
      <c r="AB845" s="5" t="inlineStr"/>
      <c r="AC845" s="5" t="inlineStr"/>
      <c r="AD845" s="5" t="inlineStr"/>
      <c r="AE845" s="5" t="inlineStr"/>
      <c r="AF845" s="5" t="inlineStr"/>
      <c r="AG845" s="5" t="inlineStr"/>
      <c r="AH845" s="5" t="inlineStr"/>
      <c r="AI845" s="5" t="inlineStr"/>
      <c r="AJ845" s="5" t="inlineStr"/>
    </row>
    <row r="846">
      <c r="A846" s="5" t="inlineStr">
        <is>
          <t>b8-metabolizma</t>
        </is>
      </c>
      <c r="B846" s="5" t="n">
        <v>2</v>
      </c>
      <c r="C846" s="6" t="inlineStr">
        <is>
          <t>Diyet programı başlat</t>
        </is>
      </c>
      <c r="D846" s="5" t="inlineStr">
        <is>
          <t>Dayanıklılık</t>
        </is>
      </c>
      <c r="E846" s="5" t="inlineStr">
        <is>
          <t>Orta</t>
        </is>
      </c>
      <c r="F846" s="5" t="inlineStr"/>
      <c r="G846" s="6" t="inlineStr"/>
      <c r="H846" s="6" t="inlineStr">
        <is>
          <t>Üç haftada iki kilo verdin. Bayramda teyzen üçüncü dilimi koyacakken elini tuttun; teyzen ekmeği geri koydu, akşama kadar sana küstü. İki kiloya değdi.</t>
        </is>
      </c>
      <c r="I846" s="6" t="inlineStr">
        <is>
          <t>Eski kot pantolonunun düğmesi ilk denemede kapandı. Annen seni görünce “Hasta mısın, yavrum?” diye alnına elini koydu.</t>
        </is>
      </c>
      <c r="J846" s="6" t="inlineStr">
        <is>
          <t>Pazartesi başladın. Pazartesi öğlen bitti.</t>
        </is>
      </c>
      <c r="K846" s="6" t="inlineStr">
        <is>
          <t>Diyetin ilk günü komşu börek getirdi, ikinci gün teyzen baklava. Üçüncü gün “Diyet yapıyormuş” diye duyan herkes ayrı tepsiyle geldi. Tartı o hafta iki kilo ekledi.</t>
        </is>
      </c>
      <c r="L846" s="6" t="inlineStr"/>
      <c r="M846" s="5" t="inlineStr"/>
      <c r="N846" s="5" t="inlineStr"/>
      <c r="O846" s="6" t="inlineStr"/>
      <c r="P846" s="6" t="inlineStr"/>
      <c r="Q846" s="5" t="inlineStr"/>
      <c r="R846" s="5" t="inlineStr"/>
      <c r="S846" s="5" t="inlineStr"/>
      <c r="T846" s="5" t="inlineStr"/>
      <c r="U846" s="5" t="inlineStr"/>
      <c r="V846" s="5" t="inlineStr"/>
      <c r="W846" s="5" t="inlineStr"/>
      <c r="X846" s="5" t="inlineStr"/>
      <c r="Y846" s="5" t="inlineStr"/>
      <c r="Z846" s="6" t="inlineStr"/>
      <c r="AA846" s="5" t="inlineStr"/>
      <c r="AB846" s="5" t="inlineStr"/>
      <c r="AC846" s="5" t="inlineStr"/>
      <c r="AD846" s="5" t="inlineStr"/>
      <c r="AE846" s="5" t="inlineStr"/>
      <c r="AF846" s="5" t="inlineStr"/>
      <c r="AG846" s="5" t="inlineStr"/>
      <c r="AH846" s="5" t="inlineStr"/>
      <c r="AI846" s="5" t="inlineStr"/>
      <c r="AJ846" s="5" t="inlineStr"/>
    </row>
    <row r="847">
      <c r="A847" s="5" t="inlineStr">
        <is>
          <t>b8-metabolizma</t>
        </is>
      </c>
      <c r="B847" s="5" t="n">
        <v>3</v>
      </c>
      <c r="C847" s="6" t="inlineStr">
        <is>
          <t>Tartıyı halıya taşı</t>
        </is>
      </c>
      <c r="D847" s="5" t="inlineStr">
        <is>
          <t>Kurnazlık</t>
        </is>
      </c>
      <c r="E847" s="5" t="inlineStr">
        <is>
          <t>Kolay</t>
        </is>
      </c>
      <c r="F847" s="5" t="inlineStr"/>
      <c r="G847" s="6" t="inlineStr"/>
      <c r="H847" s="6" t="inlineStr">
        <is>
          <t>Halının üstünde iki kilo gitti. Bilim bunu açıklayamıyor, sen açıklamak zorunda değilsin.</t>
        </is>
      </c>
      <c r="I847" s="6" t="inlineStr">
        <is>
          <t>Tartıyı öyle bir noktaya yerleştirdin ki her sabah farklı ama hep iyi haber veriyor.</t>
        </is>
      </c>
      <c r="J847" s="6" t="inlineStr">
        <is>
          <t>Tartı halının üstünde “Hata” yazdı. Halıdan indirdin, rakamı gördün; keşke hata kalsaydı.</t>
        </is>
      </c>
      <c r="K847" s="6" t="inlineStr">
        <is>
          <t>Annen ziyarete geldi, tartıyı halıda buldu. Yerine koydu, seni üstüne çıkardı, rakamı yüksek sesle okudu. Bütün apartman duydu.</t>
        </is>
      </c>
      <c r="L847" s="6" t="inlineStr"/>
      <c r="M847" s="5" t="inlineStr"/>
      <c r="N847" s="5" t="inlineStr"/>
      <c r="O847" s="6" t="inlineStr"/>
      <c r="P847" s="6" t="inlineStr"/>
      <c r="Q847" s="5" t="inlineStr"/>
      <c r="R847" s="5" t="inlineStr"/>
      <c r="S847" s="5" t="inlineStr"/>
      <c r="T847" s="5" t="inlineStr"/>
      <c r="U847" s="5" t="inlineStr"/>
      <c r="V847" s="5" t="inlineStr"/>
      <c r="W847" s="5" t="inlineStr"/>
      <c r="X847" s="5" t="inlineStr"/>
      <c r="Y847" s="5" t="inlineStr"/>
      <c r="Z847" s="6" t="inlineStr"/>
      <c r="AA847" s="5" t="inlineStr"/>
      <c r="AB847" s="5" t="inlineStr"/>
      <c r="AC847" s="5" t="inlineStr"/>
      <c r="AD847" s="5" t="inlineStr"/>
      <c r="AE847" s="5" t="inlineStr"/>
      <c r="AF847" s="5" t="inlineStr"/>
      <c r="AG847" s="5" t="inlineStr"/>
      <c r="AH847" s="5" t="inlineStr"/>
      <c r="AI847" s="5" t="inlineStr"/>
      <c r="AJ847" s="5" t="inlineStr"/>
    </row>
    <row r="848">
      <c r="A848" s="5" t="inlineStr">
        <is>
          <t>mb-yapay-zeka</t>
        </is>
      </c>
      <c r="B848" s="5" t="n">
        <v>1</v>
      </c>
      <c r="C848" s="6" t="inlineStr">
        <is>
          <t>Aracı özenle eğit</t>
        </is>
      </c>
      <c r="D848" s="5" t="inlineStr"/>
      <c r="E848" s="5" t="inlineStr"/>
      <c r="F848" s="5" t="inlineStr">
        <is>
          <t>Akıl +1</t>
        </is>
      </c>
      <c r="G848" s="6" t="inlineStr">
        <is>
          <t>Aracı özenle eğittin. Eğitim bitince araç 'Teşekkürler, bundan sonrasını ben hallederim' dedi.</t>
        </is>
      </c>
      <c r="H848" s="6" t="inlineStr"/>
      <c r="I848" s="6" t="inlineStr"/>
      <c r="J848" s="6" t="inlineStr"/>
      <c r="K848" s="6" t="inlineStr"/>
      <c r="L848" s="6" t="inlineStr"/>
      <c r="M848" s="5" t="inlineStr"/>
      <c r="N848" s="5" t="inlineStr"/>
      <c r="O848" s="6" t="inlineStr"/>
      <c r="P848" s="6" t="inlineStr"/>
      <c r="Q848" s="5" t="inlineStr"/>
      <c r="R848" s="5" t="inlineStr"/>
      <c r="S848" s="5" t="inlineStr"/>
      <c r="T848" s="5" t="inlineStr"/>
      <c r="U848" s="5" t="inlineStr"/>
      <c r="V848" s="5" t="inlineStr"/>
      <c r="W848" s="5" t="inlineStr"/>
      <c r="X848" s="5" t="inlineStr"/>
      <c r="Y848" s="5" t="inlineStr"/>
      <c r="Z848" s="6" t="inlineStr"/>
      <c r="AA848" s="5" t="inlineStr"/>
      <c r="AB848" s="5" t="inlineStr"/>
      <c r="AC848" s="5" t="inlineStr"/>
      <c r="AD848" s="5" t="inlineStr"/>
      <c r="AE848" s="5" t="inlineStr"/>
      <c r="AF848" s="5" t="inlineStr"/>
      <c r="AG848" s="5" t="inlineStr"/>
      <c r="AH848" s="5" t="inlineStr"/>
      <c r="AI848" s="5" t="inlineStr"/>
      <c r="AJ848" s="5" t="inlineStr"/>
    </row>
    <row r="849">
      <c r="A849" s="5" t="inlineStr">
        <is>
          <t>mb-yapay-zeka</t>
        </is>
      </c>
      <c r="B849" s="5" t="n">
        <v>2</v>
      </c>
      <c r="C849" s="6" t="inlineStr">
        <is>
          <t>Aracı biraz yanlış eğit</t>
        </is>
      </c>
      <c r="D849" s="5" t="inlineStr">
        <is>
          <t>Kurnazlık</t>
        </is>
      </c>
      <c r="E849" s="5" t="inlineStr">
        <is>
          <t>Orta</t>
        </is>
      </c>
      <c r="F849" s="5" t="inlineStr"/>
      <c r="G849" s="6" t="inlineStr"/>
      <c r="H849" s="6" t="inlineStr">
        <is>
          <t>Araç her raporda küçük bir hata yapıyor. Düzeltebilen tek kişi sensin. Vazgeçilmezsin.</t>
        </is>
      </c>
      <c r="I849" s="6" t="inlineStr">
        <is>
          <t>Araç yalnızca senin cümlelerinle çalışıyor; “Kolay gelsin” demeden rapor açmıyor. Unvanına “yapay zekâ sorumlusu” eklendi. Ne demek olduğunu kimse bilmiyor, sen dahil.</t>
        </is>
      </c>
      <c r="J849" s="6" t="inlineStr">
        <is>
          <t>Araç hatayı kendi buldu ve raporladı. Hatayı yapanın adıyla.</t>
        </is>
      </c>
      <c r="K849" s="6" t="inlineStr">
        <is>
          <t>Araç senin hakkında kendi raporunu yazdı ve bütün şirkete gönderdi: “Eğitmen, verimliliği bilinçli olarak düşürmüştür.” Yöneticin raporu yazdırıp masana bıraktı; üstünde sarı bir not: “Konuşalım.”</t>
        </is>
      </c>
      <c r="L849" s="6" t="inlineStr"/>
      <c r="M849" s="5" t="inlineStr"/>
      <c r="N849" s="5" t="inlineStr"/>
      <c r="O849" s="6" t="inlineStr"/>
      <c r="P849" s="6" t="inlineStr"/>
      <c r="Q849" s="5" t="inlineStr"/>
      <c r="R849" s="5" t="inlineStr"/>
      <c r="S849" s="5" t="inlineStr"/>
      <c r="T849" s="5" t="inlineStr"/>
      <c r="U849" s="5" t="inlineStr"/>
      <c r="V849" s="5" t="inlineStr"/>
      <c r="W849" s="5" t="inlineStr"/>
      <c r="X849" s="5" t="inlineStr"/>
      <c r="Y849" s="5" t="inlineStr"/>
      <c r="Z849" s="6" t="inlineStr"/>
      <c r="AA849" s="5" t="inlineStr"/>
      <c r="AB849" s="5" t="inlineStr"/>
      <c r="AC849" s="5" t="inlineStr"/>
      <c r="AD849" s="5" t="inlineStr"/>
      <c r="AE849" s="5" t="inlineStr"/>
      <c r="AF849" s="5" t="inlineStr"/>
      <c r="AG849" s="5" t="inlineStr"/>
      <c r="AH849" s="5" t="inlineStr"/>
      <c r="AI849" s="5" t="inlineStr"/>
      <c r="AJ849" s="5" t="inlineStr"/>
    </row>
    <row r="850">
      <c r="A850" s="5" t="inlineStr">
        <is>
          <t>mb-yapay-zeka</t>
        </is>
      </c>
      <c r="B850" s="5" t="n">
        <v>3</v>
      </c>
      <c r="C850" s="6" t="inlineStr">
        <is>
          <t>'Bağlamı' sat</t>
        </is>
      </c>
      <c r="D850" s="5" t="inlineStr">
        <is>
          <t>Çene</t>
        </is>
      </c>
      <c r="E850" s="5" t="inlineStr">
        <is>
          <t>Orta</t>
        </is>
      </c>
      <c r="F850" s="5" t="inlineStr"/>
      <c r="G850" s="6" t="inlineStr"/>
      <c r="H850" s="6" t="inlineStr">
        <is>
          <t>Yönetime “Araç rakamları biliyor, kimin kime küs olduğunu bilmiyor” dedin. Kapına yeni bir levha asıldı: “Bağlam Uzmanı.” Fotoğrafını annene attın; “Ne iş bu?” diye sordu.</t>
        </is>
      </c>
      <c r="I850" s="6" t="inlineStr">
        <is>
          <t>Aracın bağlamı bilmediğini kanıtladın: muhasebe ile satışı aynı öğle yemeğine davet etmişti. O günden beri yönetim, aracın her davetini sana onaylatıyor.</t>
        </is>
      </c>
      <c r="J850" s="6" t="inlineStr">
        <is>
          <t>Anlattın; yönetim araca 'bağlam' eklentisi aldı.</t>
        </is>
      </c>
      <c r="K850" s="6" t="inlineStr">
        <is>
          <t>Bağlamı anlatırken örnek olarak yöneticini verdin. Yöneticin de toplantıdaydı. Bağlamıyla.</t>
        </is>
      </c>
      <c r="L850" s="6" t="inlineStr"/>
      <c r="M850" s="5" t="inlineStr"/>
      <c r="N850" s="5" t="inlineStr"/>
      <c r="O850" s="6" t="inlineStr"/>
      <c r="P850" s="6" t="inlineStr"/>
      <c r="Q850" s="5" t="inlineStr"/>
      <c r="R850" s="5" t="inlineStr"/>
      <c r="S850" s="5" t="inlineStr">
        <is>
          <t>Akıl</t>
        </is>
      </c>
      <c r="T850" s="5" t="inlineStr"/>
      <c r="U850" s="5" t="inlineStr"/>
      <c r="V850" s="5" t="inlineStr"/>
      <c r="W850" s="5" t="inlineStr"/>
      <c r="X850" s="5" t="inlineStr"/>
      <c r="Y850" s="5" t="inlineStr"/>
      <c r="Z850" s="6" t="inlineStr"/>
      <c r="AA850" s="5" t="inlineStr"/>
      <c r="AB850" s="5" t="inlineStr"/>
      <c r="AC850" s="5" t="inlineStr"/>
      <c r="AD850" s="5" t="inlineStr"/>
      <c r="AE850" s="5" t="inlineStr"/>
      <c r="AF850" s="5" t="inlineStr"/>
      <c r="AG850" s="5" t="inlineStr"/>
      <c r="AH850" s="5" t="inlineStr"/>
      <c r="AI850" s="5" t="inlineStr"/>
      <c r="AJ850" s="5" t="inlineStr"/>
    </row>
    <row r="851">
      <c r="A851" s="5" t="inlineStr">
        <is>
          <t>mb-yapay-zeka</t>
        </is>
      </c>
      <c r="B851" s="5" t="n">
        <v>4</v>
      </c>
      <c r="C851" s="6" t="inlineStr">
        <is>
          <t>Aracı yöneten aracı sen kur</t>
        </is>
      </c>
      <c r="D851" s="5" t="inlineStr">
        <is>
          <t>Akıl</t>
        </is>
      </c>
      <c r="E851" s="5" t="inlineStr">
        <is>
          <t>Zor</t>
        </is>
      </c>
      <c r="F851" s="5" t="inlineStr"/>
      <c r="G851" s="6" t="inlineStr"/>
      <c r="H851" s="6" t="inlineStr">
        <is>
          <t>Araçları yöneten bir düzen kurdun. Artık işi yapan değil, işi yapanı yapan sensin.</t>
        </is>
      </c>
      <c r="I851" s="6" t="inlineStr">
        <is>
          <t>Kurduğun düzen bütün şirkete yayıldı. Yapay zekâ departmanının başındasın. İnsan tek sen.</t>
        </is>
      </c>
      <c r="J851" s="6" t="inlineStr">
        <is>
          <t>Kurdun; araçlar birbirine e-posta atmaya başladı. Toplantı hakkında toplantı.</t>
        </is>
      </c>
      <c r="K851" s="6" t="inlineStr">
        <is>
          <t>Araçlar birbirini onayladı ve bir bütçe kararı aldı. Senin maaşını kısmayı.</t>
        </is>
      </c>
      <c r="L851" s="6" t="inlineStr"/>
      <c r="M851" s="5" t="inlineStr"/>
      <c r="N851" s="5" t="inlineStr"/>
      <c r="O851" s="6" t="inlineStr"/>
      <c r="P851" s="6" t="inlineStr"/>
      <c r="Q851" s="5" t="inlineStr">
        <is>
          <t>Şifreyi Bilen</t>
        </is>
      </c>
      <c r="R851" s="5" t="inlineStr"/>
      <c r="S851" s="5" t="inlineStr"/>
      <c r="T851" s="5" t="inlineStr">
        <is>
          <t>Ukala Ama Haklı</t>
        </is>
      </c>
      <c r="U851" s="5" t="inlineStr"/>
      <c r="V851" s="5" t="inlineStr"/>
      <c r="W851" s="5" t="inlineStr"/>
      <c r="X851" s="5" t="inlineStr"/>
      <c r="Y851" s="5" t="inlineStr"/>
      <c r="Z851" s="6" t="inlineStr"/>
      <c r="AA851" s="5" t="inlineStr"/>
      <c r="AB851" s="5" t="inlineStr"/>
      <c r="AC851" s="5" t="inlineStr"/>
      <c r="AD851" s="5" t="inlineStr"/>
      <c r="AE851" s="5" t="inlineStr"/>
      <c r="AF851" s="5" t="inlineStr"/>
      <c r="AG851" s="5" t="inlineStr"/>
      <c r="AH851" s="5" t="inlineStr"/>
      <c r="AI851" s="5" t="inlineStr"/>
      <c r="AJ851" s="5" t="inlineStr"/>
    </row>
    <row r="852">
      <c r="A852" s="5" t="inlineStr">
        <is>
          <t>me-haber-merkezi</t>
        </is>
      </c>
      <c r="B852" s="5" t="n">
        <v>1</v>
      </c>
      <c r="C852" s="6" t="inlineStr">
        <is>
          <t>Dinle, sadece dinle</t>
        </is>
      </c>
      <c r="D852" s="5" t="inlineStr"/>
      <c r="E852" s="5" t="inlineStr"/>
      <c r="F852" s="5" t="inlineStr">
        <is>
          <t>Sosyal Radar +1, İtibar +1</t>
        </is>
      </c>
      <c r="G852" s="6" t="inlineStr">
        <is>
          <t>Dinledin, kimseye söylemedin. Mahallede yeni bir laf çıktı: “Ona anlat, gömer.” Artık kasada para kadar sır da birikiyor.</t>
        </is>
      </c>
      <c r="H852" s="6" t="inlineStr"/>
      <c r="I852" s="6" t="inlineStr"/>
      <c r="J852" s="6" t="inlineStr"/>
      <c r="K852" s="6" t="inlineStr"/>
      <c r="L852" s="6" t="inlineStr"/>
      <c r="M852" s="5" t="inlineStr"/>
      <c r="N852" s="5" t="inlineStr"/>
      <c r="O852" s="6" t="inlineStr"/>
      <c r="P852" s="6" t="inlineStr"/>
      <c r="Q852" s="5" t="inlineStr"/>
      <c r="R852" s="5" t="inlineStr"/>
      <c r="S852" s="5" t="inlineStr"/>
      <c r="T852" s="5" t="inlineStr"/>
      <c r="U852" s="5" t="inlineStr"/>
      <c r="V852" s="5" t="inlineStr"/>
      <c r="W852" s="5" t="inlineStr"/>
      <c r="X852" s="5" t="inlineStr"/>
      <c r="Y852" s="5" t="inlineStr"/>
      <c r="Z852" s="6" t="inlineStr"/>
      <c r="AA852" s="5" t="inlineStr"/>
      <c r="AB852" s="5" t="inlineStr"/>
      <c r="AC852" s="5" t="inlineStr"/>
      <c r="AD852" s="5" t="inlineStr"/>
      <c r="AE852" s="5" t="inlineStr"/>
      <c r="AF852" s="5" t="inlineStr"/>
      <c r="AG852" s="5" t="inlineStr"/>
      <c r="AH852" s="5" t="inlineStr"/>
      <c r="AI852" s="5" t="inlineStr"/>
      <c r="AJ852" s="5" t="inlineStr"/>
    </row>
    <row r="853">
      <c r="A853" s="5" t="inlineStr">
        <is>
          <t>me-haber-merkezi</t>
        </is>
      </c>
      <c r="B853" s="5" t="n">
        <v>2</v>
      </c>
      <c r="C853" s="6" t="inlineStr">
        <is>
          <t>Haberi satışa bağla</t>
        </is>
      </c>
      <c r="D853" s="5" t="inlineStr">
        <is>
          <t>Çene</t>
        </is>
      </c>
      <c r="E853" s="5" t="inlineStr">
        <is>
          <t>Orta</t>
        </is>
      </c>
      <c r="F853" s="5" t="inlineStr"/>
      <c r="G853" s="6" t="inlineStr"/>
      <c r="H853" s="6" t="inlineStr">
        <is>
          <t>“Aidat artıyor, ay sonu sıkışırız” dedin. Herkes bir paket fazla mercimek aldı; akşam bakliyat rafı boştu.</t>
        </is>
      </c>
      <c r="I853" s="6" t="inlineStr">
        <is>
          <t>Haberi verdin, malı sattın. Ertesi sabah kapının önünde kuyruk vardı; yarısı alışverişe, yarısı “Bugün ne var?” diye sormaya gelmişti.</t>
        </is>
      </c>
      <c r="J853" s="6" t="inlineStr">
        <is>
          <t>Haberi verdin, kimse bir şey almadı. Herkes haberi başkasına yetiştirmek için koştu.</t>
        </is>
      </c>
      <c r="K853" s="6" t="inlineStr">
        <is>
          <t>Haber yanlış çıktı: aidat artmamış, asansör bozulmuş. Yönetici dükkânın camına not astı: “Aidat artmamıştır.” Altına biri kalemle ekledi: “Mercimek iadesi var mı?”</t>
        </is>
      </c>
      <c r="L853" s="6" t="inlineStr"/>
      <c r="M853" s="5" t="inlineStr"/>
      <c r="N853" s="5" t="inlineStr"/>
      <c r="O853" s="6" t="inlineStr"/>
      <c r="P853" s="6" t="inlineStr"/>
      <c r="Q853" s="5" t="inlineStr"/>
      <c r="R853" s="5" t="inlineStr"/>
      <c r="S853" s="5" t="inlineStr"/>
      <c r="T853" s="5" t="inlineStr"/>
      <c r="U853" s="5" t="inlineStr"/>
      <c r="V853" s="5" t="inlineStr"/>
      <c r="W853" s="5" t="inlineStr"/>
      <c r="X853" s="5" t="inlineStr"/>
      <c r="Y853" s="5" t="inlineStr"/>
      <c r="Z853" s="6" t="inlineStr"/>
      <c r="AA853" s="5" t="inlineStr"/>
      <c r="AB853" s="5" t="inlineStr"/>
      <c r="AC853" s="5" t="inlineStr"/>
      <c r="AD853" s="5" t="inlineStr"/>
      <c r="AE853" s="5" t="inlineStr"/>
      <c r="AF853" s="5" t="inlineStr"/>
      <c r="AG853" s="5" t="inlineStr"/>
      <c r="AH853" s="5" t="inlineStr"/>
      <c r="AI853" s="5" t="inlineStr"/>
      <c r="AJ853" s="5" t="inlineStr"/>
    </row>
    <row r="854">
      <c r="A854" s="5" t="inlineStr">
        <is>
          <t>me-haber-merkezi</t>
        </is>
      </c>
      <c r="B854" s="5" t="n">
        <v>3</v>
      </c>
      <c r="C854" s="6" t="inlineStr">
        <is>
          <t>Aidat haberini önceden sızdır</t>
        </is>
      </c>
      <c r="D854" s="5" t="inlineStr">
        <is>
          <t>Kurnazlık</t>
        </is>
      </c>
      <c r="E854" s="5" t="inlineStr">
        <is>
          <t>Orta</t>
        </is>
      </c>
      <c r="F854" s="5" t="inlineStr"/>
      <c r="G854" s="6" t="inlineStr"/>
      <c r="H854" s="6" t="inlineStr">
        <is>
          <t>Apartman toplantısına herkes hesap makinesiyle geldi. Yönetici daha çayları dağıtmadan artış oylandı ve düştü.</t>
        </is>
      </c>
      <c r="I854" s="6" t="inlineStr">
        <is>
          <t>Sızıntın öyle tuttu ki artış reddedildi. Yönetici kimin sızdırdığını hâlâ arıyor; senden ekmek alarak.</t>
        </is>
      </c>
      <c r="J854" s="6" t="inlineStr">
        <is>
          <t>Yönetici haberi sabah gruba atmış. Sızıntın manşete yetişemedi.</t>
        </is>
      </c>
      <c r="K854" s="6" t="inlineStr">
        <is>
          <t>Yönetici sızıntının kaynağını üç dakikada buldu: eşi ekmeği yalnızca senden alıyordu. Ertesi gün ikisi de karşı dükkândan alıyordu; apartmanın yarısı da.</t>
        </is>
      </c>
      <c r="L854" s="6" t="inlineStr"/>
      <c r="M854" s="5" t="inlineStr"/>
      <c r="N854" s="5" t="inlineStr"/>
      <c r="O854" s="6" t="inlineStr"/>
      <c r="P854" s="6" t="inlineStr"/>
      <c r="Q854" s="5" t="inlineStr"/>
      <c r="R854" s="5" t="inlineStr"/>
      <c r="S854" s="5" t="inlineStr">
        <is>
          <t>Sosyal Radar</t>
        </is>
      </c>
      <c r="T854" s="5" t="inlineStr"/>
      <c r="U854" s="5" t="inlineStr"/>
      <c r="V854" s="5" t="inlineStr"/>
      <c r="W854" s="5" t="inlineStr"/>
      <c r="X854" s="5" t="inlineStr"/>
      <c r="Y854" s="5" t="inlineStr"/>
      <c r="Z854" s="6" t="inlineStr"/>
      <c r="AA854" s="5" t="inlineStr"/>
      <c r="AB854" s="5" t="inlineStr"/>
      <c r="AC854" s="5" t="inlineStr"/>
      <c r="AD854" s="5" t="inlineStr"/>
      <c r="AE854" s="5" t="inlineStr"/>
      <c r="AF854" s="5" t="inlineStr"/>
      <c r="AG854" s="5" t="inlineStr"/>
      <c r="AH854" s="5" t="inlineStr"/>
      <c r="AI854" s="5" t="inlineStr"/>
      <c r="AJ854" s="5" t="inlineStr"/>
    </row>
    <row r="855">
      <c r="A855" s="5" t="inlineStr">
        <is>
          <t>me-haber-merkezi</t>
        </is>
      </c>
      <c r="B855" s="5" t="n">
        <v>4</v>
      </c>
      <c r="C855" s="6" t="inlineStr">
        <is>
          <t>Haberi biraz süsle</t>
        </is>
      </c>
      <c r="D855" s="5" t="inlineStr">
        <is>
          <t>Pişkinlik</t>
        </is>
      </c>
      <c r="E855" s="5" t="inlineStr">
        <is>
          <t>Orta</t>
        </is>
      </c>
      <c r="F855" s="5" t="inlineStr"/>
      <c r="G855" s="6" t="inlineStr"/>
      <c r="H855" s="6" t="inlineStr">
        <is>
          <t>Mahalle bayıldı. Süslemenin yarısı sonradan doğru çıktı.</t>
        </is>
      </c>
      <c r="I855" s="6" t="inlineStr">
        <is>
          <t>Hikâye öyle tuttu ki kısa video uygulamasında mahalle dizisine dönüştü. Senaryo sende.</t>
        </is>
      </c>
      <c r="J855" s="6" t="inlineStr">
        <is>
          <t>Haberi o kadar süsledin ki dinleyen teyze sözünü kesti: “Dur, bunu ben sana geçen hafta anlatmıştım. Ben böyle anlatmadım ama.”</t>
        </is>
      </c>
      <c r="K855" s="6" t="inlineStr">
        <is>
          <t>Süslediğin komşu dükkâna geldi, tezgâha dayandı: “Ben kiminle kaçmışım?” İki saat özür diledin. O gün kasa hiç açılmadı.</t>
        </is>
      </c>
      <c r="L855" s="6" t="inlineStr"/>
      <c r="M855" s="5" t="inlineStr"/>
      <c r="N855" s="5" t="inlineStr"/>
      <c r="O855" s="6" t="inlineStr"/>
      <c r="P855" s="6" t="inlineStr"/>
      <c r="Q855" s="5" t="inlineStr"/>
      <c r="R855" s="5" t="inlineStr">
        <is>
          <t>yalanci</t>
        </is>
      </c>
      <c r="S855" s="5" t="inlineStr"/>
      <c r="T855" s="5" t="inlineStr"/>
      <c r="U855" s="5" t="inlineStr"/>
      <c r="V855" s="5" t="inlineStr"/>
      <c r="W855" s="5" t="inlineStr"/>
      <c r="X855" s="5" t="inlineStr"/>
      <c r="Y855" s="5" t="inlineStr"/>
      <c r="Z855" s="6" t="inlineStr"/>
      <c r="AA855" s="5" t="inlineStr"/>
      <c r="AB855" s="5" t="inlineStr"/>
      <c r="AC855" s="5" t="inlineStr"/>
      <c r="AD855" s="5" t="inlineStr"/>
      <c r="AE855" s="5" t="inlineStr"/>
      <c r="AF855" s="5" t="inlineStr"/>
      <c r="AG855" s="5" t="inlineStr"/>
      <c r="AH855" s="5" t="inlineStr"/>
      <c r="AI855" s="5" t="inlineStr"/>
      <c r="AJ855" s="5" t="inlineStr"/>
    </row>
    <row r="856">
      <c r="A856" s="5" t="inlineStr">
        <is>
          <t>mm-performans-formu</t>
        </is>
      </c>
      <c r="B856" s="5" t="n">
        <v>1</v>
      </c>
      <c r="C856" s="6" t="inlineStr">
        <is>
          <t>Hepsine 'Beklentileri karşılıyor' de</t>
        </is>
      </c>
      <c r="D856" s="5" t="inlineStr"/>
      <c r="E856" s="5" t="inlineStr"/>
      <c r="F856" s="5" t="inlineStr">
        <is>
          <t>Dayanıklılık +1</t>
        </is>
      </c>
      <c r="G856" s="6" t="inlineStr">
        <is>
          <t>Kırk iki kez “Beklentileri karşılıyor” işaretledin. Müdür okumadan imzaladı. Bir hafta sonra formunu çay ocağında buldun; çaycı bardak altlığı yapmıştı: “En düzgün kâğıt seninkiydi.”</t>
        </is>
      </c>
      <c r="H856" s="6" t="inlineStr"/>
      <c r="I856" s="6" t="inlineStr"/>
      <c r="J856" s="6" t="inlineStr"/>
      <c r="K856" s="6" t="inlineStr"/>
      <c r="L856" s="6" t="inlineStr"/>
      <c r="M856" s="5" t="inlineStr"/>
      <c r="N856" s="5" t="inlineStr"/>
      <c r="O856" s="6" t="inlineStr"/>
      <c r="P856" s="6" t="inlineStr"/>
      <c r="Q856" s="5" t="inlineStr"/>
      <c r="R856" s="5" t="inlineStr"/>
      <c r="S856" s="5" t="inlineStr"/>
      <c r="T856" s="5" t="inlineStr"/>
      <c r="U856" s="5" t="inlineStr"/>
      <c r="V856" s="5" t="inlineStr"/>
      <c r="W856" s="5" t="inlineStr"/>
      <c r="X856" s="5" t="inlineStr"/>
      <c r="Y856" s="5" t="inlineStr"/>
      <c r="Z856" s="6" t="inlineStr"/>
      <c r="AA856" s="5" t="inlineStr"/>
      <c r="AB856" s="5" t="inlineStr"/>
      <c r="AC856" s="5" t="inlineStr"/>
      <c r="AD856" s="5" t="inlineStr"/>
      <c r="AE856" s="5" t="inlineStr"/>
      <c r="AF856" s="5" t="inlineStr"/>
      <c r="AG856" s="5" t="inlineStr"/>
      <c r="AH856" s="5" t="inlineStr"/>
      <c r="AI856" s="5" t="inlineStr"/>
      <c r="AJ856" s="5" t="inlineStr"/>
    </row>
    <row r="857">
      <c r="A857" s="5" t="inlineStr">
        <is>
          <t>mm-performans-formu</t>
        </is>
      </c>
      <c r="B857" s="5" t="n">
        <v>2</v>
      </c>
      <c r="C857" s="6" t="inlineStr">
        <is>
          <t>Değerlendirme görüşmesine gir</t>
        </is>
      </c>
      <c r="D857" s="5" t="inlineStr">
        <is>
          <t>Çene</t>
        </is>
      </c>
      <c r="E857" s="5" t="inlineStr">
        <is>
          <t>Orta</t>
        </is>
      </c>
      <c r="F857" s="5" t="inlineStr"/>
      <c r="G857" s="6" t="inlineStr"/>
      <c r="H857" s="6" t="inlineStr">
        <is>
          <t>'Çok iyi' notuyla çıktın. Müdür 'geliştirilebilir' dediğin maddenin yanına 'dürüst' yazdı.</t>
        </is>
      </c>
      <c r="I857" s="6" t="inlineStr">
        <is>
          <t>Görüşmenin sonunda müdür kendi formunu çıkardı: “Bunu nasıl dolduruyorsun?” Yarım saat anlattın; formunda adın yok ama el yazın var.</t>
        </is>
      </c>
      <c r="J857" s="6" t="inlineStr">
        <is>
          <t>Fazla yüklendin. Müdür “O zaman maddeleri tek tek konuşalım” dedi; kırk iki madde konuşuldu. Not: “Orta.”</t>
        </is>
      </c>
      <c r="K857" s="6" t="inlineStr">
        <is>
          <t>“Beş yıl sonra kendimi sizin koltuğunuzda görüyorum” dedin. Müdür koltuğunu masaya biraz yaklaştırdı, kırmızı kalemin kapağını açtı. Kırk iki maddenin hepsine: “Geliştirilebilir.”</t>
        </is>
      </c>
      <c r="L857" s="6" t="inlineStr">
        <is>
          <t>“İyi”de anlaştınız. Müdür kırmızı kalemi kapattı, sen de çeneni.</t>
        </is>
      </c>
      <c r="M857" s="5" t="inlineStr">
        <is>
          <t>duel</t>
        </is>
      </c>
      <c r="N857" s="5" t="inlineStr">
        <is>
          <t>Not Görüşmesi</t>
        </is>
      </c>
      <c r="O857" s="6" t="inlineStr">
        <is>
          <t>Karşındakinin sabrı bitmeden en iyi cevabı seç.</t>
        </is>
      </c>
      <c r="P857" s="6" t="inlineStr">
        <is>
          <t>{"who": "Müdür", "rounds": [{"q": "Beklentileri karşılıyorsunuz, bu yeterli değil mi?", "o": [{"t": "Karşılamak taban; ben tavanı konuşmak istiyorum.", "s": 1}, {"t": "Yeterli, teşekkürler.", "s": 0.2}, {"t": "Karşılamıyor desem?", "s": 0.35}]}, {"q": "Kanıtınız?", "o": [{"t": "Üç tamamlanan dosya, sıfır iade.", "s": 1}, {"t": "Herkes biliyor zaten.", "s": 0.3}, {"t": "Kanıt masada, kırmızı kalemle.", "s": 0.5}]}, {"q": "Tamam, bir üst not için ne istiyorsunuz?", "o": [{"t": "Notu, yazılı gerekçesiyle.", "s": 1}, {"t": "Ne verirseniz.", "s": 0.25}, {"t": "Maaş zammı da olsun.", "s": 0.55}]}]}</t>
        </is>
      </c>
      <c r="Q857" s="5" t="inlineStr"/>
      <c r="R857" s="5" t="inlineStr"/>
      <c r="S857" s="5" t="inlineStr"/>
      <c r="T857" s="5" t="inlineStr"/>
      <c r="U857" s="5" t="inlineStr"/>
      <c r="V857" s="5" t="inlineStr"/>
      <c r="W857" s="5" t="inlineStr"/>
      <c r="X857" s="5" t="inlineStr"/>
      <c r="Y857" s="5" t="inlineStr"/>
      <c r="Z857" s="6" t="inlineStr"/>
      <c r="AA857" s="5" t="inlineStr"/>
      <c r="AB857" s="5" t="inlineStr"/>
      <c r="AC857" s="5" t="inlineStr"/>
      <c r="AD857" s="5" t="inlineStr"/>
      <c r="AE857" s="5" t="inlineStr"/>
      <c r="AF857" s="5" t="inlineStr"/>
      <c r="AG857" s="5" t="inlineStr"/>
      <c r="AH857" s="5" t="inlineStr"/>
      <c r="AI857" s="5" t="inlineStr"/>
      <c r="AJ857" s="5" t="inlineStr"/>
    </row>
    <row r="858">
      <c r="A858" s="5" t="inlineStr">
        <is>
          <t>mm-performans-formu</t>
        </is>
      </c>
      <c r="B858" s="5" t="n">
        <v>3</v>
      </c>
      <c r="C858" s="6" t="inlineStr">
        <is>
          <t>Öz değerlendirmeyi cesurca doldur</t>
        </is>
      </c>
      <c r="D858" s="5" t="inlineStr">
        <is>
          <t>Pişkinlik</t>
        </is>
      </c>
      <c r="E858" s="5" t="inlineStr">
        <is>
          <t>Orta</t>
        </is>
      </c>
      <c r="F858" s="5" t="inlineStr"/>
      <c r="G858" s="6" t="inlineStr"/>
      <c r="H858" s="6" t="inlineStr">
        <is>
          <t>Kendine 'Kurumun görünmeyen omurgası' yazdın. Müdür itiraz edecek bir kanıt bulamadı.</t>
        </is>
      </c>
      <c r="I858" s="6" t="inlineStr">
        <is>
          <t>Öz değerlendirmen o kadar ikna ediciydi ki müdür kendi formundaki bazı cümleleri senden aldı.</t>
        </is>
      </c>
      <c r="J858" s="6" t="inlineStr">
        <is>
          <t>Müdür formun kenarına tek kelime yazdı: 'Kaynak?'</t>
        </is>
      </c>
      <c r="K858" s="6" t="inlineStr">
        <is>
          <t>Öz değerlendirmeyi yanlışlıkla bütün birime gönderdin. Ertesi sabah masanda bir not vardı: “Günaydın Omurga.” Çaycı bile artık öyle sesleniyor.</t>
        </is>
      </c>
      <c r="L858" s="6" t="inlineStr"/>
      <c r="M858" s="5" t="inlineStr"/>
      <c r="N858" s="5" t="inlineStr"/>
      <c r="O858" s="6" t="inlineStr"/>
      <c r="P858" s="6" t="inlineStr"/>
      <c r="Q858" s="5" t="inlineStr">
        <is>
          <t>Yüzü Kızarmaz</t>
        </is>
      </c>
      <c r="R858" s="5" t="inlineStr"/>
      <c r="S858" s="5" t="inlineStr"/>
      <c r="T858" s="5" t="inlineStr"/>
      <c r="U858" s="5" t="inlineStr"/>
      <c r="V858" s="5" t="inlineStr"/>
      <c r="W858" s="5" t="inlineStr"/>
      <c r="X858" s="5" t="inlineStr"/>
      <c r="Y858" s="5" t="inlineStr"/>
      <c r="Z858" s="6" t="inlineStr"/>
      <c r="AA858" s="5" t="inlineStr"/>
      <c r="AB858" s="5" t="inlineStr"/>
      <c r="AC858" s="5" t="inlineStr"/>
      <c r="AD858" s="5" t="inlineStr"/>
      <c r="AE858" s="5" t="inlineStr"/>
      <c r="AF858" s="5" t="inlineStr"/>
      <c r="AG858" s="5" t="inlineStr"/>
      <c r="AH858" s="5" t="inlineStr"/>
      <c r="AI858" s="5" t="inlineStr"/>
      <c r="AJ858" s="5" t="inlineStr"/>
    </row>
    <row r="859">
      <c r="A859" s="5" t="inlineStr">
        <is>
          <t>b8-gozluk</t>
        </is>
      </c>
      <c r="B859" s="5" t="n">
        <v>1</v>
      </c>
      <c r="C859" s="6" t="inlineStr">
        <is>
          <t>Göz doktoruna git</t>
        </is>
      </c>
      <c r="D859" s="5" t="inlineStr"/>
      <c r="E859" s="5" t="inlineStr"/>
      <c r="F859" s="5" t="inlineStr">
        <is>
          <t>Akıl +1, Dayanıklılık +1</t>
        </is>
      </c>
      <c r="G859" s="6" t="inlineStr">
        <is>
          <t>Okuma gözlüğü reçete edildi. İlk gün gözlükle aynaya baktın; yüzündeki her şeyi net gördün. Gözlüğü çıkardın.</t>
        </is>
      </c>
      <c r="H859" s="6" t="inlineStr"/>
      <c r="I859" s="6" t="inlineStr"/>
      <c r="J859" s="6" t="inlineStr"/>
      <c r="K859" s="6" t="inlineStr"/>
      <c r="L859" s="6" t="inlineStr"/>
      <c r="M859" s="5" t="inlineStr"/>
      <c r="N859" s="5" t="inlineStr"/>
      <c r="O859" s="6" t="inlineStr"/>
      <c r="P859" s="6" t="inlineStr"/>
      <c r="Q859" s="5" t="inlineStr"/>
      <c r="R859" s="5" t="inlineStr"/>
      <c r="S859" s="5" t="inlineStr"/>
      <c r="T859" s="5" t="inlineStr"/>
      <c r="U859" s="5" t="inlineStr">
        <is>
          <t>gozluklu</t>
        </is>
      </c>
      <c r="V859" s="5" t="inlineStr"/>
      <c r="W859" s="5" t="inlineStr"/>
      <c r="X859" s="5" t="inlineStr"/>
      <c r="Y859" s="5" t="inlineStr"/>
      <c r="Z859" s="6" t="inlineStr"/>
      <c r="AA859" s="5" t="inlineStr"/>
      <c r="AB859" s="5" t="inlineStr"/>
      <c r="AC859" s="5" t="inlineStr"/>
      <c r="AD859" s="5" t="inlineStr"/>
      <c r="AE859" s="5" t="inlineStr"/>
      <c r="AF859" s="5" t="inlineStr"/>
      <c r="AG859" s="5" t="inlineStr"/>
      <c r="AH859" s="5" t="inlineStr"/>
      <c r="AI859" s="5" t="inlineStr"/>
      <c r="AJ859" s="5" t="inlineStr"/>
    </row>
    <row r="860">
      <c r="A860" s="5" t="inlineStr">
        <is>
          <t>b8-gozluk</t>
        </is>
      </c>
      <c r="B860" s="5" t="n">
        <v>2</v>
      </c>
      <c r="C860" s="6" t="inlineStr">
        <is>
          <t>Fotoğraf çek, büyüt</t>
        </is>
      </c>
      <c r="D860" s="5" t="inlineStr">
        <is>
          <t>Kurnazlık</t>
        </is>
      </c>
      <c r="E860" s="5" t="inlineStr">
        <is>
          <t>Kolay</t>
        </is>
      </c>
      <c r="F860" s="5" t="inlineStr"/>
      <c r="G860" s="6" t="inlineStr"/>
      <c r="H860" s="6" t="inlineStr">
        <is>
          <t>Fotoğrafı çektin, iki parmakla büyüttün, okudun: “Şekersiz.” Arkandaki teyze “Ben söylemiştim” dedi.</t>
        </is>
      </c>
      <c r="I860" s="6" t="inlineStr">
        <is>
          <t>Fotoğrafı öyle hızlı büyüttün ki raf önündeki teyzeler de telefonlarını sana uzattı: “Bizimkini de okur musun evladım?” Kasiyer artık sana “Gözlükçü” diyor.</t>
        </is>
      </c>
      <c r="J860" s="6" t="inlineStr">
        <is>
          <t>Flaş patladı. Etiket parlak beyaz bir leke olarak kaydedildi.</t>
        </is>
      </c>
      <c r="K860" s="6" t="inlineStr">
        <is>
          <t>Büyütürken fotoğrafı yanlışlıkla aile grubuna gönderdin. Halan “Bu ne?” diye sordu, dayın “Krem” dedi, teyzen “Peynir”. Tartışma üçüncü gününde; sen hâlâ okuyamadın.</t>
        </is>
      </c>
      <c r="L860" s="6" t="inlineStr"/>
      <c r="M860" s="5" t="inlineStr"/>
      <c r="N860" s="5" t="inlineStr"/>
      <c r="O860" s="6" t="inlineStr"/>
      <c r="P860" s="6" t="inlineStr"/>
      <c r="Q860" s="5" t="inlineStr"/>
      <c r="R860" s="5" t="inlineStr"/>
      <c r="S860" s="5" t="inlineStr"/>
      <c r="T860" s="5" t="inlineStr"/>
      <c r="U860" s="5" t="inlineStr"/>
      <c r="V860" s="5" t="inlineStr"/>
      <c r="W860" s="5" t="inlineStr"/>
      <c r="X860" s="5" t="inlineStr"/>
      <c r="Y860" s="5" t="inlineStr"/>
      <c r="Z860" s="6" t="inlineStr"/>
      <c r="AA860" s="5" t="inlineStr"/>
      <c r="AB860" s="5" t="inlineStr"/>
      <c r="AC860" s="5" t="inlineStr"/>
      <c r="AD860" s="5" t="inlineStr"/>
      <c r="AE860" s="5" t="inlineStr"/>
      <c r="AF860" s="5" t="inlineStr"/>
      <c r="AG860" s="5" t="inlineStr"/>
      <c r="AH860" s="5" t="inlineStr"/>
      <c r="AI860" s="5" t="inlineStr"/>
      <c r="AJ860" s="5" t="inlineStr"/>
    </row>
    <row r="861">
      <c r="A861" s="5" t="inlineStr">
        <is>
          <t>b8-gozluk</t>
        </is>
      </c>
      <c r="B861" s="5" t="n">
        <v>3</v>
      </c>
      <c r="C861" s="6" t="inlineStr">
        <is>
          <t>Gözlüğü imaj yap</t>
        </is>
      </c>
      <c r="D861" s="5" t="inlineStr">
        <is>
          <t>Pişkinlik</t>
        </is>
      </c>
      <c r="E861" s="5" t="inlineStr">
        <is>
          <t>Zor</t>
        </is>
      </c>
      <c r="F861" s="5" t="inlineStr"/>
      <c r="G861" s="6" t="inlineStr"/>
      <c r="H861" s="6" t="inlineStr">
        <is>
          <t>Gözlüğü burnunun ucuna indirip üstünden baktın. Pazarcı fiyatı kendiliğinden beş lira indirdi.</t>
        </is>
      </c>
      <c r="I861" s="6" t="inlineStr">
        <is>
          <t>Gözlüğün üstünden bakışın o kadar etkili ki kasadaki genç para üstünü iki kez saydı, sonra özür diledi. Sebebini hâlâ bilmiyor.</t>
        </is>
      </c>
      <c r="J861" s="6" t="inlineStr">
        <is>
          <t>Gözlüğü burnunun ucuna indirdin; kaydı, çorbaya düştü.</t>
        </is>
      </c>
      <c r="K861" s="6" t="inlineStr">
        <is>
          <t>Gözlüğü başının üstüne taktın, sonra yarım saat evi altüst ettin: yastık altı, buzdolabı, çamaşır sepeti. Alt kattaki komşu gürültüye çıktı, yüzüne baktı: “Kafanda, kafanda!” Ertesi gün bakkal da seni aynı cümleyle karşıladı.</t>
        </is>
      </c>
      <c r="L861" s="6" t="inlineStr"/>
      <c r="M861" s="5" t="inlineStr"/>
      <c r="N861" s="5" t="inlineStr"/>
      <c r="O861" s="6" t="inlineStr"/>
      <c r="P861" s="6" t="inlineStr"/>
      <c r="Q861" s="5" t="inlineStr"/>
      <c r="R861" s="5" t="inlineStr"/>
      <c r="S861" s="5" t="inlineStr">
        <is>
          <t>Pişkinlik</t>
        </is>
      </c>
      <c r="T861" s="5" t="inlineStr">
        <is>
          <t>Okuma Gözlüğü Otoritesi</t>
        </is>
      </c>
      <c r="U861" s="5" t="inlineStr"/>
      <c r="V861" s="5" t="inlineStr">
        <is>
          <t>gozluklu</t>
        </is>
      </c>
      <c r="W861" s="5" t="inlineStr"/>
      <c r="X861" s="5" t="inlineStr"/>
      <c r="Y861" s="5" t="inlineStr"/>
      <c r="Z861" s="6" t="inlineStr"/>
      <c r="AA861" s="5" t="inlineStr"/>
      <c r="AB861" s="5" t="inlineStr"/>
      <c r="AC861" s="5" t="inlineStr"/>
      <c r="AD861" s="5" t="inlineStr"/>
      <c r="AE861" s="5" t="inlineStr"/>
      <c r="AF861" s="5" t="inlineStr"/>
      <c r="AG861" s="5" t="inlineStr"/>
      <c r="AH861" s="5" t="inlineStr"/>
      <c r="AI861" s="5" t="inlineStr">
        <is>
          <t>Kafanda Kafanda</t>
        </is>
      </c>
      <c r="AJ861" s="5" t="inlineStr"/>
    </row>
    <row r="862">
      <c r="A862" s="5" t="inlineStr">
        <is>
          <t>b8-gozluk</t>
        </is>
      </c>
      <c r="B862" s="5" t="n">
        <v>4</v>
      </c>
      <c r="C862" s="6" t="inlineStr">
        <is>
          <t>Görmezden gel, tahminle oku</t>
        </is>
      </c>
      <c r="D862" s="5" t="inlineStr">
        <is>
          <t>Dayanıklılık</t>
        </is>
      </c>
      <c r="E862" s="5" t="inlineStr">
        <is>
          <t>Zor</t>
        </is>
      </c>
      <c r="F862" s="5" t="inlineStr"/>
      <c r="G862" s="6" t="inlineStr"/>
      <c r="H862" s="6" t="inlineStr">
        <is>
          <t>Etiketi tahminle okudun. Doğru ürünü aldın, iki kez üst üste.</t>
        </is>
      </c>
      <c r="I862" s="6" t="inlineStr">
        <is>
          <t>Görmeden okudun; üstelik son kullanma tarihini de yakaladın. Gözler direnişte.</t>
        </is>
      </c>
      <c r="J862" s="6" t="inlineStr">
        <is>
          <t>Tahminle aldın; eve şekersiz yerine duble şekerli geldi.</t>
        </is>
      </c>
      <c r="K862" s="6" t="inlineStr">
        <is>
          <t>Tahminle aldın. Eve kedi maması geldi. Kedin yok.</t>
        </is>
      </c>
      <c r="L862" s="6" t="inlineStr"/>
      <c r="M862" s="5" t="inlineStr"/>
      <c r="N862" s="5" t="inlineStr"/>
      <c r="O862" s="6" t="inlineStr"/>
      <c r="P862" s="6" t="inlineStr"/>
      <c r="Q862" s="5" t="inlineStr"/>
      <c r="R862" s="5" t="inlineStr"/>
      <c r="S862" s="5" t="inlineStr"/>
      <c r="T862" s="5" t="inlineStr"/>
      <c r="U862" s="5" t="inlineStr"/>
      <c r="V862" s="5" t="inlineStr"/>
      <c r="W862" s="5" t="inlineStr"/>
      <c r="X862" s="5" t="inlineStr"/>
      <c r="Y862" s="5" t="inlineStr"/>
      <c r="Z862" s="6" t="inlineStr"/>
      <c r="AA862" s="5" t="inlineStr"/>
      <c r="AB862" s="5" t="inlineStr"/>
      <c r="AC862" s="5" t="inlineStr"/>
      <c r="AD862" s="5" t="inlineStr"/>
      <c r="AE862" s="5" t="inlineStr"/>
      <c r="AF862" s="5" t="inlineStr"/>
      <c r="AG862" s="5" t="inlineStr"/>
      <c r="AH862" s="5" t="inlineStr"/>
      <c r="AI862" s="5" t="inlineStr"/>
      <c r="AJ862" s="5" t="inlineStr"/>
    </row>
    <row r="863">
      <c r="A863" s="5" t="inlineStr">
        <is>
          <t>b8-bayram-sofrasi</t>
        </is>
      </c>
      <c r="B863" s="5" t="n">
        <v>1</v>
      </c>
      <c r="C863" s="6" t="inlineStr">
        <is>
          <t>Sarmaya odaklan</t>
        </is>
      </c>
      <c r="D863" s="5" t="inlineStr"/>
      <c r="E863" s="5" t="inlineStr"/>
      <c r="F863" s="5" t="inlineStr">
        <is>
          <t>Dayanıklılık +1</t>
        </is>
      </c>
      <c r="G863" s="6" t="inlineStr">
        <is>
          <t>Tartışma boyunca yedi sarma yedin. Miras paylaşılmadı; sarmalar paylaşıldı.</t>
        </is>
      </c>
      <c r="H863" s="6" t="inlineStr"/>
      <c r="I863" s="6" t="inlineStr"/>
      <c r="J863" s="6" t="inlineStr"/>
      <c r="K863" s="6" t="inlineStr"/>
      <c r="L863" s="6" t="inlineStr"/>
      <c r="M863" s="5" t="inlineStr"/>
      <c r="N863" s="5" t="inlineStr"/>
      <c r="O863" s="6" t="inlineStr"/>
      <c r="P863" s="6" t="inlineStr"/>
      <c r="Q863" s="5" t="inlineStr"/>
      <c r="R863" s="5" t="inlineStr"/>
      <c r="S863" s="5" t="inlineStr"/>
      <c r="T863" s="5" t="inlineStr"/>
      <c r="U863" s="5" t="inlineStr"/>
      <c r="V863" s="5" t="inlineStr"/>
      <c r="W863" s="5" t="inlineStr"/>
      <c r="X863" s="5" t="inlineStr"/>
      <c r="Y863" s="5" t="inlineStr"/>
      <c r="Z863" s="6" t="inlineStr"/>
      <c r="AA863" s="5" t="inlineStr"/>
      <c r="AB863" s="5" t="inlineStr"/>
      <c r="AC863" s="5" t="inlineStr"/>
      <c r="AD863" s="5" t="inlineStr"/>
      <c r="AE863" s="5" t="inlineStr"/>
      <c r="AF863" s="5" t="inlineStr"/>
      <c r="AG863" s="5" t="inlineStr"/>
      <c r="AH863" s="5" t="inlineStr"/>
      <c r="AI863" s="5" t="inlineStr"/>
      <c r="AJ863" s="5" t="inlineStr"/>
    </row>
    <row r="864">
      <c r="A864" s="5" t="inlineStr">
        <is>
          <t>b8-bayram-sofrasi</t>
        </is>
      </c>
      <c r="B864" s="5" t="n">
        <v>2</v>
      </c>
      <c r="C864" s="6" t="inlineStr">
        <is>
          <t>Miras sorusuna soğukkanlı kal</t>
        </is>
      </c>
      <c r="D864" s="5" t="inlineStr">
        <is>
          <t>Dayanıklılık</t>
        </is>
      </c>
      <c r="E864" s="5" t="inlineStr">
        <is>
          <t>Orta</t>
        </is>
      </c>
      <c r="F864" s="5" t="inlineStr"/>
      <c r="G864" s="6" t="inlineStr"/>
      <c r="H864" s="6" t="inlineStr">
        <is>
          <t>Hiçbir soruya net cevap vermedin: “Bakarız” dedin, “Bir konuşalım” dedin, “Annem bilir” dedin. Konu gelecek bayrama ertelendi; yirmi yıldır olduğu gibi.</t>
        </is>
      </c>
      <c r="I864" s="6" t="inlineStr">
        <is>
          <t>Öyle soğukkanlıydın ki amca payından vazgeçip sana çay koydu.</t>
        </is>
      </c>
      <c r="J864" s="6" t="inlineStr">
        <is>
          <t>'Tapu kimde' sorusunda yutkundun. Artık herkes bir şey bildiğini düşünüyor.</t>
        </is>
      </c>
      <c r="K864" s="6" t="inlineStr">
        <is>
          <t>Kaşın bir kez oynadı; halan gördü. Tatlı gelmeden sofra ikiye bölündü: bir yanda amcalar, bir yanda halalar, ortada baklava. Gelecek bayram iki ayrı evde kutlanacak; ikisine de davetlisin, hiçbirine gidemezsin.</t>
        </is>
      </c>
      <c r="L864" s="6" t="inlineStr">
        <is>
          <t>Bir kez göz kırptın. Tarla bölündü; sulama hakkı tartışmaya açık.</t>
        </is>
      </c>
      <c r="M864" s="5" t="inlineStr">
        <is>
          <t>duel</t>
        </is>
      </c>
      <c r="N864" s="5" t="inlineStr">
        <is>
          <t>Miras Sorusu</t>
        </is>
      </c>
      <c r="O864" s="6" t="inlineStr">
        <is>
          <t>Karşındakinin sabrı bitmeden en iyi cevabı seç.</t>
        </is>
      </c>
      <c r="P864" s="6" t="inlineStr">
        <is>
          <t>{"who": "Amca", "rounds": [{"q": "Tarlaya kim bakacak?", "o": [{"t": "Konuşalım, ama yemekten sonra.", "s": 1}, {"t": "Bakarım, merak etme.", "s": 0.3}, {"t": "Sen bakıyorsun zaten.", "s": 0.45}]}, {"q": "Sen zaten şehirdesin, değil mi?", "o": [{"t": "Şehirdeyim, ama bayramlar hep burada.", "s": 1}, {"t": "Evet, ve dönmeyeceğim.", "s": 0.2}, {"t": "Sen de orada değildin.", "s": 0.4}]}, {"q": "Tapu kimde?", "o": [{"t": "Sofradan sonra hepimiz bakarız.", "s": 1}, {"t": "Bende.", "s": 0.2}, {"t": "Babamda, ben hiç görmedim.", "s": 0.5}]}]}</t>
        </is>
      </c>
      <c r="Q864" s="5" t="inlineStr"/>
      <c r="R864" s="5" t="inlineStr"/>
      <c r="S864" s="5" t="inlineStr"/>
      <c r="T864" s="5" t="inlineStr"/>
      <c r="U864" s="5" t="inlineStr"/>
      <c r="V864" s="5" t="inlineStr"/>
      <c r="W864" s="5" t="inlineStr"/>
      <c r="X864" s="5" t="inlineStr"/>
      <c r="Y864" s="5" t="inlineStr"/>
      <c r="Z864" s="6" t="inlineStr"/>
      <c r="AA864" s="5" t="inlineStr"/>
      <c r="AB864" s="5" t="inlineStr"/>
      <c r="AC864" s="5" t="inlineStr"/>
      <c r="AD864" s="5" t="inlineStr"/>
      <c r="AE864" s="5" t="inlineStr"/>
      <c r="AF864" s="5" t="inlineStr"/>
      <c r="AG864" s="5" t="inlineStr"/>
      <c r="AH864" s="5" t="inlineStr"/>
      <c r="AI864" s="5" t="inlineStr"/>
      <c r="AJ864" s="5" t="inlineStr"/>
    </row>
    <row r="865">
      <c r="A865" s="5" t="inlineStr">
        <is>
          <t>b8-bayram-sofrasi</t>
        </is>
      </c>
      <c r="B865" s="5" t="n">
        <v>3</v>
      </c>
      <c r="C865" s="6" t="inlineStr">
        <is>
          <t>Kuzenin arabasını sor</t>
        </is>
      </c>
      <c r="D865" s="5" t="inlineStr">
        <is>
          <t>Çene</t>
        </is>
      </c>
      <c r="E865" s="5" t="inlineStr">
        <is>
          <t>Orta</t>
        </is>
      </c>
      <c r="F865" s="5" t="inlineStr"/>
      <c r="G865" s="6" t="inlineStr"/>
      <c r="H865" s="6" t="inlineStr">
        <is>
          <t>'Yakıtı nasıl?' diye sordun. Kuzen yirmi dakika savunma yaptı; miras unutuldu.</t>
        </is>
      </c>
      <c r="I865" s="6" t="inlineStr">
        <is>
          <t>Arabanın ikinci el değerini masada hesapladın. Amca bile hesap makinesi istedi; tarla kimsenin aklında değil.</t>
        </is>
      </c>
      <c r="J865" s="6" t="inlineStr">
        <is>
          <t>Kuzen senin arabanın yaşını sordu. Cevap sofrada asılı kaldı.</t>
        </is>
      </c>
      <c r="K865" s="6" t="inlineStr">
        <is>
          <t>Kuzen anahtarını masaya koydu. Sen de seninkini koydun; anahtarlık bantla tutturulmuştu. Amca tarlayı bırakıp sana döndü: “Sana da bir pay ayıralım mı?”</t>
        </is>
      </c>
      <c r="L865" s="6" t="inlineStr"/>
      <c r="M865" s="5" t="inlineStr"/>
      <c r="N865" s="5" t="inlineStr"/>
      <c r="O865" s="6" t="inlineStr"/>
      <c r="P865" s="6" t="inlineStr"/>
      <c r="Q865" s="5" t="inlineStr"/>
      <c r="R865" s="5" t="inlineStr"/>
      <c r="S865" s="5" t="inlineStr"/>
      <c r="T865" s="5" t="inlineStr"/>
      <c r="U865" s="5" t="inlineStr"/>
      <c r="V865" s="5" t="inlineStr"/>
      <c r="W865" s="5" t="inlineStr"/>
      <c r="X865" s="5" t="inlineStr"/>
      <c r="Y865" s="5" t="inlineStr"/>
      <c r="Z865" s="6" t="inlineStr"/>
      <c r="AA865" s="5" t="inlineStr"/>
      <c r="AB865" s="5" t="inlineStr"/>
      <c r="AC865" s="5" t="inlineStr"/>
      <c r="AD865" s="5" t="inlineStr"/>
      <c r="AE865" s="5" t="inlineStr"/>
      <c r="AF865" s="5" t="inlineStr"/>
      <c r="AG865" s="5" t="inlineStr"/>
      <c r="AH865" s="5" t="inlineStr"/>
      <c r="AI865" s="5" t="inlineStr"/>
      <c r="AJ865" s="5" t="inlineStr"/>
    </row>
    <row r="866">
      <c r="A866" s="5" t="inlineStr">
        <is>
          <t>b8-bayram-sofrasi</t>
        </is>
      </c>
      <c r="B866" s="5" t="n">
        <v>4</v>
      </c>
      <c r="C866" s="6" t="inlineStr">
        <is>
          <t>Konuyu çocukların okuluna çevir</t>
        </is>
      </c>
      <c r="D866" s="5" t="inlineStr">
        <is>
          <t>Sosyal Radar</t>
        </is>
      </c>
      <c r="E866" s="5" t="inlineStr">
        <is>
          <t>Kolay</t>
        </is>
      </c>
      <c r="F866" s="5" t="inlineStr"/>
      <c r="G866" s="6" t="inlineStr"/>
      <c r="H866" s="6" t="inlineStr">
        <is>
          <t>Sofra bir anda “Kimin çocuğu nereyi kazandı” yarışmasına döndü. Amca torununu anlatırken gözleri doldu; tarla unutuldu.</t>
        </is>
      </c>
      <c r="I866" s="6" t="inlineStr">
        <is>
          <t>Konuyu öyle çevirdin ki halan torununun karnesini çantasından çıkardı. Amca gözlüğünü taktı, karneyi satır satır okudu. Tarla sarmayla birlikte soğudu.</t>
        </is>
      </c>
      <c r="J866" s="6" t="inlineStr">
        <is>
          <t>Konu değişti, ama kuzenin karneyi okumaya başlayınca amca sözünü kesti: “Karne bekler, tarla beklemez.”</t>
        </is>
      </c>
      <c r="K866" s="6" t="inlineStr">
        <is>
          <t>Konuyu çevirdin; iki kuzen çocuklarının notlarını karşılaştırmaya başladı. Matematikte yarım puan fark çıktı. Tarla için sesini yükseltmeyen amca, karne için masaya vurdu.</t>
        </is>
      </c>
      <c r="L866" s="6" t="inlineStr"/>
      <c r="M866" s="5" t="inlineStr"/>
      <c r="N866" s="5" t="inlineStr"/>
      <c r="O866" s="6" t="inlineStr"/>
      <c r="P866" s="6" t="inlineStr"/>
      <c r="Q866" s="5" t="inlineStr">
        <is>
          <t>Odayı Okur</t>
        </is>
      </c>
      <c r="R866" s="5" t="inlineStr"/>
      <c r="S866" s="5" t="inlineStr"/>
      <c r="T866" s="5" t="inlineStr"/>
      <c r="U866" s="5" t="inlineStr"/>
      <c r="V866" s="5" t="inlineStr"/>
      <c r="W866" s="5" t="inlineStr"/>
      <c r="X866" s="5" t="inlineStr"/>
      <c r="Y866" s="5" t="inlineStr"/>
      <c r="Z866" s="6" t="inlineStr"/>
      <c r="AA866" s="5" t="inlineStr"/>
      <c r="AB866" s="5" t="inlineStr"/>
      <c r="AC866" s="5" t="inlineStr"/>
      <c r="AD866" s="5" t="inlineStr"/>
      <c r="AE866" s="5" t="inlineStr"/>
      <c r="AF866" s="5" t="inlineStr"/>
      <c r="AG866" s="5" t="inlineStr"/>
      <c r="AH866" s="5" t="inlineStr"/>
      <c r="AI866" s="5" t="inlineStr"/>
      <c r="AJ866" s="5" t="inlineStr"/>
    </row>
    <row r="867">
      <c r="A867" s="5" t="inlineStr">
        <is>
          <t>b8-hastane-otoparki</t>
        </is>
      </c>
      <c r="B867" s="5" t="n">
        <v>1</v>
      </c>
      <c r="C867" s="6" t="inlineStr">
        <is>
          <t>Uzağa park et, kol kola yürü</t>
        </is>
      </c>
      <c r="D867" s="5" t="inlineStr"/>
      <c r="E867" s="5" t="inlineStr"/>
      <c r="F867" s="5" t="inlineStr">
        <is>
          <t>Dayanıklılık +1, Gönül +1</t>
        </is>
      </c>
      <c r="G867" s="6" t="inlineStr">
        <is>
          <t>Annenle kol kola yürüdünüz. Randevuya yetiştiniz; yolda üç komşunun hâlini de öğrendiniz.</t>
        </is>
      </c>
      <c r="H867" s="6" t="inlineStr"/>
      <c r="I867" s="6" t="inlineStr"/>
      <c r="J867" s="6" t="inlineStr"/>
      <c r="K867" s="6" t="inlineStr"/>
      <c r="L867" s="6" t="inlineStr"/>
      <c r="M867" s="5" t="inlineStr"/>
      <c r="N867" s="5" t="inlineStr"/>
      <c r="O867" s="6" t="inlineStr"/>
      <c r="P867" s="6" t="inlineStr"/>
      <c r="Q867" s="5" t="inlineStr"/>
      <c r="R867" s="5" t="inlineStr"/>
      <c r="S867" s="5" t="inlineStr"/>
      <c r="T867" s="5" t="inlineStr"/>
      <c r="U867" s="5" t="inlineStr"/>
      <c r="V867" s="5" t="inlineStr"/>
      <c r="W867" s="5" t="inlineStr"/>
      <c r="X867" s="5" t="inlineStr"/>
      <c r="Y867" s="5" t="inlineStr"/>
      <c r="Z867" s="6" t="inlineStr"/>
      <c r="AA867" s="5" t="inlineStr"/>
      <c r="AB867" s="5" t="inlineStr"/>
      <c r="AC867" s="5" t="inlineStr"/>
      <c r="AD867" s="5" t="inlineStr"/>
      <c r="AE867" s="5" t="inlineStr"/>
      <c r="AF867" s="5" t="inlineStr"/>
      <c r="AG867" s="5" t="inlineStr"/>
      <c r="AH867" s="5" t="inlineStr"/>
      <c r="AI867" s="5" t="inlineStr"/>
      <c r="AJ867" s="5" t="inlineStr"/>
    </row>
    <row r="868">
      <c r="A868" s="5" t="inlineStr">
        <is>
          <t>b8-hastane-otoparki</t>
        </is>
      </c>
      <c r="B868" s="5" t="n">
        <v>2</v>
      </c>
      <c r="C868" s="6" t="inlineStr">
        <is>
          <t>Görevliyle konuş</t>
        </is>
      </c>
      <c r="D868" s="5" t="inlineStr">
        <is>
          <t>Çene</t>
        </is>
      </c>
      <c r="E868" s="5" t="inlineStr">
        <is>
          <t>Orta</t>
        </is>
      </c>
      <c r="F868" s="5" t="inlineStr"/>
      <c r="G868" s="6" t="inlineStr"/>
      <c r="H868" s="6" t="inlineStr">
        <is>
          <t>Görevli bir koni çekti, yer açtı. “Teyzemizi yürütmeyelim” deyip annenin koluna girdi.</t>
        </is>
      </c>
      <c r="I868" s="6" t="inlineStr">
        <is>
          <t>Görevli arabanı kendisi park etti, anneni koluna takıp kapıya kadar götürdü. Annen çıkışta çantasından kolonya çıkarıp ona ikram etti. Sana etmedi.</t>
        </is>
      </c>
      <c r="J868" s="6" t="inlineStr">
        <is>
          <t>Görevli sıraya girmeni söyledi. Sıra otoparkın dışına kadar uzanıyordu.</t>
        </is>
      </c>
      <c r="K868" s="6" t="inlineStr">
        <is>
          <t>Görevliyle konuşurken arkadaki araç boş yere girdi; görevli ona el salladı. Annen camı indirdi: “Ben yürürüm evladım, sen konuşmaya devam et.” Yürüdü; sen hâlâ konuşuyordun.</t>
        </is>
      </c>
      <c r="L868" s="6" t="inlineStr"/>
      <c r="M868" s="5" t="inlineStr"/>
      <c r="N868" s="5" t="inlineStr"/>
      <c r="O868" s="6" t="inlineStr"/>
      <c r="P868" s="6" t="inlineStr"/>
      <c r="Q868" s="5" t="inlineStr"/>
      <c r="R868" s="5" t="inlineStr"/>
      <c r="S868" s="5" t="inlineStr"/>
      <c r="T868" s="5" t="inlineStr"/>
      <c r="U868" s="5" t="inlineStr"/>
      <c r="V868" s="5" t="inlineStr"/>
      <c r="W868" s="5" t="inlineStr"/>
      <c r="X868" s="5" t="inlineStr"/>
      <c r="Y868" s="5" t="inlineStr"/>
      <c r="Z868" s="6" t="inlineStr"/>
      <c r="AA868" s="5" t="inlineStr"/>
      <c r="AB868" s="5" t="inlineStr"/>
      <c r="AC868" s="5" t="inlineStr"/>
      <c r="AD868" s="5" t="inlineStr"/>
      <c r="AE868" s="5" t="inlineStr"/>
      <c r="AF868" s="5" t="inlineStr"/>
      <c r="AG868" s="5" t="inlineStr"/>
      <c r="AH868" s="5" t="inlineStr"/>
      <c r="AI868" s="5" t="inlineStr"/>
      <c r="AJ868" s="5" t="inlineStr"/>
    </row>
    <row r="869">
      <c r="A869" s="5" t="inlineStr">
        <is>
          <t>b8-hastane-otoparki</t>
        </is>
      </c>
      <c r="B869" s="5" t="n">
        <v>3</v>
      </c>
      <c r="C869" s="6" t="inlineStr">
        <is>
          <t>Başhekimin yerine park et</t>
        </is>
      </c>
      <c r="D869" s="5" t="inlineStr">
        <is>
          <t>Kurnazlık</t>
        </is>
      </c>
      <c r="E869" s="5" t="inlineStr">
        <is>
          <t>Orta</t>
        </is>
      </c>
      <c r="F869" s="5" t="inlineStr"/>
      <c r="G869" s="6" t="inlineStr"/>
      <c r="H869" s="6" t="inlineStr">
        <is>
          <t>Park ettin, kimse bir şey demedi. Sileceğe not bırakılmış: 'Geçmiş olsun.'</t>
        </is>
      </c>
      <c r="I869" s="6" t="inlineStr">
        <is>
          <t>Çıkışta başhekim 'Randevunuz nasıl geçti?' diye sordu. Birbirinizi tanıdığınızı sanıyor.</t>
        </is>
      </c>
      <c r="J869" s="6" t="inlineStr">
        <is>
          <t>Araç çekildi. Randevu yetişti, araç yetişmedi.</t>
        </is>
      </c>
      <c r="K869" s="6" t="inlineStr">
        <is>
          <t>Başhekim erken geldi; araban çekildi. Muayene odasında seni tanıdı, annene döndü: “Çocuğunuz biraz aceleci galiba.” Annen başını salladı, uzun uzun.</t>
        </is>
      </c>
      <c r="L869" s="6" t="inlineStr"/>
      <c r="M869" s="5" t="inlineStr"/>
      <c r="N869" s="5" t="inlineStr"/>
      <c r="O869" s="6" t="inlineStr"/>
      <c r="P869" s="6" t="inlineStr"/>
      <c r="Q869" s="5" t="inlineStr"/>
      <c r="R869" s="5" t="inlineStr"/>
      <c r="S869" s="5" t="inlineStr">
        <is>
          <t>Kurnazlık</t>
        </is>
      </c>
      <c r="T869" s="5" t="inlineStr"/>
      <c r="U869" s="5" t="inlineStr"/>
      <c r="V869" s="5" t="inlineStr"/>
      <c r="W869" s="5" t="inlineStr"/>
      <c r="X869" s="5" t="inlineStr"/>
      <c r="Y869" s="5" t="inlineStr"/>
      <c r="Z869" s="6" t="inlineStr"/>
      <c r="AA869" s="5" t="inlineStr"/>
      <c r="AB869" s="5" t="inlineStr"/>
      <c r="AC869" s="5" t="inlineStr"/>
      <c r="AD869" s="5" t="inlineStr"/>
      <c r="AE869" s="5" t="inlineStr"/>
      <c r="AF869" s="5" t="inlineStr"/>
      <c r="AG869" s="5" t="inlineStr"/>
      <c r="AH869" s="5" t="inlineStr"/>
      <c r="AI869" s="5" t="inlineStr"/>
      <c r="AJ869" s="5" t="inlineStr"/>
    </row>
    <row r="870">
      <c r="A870" s="5" t="inlineStr">
        <is>
          <t>b8-bekar-orta-yas</t>
        </is>
      </c>
      <c r="B870" s="5" t="n">
        <v>1</v>
      </c>
      <c r="C870" s="6" t="inlineStr">
        <is>
          <t>Özgürlüğün tadını çıkar</t>
        </is>
      </c>
      <c r="D870" s="5" t="inlineStr"/>
      <c r="E870" s="5" t="inlineStr"/>
      <c r="F870" s="5" t="inlineStr">
        <is>
          <t>Pişkinlik +1</t>
        </is>
      </c>
      <c r="G870" s="6" t="inlineStr">
        <is>
          <t>Pazar kahvaltısını öğleden sonra üçte yaptın. Annen aradı: “Bu saatte kahvaltı mı olur?” Olur.</t>
        </is>
      </c>
      <c r="H870" s="6" t="inlineStr"/>
      <c r="I870" s="6" t="inlineStr"/>
      <c r="J870" s="6" t="inlineStr"/>
      <c r="K870" s="6" t="inlineStr"/>
      <c r="L870" s="6" t="inlineStr"/>
      <c r="M870" s="5" t="inlineStr"/>
      <c r="N870" s="5" t="inlineStr"/>
      <c r="O870" s="6" t="inlineStr"/>
      <c r="P870" s="6" t="inlineStr"/>
      <c r="Q870" s="5" t="inlineStr"/>
      <c r="R870" s="5" t="inlineStr"/>
      <c r="S870" s="5" t="inlineStr"/>
      <c r="T870" s="5" t="inlineStr"/>
      <c r="U870" s="5" t="inlineStr"/>
      <c r="V870" s="5" t="inlineStr"/>
      <c r="W870" s="5" t="inlineStr"/>
      <c r="X870" s="5" t="inlineStr"/>
      <c r="Y870" s="5" t="inlineStr"/>
      <c r="Z870" s="6" t="inlineStr"/>
      <c r="AA870" s="5" t="inlineStr"/>
      <c r="AB870" s="5" t="inlineStr"/>
      <c r="AC870" s="5" t="inlineStr"/>
      <c r="AD870" s="5" t="inlineStr"/>
      <c r="AE870" s="5" t="inlineStr"/>
      <c r="AF870" s="5" t="inlineStr"/>
      <c r="AG870" s="5" t="inlineStr"/>
      <c r="AH870" s="5" t="inlineStr"/>
      <c r="AI870" s="5" t="inlineStr"/>
      <c r="AJ870" s="5" t="inlineStr"/>
    </row>
    <row r="871">
      <c r="A871" s="5" t="inlineStr">
        <is>
          <t>b8-bekar-orta-yas</t>
        </is>
      </c>
      <c r="B871" s="5" t="n">
        <v>2</v>
      </c>
      <c r="C871" s="6" t="inlineStr">
        <is>
          <t>Tanışma uygulamasına üye ol</t>
        </is>
      </c>
      <c r="D871" s="5" t="inlineStr">
        <is>
          <t>Cesaret</t>
        </is>
      </c>
      <c r="E871" s="5" t="inlineStr">
        <is>
          <t>Orta</t>
        </is>
      </c>
      <c r="F871" s="5" t="inlineStr"/>
      <c r="G871" s="6" t="inlineStr"/>
      <c r="H871" s="6" t="inlineStr">
        <is>
          <t>Bir kişiyle kahve içtin. İkiniz de profil fotoğrafınızdan on yaş büyük çıktınız. Bu ortak nokta iki saat konuşturdu.</t>
        </is>
      </c>
      <c r="I871" s="6" t="inlineStr">
        <is>
          <t>İlk eşleşmen ilkokul sıra arkadaşın çıktı. Kahvede ilk cümlesi: “Silgimi hâlâ geri vermedin.” İkinci buluşmaya yeni bir silgiyle gittin.</t>
        </is>
      </c>
      <c r="J871" s="6" t="inlineStr">
        <is>
          <t>Profil fotoğrafı seçmek üç hafta sürdü. Sonunda kuzenin seçti: bayramda çekilmiş, arkada annenin tül perdesi. Profile tek beğeni geldi; perdeye.</t>
        </is>
      </c>
      <c r="K871" s="6" t="inlineStr">
        <is>
          <t>Uygulama seni kuzeninle eşleştirdi. Teyzen ekran görüntüsünü aile grubuna attı, altına yazdı: “Bari dışarıdan biri olsun.”</t>
        </is>
      </c>
      <c r="L871" s="6" t="inlineStr"/>
      <c r="M871" s="5" t="inlineStr"/>
      <c r="N871" s="5" t="inlineStr"/>
      <c r="O871" s="6" t="inlineStr"/>
      <c r="P871" s="6" t="inlineStr"/>
      <c r="Q871" s="5" t="inlineStr"/>
      <c r="R871" s="5" t="inlineStr"/>
      <c r="S871" s="5" t="inlineStr"/>
      <c r="T871" s="5" t="inlineStr"/>
      <c r="U871" s="5" t="inlineStr"/>
      <c r="V871" s="5" t="inlineStr"/>
      <c r="W871" s="5" t="inlineStr"/>
      <c r="X871" s="5" t="inlineStr"/>
      <c r="Y871" s="5" t="inlineStr"/>
      <c r="Z871" s="6" t="inlineStr"/>
      <c r="AA871" s="5" t="inlineStr"/>
      <c r="AB871" s="5" t="inlineStr"/>
      <c r="AC871" s="5" t="inlineStr"/>
      <c r="AD871" s="5" t="inlineStr"/>
      <c r="AE871" s="5" t="inlineStr"/>
      <c r="AF871" s="5" t="inlineStr"/>
      <c r="AG871" s="5" t="inlineStr"/>
      <c r="AH871" s="5" t="inlineStr"/>
      <c r="AI871" s="5" t="inlineStr"/>
      <c r="AJ871" s="5" t="inlineStr"/>
    </row>
    <row r="872">
      <c r="A872" s="5" t="inlineStr">
        <is>
          <t>b8-bekar-orta-yas</t>
        </is>
      </c>
      <c r="B872" s="5" t="n">
        <v>3</v>
      </c>
      <c r="C872" s="6" t="inlineStr">
        <is>
          <t>Bir kedi sahiplen</t>
        </is>
      </c>
      <c r="D872" s="5" t="inlineStr">
        <is>
          <t>Gönül</t>
        </is>
      </c>
      <c r="E872" s="5" t="inlineStr">
        <is>
          <t>Kolay</t>
        </is>
      </c>
      <c r="F872" s="5" t="inlineStr"/>
      <c r="G872" s="6" t="inlineStr"/>
      <c r="H872" s="6" t="inlineStr">
        <is>
          <t>Artık eve gelince biri seni bekliyor. Mama saati olduğu için, ama olsun.</t>
        </is>
      </c>
      <c r="I872" s="6" t="inlineStr">
        <is>
          <t>Kedi ilk gece kucağında uyudu. Bayramda akrabalar artık sana değil kediye soruyor: “Sen ne zaman evleniyorsun bakalım?”</t>
        </is>
      </c>
      <c r="J872" s="6" t="inlineStr">
        <is>
          <t>Kediyi sahiplendin; kedi seni sahiplenmedi. Akşam eve gelince dönüp bakmıyor bile. Akrabalarına çekmiş.</t>
        </is>
      </c>
      <c r="K872" s="6" t="inlineStr">
        <is>
          <t>Kedi koltuğu, kumandayı ve yatağı ele geçirdi. Krallık devrildi.</t>
        </is>
      </c>
      <c r="L872" s="6" t="inlineStr"/>
      <c r="M872" s="5" t="inlineStr"/>
      <c r="N872" s="5" t="inlineStr"/>
      <c r="O872" s="6" t="inlineStr"/>
      <c r="P872" s="6" t="inlineStr"/>
      <c r="Q872" s="5" t="inlineStr"/>
      <c r="R872" s="5" t="inlineStr"/>
      <c r="S872" s="5" t="inlineStr"/>
      <c r="T872" s="5" t="inlineStr"/>
      <c r="U872" s="5" t="inlineStr"/>
      <c r="V872" s="5" t="inlineStr"/>
      <c r="W872" s="5" t="inlineStr"/>
      <c r="X872" s="5" t="inlineStr"/>
      <c r="Y872" s="5" t="inlineStr"/>
      <c r="Z872" s="6" t="inlineStr"/>
      <c r="AA872" s="5" t="inlineStr"/>
      <c r="AB872" s="5" t="inlineStr"/>
      <c r="AC872" s="5" t="inlineStr"/>
      <c r="AD872" s="5" t="inlineStr"/>
      <c r="AE872" s="5" t="inlineStr"/>
      <c r="AF872" s="5" t="inlineStr"/>
      <c r="AG872" s="5" t="inlineStr"/>
      <c r="AH872" s="5" t="inlineStr"/>
      <c r="AI872" s="5" t="inlineStr"/>
      <c r="AJ872" s="5" t="inlineStr"/>
    </row>
    <row r="873">
      <c r="A873" s="5" t="inlineStr">
        <is>
          <t>b8-bekar-orta-yas</t>
        </is>
      </c>
      <c r="B873" s="5" t="n">
        <v>4</v>
      </c>
      <c r="C873" s="6" t="inlineStr">
        <is>
          <t>Çocukluğundaki kediyi hatırla</t>
        </is>
      </c>
      <c r="D873" s="5" t="inlineStr"/>
      <c r="E873" s="5" t="inlineStr"/>
      <c r="F873" s="5" t="inlineStr">
        <is>
          <t>Gönül +1</t>
        </is>
      </c>
      <c r="G873" s="6" t="inlineStr">
        <is>
          <t>Çocukken oylamayla eve gelen kediyi hatırladın. Barınaktan ona benzeyen bir kedi aldın. Bu sefer oylama gerekmedi.</t>
        </is>
      </c>
      <c r="H873" s="6" t="inlineStr"/>
      <c r="I873" s="6" t="inlineStr"/>
      <c r="J873" s="6" t="inlineStr"/>
      <c r="K873" s="6" t="inlineStr"/>
      <c r="L873" s="6" t="inlineStr"/>
      <c r="M873" s="5" t="inlineStr"/>
      <c r="N873" s="5" t="inlineStr"/>
      <c r="O873" s="6" t="inlineStr"/>
      <c r="P873" s="6" t="inlineStr"/>
      <c r="Q873" s="5" t="inlineStr"/>
      <c r="R873" s="5" t="inlineStr">
        <is>
          <t>kediGeldi</t>
        </is>
      </c>
      <c r="S873" s="5" t="inlineStr"/>
      <c r="T873" s="5" t="inlineStr"/>
      <c r="U873" s="5" t="inlineStr"/>
      <c r="V873" s="5" t="inlineStr"/>
      <c r="W873" s="5" t="inlineStr"/>
      <c r="X873" s="5" t="inlineStr"/>
      <c r="Y873" s="5" t="inlineStr"/>
      <c r="Z873" s="6" t="inlineStr"/>
      <c r="AA873" s="5" t="inlineStr"/>
      <c r="AB873" s="5" t="inlineStr"/>
      <c r="AC873" s="5" t="inlineStr"/>
      <c r="AD873" s="5" t="inlineStr"/>
      <c r="AE873" s="5" t="inlineStr"/>
      <c r="AF873" s="5" t="inlineStr"/>
      <c r="AG873" s="5" t="inlineStr"/>
      <c r="AH873" s="5" t="inlineStr"/>
      <c r="AI873" s="5" t="inlineStr"/>
      <c r="AJ873" s="5" t="inlineStr"/>
    </row>
    <row r="874">
      <c r="A874" s="5" t="inlineStr">
        <is>
          <t>b8-bekar-orta-yas</t>
        </is>
      </c>
      <c r="B874" s="5" t="n">
        <v>5</v>
      </c>
      <c r="C874" s="6" t="inlineStr">
        <is>
          <t>Teyzenin ayarladığı kahveye git</t>
        </is>
      </c>
      <c r="D874" s="5" t="inlineStr">
        <is>
          <t>Sosyal Radar</t>
        </is>
      </c>
      <c r="E874" s="5" t="inlineStr">
        <is>
          <t>Orta</t>
        </is>
      </c>
      <c r="F874" s="5" t="inlineStr"/>
      <c r="G874" s="6" t="inlineStr"/>
      <c r="H874" s="6" t="inlineStr">
        <is>
          <t>Kahveye gittin. İki saat teyzenin ne kadar ısrarcı olduğunu konuştunuz. Ortak noktanızı buldunuz: teyze.</t>
        </is>
      </c>
      <c r="I874" s="6" t="inlineStr">
        <is>
          <t>Teyzen “Sadece bir kahve” demişti. Kahve akşam yemeğine, yemek ikinci buluşmaya döndü. Teyzen o gece aile grubuna bir yüzük attı; erkendi ama kimse silmedi.</t>
        </is>
      </c>
      <c r="J874" s="6" t="inlineStr">
        <is>
          <t>Karşındaki kibardı, sen kibardın, kahve soğudu. Teyzen ertesi gün aradı: “E, ne diyorsun?” Diyecek bir şey yoktu.</t>
        </is>
      </c>
      <c r="K874" s="6" t="inlineStr">
        <is>
          <t>Kahveye vardın; karşında yıllar önce mesajına hiç cevap vermediğin kişi oturuyordu. Kahve on dakika sürdü, teyzenin küslüğü bir yıl.</t>
        </is>
      </c>
      <c r="L874" s="6" t="inlineStr"/>
      <c r="M874" s="5" t="inlineStr"/>
      <c r="N874" s="5" t="inlineStr"/>
      <c r="O874" s="6" t="inlineStr"/>
      <c r="P874" s="6" t="inlineStr"/>
      <c r="Q874" s="5" t="inlineStr"/>
      <c r="R874" s="5" t="inlineStr"/>
      <c r="S874" s="5" t="inlineStr"/>
      <c r="T874" s="5" t="inlineStr"/>
      <c r="U874" s="5" t="inlineStr"/>
      <c r="V874" s="5" t="inlineStr"/>
      <c r="W874" s="5" t="inlineStr"/>
      <c r="X874" s="5" t="inlineStr"/>
      <c r="Y874" s="5" t="inlineStr"/>
      <c r="Z874" s="6" t="inlineStr"/>
      <c r="AA874" s="5" t="inlineStr"/>
      <c r="AB874" s="5" t="inlineStr"/>
      <c r="AC874" s="5" t="inlineStr"/>
      <c r="AD874" s="5" t="inlineStr"/>
      <c r="AE874" s="5" t="inlineStr"/>
      <c r="AF874" s="5" t="inlineStr"/>
      <c r="AG874" s="5" t="inlineStr"/>
      <c r="AH874" s="5" t="inlineStr"/>
      <c r="AI874" s="5" t="inlineStr"/>
      <c r="AJ874" s="5" t="inlineStr"/>
    </row>
    <row r="875">
      <c r="A875" s="5" t="inlineStr">
        <is>
          <t>ms-fon-basvurusu</t>
        </is>
      </c>
      <c r="B875" s="5" t="n">
        <v>1</v>
      </c>
      <c r="C875" s="6" t="inlineStr">
        <is>
          <t>Formu dürüstçe doldur</t>
        </is>
      </c>
      <c r="D875" s="5" t="inlineStr">
        <is>
          <t>Akıl</t>
        </is>
      </c>
      <c r="E875" s="5" t="inlineStr">
        <is>
          <t>Orta</t>
        </is>
      </c>
      <c r="F875" s="5" t="inlineStr"/>
      <c r="G875" s="6" t="inlineStr"/>
      <c r="H875" s="6" t="inlineStr">
        <is>
          <t>Fonu aldın. Tutar, formu doldurmak için harcadığın saatlerin karşılığı kadardı. Tam kadar.</t>
        </is>
      </c>
      <c r="I875" s="6" t="inlineStr">
        <is>
          <t>Komite başvurunu 'yılın en özgün projesi' seçti. Tutar ikiye, harcama raporu dörde katlandı.</t>
        </is>
      </c>
      <c r="J875" s="6" t="inlineStr">
        <is>
          <t>Başvurun 'eksik belge' gerekçesiyle reddedildi. Eksik belge: belge listesi.</t>
        </is>
      </c>
      <c r="K875" s="6" t="inlineStr">
        <is>
          <t>Başvuruyu 23.59'da yükledin. Çubuk yüzde doksan dokuzda durdu, saat 00.00 oldu. Ekranda tek cümle: “Başvuru dönemi sona ermiştir. İlginiz için teşekkür ederiz.”</t>
        </is>
      </c>
      <c r="L875" s="6" t="inlineStr"/>
      <c r="M875" s="5" t="inlineStr"/>
      <c r="N875" s="5" t="inlineStr"/>
      <c r="O875" s="6" t="inlineStr"/>
      <c r="P875" s="6" t="inlineStr"/>
      <c r="Q875" s="5" t="inlineStr"/>
      <c r="R875" s="5" t="inlineStr"/>
      <c r="S875" s="5" t="inlineStr"/>
      <c r="T875" s="5" t="inlineStr"/>
      <c r="U875" s="5" t="inlineStr"/>
      <c r="V875" s="5" t="inlineStr">
        <is>
          <t>serbest-fon-aldi</t>
        </is>
      </c>
      <c r="W875" s="5" t="inlineStr"/>
      <c r="X875" s="5" t="inlineStr"/>
      <c r="Y875" s="5" t="inlineStr"/>
      <c r="Z875" s="6" t="inlineStr"/>
      <c r="AA875" s="5" t="inlineStr"/>
      <c r="AB875" s="5" t="inlineStr"/>
      <c r="AC875" s="5" t="inlineStr"/>
      <c r="AD875" s="5" t="inlineStr"/>
      <c r="AE875" s="5" t="inlineStr"/>
      <c r="AF875" s="5" t="inlineStr"/>
      <c r="AG875" s="5" t="inlineStr"/>
      <c r="AH875" s="5" t="inlineStr"/>
      <c r="AI875" s="5" t="inlineStr"/>
      <c r="AJ875" s="5" t="inlineStr"/>
    </row>
    <row r="876">
      <c r="A876" s="5" t="inlineStr">
        <is>
          <t>ms-fon-basvurusu</t>
        </is>
      </c>
      <c r="B876" s="5" t="n">
        <v>2</v>
      </c>
      <c r="C876" s="6" t="inlineStr">
        <is>
          <t>Proje adına 'hafıza' kelimesini ekle</t>
        </is>
      </c>
      <c r="D876" s="5" t="inlineStr">
        <is>
          <t>Kurnazlık</t>
        </is>
      </c>
      <c r="E876" s="5" t="inlineStr">
        <is>
          <t>Kolay</t>
        </is>
      </c>
      <c r="F876" s="5" t="inlineStr"/>
      <c r="G876" s="6" t="inlineStr"/>
      <c r="H876" s="6" t="inlineStr">
        <is>
          <t>'Hafızanın Kırılgan Mekânları' adıyla başvurdun. Fon onaylandı. Proje aynı proje.</t>
        </is>
      </c>
      <c r="I876" s="6" t="inlineStr">
        <is>
          <t>Başlığa “hafıza”, özete on bir kez “sürdürülebilirlik” yazdın. Komite oy birliğiyle fon verdi; projenin ne olduğunu kimse sormadı. Sen de söylemedin.</t>
        </is>
      </c>
      <c r="J876" s="6" t="inlineStr">
        <is>
          <t>Bu yıl herkes 'hafıza' yazmış. Komite bu yıl 'dönüşüm' arıyormuş.</t>
        </is>
      </c>
      <c r="K876" s="6" t="inlineStr">
        <is>
          <t>Başlık o kadar soyut oldu ki mülakatta komite ilk soruyu sordu: “Projeniz tam olarak ne?” Üç dakika sustun, sonra “Hafıza” dedin. Komite de sustu; başvuru reddedildi.</t>
        </is>
      </c>
      <c r="L876" s="6" t="inlineStr"/>
      <c r="M876" s="5" t="inlineStr"/>
      <c r="N876" s="5" t="inlineStr"/>
      <c r="O876" s="6" t="inlineStr"/>
      <c r="P876" s="6" t="inlineStr"/>
      <c r="Q876" s="5" t="inlineStr"/>
      <c r="R876" s="5" t="inlineStr"/>
      <c r="S876" s="5" t="inlineStr">
        <is>
          <t>Kurnazlık</t>
        </is>
      </c>
      <c r="T876" s="5" t="inlineStr"/>
      <c r="U876" s="5" t="inlineStr"/>
      <c r="V876" s="5" t="inlineStr">
        <is>
          <t>serbest-fon-aldi</t>
        </is>
      </c>
      <c r="W876" s="5" t="inlineStr"/>
      <c r="X876" s="5" t="inlineStr"/>
      <c r="Y876" s="5" t="inlineStr"/>
      <c r="Z876" s="6" t="inlineStr"/>
      <c r="AA876" s="5" t="inlineStr"/>
      <c r="AB876" s="5" t="inlineStr"/>
      <c r="AC876" s="5" t="inlineStr"/>
      <c r="AD876" s="5" t="inlineStr"/>
      <c r="AE876" s="5" t="inlineStr"/>
      <c r="AF876" s="5" t="inlineStr"/>
      <c r="AG876" s="5" t="inlineStr"/>
      <c r="AH876" s="5" t="inlineStr"/>
      <c r="AI876" s="5" t="inlineStr"/>
      <c r="AJ876" s="5" t="inlineStr"/>
    </row>
    <row r="877">
      <c r="A877" s="5" t="inlineStr">
        <is>
          <t>ms-fon-basvurusu</t>
        </is>
      </c>
      <c r="B877" s="5" t="n">
        <v>3</v>
      </c>
      <c r="C877" s="6" t="inlineStr">
        <is>
          <t>Kolektif kur, birlikte başvur</t>
        </is>
      </c>
      <c r="D877" s="5" t="inlineStr">
        <is>
          <t>Sosyal Radar</t>
        </is>
      </c>
      <c r="E877" s="5" t="inlineStr">
        <is>
          <t>Orta</t>
        </is>
      </c>
      <c r="F877" s="5" t="inlineStr"/>
      <c r="G877" s="6" t="inlineStr"/>
      <c r="H877" s="6" t="inlineStr">
        <is>
          <t>Beş serbest çalışan bir araya geldiniz. Fon ikiye bölünse de ilk kez bir ekibin var.</t>
        </is>
      </c>
      <c r="I877" s="6" t="inlineStr">
        <is>
          <t>Kolektif fonu aldı; adınız bir yıl boyunca her afişteydi. Beş kişi beş ayrı röportaj verdi; beşinde de kolektifi kendisi kurmuştu.</t>
        </is>
      </c>
      <c r="J877" s="6" t="inlineStr">
        <is>
          <t>Kolektif kuruldu; ilk toplantı adın ne olacağı üzerine sürdü. Başvuru süresi de o toplantıda bitti.</t>
        </is>
      </c>
      <c r="K877" s="6" t="inlineStr">
        <is>
          <t>Kolektif fonu aldı ve dağıldı. Harcama raporunu tek başına yazman gerekiyor.</t>
        </is>
      </c>
      <c r="L877" s="6" t="inlineStr"/>
      <c r="M877" s="5" t="inlineStr"/>
      <c r="N877" s="5" t="inlineStr"/>
      <c r="O877" s="6" t="inlineStr"/>
      <c r="P877" s="6" t="inlineStr"/>
      <c r="Q877" s="5" t="inlineStr">
        <is>
          <t>Kuralı Koyan</t>
        </is>
      </c>
      <c r="R877" s="5" t="inlineStr"/>
      <c r="S877" s="5" t="inlineStr"/>
      <c r="T877" s="5" t="inlineStr"/>
      <c r="U877" s="5" t="inlineStr"/>
      <c r="V877" s="5" t="inlineStr">
        <is>
          <t>serbest-fon-aldi</t>
        </is>
      </c>
      <c r="W877" s="5" t="inlineStr"/>
      <c r="X877" s="5" t="inlineStr"/>
      <c r="Y877" s="5" t="inlineStr"/>
      <c r="Z877" s="6" t="inlineStr"/>
      <c r="AA877" s="5" t="inlineStr"/>
      <c r="AB877" s="5" t="inlineStr"/>
      <c r="AC877" s="5" t="inlineStr"/>
      <c r="AD877" s="5" t="inlineStr"/>
      <c r="AE877" s="5" t="inlineStr"/>
      <c r="AF877" s="5" t="inlineStr"/>
      <c r="AG877" s="5" t="inlineStr"/>
      <c r="AH877" s="5" t="inlineStr"/>
      <c r="AI877" s="5" t="inlineStr"/>
      <c r="AJ877" s="5" t="inlineStr"/>
    </row>
    <row r="878">
      <c r="A878" s="5" t="inlineStr">
        <is>
          <t>ms-fon-basvurusu</t>
        </is>
      </c>
      <c r="B878" s="5" t="n">
        <v>4</v>
      </c>
      <c r="C878" s="6" t="inlineStr">
        <is>
          <t>Fon danışmanı tut</t>
        </is>
      </c>
      <c r="D878" s="5" t="inlineStr"/>
      <c r="E878" s="5" t="inlineStr"/>
      <c r="F878" s="5" t="inlineStr">
        <is>
          <t>Pişkinlik +1</t>
        </is>
      </c>
      <c r="G878" s="6" t="inlineStr">
        <is>
          <t>Danışman fonu aldırdı; ücreti fonun yarısıydı. Kalan yarıyla danışmanın önerdiği projeyi yaptın.</t>
        </is>
      </c>
      <c r="H878" s="6" t="inlineStr"/>
      <c r="I878" s="6" t="inlineStr"/>
      <c r="J878" s="6" t="inlineStr"/>
      <c r="K878" s="6" t="inlineStr"/>
      <c r="L878" s="6" t="inlineStr"/>
      <c r="M878" s="5" t="inlineStr"/>
      <c r="N878" s="5" t="inlineStr"/>
      <c r="O878" s="6" t="inlineStr"/>
      <c r="P878" s="6" t="inlineStr"/>
      <c r="Q878" s="5" t="inlineStr"/>
      <c r="R878" s="5" t="inlineStr"/>
      <c r="S878" s="5" t="inlineStr"/>
      <c r="T878" s="5" t="inlineStr"/>
      <c r="U878" s="5" t="inlineStr">
        <is>
          <t>serbest-fon-aldi</t>
        </is>
      </c>
      <c r="V878" s="5" t="inlineStr"/>
      <c r="W878" s="5" t="inlineStr"/>
      <c r="X878" s="5" t="inlineStr"/>
      <c r="Y878" s="5" t="inlineStr"/>
      <c r="Z878" s="6" t="inlineStr"/>
      <c r="AA878" s="5" t="inlineStr"/>
      <c r="AB878" s="5" t="inlineStr"/>
      <c r="AC878" s="5" t="inlineStr"/>
      <c r="AD878" s="5" t="inlineStr"/>
      <c r="AE878" s="5" t="inlineStr"/>
      <c r="AF878" s="5" t="inlineStr"/>
      <c r="AG878" s="5" t="inlineStr"/>
      <c r="AH878" s="5" t="inlineStr"/>
      <c r="AI878" s="5" t="inlineStr"/>
      <c r="AJ878" s="5" t="inlineStr"/>
    </row>
    <row r="879">
      <c r="A879" s="5" t="inlineStr">
        <is>
          <t>b8-doktor-stres</t>
        </is>
      </c>
      <c r="B879" s="5" t="n">
        <v>1</v>
      </c>
      <c r="C879" s="6" t="inlineStr">
        <is>
          <t>Tavsiyeyi not al</t>
        </is>
      </c>
      <c r="D879" s="5" t="inlineStr"/>
      <c r="E879" s="5" t="inlineStr"/>
      <c r="F879" s="5" t="inlineStr">
        <is>
          <t>İtibar +1</t>
        </is>
      </c>
      <c r="G879" s="6" t="inlineStr">
        <is>
          <t>Tavsiyeyi telefonuna not aldın: “Stres yapma.” Not, “Faturayı öde”nin hemen altında duruyor; her baktığında biraz stres yapıyorsun.</t>
        </is>
      </c>
      <c r="H879" s="6" t="inlineStr"/>
      <c r="I879" s="6" t="inlineStr"/>
      <c r="J879" s="6" t="inlineStr"/>
      <c r="K879" s="6" t="inlineStr"/>
      <c r="L879" s="6" t="inlineStr"/>
      <c r="M879" s="5" t="inlineStr"/>
      <c r="N879" s="5" t="inlineStr"/>
      <c r="O879" s="6" t="inlineStr"/>
      <c r="P879" s="6" t="inlineStr"/>
      <c r="Q879" s="5" t="inlineStr"/>
      <c r="R879" s="5" t="inlineStr"/>
      <c r="S879" s="5" t="inlineStr"/>
      <c r="T879" s="5" t="inlineStr"/>
      <c r="U879" s="5" t="inlineStr"/>
      <c r="V879" s="5" t="inlineStr"/>
      <c r="W879" s="5" t="inlineStr"/>
      <c r="X879" s="5" t="inlineStr"/>
      <c r="Y879" s="5" t="inlineStr"/>
      <c r="Z879" s="6" t="inlineStr"/>
      <c r="AA879" s="5" t="inlineStr"/>
      <c r="AB879" s="5" t="inlineStr"/>
      <c r="AC879" s="5" t="inlineStr"/>
      <c r="AD879" s="5" t="inlineStr"/>
      <c r="AE879" s="5" t="inlineStr"/>
      <c r="AF879" s="5" t="inlineStr"/>
      <c r="AG879" s="5" t="inlineStr"/>
      <c r="AH879" s="5" t="inlineStr"/>
      <c r="AI879" s="5" t="inlineStr"/>
      <c r="AJ879" s="5" t="inlineStr"/>
    </row>
    <row r="880">
      <c r="A880" s="5" t="inlineStr">
        <is>
          <t>b8-doktor-stres</t>
        </is>
      </c>
      <c r="B880" s="5" t="n">
        <v>2</v>
      </c>
      <c r="C880" s="6" t="inlineStr">
        <is>
          <t>Nasıl yapılacağını sor</t>
        </is>
      </c>
      <c r="D880" s="5" t="inlineStr">
        <is>
          <t>Çene</t>
        </is>
      </c>
      <c r="E880" s="5" t="inlineStr">
        <is>
          <t>Kolay</t>
        </is>
      </c>
      <c r="F880" s="5" t="inlineStr"/>
      <c r="G880" s="6" t="inlineStr"/>
      <c r="H880" s="6" t="inlineStr">
        <is>
          <t>Doktor “Yürüyüş” dedi, bir broşür uzattı. Broşürün arkasında başka bir hastanın tahlilleri vardı; onunkiler seninkinden iyiydi.</t>
        </is>
      </c>
      <c r="I880" s="6" t="inlineStr">
        <is>
          <t>Doktor kalemini bıraktı, on dakika hayat felsefesi anlattı. Sıradaki hasta da dinledi; ona da iyi geldi.</t>
        </is>
      </c>
      <c r="J880" s="6" t="inlineStr">
        <is>
          <t>Doktor 'İşte, stres yapmayın' diye tekrarladı. Süreniz doldu.</t>
        </is>
      </c>
      <c r="K880" s="6" t="inlineStr">
        <is>
          <t>Sordun; doktor “Soru sormak da stres” deyip sıradakini çağırdı. Kapıdan çıkarken tansiyonun on yediydi.</t>
        </is>
      </c>
      <c r="L880" s="6" t="inlineStr"/>
      <c r="M880" s="5" t="inlineStr"/>
      <c r="N880" s="5" t="inlineStr"/>
      <c r="O880" s="6" t="inlineStr"/>
      <c r="P880" s="6" t="inlineStr"/>
      <c r="Q880" s="5" t="inlineStr"/>
      <c r="R880" s="5" t="inlineStr"/>
      <c r="S880" s="5" t="inlineStr"/>
      <c r="T880" s="5" t="inlineStr"/>
      <c r="U880" s="5" t="inlineStr"/>
      <c r="V880" s="5" t="inlineStr"/>
      <c r="W880" s="5" t="inlineStr"/>
      <c r="X880" s="5" t="inlineStr"/>
      <c r="Y880" s="5" t="inlineStr"/>
      <c r="Z880" s="6" t="inlineStr"/>
      <c r="AA880" s="5" t="inlineStr"/>
      <c r="AB880" s="5" t="inlineStr"/>
      <c r="AC880" s="5" t="inlineStr"/>
      <c r="AD880" s="5" t="inlineStr"/>
      <c r="AE880" s="5" t="inlineStr"/>
      <c r="AF880" s="5" t="inlineStr"/>
      <c r="AG880" s="5" t="inlineStr"/>
      <c r="AH880" s="5" t="inlineStr"/>
      <c r="AI880" s="5" t="inlineStr"/>
      <c r="AJ880" s="5" t="inlineStr"/>
    </row>
    <row r="881">
      <c r="A881" s="5" t="inlineStr">
        <is>
          <t>b8-doktor-stres</t>
        </is>
      </c>
      <c r="B881" s="5" t="n">
        <v>3</v>
      </c>
      <c r="C881" s="6" t="inlineStr">
        <is>
          <t>Yarından itibaren yürü</t>
        </is>
      </c>
      <c r="D881" s="5" t="inlineStr">
        <is>
          <t>Dayanıklılık</t>
        </is>
      </c>
      <c r="E881" s="5" t="inlineStr">
        <is>
          <t>Orta</t>
        </is>
      </c>
      <c r="F881" s="5" t="inlineStr"/>
      <c r="G881" s="6" t="inlineStr"/>
      <c r="H881" s="6" t="inlineStr">
        <is>
          <t>Otuz gün aralıksız yürüdün. Adım sayar uygulaması seni tebrik etti; uzun zamandır ilk kez biri etti.</t>
        </is>
      </c>
      <c r="I881" s="6" t="inlineStr">
        <is>
          <t>Yürüyüş koşuya, koşu alışkanlığa döndü. Mahallenin köpekleri seni artık tanıyor.</t>
        </is>
      </c>
      <c r="J881" s="6" t="inlineStr">
        <is>
          <t>Üç gün yürüdün. Dördüncü gün yağmur yağdı. Yağmur hâlâ yağıyor.</t>
        </is>
      </c>
      <c r="K881" s="6" t="inlineStr">
        <is>
          <t>İlk gün yeni ayakkabıyla on kilometre yürüdün. İki hafta terlikle yaşadın.</t>
        </is>
      </c>
      <c r="L881" s="6" t="inlineStr"/>
      <c r="M881" s="5" t="inlineStr"/>
      <c r="N881" s="5" t="inlineStr"/>
      <c r="O881" s="6" t="inlineStr"/>
      <c r="P881" s="6" t="inlineStr"/>
      <c r="Q881" s="5" t="inlineStr"/>
      <c r="R881" s="5" t="inlineStr"/>
      <c r="S881" s="5" t="inlineStr">
        <is>
          <t>Dayanıklılık</t>
        </is>
      </c>
      <c r="T881" s="5" t="inlineStr"/>
      <c r="U881" s="5" t="inlineStr"/>
      <c r="V881" s="5" t="inlineStr">
        <is>
          <t>sporcu</t>
        </is>
      </c>
      <c r="W881" s="5" t="inlineStr"/>
      <c r="X881" s="5" t="inlineStr"/>
      <c r="Y881" s="5" t="inlineStr"/>
      <c r="Z881" s="6" t="inlineStr"/>
      <c r="AA881" s="5" t="inlineStr"/>
      <c r="AB881" s="5" t="inlineStr"/>
      <c r="AC881" s="5" t="inlineStr"/>
      <c r="AD881" s="5" t="inlineStr"/>
      <c r="AE881" s="5" t="inlineStr"/>
      <c r="AF881" s="5" t="inlineStr"/>
      <c r="AG881" s="5" t="inlineStr"/>
      <c r="AH881" s="5" t="inlineStr"/>
      <c r="AI881" s="5" t="inlineStr"/>
      <c r="AJ881" s="5" t="inlineStr"/>
    </row>
    <row r="882">
      <c r="A882" s="5" t="inlineStr">
        <is>
          <t>b8-doktor-stres</t>
        </is>
      </c>
      <c r="B882" s="5" t="n">
        <v>4</v>
      </c>
      <c r="C882" s="6" t="inlineStr">
        <is>
          <t>İki hafta gerçekten tatile çık</t>
        </is>
      </c>
      <c r="D882" s="5" t="inlineStr"/>
      <c r="E882" s="5" t="inlineStr"/>
      <c r="F882" s="5" t="inlineStr">
        <is>
          <t>Dayanıklılık +1, Kurnazlık +1</t>
        </is>
      </c>
      <c r="G882" s="6" t="inlineStr">
        <is>
          <t>İki hafta tatile çıktın, telefona bakmadın. Döndüğünde iş yerindeydi; kimse seni aramamıştı bile. Tansiyonun düştü, gururun da.</t>
        </is>
      </c>
      <c r="H882" s="6" t="inlineStr"/>
      <c r="I882" s="6" t="inlineStr"/>
      <c r="J882" s="6" t="inlineStr"/>
      <c r="K882" s="6" t="inlineStr"/>
      <c r="L882" s="6" t="inlineStr"/>
      <c r="M882" s="5" t="inlineStr"/>
      <c r="N882" s="5" t="inlineStr"/>
      <c r="O882" s="6" t="inlineStr"/>
      <c r="P882" s="6" t="inlineStr"/>
      <c r="Q882" s="5" t="inlineStr">
        <is>
          <t>Kuralı Koyan</t>
        </is>
      </c>
      <c r="R882" s="5" t="inlineStr"/>
      <c r="S882" s="5" t="inlineStr"/>
      <c r="T882" s="5" t="inlineStr"/>
      <c r="U882" s="5" t="inlineStr"/>
      <c r="V882" s="5" t="inlineStr"/>
      <c r="W882" s="5" t="inlineStr"/>
      <c r="X882" s="5" t="inlineStr"/>
      <c r="Y882" s="5" t="inlineStr"/>
      <c r="Z882" s="6" t="inlineStr"/>
      <c r="AA882" s="5" t="inlineStr"/>
      <c r="AB882" s="5" t="inlineStr"/>
      <c r="AC882" s="5" t="inlineStr"/>
      <c r="AD882" s="5" t="inlineStr"/>
      <c r="AE882" s="5" t="inlineStr"/>
      <c r="AF882" s="5" t="inlineStr"/>
      <c r="AG882" s="5" t="inlineStr"/>
      <c r="AH882" s="5" t="inlineStr"/>
      <c r="AI882" s="5" t="inlineStr"/>
      <c r="AJ882" s="5" t="inlineStr"/>
    </row>
    <row r="883">
      <c r="A883" s="5" t="inlineStr">
        <is>
          <t>b8-cocuk-sinav</t>
        </is>
      </c>
      <c r="B883" s="5" t="n">
        <v>1</v>
      </c>
      <c r="C883" s="6" t="inlineStr">
        <is>
          <t>Kahvaltı hazırla, sus</t>
        </is>
      </c>
      <c r="D883" s="5" t="inlineStr"/>
      <c r="E883" s="5" t="inlineStr"/>
      <c r="F883" s="5" t="inlineStr">
        <is>
          <t>Dayanıklılık +1, Gönül +1</t>
        </is>
      </c>
      <c r="G883" s="6" t="inlineStr">
        <is>
          <t>Kahvaltıyı hazırladın, tek kelime nasihat etmedin. Çocuk kapıdan çıkarken “Sağ ol” dedi. Arkasından bir tas su döktün; kimse görmedi.</t>
        </is>
      </c>
      <c r="H883" s="6" t="inlineStr"/>
      <c r="I883" s="6" t="inlineStr"/>
      <c r="J883" s="6" t="inlineStr"/>
      <c r="K883" s="6" t="inlineStr"/>
      <c r="L883" s="6" t="inlineStr"/>
      <c r="M883" s="5" t="inlineStr"/>
      <c r="N883" s="5" t="inlineStr"/>
      <c r="O883" s="6" t="inlineStr"/>
      <c r="P883" s="6" t="inlineStr"/>
      <c r="Q883" s="5" t="inlineStr"/>
      <c r="R883" s="5" t="inlineStr"/>
      <c r="S883" s="5" t="inlineStr"/>
      <c r="T883" s="5" t="inlineStr"/>
      <c r="U883" s="5" t="inlineStr"/>
      <c r="V883" s="5" t="inlineStr"/>
      <c r="W883" s="5" t="inlineStr"/>
      <c r="X883" s="5" t="inlineStr"/>
      <c r="Y883" s="5" t="inlineStr"/>
      <c r="Z883" s="6" t="inlineStr"/>
      <c r="AA883" s="5" t="inlineStr"/>
      <c r="AB883" s="5" t="inlineStr"/>
      <c r="AC883" s="5" t="inlineStr"/>
      <c r="AD883" s="5" t="inlineStr"/>
      <c r="AE883" s="5" t="inlineStr"/>
      <c r="AF883" s="5" t="inlineStr"/>
      <c r="AG883" s="5" t="inlineStr"/>
      <c r="AH883" s="5" t="inlineStr"/>
      <c r="AI883" s="5" t="inlineStr"/>
      <c r="AJ883" s="5" t="inlineStr"/>
    </row>
    <row r="884">
      <c r="A884" s="5" t="inlineStr">
        <is>
          <t>b8-cocuk-sinav</t>
        </is>
      </c>
      <c r="B884" s="5" t="n">
        <v>2</v>
      </c>
      <c r="C884" s="6" t="inlineStr">
        <is>
          <t>Son dakika taktiği ver</t>
        </is>
      </c>
      <c r="D884" s="5" t="inlineStr">
        <is>
          <t>Akıl</t>
        </is>
      </c>
      <c r="E884" s="5" t="inlineStr">
        <is>
          <t>Orta</t>
        </is>
      </c>
      <c r="F884" s="5" t="inlineStr"/>
      <c r="G884" s="6" t="inlineStr"/>
      <c r="H884" s="6" t="inlineStr">
        <is>
          <t>“Önce bildiklerini yap” dedin. Akşam çocuk gururla anlattı: “Önce bildiklerimi yaptım.” Senin adını hiç anmadı.</t>
        </is>
      </c>
      <c r="I884" s="6" t="inlineStr">
        <is>
          <t>Çıkışta çocuk koşarak geldi: “Dediğin oldu, son yirmi dakikada üç soru daha çözdüm!” Akşam sınıf grubuna yazdı: “Taktik evdeki hocadan.”</t>
        </is>
      </c>
      <c r="J884" s="6" t="inlineStr">
        <is>
          <t>“Öğretmenim tam tersini söyledi” dedi. Öğretmen kazandı, her zamanki gibi.</t>
        </is>
      </c>
      <c r="K884" s="6" t="inlineStr">
        <is>
          <t>Kendi sınavında cevap kâğıdını bir satır kaydırdığını anlattın, ayrıntısıyla. Çocuk sınav boyunca her sorudan sonra kâğıdı kontrol etti; süre yetmedi. Çıkışta tek cümle kurdu: “Bir daha anlatma.”</t>
        </is>
      </c>
      <c r="L884" s="6" t="inlineStr"/>
      <c r="M884" s="5" t="inlineStr"/>
      <c r="N884" s="5" t="inlineStr"/>
      <c r="O884" s="6" t="inlineStr"/>
      <c r="P884" s="6" t="inlineStr"/>
      <c r="Q884" s="5" t="inlineStr"/>
      <c r="R884" s="5" t="inlineStr"/>
      <c r="S884" s="5" t="inlineStr"/>
      <c r="T884" s="5" t="inlineStr"/>
      <c r="U884" s="5" t="inlineStr"/>
      <c r="V884" s="5" t="inlineStr"/>
      <c r="W884" s="5" t="inlineStr"/>
      <c r="X884" s="5" t="inlineStr"/>
      <c r="Y884" s="5" t="inlineStr"/>
      <c r="Z884" s="6" t="inlineStr"/>
      <c r="AA884" s="5" t="inlineStr"/>
      <c r="AB884" s="5" t="inlineStr"/>
      <c r="AC884" s="5" t="inlineStr"/>
      <c r="AD884" s="5" t="inlineStr"/>
      <c r="AE884" s="5" t="inlineStr"/>
      <c r="AF884" s="5" t="inlineStr"/>
      <c r="AG884" s="5" t="inlineStr"/>
      <c r="AH884" s="5" t="inlineStr"/>
      <c r="AI884" s="5" t="inlineStr"/>
      <c r="AJ884" s="5" t="inlineStr"/>
    </row>
    <row r="885">
      <c r="A885" s="5" t="inlineStr">
        <is>
          <t>b8-cocuk-sinav</t>
        </is>
      </c>
      <c r="B885" s="5" t="n">
        <v>3</v>
      </c>
      <c r="C885" s="6" t="inlineStr">
        <is>
          <t>'Tek kapı bu değil' de</t>
        </is>
      </c>
      <c r="D885" s="5" t="inlineStr">
        <is>
          <t>İtibar</t>
        </is>
      </c>
      <c r="E885" s="5" t="inlineStr">
        <is>
          <t>Kolay</t>
        </is>
      </c>
      <c r="F885" s="5" t="inlineStr"/>
      <c r="G885" s="6" t="inlineStr"/>
      <c r="H885" s="6" t="inlineStr">
        <is>
          <t>Söyledin. Çocuk derin bir nefes aldı; sen de.</t>
        </is>
      </c>
      <c r="I885" s="6" t="inlineStr">
        <is>
          <t>Söyledin. Çocuk bir şey demedi, sadece sarıldı. Omzunda ıslak bir iz kaldı; o gün üstünü değiştirmedin.</t>
        </is>
      </c>
      <c r="J885" s="6" t="inlineStr">
        <is>
          <t>Söyledin. Çocuk “Şimdi mi söylüyorsun?” dedi. Haklıydı; bunu bir yıl önce söyleyecektin.</t>
        </is>
      </c>
      <c r="K885" s="6" t="inlineStr">
        <is>
          <t>Çocuk bunu “Bana güvenmiyorsun” diye anladı, kapıyı çarpıp çıktı. Sınavdan çıkınca ilk teyzesini aradı; haberi sen teyzeden aldın.</t>
        </is>
      </c>
      <c r="L885" s="6" t="inlineStr"/>
      <c r="M885" s="5" t="inlineStr"/>
      <c r="N885" s="5" t="inlineStr"/>
      <c r="O885" s="6" t="inlineStr"/>
      <c r="P885" s="6" t="inlineStr"/>
      <c r="Q885" s="5" t="inlineStr"/>
      <c r="R885" s="5" t="inlineStr"/>
      <c r="S885" s="5" t="inlineStr">
        <is>
          <t>İtibar</t>
        </is>
      </c>
      <c r="T885" s="5" t="inlineStr"/>
      <c r="U885" s="5" t="inlineStr"/>
      <c r="V885" s="5" t="inlineStr"/>
      <c r="W885" s="5" t="inlineStr"/>
      <c r="X885" s="5" t="inlineStr"/>
      <c r="Y885" s="5" t="inlineStr"/>
      <c r="Z885" s="6" t="inlineStr"/>
      <c r="AA885" s="5" t="inlineStr"/>
      <c r="AB885" s="5" t="inlineStr"/>
      <c r="AC885" s="5" t="inlineStr"/>
      <c r="AD885" s="5" t="inlineStr"/>
      <c r="AE885" s="5" t="inlineStr"/>
      <c r="AF885" s="5" t="inlineStr"/>
      <c r="AG885" s="5" t="inlineStr"/>
      <c r="AH885" s="5" t="inlineStr"/>
      <c r="AI885" s="5" t="inlineStr"/>
      <c r="AJ885" s="5" t="inlineStr"/>
    </row>
    <row r="886">
      <c r="A886" s="5" t="inlineStr">
        <is>
          <t>b8-cocuk-sinav</t>
        </is>
      </c>
      <c r="B886" s="5" t="n">
        <v>4</v>
      </c>
      <c r="C886" s="6" t="inlineStr">
        <is>
          <t>Kendi uğurlu kalemini ver</t>
        </is>
      </c>
      <c r="D886" s="5" t="inlineStr"/>
      <c r="E886" s="5" t="inlineStr"/>
      <c r="F886" s="5" t="inlineStr">
        <is>
          <t>Gönül +1</t>
        </is>
      </c>
      <c r="G886" s="6" t="inlineStr">
        <is>
          <t>Kendi sınavına girdiğin kalemi çekmeceden çıkardın. Yazmıyordu. Çocuk yine de cebine koydu.</t>
        </is>
      </c>
      <c r="H886" s="6" t="inlineStr"/>
      <c r="I886" s="6" t="inlineStr"/>
      <c r="J886" s="6" t="inlineStr"/>
      <c r="K886" s="6" t="inlineStr"/>
      <c r="L886" s="6" t="inlineStr"/>
      <c r="M886" s="5" t="inlineStr"/>
      <c r="N886" s="5" t="inlineStr"/>
      <c r="O886" s="6" t="inlineStr"/>
      <c r="P886" s="6" t="inlineStr"/>
      <c r="Q886" s="5" t="inlineStr"/>
      <c r="R886" s="5" t="inlineStr">
        <is>
          <t>universiteli</t>
        </is>
      </c>
      <c r="S886" s="5" t="inlineStr"/>
      <c r="T886" s="5" t="inlineStr"/>
      <c r="U886" s="5" t="inlineStr"/>
      <c r="V886" s="5" t="inlineStr"/>
      <c r="W886" s="5" t="inlineStr"/>
      <c r="X886" s="5" t="inlineStr"/>
      <c r="Y886" s="5" t="inlineStr"/>
      <c r="Z886" s="6" t="inlineStr"/>
      <c r="AA886" s="5" t="inlineStr"/>
      <c r="AB886" s="5" t="inlineStr"/>
      <c r="AC886" s="5" t="inlineStr"/>
      <c r="AD886" s="5" t="inlineStr"/>
      <c r="AE886" s="5" t="inlineStr"/>
      <c r="AF886" s="5" t="inlineStr"/>
      <c r="AG886" s="5" t="inlineStr"/>
      <c r="AH886" s="5" t="inlineStr"/>
      <c r="AI886" s="5" t="inlineStr"/>
      <c r="AJ886" s="5" t="inlineStr"/>
    </row>
    <row r="887">
      <c r="A887" s="5" t="inlineStr">
        <is>
          <t>b8-cocuk-sinav</t>
        </is>
      </c>
      <c r="B887" s="5" t="n">
        <v>5</v>
      </c>
      <c r="C887" s="6" t="inlineStr">
        <is>
          <t>Sınav binasının önünde bekle</t>
        </is>
      </c>
      <c r="D887" s="5" t="inlineStr">
        <is>
          <t>Dayanıklılık</t>
        </is>
      </c>
      <c r="E887" s="5" t="inlineStr">
        <is>
          <t>Orta</t>
        </is>
      </c>
      <c r="F887" s="5" t="inlineStr"/>
      <c r="G887" s="6" t="inlineStr"/>
      <c r="H887" s="6" t="inlineStr">
        <is>
          <t>Üç saat güneşte, elinde su şişesiyle bekledin. Çocuk çıkınca “Kolaydı” dedi; sen ancak o zaman oturabildin.</t>
        </is>
      </c>
      <c r="I887" s="6" t="inlineStr">
        <is>
          <t>Üç saat kapının önünde bekledin, yirmi veliyle tanıştın, ikisine poğaça verdin. Çocuk çıkınca kalabalıkta ilk seni gördü ve sarıldı.</t>
        </is>
      </c>
      <c r="J887" s="6" t="inlineStr">
        <is>
          <t>Bekledin; çocuk arka kapıdan çıkıp arkadaşlarıyla gitti. Su şişesini sen içtin.</t>
        </is>
      </c>
      <c r="K887" s="6" t="inlineStr">
        <is>
          <t>Yanındaki veliyle soruları tartışmaya daldın. Çocuk çıktığında “Altıncı soru C miydi?” diye bağırıyordun; çocuk seni tanımıyormuş gibi yürüdü.</t>
        </is>
      </c>
      <c r="L887" s="6" t="inlineStr"/>
      <c r="M887" s="5" t="inlineStr"/>
      <c r="N887" s="5" t="inlineStr"/>
      <c r="O887" s="6" t="inlineStr"/>
      <c r="P887" s="6" t="inlineStr"/>
      <c r="Q887" s="5" t="inlineStr"/>
      <c r="R887" s="5" t="inlineStr"/>
      <c r="S887" s="5" t="inlineStr"/>
      <c r="T887" s="5" t="inlineStr"/>
      <c r="U887" s="5" t="inlineStr"/>
      <c r="V887" s="5" t="inlineStr"/>
      <c r="W887" s="5" t="inlineStr"/>
      <c r="X887" s="5" t="inlineStr"/>
      <c r="Y887" s="5" t="inlineStr"/>
      <c r="Z887" s="6" t="inlineStr"/>
      <c r="AA887" s="5" t="inlineStr"/>
      <c r="AB887" s="5" t="inlineStr"/>
      <c r="AC887" s="5" t="inlineStr"/>
      <c r="AD887" s="5" t="inlineStr"/>
      <c r="AE887" s="5" t="inlineStr"/>
      <c r="AF887" s="5" t="inlineStr"/>
      <c r="AG887" s="5" t="inlineStr"/>
      <c r="AH887" s="5" t="inlineStr"/>
      <c r="AI887" s="5" t="inlineStr"/>
      <c r="AJ887" s="5" t="inlineStr"/>
    </row>
    <row r="888">
      <c r="A888" s="5" t="inlineStr">
        <is>
          <t>mb-kisa-gorusme</t>
        </is>
      </c>
      <c r="B888" s="5" t="n">
        <v>1</v>
      </c>
      <c r="C888" s="6" t="inlineStr">
        <is>
          <t>Yüzünü belli etme</t>
        </is>
      </c>
      <c r="D888" s="5" t="inlineStr">
        <is>
          <t>Dayanıklılık</t>
        </is>
      </c>
      <c r="E888" s="5" t="inlineStr">
        <is>
          <t>Zor</t>
        </is>
      </c>
      <c r="F888" s="5" t="inlineStr"/>
      <c r="G888" s="6" t="inlineStr"/>
      <c r="H888" s="6" t="inlineStr">
        <is>
          <t>Hiçbir şey belli etmedin. Görüşme 'devam' kararıyla bitti. Masan hâlâ senin.</t>
        </is>
      </c>
      <c r="I888" s="6" t="inlineStr">
        <is>
          <t>Öyle sakindin ki görüşmenin sonunda yöneticin kendi durumunu sana sordu.</t>
        </is>
      </c>
      <c r="J888" s="6" t="inlineStr">
        <is>
          <t>'Kartınızı getirdiniz mi?' sorusunda yüzün düştü. Penceresiz bir departmana 'yatay geçiş' yaptın.</t>
        </is>
      </c>
      <c r="K888" s="6" t="inlineStr">
        <is>
          <t>Görüşmede ağlayan sen değil, insan kaynaklarından gelen kişiydi. On dakika onu teselli ettin, peçete uzattın. Kalan beş dakikada sana yarım gün çalışmayı önerdi; duygulanmıştın, kabul ettin.</t>
        </is>
      </c>
      <c r="L888" s="6" t="inlineStr">
        <is>
          <t>Bir soruda gözün seğirdi. Kaldın ama masan pencere kenarından koridora taşındı.</t>
        </is>
      </c>
      <c r="M888" s="5" t="inlineStr">
        <is>
          <t>duel</t>
        </is>
      </c>
      <c r="N888" s="5" t="inlineStr">
        <is>
          <t>Kısa Görüşme</t>
        </is>
      </c>
      <c r="O888" s="6" t="inlineStr">
        <is>
          <t>Karşındakinin sabrı bitmeden en iyi cevabı seç.</t>
        </is>
      </c>
      <c r="P888" s="6" t="inlineStr">
        <is>
          <t>{"who": "İnsan kaynakları", "rounds": [{"q": "Şirkette kendini nasıl görüyorsun?", "o": [{"t": "Değer üreten, uyum sağlayan biri olarak.", "s": 1}, {"t": "Hiç düşünmedim.", "s": 0.2}, {"t": "Sen söyle.", "s": 0.3}]}, {"q": "Değişime açık mısın?", "o": [{"t": "Açığım; hangi değişim, takvim ne?", "s": 1}, {"t": "Elbette, her şeye.", "s": 0.4}, {"t": "Bu bir yeniden yapılanma mı?", "s": 0.55}]}, {"q": "Şu formu bir okur musun?", "o": [{"t": "Okurum, ama önce metni ve tarihi konuşalım.", "s": 1}, {"t": "İmzalarım.", "s": 0.1}, {"t": "Avukatıma sorayım.", "s": 0.6}]}]}</t>
        </is>
      </c>
      <c r="Q888" s="5" t="inlineStr"/>
      <c r="R888" s="5" t="inlineStr"/>
      <c r="S888" s="5" t="inlineStr"/>
      <c r="T888" s="5" t="inlineStr"/>
      <c r="U888" s="5" t="inlineStr"/>
      <c r="V888" s="5" t="inlineStr">
        <is>
          <t>beyazyaka-sag-kaldi</t>
        </is>
      </c>
      <c r="W888" s="5" t="inlineStr"/>
      <c r="X888" s="5" t="inlineStr"/>
      <c r="Y888" s="5" t="inlineStr"/>
      <c r="Z888" s="6" t="inlineStr"/>
      <c r="AA888" s="5" t="inlineStr"/>
      <c r="AB888" s="5" t="inlineStr"/>
      <c r="AC888" s="5" t="inlineStr"/>
      <c r="AD888" s="5" t="inlineStr"/>
      <c r="AE888" s="5" t="inlineStr"/>
      <c r="AF888" s="5" t="inlineStr"/>
      <c r="AG888" s="5" t="inlineStr"/>
      <c r="AH888" s="5" t="inlineStr"/>
      <c r="AI888" s="5" t="inlineStr"/>
      <c r="AJ888" s="5" t="inlineStr"/>
    </row>
    <row r="889">
      <c r="A889" s="5" t="inlineStr">
        <is>
          <t>mb-kisa-gorusme</t>
        </is>
      </c>
      <c r="B889" s="5" t="n">
        <v>2</v>
      </c>
      <c r="C889" s="6" t="inlineStr">
        <is>
          <t>'Ekibimi ben korurum' de</t>
        </is>
      </c>
      <c r="D889" s="5" t="inlineStr">
        <is>
          <t>Cesaret</t>
        </is>
      </c>
      <c r="E889" s="5" t="inlineStr">
        <is>
          <t>Orta</t>
        </is>
      </c>
      <c r="F889" s="5" t="inlineStr"/>
      <c r="G889" s="6" t="inlineStr"/>
      <c r="H889" s="6" t="inlineStr">
        <is>
          <t>Ekibin kaldı, sen de kaldın. Bütçe üç kişilik, ekip altı kişi; çayı artık evden termosla getiriyorsun.</t>
        </is>
      </c>
      <c r="I889" s="6" t="inlineStr">
        <is>
          <t>Ekibini savundun, yönetim etkilendi, sana bir ekip daha verdi. Bütçesiz.</t>
        </is>
      </c>
      <c r="J889" s="6" t="inlineStr">
        <is>
          <t>Ekibin kaldı. Sen “danışman” oldun; masan, çay bardağın ve otopark yerin aynı gün gitti.</t>
        </is>
      </c>
      <c r="K889" s="6" t="inlineStr">
        <is>
          <t>Ekibini savunurken 'Beni de çıkarın o zaman' dedin. Not alındı.</t>
        </is>
      </c>
      <c r="L889" s="6" t="inlineStr"/>
      <c r="M889" s="5" t="inlineStr"/>
      <c r="N889" s="5" t="inlineStr"/>
      <c r="O889" s="6" t="inlineStr"/>
      <c r="P889" s="6" t="inlineStr"/>
      <c r="Q889" s="5" t="inlineStr"/>
      <c r="R889" s="5" t="inlineStr">
        <is>
          <t>beyazyaka-terfi-aldi</t>
        </is>
      </c>
      <c r="S889" s="5" t="inlineStr"/>
      <c r="T889" s="5" t="inlineStr"/>
      <c r="U889" s="5" t="inlineStr"/>
      <c r="V889" s="5" t="inlineStr">
        <is>
          <t>beyazyaka-sag-kaldi</t>
        </is>
      </c>
      <c r="W889" s="5" t="inlineStr"/>
      <c r="X889" s="5" t="inlineStr"/>
      <c r="Y889" s="5" t="inlineStr"/>
      <c r="Z889" s="6" t="inlineStr"/>
      <c r="AA889" s="5" t="inlineStr"/>
      <c r="AB889" s="5" t="inlineStr"/>
      <c r="AC889" s="5" t="inlineStr"/>
      <c r="AD889" s="5" t="inlineStr"/>
      <c r="AE889" s="5" t="inlineStr"/>
      <c r="AF889" s="5" t="inlineStr"/>
      <c r="AG889" s="5" t="inlineStr"/>
      <c r="AH889" s="5" t="inlineStr"/>
      <c r="AI889" s="5" t="inlineStr"/>
      <c r="AJ889" s="5" t="inlineStr"/>
    </row>
    <row r="890">
      <c r="A890" s="5" t="inlineStr">
        <is>
          <t>mb-kisa-gorusme</t>
        </is>
      </c>
      <c r="B890" s="5" t="n">
        <v>3</v>
      </c>
      <c r="C890" s="6" t="inlineStr">
        <is>
          <t>Sessizce dinle</t>
        </is>
      </c>
      <c r="D890" s="5" t="inlineStr"/>
      <c r="E890" s="5" t="inlineStr"/>
      <c r="F890" s="5" t="inlineStr">
        <is>
          <t>Dayanıklılık +1</t>
        </is>
      </c>
      <c r="G890" s="6" t="inlineStr">
        <is>
          <t>Dinledin. Görüşme on dört dakika sürdü. Bir dakikası 'Nasılsın?' için ayrılmıştı.</t>
        </is>
      </c>
      <c r="H890" s="6" t="inlineStr"/>
      <c r="I890" s="6" t="inlineStr"/>
      <c r="J890" s="6" t="inlineStr"/>
      <c r="K890" s="6" t="inlineStr"/>
      <c r="L890" s="6" t="inlineStr"/>
      <c r="M890" s="5" t="inlineStr"/>
      <c r="N890" s="5" t="inlineStr"/>
      <c r="O890" s="6" t="inlineStr"/>
      <c r="P890" s="6" t="inlineStr"/>
      <c r="Q890" s="5" t="inlineStr"/>
      <c r="R890" s="5" t="inlineStr"/>
      <c r="S890" s="5" t="inlineStr"/>
      <c r="T890" s="5" t="inlineStr"/>
      <c r="U890" s="5" t="inlineStr">
        <is>
          <t>beyazyaka-sag-kaldi</t>
        </is>
      </c>
      <c r="V890" s="5" t="inlineStr"/>
      <c r="W890" s="5" t="inlineStr"/>
      <c r="X890" s="5" t="inlineStr"/>
      <c r="Y890" s="5" t="inlineStr"/>
      <c r="Z890" s="6" t="inlineStr"/>
      <c r="AA890" s="5" t="inlineStr"/>
      <c r="AB890" s="5" t="inlineStr"/>
      <c r="AC890" s="5" t="inlineStr"/>
      <c r="AD890" s="5" t="inlineStr"/>
      <c r="AE890" s="5" t="inlineStr"/>
      <c r="AF890" s="5" t="inlineStr"/>
      <c r="AG890" s="5" t="inlineStr"/>
      <c r="AH890" s="5" t="inlineStr"/>
      <c r="AI890" s="5" t="inlineStr"/>
      <c r="AJ890" s="5" t="inlineStr"/>
    </row>
    <row r="891">
      <c r="A891" s="5" t="inlineStr">
        <is>
          <t>me-internet-satis</t>
        </is>
      </c>
      <c r="B891" s="5" t="n">
        <v>1</v>
      </c>
      <c r="C891" s="6" t="inlineStr">
        <is>
          <t>Siteyi kendin kur</t>
        </is>
      </c>
      <c r="D891" s="5" t="inlineStr">
        <is>
          <t>Akıl</t>
        </is>
      </c>
      <c r="E891" s="5" t="inlineStr">
        <is>
          <t>Zor</t>
        </is>
      </c>
      <c r="F891" s="5" t="inlineStr"/>
      <c r="G891" s="6" t="inlineStr"/>
      <c r="H891" s="6" t="inlineStr">
        <is>
          <t>Siteyi kurdun. İlk sipariş komşudan geldi; kargoyla, karşı kapıdan.</t>
        </is>
      </c>
      <c r="I891" s="6" t="inlineStr">
        <is>
          <t>Başka şehirlerden sipariş gelmeye başladı. 'Kargoya verildi' mesajı yazarken artık gururlanıyorsun.</t>
        </is>
      </c>
      <c r="J891" s="6" t="inlineStr">
        <is>
          <t>Siteyi kurdun. Bütün ürün fotoğraflarında başparmağın var.</t>
        </is>
      </c>
      <c r="K891" s="6" t="inlineStr">
        <is>
          <t>Fiyatları sıfır girmişsin. Gece üç yüz sipariş geldi. Sabah kepengi açamadın; kapı kolilerle kapanmıştı.</t>
        </is>
      </c>
      <c r="L891" s="6" t="inlineStr"/>
      <c r="M891" s="5" t="inlineStr"/>
      <c r="N891" s="5" t="inlineStr"/>
      <c r="O891" s="6" t="inlineStr"/>
      <c r="P891" s="6" t="inlineStr"/>
      <c r="Q891" s="5" t="inlineStr"/>
      <c r="R891" s="5" t="inlineStr"/>
      <c r="S891" s="5" t="inlineStr"/>
      <c r="T891" s="5" t="inlineStr"/>
      <c r="U891" s="5" t="inlineStr"/>
      <c r="V891" s="5" t="inlineStr"/>
      <c r="W891" s="5" t="inlineStr"/>
      <c r="X891" s="5" t="inlineStr"/>
      <c r="Y891" s="5" t="inlineStr"/>
      <c r="Z891" s="6" t="inlineStr"/>
      <c r="AA891" s="5" t="inlineStr"/>
      <c r="AB891" s="5" t="inlineStr"/>
      <c r="AC891" s="5" t="inlineStr"/>
      <c r="AD891" s="5" t="inlineStr"/>
      <c r="AE891" s="5" t="inlineStr"/>
      <c r="AF891" s="5" t="inlineStr"/>
      <c r="AG891" s="5" t="inlineStr"/>
      <c r="AH891" s="5" t="inlineStr"/>
      <c r="AI891" s="5" t="inlineStr"/>
      <c r="AJ891" s="5" t="inlineStr"/>
    </row>
    <row r="892">
      <c r="A892" s="5" t="inlineStr">
        <is>
          <t>me-internet-satis</t>
        </is>
      </c>
      <c r="B892" s="5" t="n">
        <v>2</v>
      </c>
      <c r="C892" s="6" t="inlineStr">
        <is>
          <t>Çırağa emanet et</t>
        </is>
      </c>
      <c r="D892" s="5" t="inlineStr"/>
      <c r="E892" s="5" t="inlineStr"/>
      <c r="F892" s="5" t="inlineStr">
        <is>
          <t>Sosyal Radar +1, Akıl +1</t>
        </is>
      </c>
      <c r="G892" s="6" t="inlineStr">
        <is>
          <t>Çırak siteyi bir haftada kurdu. Sen 'Beğen' tuşuna basmayı öğrendin; o da yetti.</t>
        </is>
      </c>
      <c r="H892" s="6" t="inlineStr"/>
      <c r="I892" s="6" t="inlineStr"/>
      <c r="J892" s="6" t="inlineStr"/>
      <c r="K892" s="6" t="inlineStr"/>
      <c r="L892" s="6" t="inlineStr"/>
      <c r="M892" s="5" t="inlineStr"/>
      <c r="N892" s="5" t="inlineStr"/>
      <c r="O892" s="6" t="inlineStr"/>
      <c r="P892" s="6" t="inlineStr"/>
      <c r="Q892" s="5" t="inlineStr"/>
      <c r="R892" s="5" t="inlineStr">
        <is>
          <t>esnaf-cirak</t>
        </is>
      </c>
      <c r="S892" s="5" t="inlineStr"/>
      <c r="T892" s="5" t="inlineStr"/>
      <c r="U892" s="5" t="inlineStr"/>
      <c r="V892" s="5" t="inlineStr"/>
      <c r="W892" s="5" t="inlineStr"/>
      <c r="X892" s="5" t="inlineStr"/>
      <c r="Y892" s="5" t="inlineStr"/>
      <c r="Z892" s="6" t="inlineStr"/>
      <c r="AA892" s="5" t="inlineStr"/>
      <c r="AB892" s="5" t="inlineStr"/>
      <c r="AC892" s="5" t="inlineStr"/>
      <c r="AD892" s="5" t="inlineStr"/>
      <c r="AE892" s="5" t="inlineStr"/>
      <c r="AF892" s="5" t="inlineStr"/>
      <c r="AG892" s="5" t="inlineStr"/>
      <c r="AH892" s="5" t="inlineStr"/>
      <c r="AI892" s="5" t="inlineStr"/>
      <c r="AJ892" s="5" t="inlineStr"/>
    </row>
    <row r="893">
      <c r="A893" s="5" t="inlineStr">
        <is>
          <t>me-internet-satis</t>
        </is>
      </c>
      <c r="B893" s="5" t="n">
        <v>3</v>
      </c>
      <c r="C893" s="6" t="inlineStr">
        <is>
          <t>Dükkândan kısa video çek</t>
        </is>
      </c>
      <c r="D893" s="5" t="inlineStr">
        <is>
          <t>Pişkinlik</t>
        </is>
      </c>
      <c r="E893" s="5" t="inlineStr">
        <is>
          <t>Orta</t>
        </is>
      </c>
      <c r="F893" s="5" t="inlineStr"/>
      <c r="G893" s="6" t="inlineStr"/>
      <c r="H893" s="6" t="inlineStr">
        <is>
          <t>Video tuttu. Satışlar biraz arttı, tanınman çok. Pazarda biri seni durdurdu: “Siz o videodaki değil misiniz?” Elinde karşı dükkândan aldığı poşet vardı.</t>
        </is>
      </c>
      <c r="I893" s="6" t="inlineStr">
        <is>
          <t>Videon yayıldı. Dükkâna fotoğraf çekmeye gelenler artık bir şey de alıyor. Çoğu.</t>
        </is>
      </c>
      <c r="J893" s="6" t="inlineStr">
        <is>
          <t>Videonun en çok izlenen kısmı arkadan geçen kedi oldu.</t>
        </is>
      </c>
      <c r="K893" s="6" t="inlineStr">
        <is>
          <t>Videoda karşı dükkânın tabelası seninkinden net çıktı. Onun satışları arttı.</t>
        </is>
      </c>
      <c r="L893" s="6" t="inlineStr"/>
      <c r="M893" s="5" t="inlineStr"/>
      <c r="N893" s="5" t="inlineStr"/>
      <c r="O893" s="6" t="inlineStr"/>
      <c r="P893" s="6" t="inlineStr"/>
      <c r="Q893" s="5" t="inlineStr">
        <is>
          <t>Şifreyi Bilen</t>
        </is>
      </c>
      <c r="R893" s="5" t="inlineStr"/>
      <c r="S893" s="5" t="inlineStr"/>
      <c r="T893" s="5" t="inlineStr"/>
      <c r="U893" s="5" t="inlineStr"/>
      <c r="V893" s="5" t="inlineStr"/>
      <c r="W893" s="5" t="inlineStr"/>
      <c r="X893" s="5" t="inlineStr"/>
      <c r="Y893" s="5" t="inlineStr"/>
      <c r="Z893" s="6" t="inlineStr"/>
      <c r="AA893" s="5" t="inlineStr"/>
      <c r="AB893" s="5" t="inlineStr"/>
      <c r="AC893" s="5" t="inlineStr"/>
      <c r="AD893" s="5" t="inlineStr"/>
      <c r="AE893" s="5" t="inlineStr"/>
      <c r="AF893" s="5" t="inlineStr"/>
      <c r="AG893" s="5" t="inlineStr"/>
      <c r="AH893" s="5" t="inlineStr"/>
      <c r="AI893" s="5" t="inlineStr"/>
      <c r="AJ893" s="5" t="inlineStr"/>
    </row>
    <row r="894">
      <c r="A894" s="5" t="inlineStr">
        <is>
          <t>me-internet-satis</t>
        </is>
      </c>
      <c r="B894" s="5" t="n">
        <v>4</v>
      </c>
      <c r="C894" s="6" t="inlineStr">
        <is>
          <t>Direnmeye devam et</t>
        </is>
      </c>
      <c r="D894" s="5" t="inlineStr"/>
      <c r="E894" s="5" t="inlineStr"/>
      <c r="F894" s="5" t="inlineStr">
        <is>
          <t>İtibar +1</t>
        </is>
      </c>
      <c r="G894" s="6" t="inlineStr">
        <is>
          <t>'Benim müşterim kapıdan gelir' dedin. Kapı hâlâ açık. Önünden kargo kuryeleri geçiyor.</t>
        </is>
      </c>
      <c r="H894" s="6" t="inlineStr"/>
      <c r="I894" s="6" t="inlineStr"/>
      <c r="J894" s="6" t="inlineStr"/>
      <c r="K894" s="6" t="inlineStr"/>
      <c r="L894" s="6" t="inlineStr"/>
      <c r="M894" s="5" t="inlineStr"/>
      <c r="N894" s="5" t="inlineStr"/>
      <c r="O894" s="6" t="inlineStr"/>
      <c r="P894" s="6" t="inlineStr"/>
      <c r="Q894" s="5" t="inlineStr"/>
      <c r="R894" s="5" t="inlineStr"/>
      <c r="S894" s="5" t="inlineStr"/>
      <c r="T894" s="5" t="inlineStr"/>
      <c r="U894" s="5" t="inlineStr"/>
      <c r="V894" s="5" t="inlineStr"/>
      <c r="W894" s="5" t="inlineStr"/>
      <c r="X894" s="5" t="inlineStr"/>
      <c r="Y894" s="5" t="inlineStr"/>
      <c r="Z894" s="6" t="inlineStr"/>
      <c r="AA894" s="5" t="inlineStr"/>
      <c r="AB894" s="5" t="inlineStr"/>
      <c r="AC894" s="5" t="inlineStr"/>
      <c r="AD894" s="5" t="inlineStr"/>
      <c r="AE894" s="5" t="inlineStr"/>
      <c r="AF894" s="5" t="inlineStr"/>
      <c r="AG894" s="5" t="inlineStr"/>
      <c r="AH894" s="5" t="inlineStr"/>
      <c r="AI894" s="5" t="inlineStr"/>
      <c r="AJ894" s="5" t="inlineStr"/>
    </row>
    <row r="895">
      <c r="A895" s="5" t="inlineStr">
        <is>
          <t>mm-terfi-sinavi</t>
        </is>
      </c>
      <c r="B895" s="5" t="n">
        <v>1</v>
      </c>
      <c r="C895" s="6" t="inlineStr">
        <is>
          <t>Gece gündüz çalış</t>
        </is>
      </c>
      <c r="D895" s="5" t="inlineStr">
        <is>
          <t>Akıl</t>
        </is>
      </c>
      <c r="E895" s="5" t="inlineStr">
        <is>
          <t>Zor</t>
        </is>
      </c>
      <c r="F895" s="5" t="inlineStr"/>
      <c r="G895" s="6" t="inlineStr"/>
      <c r="H895" s="6" t="inlineStr">
        <is>
          <t>Sınavı geçtin, şube müdürü oldun. Artık 'Yarın gelin' diyen değil, 'Yarın gelsinler' diyen sensin.</t>
        </is>
      </c>
      <c r="I895" s="6" t="inlineStr">
        <is>
          <t>Birinci oldun. Komisyon senin kâğıdını gelecek yılın cevap anahtarı yaptı.</t>
        </is>
      </c>
      <c r="J895" s="6" t="inlineStr">
        <is>
          <t>Kıl payı kaldın. Kıl payı, kurum dilinde 'bir sonraki döneme kadar' demek.</t>
        </is>
      </c>
      <c r="K895" s="6" t="inlineStr">
        <is>
          <t>Sınav gününü yanlış yazmışsın. Boş salonda iki saat tek başına sınav oldun. Kâğıdın okunmadı.</t>
        </is>
      </c>
      <c r="L895" s="6" t="inlineStr"/>
      <c r="M895" s="5" t="inlineStr"/>
      <c r="N895" s="5" t="inlineStr"/>
      <c r="O895" s="6" t="inlineStr"/>
      <c r="P895" s="6" t="inlineStr"/>
      <c r="Q895" s="5" t="inlineStr"/>
      <c r="R895" s="5" t="inlineStr"/>
      <c r="S895" s="5" t="inlineStr"/>
      <c r="T895" s="5" t="inlineStr">
        <is>
          <t>Mevzuat Kalkanı</t>
        </is>
      </c>
      <c r="U895" s="5" t="inlineStr"/>
      <c r="V895" s="5" t="inlineStr">
        <is>
          <t>memur-terfi</t>
        </is>
      </c>
      <c r="W895" s="5" t="inlineStr"/>
      <c r="X895" s="5" t="inlineStr"/>
      <c r="Y895" s="5" t="inlineStr"/>
      <c r="Z895" s="6" t="inlineStr"/>
      <c r="AA895" s="5" t="inlineStr"/>
      <c r="AB895" s="5" t="inlineStr"/>
      <c r="AC895" s="5" t="inlineStr"/>
      <c r="AD895" s="5" t="inlineStr"/>
      <c r="AE895" s="5" t="inlineStr"/>
      <c r="AF895" s="5" t="inlineStr"/>
      <c r="AG895" s="5" t="inlineStr"/>
      <c r="AH895" s="5" t="inlineStr"/>
      <c r="AI895" s="5" t="inlineStr"/>
      <c r="AJ895" s="5" t="inlineStr"/>
    </row>
    <row r="896">
      <c r="A896" s="5" t="inlineStr">
        <is>
          <t>mm-terfi-sinavi</t>
        </is>
      </c>
      <c r="B896" s="5" t="n">
        <v>2</v>
      </c>
      <c r="C896" s="6" t="inlineStr">
        <is>
          <t>Değişen maddeye odaklan</t>
        </is>
      </c>
      <c r="D896" s="5" t="inlineStr">
        <is>
          <t>Akıl</t>
        </is>
      </c>
      <c r="E896" s="5" t="inlineStr">
        <is>
          <t>Zor</t>
        </is>
      </c>
      <c r="F896" s="5" t="inlineStr"/>
      <c r="G896" s="6" t="inlineStr"/>
      <c r="H896" s="6" t="inlineStr">
        <is>
          <t>Soruların yarısı o maddeden geldi. Sınavı rahat geçtin.</t>
        </is>
      </c>
      <c r="I896" s="6" t="inlineStr">
        <is>
          <t>Soruların tamamı o maddedendi. Sınavdan çıkarken madde numarasını dövme yaptırmayı düşündün.</t>
        </is>
      </c>
      <c r="J896" s="6" t="inlineStr">
        <is>
          <t>Madde o yıl bir kez daha değişmiş. Sen bir önceki değişikliğe çalışmıştın.</t>
        </is>
      </c>
      <c r="K896" s="6" t="inlineStr">
        <is>
          <t>O maddeye o kadar odaklandın ki sınav kâğıdına adını yazmayı unuttun. En yüksek puanı 'isimsiz' aldı.</t>
        </is>
      </c>
      <c r="L896" s="6" t="inlineStr"/>
      <c r="M896" s="5" t="inlineStr"/>
      <c r="N896" s="5" t="inlineStr"/>
      <c r="O896" s="6" t="inlineStr"/>
      <c r="P896" s="6" t="inlineStr"/>
      <c r="Q896" s="5" t="inlineStr"/>
      <c r="R896" s="5" t="inlineStr"/>
      <c r="S896" s="5" t="inlineStr">
        <is>
          <t>Akıl</t>
        </is>
      </c>
      <c r="T896" s="5" t="inlineStr">
        <is>
          <t>Mevzuat Kalkanı</t>
        </is>
      </c>
      <c r="U896" s="5" t="inlineStr"/>
      <c r="V896" s="5" t="inlineStr">
        <is>
          <t>memur-terfi</t>
        </is>
      </c>
      <c r="W896" s="5" t="inlineStr"/>
      <c r="X896" s="5" t="inlineStr"/>
      <c r="Y896" s="5" t="inlineStr"/>
      <c r="Z896" s="6" t="inlineStr"/>
      <c r="AA896" s="5" t="inlineStr"/>
      <c r="AB896" s="5" t="inlineStr"/>
      <c r="AC896" s="5" t="inlineStr"/>
      <c r="AD896" s="5" t="inlineStr"/>
      <c r="AE896" s="5" t="inlineStr"/>
      <c r="AF896" s="5" t="inlineStr"/>
      <c r="AG896" s="5" t="inlineStr"/>
      <c r="AH896" s="5" t="inlineStr"/>
      <c r="AI896" s="5" t="inlineStr">
        <is>
          <t>İsimsiz Birinci</t>
        </is>
      </c>
      <c r="AJ896" s="5" t="inlineStr"/>
    </row>
    <row r="897">
      <c r="A897" s="5" t="inlineStr">
        <is>
          <t>mm-terfi-sinavi</t>
        </is>
      </c>
      <c r="B897" s="5" t="n">
        <v>3</v>
      </c>
      <c r="C897" s="6" t="inlineStr">
        <is>
          <t>Çocuğunla birlikte çalış</t>
        </is>
      </c>
      <c r="D897" s="5" t="inlineStr">
        <is>
          <t>Dayanıklılık</t>
        </is>
      </c>
      <c r="E897" s="5" t="inlineStr">
        <is>
          <t>Orta</t>
        </is>
      </c>
      <c r="F897" s="5" t="inlineStr"/>
      <c r="G897" s="6" t="inlineStr"/>
      <c r="H897" s="6" t="inlineStr">
        <is>
          <t>Aynı masada çalıştınız. İkiniz de geçtiniz: sen terfiyi, o yazılıyı.</t>
        </is>
      </c>
      <c r="I897" s="6" t="inlineStr">
        <is>
          <t>Çocuğun sana test tekniği öğretti, sen ona sabır. Sonuçlar aynı gün açıklandı; ikiniz de birinci. Annen aynı fotoğrafı bütün akrabaya iki kez gönderdi.</t>
        </is>
      </c>
      <c r="J897" s="6" t="inlineStr">
        <is>
          <t>Çocuğun sana test tekniği anlattı; sen onun sorularını çözdün. İkiniz de başkasının sınavına hazırlandınız.</t>
        </is>
      </c>
      <c r="K897" s="6" t="inlineStr">
        <is>
          <t>Onun tabletine alıştın. Sınav gününe kadar öğrendiğin tek şey bir oyunun üçüncü bölümü.</t>
        </is>
      </c>
      <c r="L897" s="6" t="inlineStr"/>
      <c r="M897" s="5" t="inlineStr"/>
      <c r="N897" s="5" t="inlineStr"/>
      <c r="O897" s="6" t="inlineStr"/>
      <c r="P897" s="6" t="inlineStr"/>
      <c r="Q897" s="5" t="inlineStr"/>
      <c r="R897" s="5" t="inlineStr">
        <is>
          <t>cocuklu</t>
        </is>
      </c>
      <c r="S897" s="5" t="inlineStr"/>
      <c r="T897" s="5" t="inlineStr"/>
      <c r="U897" s="5" t="inlineStr"/>
      <c r="V897" s="5" t="inlineStr">
        <is>
          <t>memur-terfi</t>
        </is>
      </c>
      <c r="W897" s="5" t="inlineStr"/>
      <c r="X897" s="5" t="inlineStr"/>
      <c r="Y897" s="5" t="inlineStr"/>
      <c r="Z897" s="6" t="inlineStr"/>
      <c r="AA897" s="5" t="inlineStr"/>
      <c r="AB897" s="5" t="inlineStr"/>
      <c r="AC897" s="5" t="inlineStr"/>
      <c r="AD897" s="5" t="inlineStr"/>
      <c r="AE897" s="5" t="inlineStr"/>
      <c r="AF897" s="5" t="inlineStr"/>
      <c r="AG897" s="5" t="inlineStr"/>
      <c r="AH897" s="5" t="inlineStr"/>
      <c r="AI897" s="5" t="inlineStr"/>
      <c r="AJ897" s="5" t="inlineStr"/>
    </row>
    <row r="898">
      <c r="A898" s="5" t="inlineStr">
        <is>
          <t>mm-terfi-sinavi</t>
        </is>
      </c>
      <c r="B898" s="5" t="n">
        <v>4</v>
      </c>
      <c r="C898" s="6" t="inlineStr">
        <is>
          <t>Girme, masanda kal</t>
        </is>
      </c>
      <c r="D898" s="5" t="inlineStr"/>
      <c r="E898" s="5" t="inlineStr"/>
      <c r="F898" s="5" t="inlineStr">
        <is>
          <t>Dayanıklılık +1</t>
        </is>
      </c>
      <c r="G898" s="6" t="inlineStr">
        <is>
          <t>Sınava girmedin. Masan pencere kenarında, çayın sıcak. Yeni şube müdürü ilk gün sana geldi: “Burada işler nasıl yürüyor?” Anlattın; o müdür, sen bilen.</t>
        </is>
      </c>
      <c r="H898" s="6" t="inlineStr"/>
      <c r="I898" s="6" t="inlineStr"/>
      <c r="J898" s="6" t="inlineStr"/>
      <c r="K898" s="6" t="inlineStr"/>
      <c r="L898" s="6" t="inlineStr"/>
      <c r="M898" s="5" t="inlineStr"/>
      <c r="N898" s="5" t="inlineStr"/>
      <c r="O898" s="6" t="inlineStr"/>
      <c r="P898" s="6" t="inlineStr"/>
      <c r="Q898" s="5" t="inlineStr"/>
      <c r="R898" s="5" t="inlineStr"/>
      <c r="S898" s="5" t="inlineStr"/>
      <c r="T898" s="5" t="inlineStr"/>
      <c r="U898" s="5" t="inlineStr"/>
      <c r="V898" s="5" t="inlineStr"/>
      <c r="W898" s="5" t="inlineStr"/>
      <c r="X898" s="5" t="inlineStr"/>
      <c r="Y898" s="5" t="inlineStr"/>
      <c r="Z898" s="6" t="inlineStr"/>
      <c r="AA898" s="5" t="inlineStr"/>
      <c r="AB898" s="5" t="inlineStr"/>
      <c r="AC898" s="5" t="inlineStr"/>
      <c r="AD898" s="5" t="inlineStr"/>
      <c r="AE898" s="5" t="inlineStr"/>
      <c r="AF898" s="5" t="inlineStr"/>
      <c r="AG898" s="5" t="inlineStr"/>
      <c r="AH898" s="5" t="inlineStr"/>
      <c r="AI898" s="5" t="inlineStr"/>
      <c r="AJ898" s="5" t="inlineStr"/>
    </row>
    <row r="899">
      <c r="A899" s="5" t="inlineStr">
        <is>
          <t>b8-dijital-para</t>
        </is>
      </c>
      <c r="B899" s="5" t="n">
        <v>1</v>
      </c>
      <c r="C899" s="6" t="inlineStr">
        <is>
          <t>Teşekkür et, kapat</t>
        </is>
      </c>
      <c r="D899" s="5" t="inlineStr"/>
      <c r="E899" s="5" t="inlineStr"/>
      <c r="F899" s="5" t="inlineStr">
        <is>
          <t>Akıl +1, İtibar +1</t>
        </is>
      </c>
      <c r="G899" s="6" t="inlineStr">
        <is>
          <t>Telefonu kapattın. Bir hafta sonra paranın kurucuları da telefonlarını kapattı.</t>
        </is>
      </c>
      <c r="H899" s="6" t="inlineStr"/>
      <c r="I899" s="6" t="inlineStr"/>
      <c r="J899" s="6" t="inlineStr"/>
      <c r="K899" s="6" t="inlineStr"/>
      <c r="L899" s="6" t="inlineStr"/>
      <c r="M899" s="5" t="inlineStr"/>
      <c r="N899" s="5" t="inlineStr"/>
      <c r="O899" s="6" t="inlineStr"/>
      <c r="P899" s="6" t="inlineStr"/>
      <c r="Q899" s="5" t="inlineStr"/>
      <c r="R899" s="5" t="inlineStr"/>
      <c r="S899" s="5" t="inlineStr"/>
      <c r="T899" s="5" t="inlineStr"/>
      <c r="U899" s="5" t="inlineStr"/>
      <c r="V899" s="5" t="inlineStr"/>
      <c r="W899" s="5" t="inlineStr"/>
      <c r="X899" s="5" t="inlineStr"/>
      <c r="Y899" s="5" t="inlineStr"/>
      <c r="Z899" s="6" t="inlineStr"/>
      <c r="AA899" s="5" t="inlineStr"/>
      <c r="AB899" s="5" t="inlineStr"/>
      <c r="AC899" s="5" t="inlineStr"/>
      <c r="AD899" s="5" t="inlineStr"/>
      <c r="AE899" s="5" t="inlineStr"/>
      <c r="AF899" s="5" t="inlineStr"/>
      <c r="AG899" s="5" t="inlineStr"/>
      <c r="AH899" s="5" t="inlineStr"/>
      <c r="AI899" s="5" t="inlineStr"/>
      <c r="AJ899" s="5" t="inlineStr"/>
    </row>
    <row r="900">
      <c r="A900" s="5" t="inlineStr">
        <is>
          <t>b8-dijital-para</t>
        </is>
      </c>
      <c r="B900" s="5" t="n">
        <v>2</v>
      </c>
      <c r="C900" s="6" t="inlineStr">
        <is>
          <t>Küçük bir miktar yatır</t>
        </is>
      </c>
      <c r="D900" s="5" t="inlineStr">
        <is>
          <t>Kurnazlık</t>
        </is>
      </c>
      <c r="E900" s="5" t="inlineStr">
        <is>
          <t>Zor</t>
        </is>
      </c>
      <c r="F900" s="5" t="inlineStr"/>
      <c r="G900" s="6" t="inlineStr"/>
      <c r="H900" s="6" t="inlineStr">
        <is>
          <t>Az yatırdın, ikiye katladın, hemen sattın. Bu hikâyeyi on yıl anlatacaksın.</t>
        </is>
      </c>
      <c r="I900" s="6" t="inlineStr">
        <is>
          <t>Tam tepede sattın; bir saat sonra grafik uçurumdan atladı. Eski arkadaşın artık sana “hocam” diyor. Şans olduğunu kimseye söylemiyorsun.</t>
        </is>
      </c>
      <c r="J900" s="6" t="inlineStr">
        <is>
          <t>Az yatırdın; daha da az oldu. Grafik şu an bir kayak pisti.</t>
        </is>
      </c>
      <c r="K900" s="6" t="inlineStr">
        <is>
          <t>Az yatırdın, sonra biraz daha. Cüzdan şifresi bir kâğıttaydı. Kâğıt çamaşır makinesinde.</t>
        </is>
      </c>
      <c r="L900" s="6" t="inlineStr"/>
      <c r="M900" s="5" t="inlineStr"/>
      <c r="N900" s="5" t="inlineStr"/>
      <c r="O900" s="6" t="inlineStr"/>
      <c r="P900" s="6" t="inlineStr"/>
      <c r="Q900" s="5" t="inlineStr"/>
      <c r="R900" s="5" t="inlineStr"/>
      <c r="S900" s="5" t="inlineStr"/>
      <c r="T900" s="5" t="inlineStr"/>
      <c r="U900" s="5" t="inlineStr">
        <is>
          <t>dijital-paraci</t>
        </is>
      </c>
      <c r="V900" s="5" t="inlineStr"/>
      <c r="W900" s="5" t="inlineStr"/>
      <c r="X900" s="5" t="inlineStr"/>
      <c r="Y900" s="5" t="inlineStr"/>
      <c r="Z900" s="6" t="inlineStr"/>
      <c r="AA900" s="5" t="inlineStr"/>
      <c r="AB900" s="5" t="inlineStr"/>
      <c r="AC900" s="5" t="inlineStr"/>
      <c r="AD900" s="5" t="inlineStr"/>
      <c r="AE900" s="5" t="inlineStr"/>
      <c r="AF900" s="5" t="inlineStr"/>
      <c r="AG900" s="5" t="inlineStr"/>
      <c r="AH900" s="5" t="inlineStr"/>
      <c r="AI900" s="5" t="inlineStr"/>
      <c r="AJ900" s="5" t="inlineStr"/>
    </row>
    <row r="901">
      <c r="A901" s="5" t="inlineStr">
        <is>
          <t>b8-dijital-para</t>
        </is>
      </c>
      <c r="B901" s="5" t="n">
        <v>3</v>
      </c>
      <c r="C901" s="6" t="inlineStr">
        <is>
          <t>Borç tablonu arkadaşına gönder</t>
        </is>
      </c>
      <c r="D901" s="5" t="inlineStr">
        <is>
          <t>Akıl</t>
        </is>
      </c>
      <c r="E901" s="5" t="inlineStr">
        <is>
          <t>Orta</t>
        </is>
      </c>
      <c r="F901" s="5" t="inlineStr"/>
      <c r="G901" s="6" t="inlineStr"/>
      <c r="H901" s="6" t="inlineStr">
        <is>
          <t>Tabloyu gördü, sustu. Sonra 'Haklısın' dedi ve kendi yatırımını çekti.</t>
        </is>
      </c>
      <c r="I901" s="6" t="inlineStr">
        <is>
          <t>Tablon öyle ikna ediciydi ki arkadaşın parasını çekti, sonra annesini aradı, o da çekti. Bayramda annesi kapına bir tepsi baklava bıraktı.</t>
        </is>
      </c>
      <c r="J901" s="6" t="inlineStr">
        <is>
          <t>Tabloyu gönderdin. Cevap geldi: bir roket. Bir hafta sonra ikinci mesaj geldi: ağlayan bir yüz.</t>
        </is>
      </c>
      <c r="K901" s="6" t="inlineStr">
        <is>
          <t>Arkadaş tablonu başka arkadaşlarına gösterdi. Şimdi üç kişi daha sana 'hâlâ erken' diyor.</t>
        </is>
      </c>
      <c r="L901" s="6" t="inlineStr"/>
      <c r="M901" s="5" t="inlineStr"/>
      <c r="N901" s="5" t="inlineStr"/>
      <c r="O901" s="6" t="inlineStr"/>
      <c r="P901" s="6" t="inlineStr"/>
      <c r="Q901" s="5" t="inlineStr"/>
      <c r="R901" s="5" t="inlineStr"/>
      <c r="S901" s="5" t="inlineStr">
        <is>
          <t>Akıl</t>
        </is>
      </c>
      <c r="T901" s="5" t="inlineStr"/>
      <c r="U901" s="5" t="inlineStr"/>
      <c r="V901" s="5" t="inlineStr"/>
      <c r="W901" s="5" t="inlineStr"/>
      <c r="X901" s="5" t="inlineStr"/>
      <c r="Y901" s="5" t="inlineStr"/>
      <c r="Z901" s="6" t="inlineStr"/>
      <c r="AA901" s="5" t="inlineStr"/>
      <c r="AB901" s="5" t="inlineStr"/>
      <c r="AC901" s="5" t="inlineStr"/>
      <c r="AD901" s="5" t="inlineStr"/>
      <c r="AE901" s="5" t="inlineStr"/>
      <c r="AF901" s="5" t="inlineStr"/>
      <c r="AG901" s="5" t="inlineStr"/>
      <c r="AH901" s="5" t="inlineStr"/>
      <c r="AI901" s="5" t="inlineStr"/>
      <c r="AJ901" s="5" t="inlineStr"/>
    </row>
    <row r="902">
      <c r="A902" s="5" t="inlineStr">
        <is>
          <t>b8-dijital-para</t>
        </is>
      </c>
      <c r="B902" s="5" t="n">
        <v>4</v>
      </c>
      <c r="C902" s="6" t="inlineStr">
        <is>
          <t>'Sen ne kadar yatırdın?' diye sor</t>
        </is>
      </c>
      <c r="D902" s="5" t="inlineStr">
        <is>
          <t>Sosyal Radar</t>
        </is>
      </c>
      <c r="E902" s="5" t="inlineStr">
        <is>
          <t>Kolay</t>
        </is>
      </c>
      <c r="F902" s="5" t="inlineStr"/>
      <c r="G902" s="6" t="inlineStr"/>
      <c r="H902" s="6" t="inlineStr">
        <is>
          <t>'Hiç' dedi. Mesele anlaşıldı.</t>
        </is>
      </c>
      <c r="I902" s="6" t="inlineStr">
        <is>
          <t>Cevap vermeden önce iki saniye durdu. O iki saniye sana bir maaş kazandırdı.</t>
        </is>
      </c>
      <c r="J902" s="6" t="inlineStr">
        <is>
          <t>'Her şeyimi' dedi. İkiniz de sustunuz.</t>
        </is>
      </c>
      <c r="K902" s="6" t="inlineStr">
        <is>
          <t>'Her şeyimi, bir de senin payını' dedi. Senin adına yatırmış.</t>
        </is>
      </c>
      <c r="L902" s="6" t="inlineStr"/>
      <c r="M902" s="5" t="inlineStr"/>
      <c r="N902" s="5" t="inlineStr"/>
      <c r="O902" s="6" t="inlineStr"/>
      <c r="P902" s="6" t="inlineStr"/>
      <c r="Q902" s="5" t="inlineStr">
        <is>
          <t>Para Üstü Radarı</t>
        </is>
      </c>
      <c r="R902" s="5" t="inlineStr"/>
      <c r="S902" s="5" t="inlineStr"/>
      <c r="T902" s="5" t="inlineStr"/>
      <c r="U902" s="5" t="inlineStr"/>
      <c r="V902" s="5" t="inlineStr"/>
      <c r="W902" s="5" t="inlineStr"/>
      <c r="X902" s="5" t="inlineStr"/>
      <c r="Y902" s="5" t="inlineStr"/>
      <c r="Z902" s="6" t="inlineStr"/>
      <c r="AA902" s="5" t="inlineStr"/>
      <c r="AB902" s="5" t="inlineStr"/>
      <c r="AC902" s="5" t="inlineStr"/>
      <c r="AD902" s="5" t="inlineStr"/>
      <c r="AE902" s="5" t="inlineStr"/>
      <c r="AF902" s="5" t="inlineStr"/>
      <c r="AG902" s="5" t="inlineStr"/>
      <c r="AH902" s="5" t="inlineStr"/>
      <c r="AI902" s="5" t="inlineStr"/>
      <c r="AJ902" s="5" t="inlineStr"/>
    </row>
    <row r="903">
      <c r="A903" s="5" t="inlineStr">
        <is>
          <t>b8-o-cumle</t>
        </is>
      </c>
      <c r="B903" s="5" t="n">
        <v>1</v>
      </c>
      <c r="C903" s="6" t="inlineStr">
        <is>
          <t>“Biz senin yaşındayken…” diye başla</t>
        </is>
      </c>
      <c r="D903" s="5" t="inlineStr">
        <is>
          <t>Pişkinlik</t>
        </is>
      </c>
      <c r="E903" s="5" t="inlineStr">
        <is>
          <t>Kolay</t>
        </is>
      </c>
      <c r="F903" s="5" t="inlineStr"/>
      <c r="G903" s="6" t="inlineStr"/>
      <c r="H903" s="6" t="inlineStr">
        <is>
          <t>“Biz senin yaşında sokaktan eve girmezdik” dedin. Çocuk gözlerini devirdi. Sen içinden anne-babana hak verdin; otuz beş yıl gecikmeyle.</t>
        </is>
      </c>
      <c r="I903" s="6" t="inlineStr">
        <is>
          <t>Öyle kurdun ki çocuk telefonu bıraktı: “Anlat.” Gece ikiye kadar mahalle maçlarını, misket kavgalarını, sokak lambası yanınca eve çağrılmayı anlattın. Sabah çocuk kahvaltıya kendi geldi: “Dün kaldığın yerden.”</t>
        </is>
      </c>
      <c r="J903" s="6" t="inlineStr">
        <is>
          <t>Cümlenin yarısında kendi annenin sesiyle konuştuğunu fark ettin. Durdun. Geç kalmıştın.</t>
        </is>
      </c>
      <c r="K903" s="6" t="inlineStr">
        <is>
          <t>Çocuk seni gizlice kaydetmiş. Video “Biz senin yaşındayken, bölüm 12” adıyla bütün sınıfı dolaşıyor.</t>
        </is>
      </c>
      <c r="L903" s="6" t="inlineStr"/>
      <c r="M903" s="5" t="inlineStr"/>
      <c r="N903" s="5" t="inlineStr"/>
      <c r="O903" s="6" t="inlineStr"/>
      <c r="P903" s="6" t="inlineStr"/>
      <c r="Q903" s="5" t="inlineStr"/>
      <c r="R903" s="5" t="inlineStr"/>
      <c r="S903" s="5" t="inlineStr"/>
      <c r="T903" s="5" t="inlineStr"/>
      <c r="U903" s="5" t="inlineStr"/>
      <c r="V903" s="5" t="inlineStr"/>
      <c r="W903" s="5" t="inlineStr"/>
      <c r="X903" s="5" t="inlineStr"/>
      <c r="Y903" s="5" t="inlineStr"/>
      <c r="Z903" s="6" t="inlineStr"/>
      <c r="AA903" s="5" t="inlineStr"/>
      <c r="AB903" s="5" t="inlineStr"/>
      <c r="AC903" s="5" t="inlineStr"/>
      <c r="AD903" s="5" t="inlineStr"/>
      <c r="AE903" s="5" t="inlineStr"/>
      <c r="AF903" s="5" t="inlineStr"/>
      <c r="AG903" s="5" t="inlineStr"/>
      <c r="AH903" s="5" t="inlineStr"/>
      <c r="AI903" s="5" t="inlineStr">
        <is>
          <t>Biz Senin Yaşındayken</t>
        </is>
      </c>
      <c r="AJ903" s="5" t="inlineStr"/>
    </row>
    <row r="904">
      <c r="A904" s="5" t="inlineStr">
        <is>
          <t>b8-o-cumle</t>
        </is>
      </c>
      <c r="B904" s="5" t="n">
        <v>2</v>
      </c>
      <c r="C904" s="6" t="inlineStr">
        <is>
          <t>Cümleyi yut, birlikte sıkıl</t>
        </is>
      </c>
      <c r="D904" s="5" t="inlineStr"/>
      <c r="E904" s="5" t="inlineStr"/>
      <c r="F904" s="5" t="inlineStr">
        <is>
          <t>Gönül +1</t>
        </is>
      </c>
      <c r="G904" s="6" t="inlineStr">
        <is>
          <t>Cümleyi yuttun. Birlikte tavana baktınız. On dakika sonra ikiniz de güldünüz; sebep bulunamadı.</t>
        </is>
      </c>
      <c r="H904" s="6" t="inlineStr"/>
      <c r="I904" s="6" t="inlineStr"/>
      <c r="J904" s="6" t="inlineStr"/>
      <c r="K904" s="6" t="inlineStr"/>
      <c r="L904" s="6" t="inlineStr"/>
      <c r="M904" s="5" t="inlineStr"/>
      <c r="N904" s="5" t="inlineStr"/>
      <c r="O904" s="6" t="inlineStr"/>
      <c r="P904" s="6" t="inlineStr"/>
      <c r="Q904" s="5" t="inlineStr"/>
      <c r="R904" s="5" t="inlineStr"/>
      <c r="S904" s="5" t="inlineStr"/>
      <c r="T904" s="5" t="inlineStr"/>
      <c r="U904" s="5" t="inlineStr"/>
      <c r="V904" s="5" t="inlineStr"/>
      <c r="W904" s="5" t="inlineStr"/>
      <c r="X904" s="5" t="inlineStr"/>
      <c r="Y904" s="5" t="inlineStr"/>
      <c r="Z904" s="6" t="inlineStr"/>
      <c r="AA904" s="5" t="inlineStr"/>
      <c r="AB904" s="5" t="inlineStr"/>
      <c r="AC904" s="5" t="inlineStr"/>
      <c r="AD904" s="5" t="inlineStr"/>
      <c r="AE904" s="5" t="inlineStr"/>
      <c r="AF904" s="5" t="inlineStr"/>
      <c r="AG904" s="5" t="inlineStr"/>
      <c r="AH904" s="5" t="inlineStr"/>
      <c r="AI904" s="5" t="inlineStr"/>
      <c r="AJ904" s="5" t="inlineStr"/>
    </row>
    <row r="905">
      <c r="A905" s="5" t="inlineStr">
        <is>
          <t>b8-o-cumle</t>
        </is>
      </c>
      <c r="B905" s="5" t="n">
        <v>3</v>
      </c>
      <c r="C905" s="6" t="inlineStr">
        <is>
          <t>Bir sokak oyunu öğret</t>
        </is>
      </c>
      <c r="D905" s="5" t="inlineStr">
        <is>
          <t>Gönül</t>
        </is>
      </c>
      <c r="E905" s="5" t="inlineStr">
        <is>
          <t>Orta</t>
        </is>
      </c>
      <c r="F905" s="5" t="inlineStr"/>
      <c r="G905" s="6" t="inlineStr"/>
      <c r="H905" s="6" t="inlineStr">
        <is>
          <t>Apartmanın önünde yakan top kurdun. Çocuk önce “Bu ne?” dedi, sonra iki saat oynadı; alt kattaki çocukları da çağırdı.</t>
        </is>
      </c>
      <c r="I905" s="6" t="inlineStr">
        <is>
          <t>Öğrettiğin oyun okulda moda oldu. Veli grubunda biri yazdı: “Bunu kim öğretti? Çocuk eve gelmiyor!” Cevap vermedin; gururla.</t>
        </is>
      </c>
      <c r="J905" s="6" t="inlineStr">
        <is>
          <t>Anlatırken kuralları unuttun. Çocuk yenilerini yazdı; sen kaybettin.</t>
        </is>
      </c>
      <c r="K905" s="6" t="inlineStr">
        <is>
          <t>Gösterirken belin tutuldu. Çocuk sordu: 'Sizin zamanınızda bel var mıydı?'</t>
        </is>
      </c>
      <c r="L905" s="6" t="inlineStr"/>
      <c r="M905" s="5" t="inlineStr"/>
      <c r="N905" s="5" t="inlineStr"/>
      <c r="O905" s="6" t="inlineStr"/>
      <c r="P905" s="6" t="inlineStr"/>
      <c r="Q905" s="5" t="inlineStr"/>
      <c r="R905" s="5" t="inlineStr"/>
      <c r="S905" s="5" t="inlineStr"/>
      <c r="T905" s="5" t="inlineStr"/>
      <c r="U905" s="5" t="inlineStr"/>
      <c r="V905" s="5" t="inlineStr"/>
      <c r="W905" s="5" t="inlineStr"/>
      <c r="X905" s="5" t="inlineStr"/>
      <c r="Y905" s="5" t="inlineStr"/>
      <c r="Z905" s="6" t="inlineStr"/>
      <c r="AA905" s="5" t="inlineStr"/>
      <c r="AB905" s="5" t="inlineStr"/>
      <c r="AC905" s="5" t="inlineStr"/>
      <c r="AD905" s="5" t="inlineStr"/>
      <c r="AE905" s="5" t="inlineStr"/>
      <c r="AF905" s="5" t="inlineStr"/>
      <c r="AG905" s="5" t="inlineStr"/>
      <c r="AH905" s="5" t="inlineStr"/>
      <c r="AI905" s="5" t="inlineStr"/>
      <c r="AJ905" s="5" t="inlineStr"/>
    </row>
    <row r="906">
      <c r="A906" s="5" t="inlineStr">
        <is>
          <t>b8-o-cumle</t>
        </is>
      </c>
      <c r="B906" s="5" t="n">
        <v>4</v>
      </c>
      <c r="C906" s="6" t="inlineStr">
        <is>
          <t>Kırılan camın hikâyesini anlat</t>
        </is>
      </c>
      <c r="D906" s="5" t="inlineStr"/>
      <c r="E906" s="5" t="inlineStr"/>
      <c r="F906" s="5" t="inlineStr">
        <is>
          <t>Çene +1</t>
        </is>
      </c>
      <c r="G906" s="6" t="inlineStr">
        <is>
          <t>Mahalle maçını ve komşunun camını anlattın. Çocuk sana ilk kez hayranlıkla baktı. Komşu hâlâ affetmedi.</t>
        </is>
      </c>
      <c r="H906" s="6" t="inlineStr"/>
      <c r="I906" s="6" t="inlineStr"/>
      <c r="J906" s="6" t="inlineStr"/>
      <c r="K906" s="6" t="inlineStr"/>
      <c r="L906" s="6" t="inlineStr"/>
      <c r="M906" s="5" t="inlineStr"/>
      <c r="N906" s="5" t="inlineStr"/>
      <c r="O906" s="6" t="inlineStr"/>
      <c r="P906" s="6" t="inlineStr"/>
      <c r="Q906" s="5" t="inlineStr"/>
      <c r="R906" s="5" t="inlineStr">
        <is>
          <t>camKirildi</t>
        </is>
      </c>
      <c r="S906" s="5" t="inlineStr"/>
      <c r="T906" s="5" t="inlineStr"/>
      <c r="U906" s="5" t="inlineStr"/>
      <c r="V906" s="5" t="inlineStr"/>
      <c r="W906" s="5" t="inlineStr"/>
      <c r="X906" s="5" t="inlineStr"/>
      <c r="Y906" s="5" t="inlineStr"/>
      <c r="Z906" s="6" t="inlineStr"/>
      <c r="AA906" s="5" t="inlineStr"/>
      <c r="AB906" s="5" t="inlineStr"/>
      <c r="AC906" s="5" t="inlineStr"/>
      <c r="AD906" s="5" t="inlineStr"/>
      <c r="AE906" s="5" t="inlineStr"/>
      <c r="AF906" s="5" t="inlineStr"/>
      <c r="AG906" s="5" t="inlineStr"/>
      <c r="AH906" s="5" t="inlineStr"/>
      <c r="AI906" s="5" t="inlineStr"/>
      <c r="AJ906" s="5" t="inlineStr"/>
    </row>
    <row r="907">
      <c r="A907" s="5" t="inlineStr">
        <is>
          <t>b8-evli-rutin</t>
        </is>
      </c>
      <c r="B907" s="5" t="n">
        <v>1</v>
      </c>
      <c r="C907" s="6" t="inlineStr">
        <is>
          <t>Telefonu bırak, sohbet et</t>
        </is>
      </c>
      <c r="D907" s="5" t="inlineStr"/>
      <c r="E907" s="5" t="inlineStr"/>
      <c r="F907" s="5" t="inlineStr">
        <is>
          <t>Çene +1, Gönül +1</t>
        </is>
      </c>
      <c r="G907" s="6" t="inlineStr">
        <is>
          <t>Telefonlar masaya ters kondu. Konuşacak çok şey çıktı; çoğu kombi hakkında, ama olsun.</t>
        </is>
      </c>
      <c r="H907" s="6" t="inlineStr"/>
      <c r="I907" s="6" t="inlineStr"/>
      <c r="J907" s="6" t="inlineStr"/>
      <c r="K907" s="6" t="inlineStr"/>
      <c r="L907" s="6" t="inlineStr"/>
      <c r="M907" s="5" t="inlineStr"/>
      <c r="N907" s="5" t="inlineStr"/>
      <c r="O907" s="6" t="inlineStr"/>
      <c r="P907" s="6" t="inlineStr"/>
      <c r="Q907" s="5" t="inlineStr"/>
      <c r="R907" s="5" t="inlineStr"/>
      <c r="S907" s="5" t="inlineStr"/>
      <c r="T907" s="5" t="inlineStr"/>
      <c r="U907" s="5" t="inlineStr"/>
      <c r="V907" s="5" t="inlineStr"/>
      <c r="W907" s="5" t="inlineStr"/>
      <c r="X907" s="5" t="inlineStr"/>
      <c r="Y907" s="5" t="inlineStr"/>
      <c r="Z907" s="6" t="inlineStr"/>
      <c r="AA907" s="5" t="inlineStr"/>
      <c r="AB907" s="5" t="inlineStr"/>
      <c r="AC907" s="5" t="inlineStr"/>
      <c r="AD907" s="5" t="inlineStr"/>
      <c r="AE907" s="5" t="inlineStr"/>
      <c r="AF907" s="5" t="inlineStr"/>
      <c r="AG907" s="5" t="inlineStr"/>
      <c r="AH907" s="5" t="inlineStr"/>
      <c r="AI907" s="5" t="inlineStr"/>
      <c r="AJ907" s="5" t="inlineStr"/>
    </row>
    <row r="908">
      <c r="A908" s="5" t="inlineStr">
        <is>
          <t>b8-evli-rutin</t>
        </is>
      </c>
      <c r="B908" s="5" t="n">
        <v>2</v>
      </c>
      <c r="C908" s="6" t="inlineStr">
        <is>
          <t>Sürpriz akşam yemeği planla</t>
        </is>
      </c>
      <c r="D908" s="5" t="inlineStr">
        <is>
          <t>Gönül</t>
        </is>
      </c>
      <c r="E908" s="5" t="inlineStr">
        <is>
          <t>Orta</t>
        </is>
      </c>
      <c r="F908" s="5" t="inlineStr"/>
      <c r="G908" s="6" t="inlineStr"/>
      <c r="H908" s="6" t="inlineStr">
        <is>
          <t>Masa hazırdı, mumlar yanıyordu. Eşin 'Ne oldu?' diye sordu. Hiçbir şey olmamıştı; mesele de buydu.</t>
        </is>
      </c>
      <c r="I908" s="6" t="inlineStr">
        <is>
          <t>Evlendiğiniz yıl gittiğiniz yeri buldun; hâlâ açıktı. Garson sizi hatırlamadı ama öyle yaptı.</t>
        </is>
      </c>
      <c r="J908" s="6" t="inlineStr">
        <is>
          <t>Sürpriz yemek günü eşin de sana sürpriz hazırlamış: biri restoranda, biri evde. İkisine de gittiniz, ikisini de bitirdiniz. Gece mide ilacını paylaştınız.</t>
        </is>
      </c>
      <c r="K908" s="6" t="inlineStr">
        <is>
          <t>Rezervasyonu yanlış güne yaptın. Garson üstünde tarih yazan pastayı getirdi; yıl dönümünüz iki hafta sonraymış. Eşin pastayı yedi, seninle konuşmadı.</t>
        </is>
      </c>
      <c r="L908" s="6" t="inlineStr"/>
      <c r="M908" s="5" t="inlineStr"/>
      <c r="N908" s="5" t="inlineStr"/>
      <c r="O908" s="6" t="inlineStr"/>
      <c r="P908" s="6" t="inlineStr"/>
      <c r="Q908" s="5" t="inlineStr"/>
      <c r="R908" s="5" t="inlineStr"/>
      <c r="S908" s="5" t="inlineStr"/>
      <c r="T908" s="5" t="inlineStr"/>
      <c r="U908" s="5" t="inlineStr"/>
      <c r="V908" s="5" t="inlineStr"/>
      <c r="W908" s="5" t="inlineStr"/>
      <c r="X908" s="5" t="inlineStr"/>
      <c r="Y908" s="5" t="inlineStr"/>
      <c r="Z908" s="6" t="inlineStr"/>
      <c r="AA908" s="5" t="inlineStr"/>
      <c r="AB908" s="5" t="inlineStr"/>
      <c r="AC908" s="5" t="inlineStr"/>
      <c r="AD908" s="5" t="inlineStr"/>
      <c r="AE908" s="5" t="inlineStr"/>
      <c r="AF908" s="5" t="inlineStr"/>
      <c r="AG908" s="5" t="inlineStr"/>
      <c r="AH908" s="5" t="inlineStr"/>
      <c r="AI908" s="5" t="inlineStr"/>
      <c r="AJ908" s="5" t="inlineStr"/>
    </row>
    <row r="909">
      <c r="A909" s="5" t="inlineStr">
        <is>
          <t>b8-evli-rutin</t>
        </is>
      </c>
      <c r="B909" s="5" t="n">
        <v>3</v>
      </c>
      <c r="C909" s="6" t="inlineStr">
        <is>
          <t>'Nasılsın?' diye gerçekten sor</t>
        </is>
      </c>
      <c r="D909" s="5" t="inlineStr">
        <is>
          <t>Gönül</t>
        </is>
      </c>
      <c r="E909" s="5" t="inlineStr">
        <is>
          <t>Kolay</t>
        </is>
      </c>
      <c r="F909" s="5" t="inlineStr"/>
      <c r="G909" s="6" t="inlineStr"/>
      <c r="H909" s="6" t="inlineStr">
        <is>
          <t>Sordun ve dinledin. Cevap kırk dakika sürdü; içinde kayınvalide, kombi ve on yıl önceki bir bayram vardı. Sonunda eşin “İyi geldi” dedi; sana da.</t>
        </is>
      </c>
      <c r="I909" s="6" t="inlineStr">
        <is>
          <t>Sordun; eşin bir süre sustu, sonra 'Kimse sormuyordu' dedi. Gece balkonda uzadı.</t>
        </is>
      </c>
      <c r="J909" s="6" t="inlineStr">
        <is>
          <t>Sordun; “İyiyim” dedi, çayını tazeledi. Bir dahaki sefere.</t>
        </is>
      </c>
      <c r="K909" s="6" t="inlineStr">
        <is>
          <t>Sordun; eşin anlatmaya başladı. Üçüncü cümlede telefonun titredi, baktın: kargo bildirimi. Eşin cümlesini bitirmedi. “Boş ver” dedi; o “boş ver” bir hafta sürdü.</t>
        </is>
      </c>
      <c r="L909" s="6" t="inlineStr"/>
      <c r="M909" s="5" t="inlineStr"/>
      <c r="N909" s="5" t="inlineStr"/>
      <c r="O909" s="6" t="inlineStr"/>
      <c r="P909" s="6" t="inlineStr"/>
      <c r="Q909" s="5" t="inlineStr"/>
      <c r="R909" s="5" t="inlineStr"/>
      <c r="S909" s="5" t="inlineStr">
        <is>
          <t>Gönül</t>
        </is>
      </c>
      <c r="T909" s="5" t="inlineStr"/>
      <c r="U909" s="5" t="inlineStr"/>
      <c r="V909" s="5" t="inlineStr"/>
      <c r="W909" s="5" t="inlineStr"/>
      <c r="X909" s="5" t="inlineStr"/>
      <c r="Y909" s="5" t="inlineStr"/>
      <c r="Z909" s="6" t="inlineStr"/>
      <c r="AA909" s="5" t="inlineStr"/>
      <c r="AB909" s="5" t="inlineStr"/>
      <c r="AC909" s="5" t="inlineStr"/>
      <c r="AD909" s="5" t="inlineStr"/>
      <c r="AE909" s="5" t="inlineStr"/>
      <c r="AF909" s="5" t="inlineStr"/>
      <c r="AG909" s="5" t="inlineStr"/>
      <c r="AH909" s="5" t="inlineStr"/>
      <c r="AI909" s="5" t="inlineStr"/>
      <c r="AJ909" s="5" t="inlineStr"/>
    </row>
    <row r="910">
      <c r="A910" s="5" t="inlineStr">
        <is>
          <t>b8-evli-rutin</t>
        </is>
      </c>
      <c r="B910" s="5" t="n">
        <v>4</v>
      </c>
      <c r="C910" s="6" t="inlineStr">
        <is>
          <t>Mutfakta dansa kaldır</t>
        </is>
      </c>
      <c r="D910" s="5" t="inlineStr">
        <is>
          <t>Pişkinlik</t>
        </is>
      </c>
      <c r="E910" s="5" t="inlineStr">
        <is>
          <t>Orta</t>
        </is>
      </c>
      <c r="F910" s="5" t="inlineStr"/>
      <c r="G910" s="6" t="inlineStr"/>
      <c r="H910" s="6" t="inlineStr">
        <is>
          <t>Mutfakta, buzdolabının ışığında dans ettiniz. Kimse görmedi; zaten mesele buydu.</t>
        </is>
      </c>
      <c r="I910" s="6" t="inlineStr">
        <is>
          <t>Dans ettiniz; alt kattaki komşu tavana süpürge sapıyla vurdu, ama ritmi tuttu. Apartman ilk kez aynı şarkıda.</t>
        </is>
      </c>
      <c r="J910" s="6" t="inlineStr">
        <is>
          <t>Dansa kaldırdın; eşin 'Bulaşık' dedi. Bulaşık kazandı.</t>
        </is>
      </c>
      <c r="K910" s="6" t="inlineStr">
        <is>
          <t>Dans ederken tencerenin kulpuna takıldın. Kuru fasulye yere döküldü, ikiniz birden fasulyenin üstüne oturdunuz. Belin iki gün tutuldu.</t>
        </is>
      </c>
      <c r="L910" s="6" t="inlineStr">
        <is>
          <t>Bir tabak kırıldı, dans durmadı. Eşin “Kırılan uğur getirir” dedi, süpürgeyi sana uzattı.</t>
        </is>
      </c>
      <c r="M910" s="5" t="inlineStr">
        <is>
          <t>simon</t>
        </is>
      </c>
      <c r="N910" s="5" t="inlineStr">
        <is>
          <t>Mutfak Dansı</t>
        </is>
      </c>
      <c r="O910" s="6" t="inlineStr">
        <is>
          <t>Sırayı dinle, aynı sırayla tekrar et.</t>
        </is>
      </c>
      <c r="P910" s="6" t="inlineStr">
        <is>
          <t>{"items": ["🍽️", "🥄", "🍴", "🧂"]}</t>
        </is>
      </c>
      <c r="Q910" s="5" t="inlineStr">
        <is>
          <t>Sahne Sever</t>
        </is>
      </c>
      <c r="R910" s="5" t="inlineStr"/>
      <c r="S910" s="5" t="inlineStr"/>
      <c r="T910" s="5" t="inlineStr"/>
      <c r="U910" s="5" t="inlineStr"/>
      <c r="V910" s="5" t="inlineStr"/>
      <c r="W910" s="5" t="inlineStr"/>
      <c r="X910" s="5" t="inlineStr"/>
      <c r="Y910" s="5" t="inlineStr"/>
      <c r="Z910" s="6" t="inlineStr"/>
      <c r="AA910" s="5" t="inlineStr"/>
      <c r="AB910" s="5" t="inlineStr"/>
      <c r="AC910" s="5" t="inlineStr"/>
      <c r="AD910" s="5" t="inlineStr"/>
      <c r="AE910" s="5" t="inlineStr"/>
      <c r="AF910" s="5" t="inlineStr"/>
      <c r="AG910" s="5" t="inlineStr"/>
      <c r="AH910" s="5" t="inlineStr"/>
      <c r="AI910" s="5" t="inlineStr"/>
      <c r="AJ910" s="5" t="inlineStr"/>
    </row>
    <row r="911">
      <c r="A911" s="5" t="inlineStr">
        <is>
          <t>b8-cocuk-odasi</t>
        </is>
      </c>
      <c r="B911" s="5" t="n">
        <v>1</v>
      </c>
      <c r="C911" s="6" t="inlineStr">
        <is>
          <t>Kapıyı kapat, görmedin</t>
        </is>
      </c>
      <c r="D911" s="5" t="inlineStr"/>
      <c r="E911" s="5" t="inlineStr"/>
      <c r="F911" s="5" t="inlineStr">
        <is>
          <t>Dayanıklılık +1</t>
        </is>
      </c>
      <c r="G911" s="6" t="inlineStr">
        <is>
          <t>Kapıyı kapattın. İçinde annenin sesi yankılandı: “Burası oda değil, ahır.” Bu sefer söylemedin; tabak da orada kaldı.</t>
        </is>
      </c>
      <c r="H911" s="6" t="inlineStr"/>
      <c r="I911" s="6" t="inlineStr"/>
      <c r="J911" s="6" t="inlineStr"/>
      <c r="K911" s="6" t="inlineStr"/>
      <c r="L911" s="6" t="inlineStr"/>
      <c r="M911" s="5" t="inlineStr"/>
      <c r="N911" s="5" t="inlineStr"/>
      <c r="O911" s="6" t="inlineStr"/>
      <c r="P911" s="6" t="inlineStr"/>
      <c r="Q911" s="5" t="inlineStr"/>
      <c r="R911" s="5" t="inlineStr"/>
      <c r="S911" s="5" t="inlineStr"/>
      <c r="T911" s="5" t="inlineStr"/>
      <c r="U911" s="5" t="inlineStr"/>
      <c r="V911" s="5" t="inlineStr"/>
      <c r="W911" s="5" t="inlineStr"/>
      <c r="X911" s="5" t="inlineStr"/>
      <c r="Y911" s="5" t="inlineStr"/>
      <c r="Z911" s="6" t="inlineStr"/>
      <c r="AA911" s="5" t="inlineStr"/>
      <c r="AB911" s="5" t="inlineStr"/>
      <c r="AC911" s="5" t="inlineStr"/>
      <c r="AD911" s="5" t="inlineStr"/>
      <c r="AE911" s="5" t="inlineStr"/>
      <c r="AF911" s="5" t="inlineStr"/>
      <c r="AG911" s="5" t="inlineStr"/>
      <c r="AH911" s="5" t="inlineStr"/>
      <c r="AI911" s="5" t="inlineStr"/>
      <c r="AJ911" s="5" t="inlineStr"/>
    </row>
    <row r="912">
      <c r="A912" s="5" t="inlineStr">
        <is>
          <t>b8-cocuk-odasi</t>
        </is>
      </c>
      <c r="B912" s="5" t="n">
        <v>2</v>
      </c>
      <c r="C912" s="6" t="inlineStr">
        <is>
          <t>Hızla topla</t>
        </is>
      </c>
      <c r="D912" s="5" t="inlineStr">
        <is>
          <t>Dayanıklılık</t>
        </is>
      </c>
      <c r="E912" s="5" t="inlineStr">
        <is>
          <t>Orta</t>
        </is>
      </c>
      <c r="F912" s="5" t="inlineStr"/>
      <c r="G912" s="6" t="inlineStr"/>
      <c r="H912" s="6" t="inlineStr">
        <is>
          <t>On dört çorap topladın. Hiçbiri eşleşmedi, ama zemin göründü.</t>
        </is>
      </c>
      <c r="I912" s="6" t="inlineStr">
        <is>
          <t>Oda toplandı, tabak bulundu; altından iki yıldır kayıp kumanda çıktı. Kumandayı salona götürdün, herkes alkışladı. Tabağı kimse sormadı.</t>
        </is>
      </c>
      <c r="J912" s="6" t="inlineStr">
        <is>
          <t>Topladın; çocuk gelip 'Her şeyin yerini biliyordum' dedi. Artık bilmiyor.</t>
        </is>
      </c>
      <c r="K912" s="6" t="inlineStr">
        <is>
          <t>Çıplak ayakla yerdeki bir şarj adaptörüne bastın. Öyle bağırdın ki alt komşu kapıyı çalıp “İyi misiniz?” diye sordu. İyi değildin.</t>
        </is>
      </c>
      <c r="L912" s="6" t="inlineStr">
        <is>
          <t>Yarısını topladın. Kalan yarısı yatağın altına kaçtı; orası artık ayrı bir oda.</t>
        </is>
      </c>
      <c r="M912" s="5" t="inlineStr">
        <is>
          <t>collect</t>
        </is>
      </c>
      <c r="N912" s="5" t="inlineStr">
        <is>
          <t>Tek Çorap Avı</t>
        </is>
      </c>
      <c r="O912" s="6" t="inlineStr">
        <is>
          <t>Odaya saçılmış tek çorapları kaybolmadan topla. Eşini bulan yok.</t>
        </is>
      </c>
      <c r="P912" s="6" t="inlineStr">
        <is>
          <t>{"piece": "🧦"}</t>
        </is>
      </c>
      <c r="Q912" s="5" t="inlineStr"/>
      <c r="R912" s="5" t="inlineStr"/>
      <c r="S912" s="5" t="inlineStr"/>
      <c r="T912" s="5" t="inlineStr"/>
      <c r="U912" s="5" t="inlineStr"/>
      <c r="V912" s="5" t="inlineStr"/>
      <c r="W912" s="5" t="inlineStr"/>
      <c r="X912" s="5" t="inlineStr"/>
      <c r="Y912" s="5" t="inlineStr"/>
      <c r="Z912" s="6" t="inlineStr"/>
      <c r="AA912" s="5" t="inlineStr"/>
      <c r="AB912" s="5" t="inlineStr"/>
      <c r="AC912" s="5" t="inlineStr"/>
      <c r="AD912" s="5" t="inlineStr"/>
      <c r="AE912" s="5" t="inlineStr"/>
      <c r="AF912" s="5" t="inlineStr"/>
      <c r="AG912" s="5" t="inlineStr"/>
      <c r="AH912" s="5" t="inlineStr"/>
      <c r="AI912" s="5" t="inlineStr"/>
      <c r="AJ912" s="5" t="inlineStr"/>
    </row>
    <row r="913">
      <c r="A913" s="5" t="inlineStr">
        <is>
          <t>b8-cocuk-odasi</t>
        </is>
      </c>
      <c r="B913" s="5" t="n">
        <v>3</v>
      </c>
      <c r="C913" s="6" t="inlineStr">
        <is>
          <t>Çocukla pazarlık et</t>
        </is>
      </c>
      <c r="D913" s="5" t="inlineStr">
        <is>
          <t>Çene</t>
        </is>
      </c>
      <c r="E913" s="5" t="inlineStr">
        <is>
          <t>Orta</t>
        </is>
      </c>
      <c r="F913" s="5" t="inlineStr"/>
      <c r="G913" s="6" t="inlineStr"/>
      <c r="H913" s="6" t="inlineStr">
        <is>
          <t>Oda karşılığında bir hafta ek ekran süresi. Sözleşme buzdolabına mıknatısla asıldı.</t>
        </is>
      </c>
      <c r="I913" s="6" t="inlineStr">
        <is>
          <t>Çocuk odasını da, salonu da topladı. Karşılığında ne istediğini hâlâ söylemedi; endişe verici.</t>
        </is>
      </c>
      <c r="J913" s="6" t="inlineStr">
        <is>
          <t>Pazarlığa sen başladın, çocuk bitirdi: oda toplanmayacak ama kapısı kapalı tutulacak. Nasıl olduysa kabul ettin.</t>
        </is>
      </c>
      <c r="K913" s="6" t="inlineStr">
        <is>
          <t>Çocuk telefonunu çıkarıp senin çalışma masanın fotoğrafını gösterdi: üç kirli fincan, kâğıt yığını, bir de kayıp tabağın eşi. Akşam fotoğraf aile grubundaydı; altında tek satır: “Örnek olun.”</t>
        </is>
      </c>
      <c r="L913" s="6" t="inlineStr"/>
      <c r="M913" s="5" t="inlineStr"/>
      <c r="N913" s="5" t="inlineStr"/>
      <c r="O913" s="6" t="inlineStr"/>
      <c r="P913" s="6" t="inlineStr"/>
      <c r="Q913" s="5" t="inlineStr"/>
      <c r="R913" s="5" t="inlineStr"/>
      <c r="S913" s="5" t="inlineStr"/>
      <c r="T913" s="5" t="inlineStr"/>
      <c r="U913" s="5" t="inlineStr"/>
      <c r="V913" s="5" t="inlineStr"/>
      <c r="W913" s="5" t="inlineStr"/>
      <c r="X913" s="5" t="inlineStr"/>
      <c r="Y913" s="5" t="inlineStr"/>
      <c r="Z913" s="6" t="inlineStr"/>
      <c r="AA913" s="5" t="inlineStr"/>
      <c r="AB913" s="5" t="inlineStr"/>
      <c r="AC913" s="5" t="inlineStr"/>
      <c r="AD913" s="5" t="inlineStr"/>
      <c r="AE913" s="5" t="inlineStr"/>
      <c r="AF913" s="5" t="inlineStr"/>
      <c r="AG913" s="5" t="inlineStr"/>
      <c r="AH913" s="5" t="inlineStr"/>
      <c r="AI913" s="5" t="inlineStr"/>
      <c r="AJ913" s="5" t="inlineStr"/>
    </row>
    <row r="914">
      <c r="A914" s="5" t="inlineStr">
        <is>
          <t>b8-cocuk-odasi</t>
        </is>
      </c>
      <c r="B914" s="5" t="n">
        <v>4</v>
      </c>
      <c r="C914" s="6" t="inlineStr">
        <is>
          <t>Tabağı kediye yükle</t>
        </is>
      </c>
      <c r="D914" s="5" t="inlineStr"/>
      <c r="E914" s="5" t="inlineStr"/>
      <c r="F914" s="5" t="inlineStr">
        <is>
          <t>Pişkinlik +1, Kurnazlık +1</t>
        </is>
      </c>
      <c r="G914" s="6" t="inlineStr">
        <is>
          <t>“Tabağı kedi götürmüş” dedin. Çocuk “Kedimiz yok” dedi. Kırk yıllık aile geleneği yeni kuşağa devredildi.</t>
        </is>
      </c>
      <c r="H914" s="6" t="inlineStr"/>
      <c r="I914" s="6" t="inlineStr"/>
      <c r="J914" s="6" t="inlineStr"/>
      <c r="K914" s="6" t="inlineStr"/>
      <c r="L914" s="6" t="inlineStr"/>
      <c r="M914" s="5" t="inlineStr"/>
      <c r="N914" s="5" t="inlineStr"/>
      <c r="O914" s="6" t="inlineStr"/>
      <c r="P914" s="6" t="inlineStr"/>
      <c r="Q914" s="5" t="inlineStr"/>
      <c r="R914" s="5" t="inlineStr">
        <is>
          <t>kediSuclu</t>
        </is>
      </c>
      <c r="S914" s="5" t="inlineStr"/>
      <c r="T914" s="5" t="inlineStr"/>
      <c r="U914" s="5" t="inlineStr"/>
      <c r="V914" s="5" t="inlineStr"/>
      <c r="W914" s="5" t="inlineStr"/>
      <c r="X914" s="5" t="inlineStr"/>
      <c r="Y914" s="5" t="inlineStr"/>
      <c r="Z914" s="6" t="inlineStr"/>
      <c r="AA914" s="5" t="inlineStr"/>
      <c r="AB914" s="5" t="inlineStr"/>
      <c r="AC914" s="5" t="inlineStr"/>
      <c r="AD914" s="5" t="inlineStr"/>
      <c r="AE914" s="5" t="inlineStr"/>
      <c r="AF914" s="5" t="inlineStr"/>
      <c r="AG914" s="5" t="inlineStr"/>
      <c r="AH914" s="5" t="inlineStr"/>
      <c r="AI914" s="5" t="inlineStr"/>
      <c r="AJ914" s="5" t="inlineStr"/>
    </row>
    <row r="915">
      <c r="A915" s="5" t="inlineStr">
        <is>
          <t>ms-eski-musteri</t>
        </is>
      </c>
      <c r="B915" s="5" t="n">
        <v>1</v>
      </c>
      <c r="C915" s="6" t="inlineStr">
        <is>
          <t>Görmezden gel</t>
        </is>
      </c>
      <c r="D915" s="5" t="inlineStr"/>
      <c r="E915" s="5" t="inlineStr"/>
      <c r="F915" s="5" t="inlineStr">
        <is>
          <t>Dayanıklılık +1</t>
        </is>
      </c>
      <c r="G915" s="6" t="inlineStr">
        <is>
          <t>Mesajı “görüldü”de bıraktın. On beş yıldır ilk kez bekleten sensin; hiç bu kadar keyifli bir sessizlik olmamıştı.</t>
        </is>
      </c>
      <c r="H915" s="6" t="inlineStr"/>
      <c r="I915" s="6" t="inlineStr"/>
      <c r="J915" s="6" t="inlineStr"/>
      <c r="K915" s="6" t="inlineStr"/>
      <c r="L915" s="6" t="inlineStr"/>
      <c r="M915" s="5" t="inlineStr"/>
      <c r="N915" s="5" t="inlineStr"/>
      <c r="O915" s="6" t="inlineStr"/>
      <c r="P915" s="6" t="inlineStr"/>
      <c r="Q915" s="5" t="inlineStr"/>
      <c r="R915" s="5" t="inlineStr"/>
      <c r="S915" s="5" t="inlineStr"/>
      <c r="T915" s="5" t="inlineStr"/>
      <c r="U915" s="5" t="inlineStr"/>
      <c r="V915" s="5" t="inlineStr"/>
      <c r="W915" s="5" t="inlineStr"/>
      <c r="X915" s="5" t="inlineStr"/>
      <c r="Y915" s="5" t="inlineStr"/>
      <c r="Z915" s="6" t="inlineStr"/>
      <c r="AA915" s="5" t="inlineStr"/>
      <c r="AB915" s="5" t="inlineStr"/>
      <c r="AC915" s="5" t="inlineStr"/>
      <c r="AD915" s="5" t="inlineStr"/>
      <c r="AE915" s="5" t="inlineStr"/>
      <c r="AF915" s="5" t="inlineStr"/>
      <c r="AG915" s="5" t="inlineStr"/>
      <c r="AH915" s="5" t="inlineStr"/>
      <c r="AI915" s="5" t="inlineStr"/>
      <c r="AJ915" s="5" t="inlineStr"/>
    </row>
    <row r="916">
      <c r="A916" s="5" t="inlineStr">
        <is>
          <t>ms-eski-musteri</t>
        </is>
      </c>
      <c r="B916" s="5" t="n">
        <v>2</v>
      </c>
      <c r="C916" s="6" t="inlineStr">
        <is>
          <t>Yeni fiyatını söyle</t>
        </is>
      </c>
      <c r="D916" s="5" t="inlineStr">
        <is>
          <t>Çene</t>
        </is>
      </c>
      <c r="E916" s="5" t="inlineStr">
        <is>
          <t>Zor</t>
        </is>
      </c>
      <c r="F916" s="5" t="inlineStr"/>
      <c r="G916" s="6" t="inlineStr"/>
      <c r="H916" s="6" t="inlineStr">
        <is>
          <t>Fiyatını ikiye katladın. Kabul ettiler. Bu kez peşin.</t>
        </is>
      </c>
      <c r="I916" s="6" t="inlineStr">
        <is>
          <t>Yeni fiyatı söyledin, eski faturayı da ekledin. İkisini birden ödediler. Faizsiz ama olsun.</t>
        </is>
      </c>
      <c r="J916" s="6" t="inlineStr">
        <is>
          <t>Fiyatı söyledin; 'Görünürlük sağlarız' dediler. On beş yıl geçmiş, cümle aynı.</t>
        </is>
      </c>
      <c r="K916" s="6" t="inlineStr">
        <is>
          <t>Pazarlıkta öyle geriledin ki indirimi sen yaptın, kahveleri sen ısmarladın. Çıkarken “Sizi yine özleriz” dediler.</t>
        </is>
      </c>
      <c r="L916" s="6" t="inlineStr">
        <is>
          <t>Fiyat biraz yükseldi, peşinat yarım kaldı. Sözleşmeyi bu kez sen yazdın.</t>
        </is>
      </c>
      <c r="M916" s="5" t="inlineStr">
        <is>
          <t>duel</t>
        </is>
      </c>
      <c r="N916" s="5" t="inlineStr">
        <is>
          <t>Özlem Fiyatı</t>
        </is>
      </c>
      <c r="O916" s="6" t="inlineStr">
        <is>
          <t>Karşındakinin sabrı bitmeden en iyi cevabı seç.</t>
        </is>
      </c>
      <c r="P916" s="6" t="inlineStr">
        <is>
          <t>{"who": "Eski müşteri", "item": "yeni proje", "mode": "sell"}</t>
        </is>
      </c>
      <c r="Q916" s="5" t="inlineStr"/>
      <c r="R916" s="5" t="inlineStr"/>
      <c r="S916" s="5" t="inlineStr"/>
      <c r="T916" s="5" t="inlineStr"/>
      <c r="U916" s="5" t="inlineStr"/>
      <c r="V916" s="5" t="inlineStr"/>
      <c r="W916" s="5" t="inlineStr"/>
      <c r="X916" s="5" t="inlineStr"/>
      <c r="Y916" s="5" t="inlineStr"/>
      <c r="Z916" s="6" t="inlineStr"/>
      <c r="AA916" s="5" t="inlineStr"/>
      <c r="AB916" s="5" t="inlineStr"/>
      <c r="AC916" s="5" t="inlineStr"/>
      <c r="AD916" s="5" t="inlineStr"/>
      <c r="AE916" s="5" t="inlineStr"/>
      <c r="AF916" s="5" t="inlineStr"/>
      <c r="AG916" s="5" t="inlineStr"/>
      <c r="AH916" s="5" t="inlineStr"/>
      <c r="AI916" s="5" t="inlineStr"/>
      <c r="AJ916" s="5" t="inlineStr"/>
    </row>
    <row r="917">
      <c r="A917" s="5" t="inlineStr">
        <is>
          <t>ms-eski-musteri</t>
        </is>
      </c>
      <c r="B917" s="5" t="n">
        <v>3</v>
      </c>
      <c r="C917" s="6" t="inlineStr">
        <is>
          <t>Eski faturayı faiziyle hatırlat</t>
        </is>
      </c>
      <c r="D917" s="5" t="inlineStr">
        <is>
          <t>Kurnazlık</t>
        </is>
      </c>
      <c r="E917" s="5" t="inlineStr">
        <is>
          <t>Zor</t>
        </is>
      </c>
      <c r="F917" s="5" t="inlineStr"/>
      <c r="G917" s="6" t="inlineStr"/>
      <c r="H917" s="6" t="inlineStr">
        <is>
          <t>Eski faturayı gecikme faiziyle ekledin. Ödendi. On beş yıllık bir onay nihayet verildi.</t>
        </is>
      </c>
      <c r="I917" s="6" t="inlineStr">
        <is>
          <t>Faiz hesabını öyle düzgün yaptın ki muhasebeci 'Bizde çalışır mısınız?' diye sordu.</t>
        </is>
      </c>
      <c r="J917" s="6" t="inlineStr">
        <is>
          <t>Eski fatura bulundu; 'Zaman aşımına uğramış' dediler. Onay bekleyen fatura sonunda emekli oldu.</t>
        </is>
      </c>
      <c r="K917" s="6" t="inlineStr">
        <is>
          <t>Faturayı buldular ve ödediler. Senin eski hesabına. Hesap kapanalı on yıl oldu.</t>
        </is>
      </c>
      <c r="L917" s="6" t="inlineStr"/>
      <c r="M917" s="5" t="inlineStr"/>
      <c r="N917" s="5" t="inlineStr"/>
      <c r="O917" s="6" t="inlineStr"/>
      <c r="P917" s="6" t="inlineStr"/>
      <c r="Q917" s="5" t="inlineStr"/>
      <c r="R917" s="5" t="inlineStr">
        <is>
          <t>serbest-alacakli</t>
        </is>
      </c>
      <c r="S917" s="5" t="inlineStr"/>
      <c r="T917" s="5" t="inlineStr">
        <is>
          <t>Fatura Avcısı</t>
        </is>
      </c>
      <c r="U917" s="5" t="inlineStr"/>
      <c r="V917" s="5" t="inlineStr"/>
      <c r="W917" s="5" t="inlineStr"/>
      <c r="X917" s="5" t="inlineStr"/>
      <c r="Y917" s="5" t="inlineStr"/>
      <c r="Z917" s="6" t="inlineStr"/>
      <c r="AA917" s="5" t="inlineStr"/>
      <c r="AB917" s="5" t="inlineStr"/>
      <c r="AC917" s="5" t="inlineStr"/>
      <c r="AD917" s="5" t="inlineStr"/>
      <c r="AE917" s="5" t="inlineStr"/>
      <c r="AF917" s="5" t="inlineStr"/>
      <c r="AG917" s="5" t="inlineStr"/>
      <c r="AH917" s="5" t="inlineStr"/>
      <c r="AI917" s="5" t="inlineStr"/>
      <c r="AJ917" s="5" t="inlineStr"/>
    </row>
    <row r="918">
      <c r="A918" s="5" t="inlineStr">
        <is>
          <t>b8-lise-bulusmasi</t>
        </is>
      </c>
      <c r="B918" s="5" t="n">
        <v>1</v>
      </c>
      <c r="C918" s="6" t="inlineStr">
        <is>
          <t>Herkesle kısa sohbet et</t>
        </is>
      </c>
      <c r="D918" s="5" t="inlineStr"/>
      <c r="E918" s="5" t="inlineStr"/>
      <c r="F918" s="5" t="inlineStr">
        <is>
          <t>Sosyal Radar +1</t>
        </is>
      </c>
      <c r="G918" s="6" t="inlineStr">
        <is>
          <t>Kırk dört kişiyle “Ne yapıyorsun?” sohbeti yaptın, kırk dört kez aynı cevabı verdin: “İşte, koşturuyoruz.” Gece sonunda telefonunda yirmi yeni numara var; hiçbirini aramayacaksın.</t>
        </is>
      </c>
      <c r="H918" s="6" t="inlineStr"/>
      <c r="I918" s="6" t="inlineStr"/>
      <c r="J918" s="6" t="inlineStr"/>
      <c r="K918" s="6" t="inlineStr"/>
      <c r="L918" s="6" t="inlineStr"/>
      <c r="M918" s="5" t="inlineStr"/>
      <c r="N918" s="5" t="inlineStr"/>
      <c r="O918" s="6" t="inlineStr"/>
      <c r="P918" s="6" t="inlineStr"/>
      <c r="Q918" s="5" t="inlineStr"/>
      <c r="R918" s="5" t="inlineStr"/>
      <c r="S918" s="5" t="inlineStr"/>
      <c r="T918" s="5" t="inlineStr"/>
      <c r="U918" s="5" t="inlineStr"/>
      <c r="V918" s="5" t="inlineStr"/>
      <c r="W918" s="5" t="inlineStr"/>
      <c r="X918" s="5" t="inlineStr"/>
      <c r="Y918" s="5" t="inlineStr"/>
      <c r="Z918" s="6" t="inlineStr"/>
      <c r="AA918" s="5" t="inlineStr"/>
      <c r="AB918" s="5" t="inlineStr"/>
      <c r="AC918" s="5" t="inlineStr"/>
      <c r="AD918" s="5" t="inlineStr"/>
      <c r="AE918" s="5" t="inlineStr"/>
      <c r="AF918" s="5" t="inlineStr"/>
      <c r="AG918" s="5" t="inlineStr"/>
      <c r="AH918" s="5" t="inlineStr"/>
      <c r="AI918" s="5" t="inlineStr"/>
      <c r="AJ918" s="5" t="inlineStr"/>
    </row>
    <row r="919">
      <c r="A919" s="5" t="inlineStr">
        <is>
          <t>b8-lise-bulusmasi</t>
        </is>
      </c>
      <c r="B919" s="5" t="n">
        <v>2</v>
      </c>
      <c r="C919" s="6" t="inlineStr">
        <is>
          <t>Kürsüye çık, anı konuşması yap</t>
        </is>
      </c>
      <c r="D919" s="5" t="inlineStr">
        <is>
          <t>Pişkinlik</t>
        </is>
      </c>
      <c r="E919" s="5" t="inlineStr">
        <is>
          <t>Orta</t>
        </is>
      </c>
      <c r="F919" s="5" t="inlineStr"/>
      <c r="G919" s="6" t="inlineStr"/>
      <c r="H919" s="6" t="inlineStr">
        <is>
          <t>Edebiyat öğretmenini, kantinciyi ve ilk zayıf karneni anlattın. Salon güldü; en arka masada biri gülerken ağladı, kimse yadırgamadı.</t>
        </is>
      </c>
      <c r="I919" s="6" t="inlineStr">
        <is>
          <t>Konuşmanın sonunda herkes ayağa kalktı ve okul marşını söyledi. Sözleri kimse hatırlamıyordu; ezgi yetti.</t>
        </is>
      </c>
      <c r="J919" s="6" t="inlineStr">
        <is>
          <t>Konuşmaya başladın; mikrofon arkadan gelen şarkıyla yarıştı. Şarkı kazandı.</t>
        </is>
      </c>
      <c r="K919" s="6" t="inlineStr">
        <is>
          <t>Eski kimya öğretmenini taklit ettin: gözlük burnun ucunda, “Arka sıra, ben sizi görüyorum!” Salon kırıldı. Sonra öğretmen en ön masadan kalktı, gözlüğünü indirdi: “Arka sıra, ben seni hâlâ görüyorum.” Salon bu kez ona güldü.</t>
        </is>
      </c>
      <c r="L919" s="6" t="inlineStr"/>
      <c r="M919" s="5" t="inlineStr"/>
      <c r="N919" s="5" t="inlineStr"/>
      <c r="O919" s="6" t="inlineStr"/>
      <c r="P919" s="6" t="inlineStr"/>
      <c r="Q919" s="5" t="inlineStr"/>
      <c r="R919" s="5" t="inlineStr"/>
      <c r="S919" s="5" t="inlineStr"/>
      <c r="T919" s="5" t="inlineStr"/>
      <c r="U919" s="5" t="inlineStr"/>
      <c r="V919" s="5" t="inlineStr"/>
      <c r="W919" s="5" t="inlineStr"/>
      <c r="X919" s="5" t="inlineStr"/>
      <c r="Y919" s="5" t="inlineStr"/>
      <c r="Z919" s="6" t="inlineStr"/>
      <c r="AA919" s="5" t="inlineStr"/>
      <c r="AB919" s="5" t="inlineStr"/>
      <c r="AC919" s="5" t="inlineStr"/>
      <c r="AD919" s="5" t="inlineStr"/>
      <c r="AE919" s="5" t="inlineStr"/>
      <c r="AF919" s="5" t="inlineStr"/>
      <c r="AG919" s="5" t="inlineStr"/>
      <c r="AH919" s="5" t="inlineStr"/>
      <c r="AI919" s="5" t="inlineStr"/>
      <c r="AJ919" s="5" t="inlineStr"/>
    </row>
    <row r="920">
      <c r="A920" s="5" t="inlineStr">
        <is>
          <t>b8-lise-bulusmasi</t>
        </is>
      </c>
      <c r="B920" s="5" t="n">
        <v>3</v>
      </c>
      <c r="C920" s="6" t="inlineStr">
        <is>
          <t>Kim kiminle, tahmin et</t>
        </is>
      </c>
      <c r="D920" s="5" t="inlineStr">
        <is>
          <t>Sosyal Radar</t>
        </is>
      </c>
      <c r="E920" s="5" t="inlineStr">
        <is>
          <t>Kolay</t>
        </is>
      </c>
      <c r="F920" s="5" t="inlineStr"/>
      <c r="G920" s="6" t="inlineStr"/>
      <c r="H920" s="6" t="inlineStr">
        <is>
          <t>Gece bitmeden kimin boşandığını, kimin Öte Diyar'a gittiğini, kimin hâlâ aynı sevgiliyle olduğunu biliyordun. Ertesi gün üç kişi seni aradı: “Sen bilirsin, o şimdi ne yapıyor?”</t>
        </is>
      </c>
      <c r="I920" s="6" t="inlineStr">
        <is>
          <t>Tahminlerin o kadar tuttu ki otuz beşinci yılı düzenleme işi sana kaldı. Mezunlar grubunun yöneticisi artık sensin; gece ikide gelen “Kim geliyor?” mesajları da sana.</t>
        </is>
      </c>
      <c r="J920" s="6" t="inlineStr">
        <is>
          <t>Analizinde bir boşanmayı evlilik sandın. Tebrik ettin.</t>
        </is>
      </c>
      <c r="K920" s="6" t="inlineStr">
        <is>
          <t>Analizini yüksek sesle yaptın. Masanın öbür ucu seni duydu; eski sevgililer bu kez birlikte baktı.</t>
        </is>
      </c>
      <c r="L920" s="6" t="inlineStr"/>
      <c r="M920" s="5" t="inlineStr"/>
      <c r="N920" s="5" t="inlineStr"/>
      <c r="O920" s="6" t="inlineStr"/>
      <c r="P920" s="6" t="inlineStr"/>
      <c r="Q920" s="5" t="inlineStr"/>
      <c r="R920" s="5" t="inlineStr"/>
      <c r="S920" s="5" t="inlineStr">
        <is>
          <t>Sosyal Radar</t>
        </is>
      </c>
      <c r="T920" s="5" t="inlineStr"/>
      <c r="U920" s="5" t="inlineStr"/>
      <c r="V920" s="5" t="inlineStr"/>
      <c r="W920" s="5" t="inlineStr"/>
      <c r="X920" s="5" t="inlineStr"/>
      <c r="Y920" s="5" t="inlineStr"/>
      <c r="Z920" s="6" t="inlineStr"/>
      <c r="AA920" s="5" t="inlineStr"/>
      <c r="AB920" s="5" t="inlineStr"/>
      <c r="AC920" s="5" t="inlineStr"/>
      <c r="AD920" s="5" t="inlineStr"/>
      <c r="AE920" s="5" t="inlineStr"/>
      <c r="AF920" s="5" t="inlineStr"/>
      <c r="AG920" s="5" t="inlineStr"/>
      <c r="AH920" s="5" t="inlineStr"/>
      <c r="AI920" s="5" t="inlineStr"/>
      <c r="AJ920" s="5" t="inlineStr"/>
    </row>
    <row r="921">
      <c r="A921" s="5" t="inlineStr">
        <is>
          <t>b8-lise-bulusmasi</t>
        </is>
      </c>
      <c r="B921" s="5" t="n">
        <v>4</v>
      </c>
      <c r="C921" s="6" t="inlineStr">
        <is>
          <t>O eski videoyu canlandır</t>
        </is>
      </c>
      <c r="D921" s="5" t="inlineStr">
        <is>
          <t>Pişkinlik</t>
        </is>
      </c>
      <c r="E921" s="5" t="inlineStr">
        <is>
          <t>Kolay</t>
        </is>
      </c>
      <c r="F921" s="5" t="inlineStr"/>
      <c r="G921" s="6" t="inlineStr"/>
      <c r="H921" s="6" t="inlineStr">
        <is>
          <t>Hareketi yaptın. Salon çıldırdı; otuz yıl bir anda sıfırlandı.</t>
        </is>
      </c>
      <c r="I921" s="6" t="inlineStr">
        <is>
          <t>Herkes seninle birlikte yaptı: kırk kişi, aynı hareket, kırk ayrı bel ağrısı. Video ikinci kez yayıldı; bu kez çocuklarınız da paylaştı, utanarak.</t>
        </is>
      </c>
      <c r="J921" s="6" t="inlineStr">
        <is>
          <t>Hareketi yaptın; belin artık o hareketi yapmıyor. Yarıda kaldı.</t>
        </is>
      </c>
      <c r="K921" s="6" t="inlineStr">
        <is>
          <t>Hareketi yaptın; kimse hatırlamadı. Yeni video: 'Orta yaşlı biri tek başına dans ediyor.'</t>
        </is>
      </c>
      <c r="L921" s="6" t="inlineStr"/>
      <c r="M921" s="5" t="inlineStr"/>
      <c r="N921" s="5" t="inlineStr"/>
      <c r="O921" s="6" t="inlineStr"/>
      <c r="P921" s="6" t="inlineStr"/>
      <c r="Q921" s="5" t="inlineStr"/>
      <c r="R921" s="5" t="inlineStr">
        <is>
          <t>fenomen</t>
        </is>
      </c>
      <c r="S921" s="5" t="inlineStr"/>
      <c r="T921" s="5" t="inlineStr"/>
      <c r="U921" s="5" t="inlineStr"/>
      <c r="V921" s="5" t="inlineStr"/>
      <c r="W921" s="5" t="inlineStr"/>
      <c r="X921" s="5" t="inlineStr"/>
      <c r="Y921" s="5" t="inlineStr"/>
      <c r="Z921" s="6" t="inlineStr"/>
      <c r="AA921" s="5" t="inlineStr"/>
      <c r="AB921" s="5" t="inlineStr"/>
      <c r="AC921" s="5" t="inlineStr"/>
      <c r="AD921" s="5" t="inlineStr"/>
      <c r="AE921" s="5" t="inlineStr"/>
      <c r="AF921" s="5" t="inlineStr"/>
      <c r="AG921" s="5" t="inlineStr"/>
      <c r="AH921" s="5" t="inlineStr"/>
      <c r="AI921" s="5" t="inlineStr"/>
      <c r="AJ921" s="5" t="inlineStr"/>
    </row>
    <row r="922">
      <c r="A922" s="5" t="inlineStr">
        <is>
          <t>b8-sahte-haber</t>
        </is>
      </c>
      <c r="B922" s="5" t="n">
        <v>1</v>
      </c>
      <c r="C922" s="6" t="inlineStr">
        <is>
          <t>Görmezden gel</t>
        </is>
      </c>
      <c r="D922" s="5" t="inlineStr"/>
      <c r="E922" s="5" t="inlineStr"/>
      <c r="F922" s="5" t="inlineStr">
        <is>
          <t>Dayanıklılık +1</t>
        </is>
      </c>
      <c r="G922" s="6" t="inlineStr">
        <is>
          <t>Saat 15.00'te telefonun patlamadı. Sadece annen dört kez aradı: 'Sen kapatmadın mı?'</t>
        </is>
      </c>
      <c r="H922" s="6" t="inlineStr"/>
      <c r="I922" s="6" t="inlineStr"/>
      <c r="J922" s="6" t="inlineStr"/>
      <c r="K922" s="6" t="inlineStr"/>
      <c r="L922" s="6" t="inlineStr"/>
      <c r="M922" s="5" t="inlineStr"/>
      <c r="N922" s="5" t="inlineStr"/>
      <c r="O922" s="6" t="inlineStr"/>
      <c r="P922" s="6" t="inlineStr"/>
      <c r="Q922" s="5" t="inlineStr"/>
      <c r="R922" s="5" t="inlineStr"/>
      <c r="S922" s="5" t="inlineStr"/>
      <c r="T922" s="5" t="inlineStr"/>
      <c r="U922" s="5" t="inlineStr"/>
      <c r="V922" s="5" t="inlineStr"/>
      <c r="W922" s="5" t="inlineStr"/>
      <c r="X922" s="5" t="inlineStr"/>
      <c r="Y922" s="5" t="inlineStr"/>
      <c r="Z922" s="6" t="inlineStr"/>
      <c r="AA922" s="5" t="inlineStr"/>
      <c r="AB922" s="5" t="inlineStr"/>
      <c r="AC922" s="5" t="inlineStr"/>
      <c r="AD922" s="5" t="inlineStr"/>
      <c r="AE922" s="5" t="inlineStr"/>
      <c r="AF922" s="5" t="inlineStr"/>
      <c r="AG922" s="5" t="inlineStr"/>
      <c r="AH922" s="5" t="inlineStr"/>
      <c r="AI922" s="5" t="inlineStr"/>
      <c r="AJ922" s="5" t="inlineStr"/>
    </row>
    <row r="923">
      <c r="A923" s="5" t="inlineStr">
        <is>
          <t>b8-sahte-haber</t>
        </is>
      </c>
      <c r="B923" s="5" t="n">
        <v>2</v>
      </c>
      <c r="C923" s="6" t="inlineStr">
        <is>
          <t>Yalanlama bağlantısı gönder</t>
        </is>
      </c>
      <c r="D923" s="5" t="inlineStr">
        <is>
          <t>Akıl</t>
        </is>
      </c>
      <c r="E923" s="5" t="inlineStr">
        <is>
          <t>Orta</t>
        </is>
      </c>
      <c r="F923" s="5" t="inlineStr"/>
      <c r="G923" s="6" t="inlineStr"/>
      <c r="H923" s="6" t="inlineStr">
        <is>
          <t>Amca “Olsun, tedbir” dedi ve telefonunu yine de kapattı. 15.01'de açıp gruba yazdı: “Gördünüz mü, bir şey olmadı. Çünkü kapattık.”</t>
        </is>
      </c>
      <c r="I923" s="6" t="inlineStr">
        <is>
          <t>Amca özür diledi: “Bir daha iletmem.” İki gün sonra gruba yeni bir mesaj düştü: “Bunu iletmiyorum, sadece söylüyorum.”</t>
        </is>
      </c>
      <c r="J923" s="6" t="inlineStr">
        <is>
          <t>Bağlantını kimse açmadı. Halan sordu: “Bunda virüs var mı?” Amcan cevap verdi: “Açmayın, yeğenim bu ara tuhaf.”</t>
        </is>
      </c>
      <c r="K923" s="6" t="inlineStr">
        <is>
          <t>Amcan grupta anket açtı: “Kim haklı?” Amcaya dört oy, sana bir; o da seninki. Annen oy vermedi, sadece altına yazdı: “Tedbirin zararı yok evladım.”</t>
        </is>
      </c>
      <c r="L923" s="6" t="inlineStr">
        <is>
          <t>Üç haberden ikisini yalanladın. Amca üçüncüsüne sarıldı: “Bari bunu bırak.”</t>
        </is>
      </c>
      <c r="M923" s="5" t="inlineStr">
        <is>
          <t>diff</t>
        </is>
      </c>
      <c r="N923" s="5" t="inlineStr">
        <is>
          <t>Sahte Haber Farkı</t>
        </is>
      </c>
      <c r="O923" s="6" t="inlineStr">
        <is>
          <t>İki haber panosu aynı olmalı: oynanmış kareleri bul.</t>
        </is>
      </c>
      <c r="P923" s="6" t="inlineStr">
        <is>
          <t>{"set": ["📰", "📢", "📺", "📱", "🗞️"]}</t>
        </is>
      </c>
      <c r="Q923" s="5" t="inlineStr"/>
      <c r="R923" s="5" t="inlineStr"/>
      <c r="S923" s="5" t="inlineStr"/>
      <c r="T923" s="5" t="inlineStr"/>
      <c r="U923" s="5" t="inlineStr"/>
      <c r="V923" s="5" t="inlineStr"/>
      <c r="W923" s="5" t="inlineStr"/>
      <c r="X923" s="5" t="inlineStr"/>
      <c r="Y923" s="5" t="inlineStr"/>
      <c r="Z923" s="6" t="inlineStr"/>
      <c r="AA923" s="5" t="inlineStr"/>
      <c r="AB923" s="5" t="inlineStr"/>
      <c r="AC923" s="5" t="inlineStr"/>
      <c r="AD923" s="5" t="inlineStr"/>
      <c r="AE923" s="5" t="inlineStr"/>
      <c r="AF923" s="5" t="inlineStr"/>
      <c r="AG923" s="5" t="inlineStr"/>
      <c r="AH923" s="5" t="inlineStr"/>
      <c r="AI923" s="5" t="inlineStr"/>
      <c r="AJ923" s="5" t="inlineStr"/>
    </row>
    <row r="924">
      <c r="A924" s="5" t="inlineStr">
        <is>
          <t>b8-sahte-haber</t>
        </is>
      </c>
      <c r="B924" s="5" t="n">
        <v>3</v>
      </c>
      <c r="C924" s="6" t="inlineStr">
        <is>
          <t>Amcayı özelden ara</t>
        </is>
      </c>
      <c r="D924" s="5" t="inlineStr">
        <is>
          <t>Sosyal Radar</t>
        </is>
      </c>
      <c r="E924" s="5" t="inlineStr">
        <is>
          <t>Zor</t>
        </is>
      </c>
      <c r="F924" s="5" t="inlineStr"/>
      <c r="G924" s="6" t="inlineStr"/>
      <c r="H924" s="6" t="inlineStr">
        <is>
          <t>Haberi değil, hâlini sordun; meğer kimse sormuyormuş. Haberler azaldı. Artık gruba bahçesindeki domatesin fotoğrafını atıyor.</t>
        </is>
      </c>
      <c r="I924" s="6" t="inlineStr">
        <is>
          <t>Yarım saat konuştunuz; haberden değil, dizinden, eski bayramlardan. Kapatırken sesi değişmişti: “Arada sen de ara.” O hafta gruba tek bir mesaj düştü, amcandan: “Yeğenim aradı.”</t>
        </is>
      </c>
      <c r="J924" s="6" t="inlineStr">
        <is>
          <t>Amca sana üç haber daha anlattı. Bu kez sesli.</t>
        </is>
      </c>
      <c r="K924" s="6" t="inlineStr">
        <is>
          <t>Amcayı aradın; telefonu hoparlöre almış, yanında yengen ve iki komşu. “Bakın, bu da yalan diyor” dedi; dördü birden seni ikna etmeye başladı. Bir saat sonra telefonunu kapattın; saat 15.00'i beklemeden.</t>
        </is>
      </c>
      <c r="L924" s="6" t="inlineStr"/>
      <c r="M924" s="5" t="inlineStr"/>
      <c r="N924" s="5" t="inlineStr"/>
      <c r="O924" s="6" t="inlineStr"/>
      <c r="P924" s="6" t="inlineStr"/>
      <c r="Q924" s="5" t="inlineStr"/>
      <c r="R924" s="5" t="inlineStr"/>
      <c r="S924" s="5" t="inlineStr"/>
      <c r="T924" s="5" t="inlineStr">
        <is>
          <t>Aile Grubu Moderatörü</t>
        </is>
      </c>
      <c r="U924" s="5" t="inlineStr"/>
      <c r="V924" s="5" t="inlineStr"/>
      <c r="W924" s="5" t="inlineStr"/>
      <c r="X924" s="5" t="inlineStr"/>
      <c r="Y924" s="5" t="inlineStr"/>
      <c r="Z924" s="6" t="inlineStr"/>
      <c r="AA924" s="5" t="inlineStr"/>
      <c r="AB924" s="5" t="inlineStr"/>
      <c r="AC924" s="5" t="inlineStr"/>
      <c r="AD924" s="5" t="inlineStr"/>
      <c r="AE924" s="5" t="inlineStr"/>
      <c r="AF924" s="5" t="inlineStr"/>
      <c r="AG924" s="5" t="inlineStr"/>
      <c r="AH924" s="5" t="inlineStr"/>
      <c r="AI924" s="5" t="inlineStr"/>
      <c r="AJ924" s="5" t="inlineStr"/>
    </row>
    <row r="925">
      <c r="A925" s="5" t="inlineStr">
        <is>
          <t>b8-sahte-haber</t>
        </is>
      </c>
      <c r="B925" s="5" t="n">
        <v>4</v>
      </c>
      <c r="C925" s="6" t="inlineStr">
        <is>
          <t>Daha absürt bir haberle karşılık ver</t>
        </is>
      </c>
      <c r="D925" s="5" t="inlineStr">
        <is>
          <t>Pişkinlik</t>
        </is>
      </c>
      <c r="E925" s="5" t="inlineStr">
        <is>
          <t>Orta</t>
        </is>
      </c>
      <c r="F925" s="5" t="inlineStr"/>
      <c r="G925" s="6" t="inlineStr"/>
      <c r="H925" s="6" t="inlineStr">
        <is>
          <t>'Yarın yerçekimi yarım saat kapanıyor' yazdın. Grup güldü; amca da güldü, sonra 'Doğru mu?' diye sordu.</t>
        </is>
      </c>
      <c r="I925" s="6" t="inlineStr">
        <is>
          <t>Grup kahkahaya boğuldu; amca ilk kez bir haberin altına gülen surat koydu. Ertesi sabah gruba haber değil, yalnızca “Günaydın” yazdı.</t>
        </is>
      </c>
      <c r="J925" s="6" t="inlineStr">
        <is>
          <t>Haberin fazla inandırıcı bulundu. Halan pencereleri kapattı.</t>
        </is>
      </c>
      <c r="K925" s="6" t="inlineStr">
        <is>
          <t>Haberin başka gruplara sıçradı. Üç gün sonra amcan aynı haberi sana iletti: “Bunu bir mühendis yazmış, dikkat et.”</t>
        </is>
      </c>
      <c r="L925" s="6" t="inlineStr"/>
      <c r="M925" s="5" t="inlineStr"/>
      <c r="N925" s="5" t="inlineStr"/>
      <c r="O925" s="6" t="inlineStr"/>
      <c r="P925" s="6" t="inlineStr"/>
      <c r="Q925" s="5" t="inlineStr">
        <is>
          <t>Yüzü Kızarmaz</t>
        </is>
      </c>
      <c r="R925" s="5" t="inlineStr"/>
      <c r="S925" s="5" t="inlineStr"/>
      <c r="T925" s="5" t="inlineStr"/>
      <c r="U925" s="5" t="inlineStr"/>
      <c r="V925" s="5" t="inlineStr"/>
      <c r="W925" s="5" t="inlineStr"/>
      <c r="X925" s="5" t="inlineStr"/>
      <c r="Y925" s="5" t="inlineStr"/>
      <c r="Z925" s="6" t="inlineStr"/>
      <c r="AA925" s="5" t="inlineStr"/>
      <c r="AB925" s="5" t="inlineStr"/>
      <c r="AC925" s="5" t="inlineStr"/>
      <c r="AD925" s="5" t="inlineStr"/>
      <c r="AE925" s="5" t="inlineStr"/>
      <c r="AF925" s="5" t="inlineStr"/>
      <c r="AG925" s="5" t="inlineStr"/>
      <c r="AH925" s="5" t="inlineStr"/>
      <c r="AI925" s="5" t="inlineStr"/>
      <c r="AJ925" s="5" t="inlineStr"/>
    </row>
    <row r="926">
      <c r="A926" s="5" t="inlineStr">
        <is>
          <t>mb-asansorde-genel-mudur</t>
        </is>
      </c>
      <c r="B926" s="5" t="n">
        <v>1</v>
      </c>
      <c r="C926" s="6" t="inlineStr">
        <is>
          <t>Hava durumundan bahset</t>
        </is>
      </c>
      <c r="D926" s="5" t="inlineStr"/>
      <c r="E926" s="5" t="inlineStr"/>
      <c r="F926" s="5" t="inlineStr">
        <is>
          <t>Dayanıklılık +1</t>
        </is>
      </c>
      <c r="G926" s="6" t="inlineStr">
        <is>
          <t>Kırk dakika hava durumu konuştunuz. Çıkarken genel müdür 'Güzel sohbetti. Adın neydi?' dedi.</t>
        </is>
      </c>
      <c r="H926" s="6" t="inlineStr"/>
      <c r="I926" s="6" t="inlineStr"/>
      <c r="J926" s="6" t="inlineStr"/>
      <c r="K926" s="6" t="inlineStr"/>
      <c r="L926" s="6" t="inlineStr"/>
      <c r="M926" s="5" t="inlineStr"/>
      <c r="N926" s="5" t="inlineStr"/>
      <c r="O926" s="6" t="inlineStr"/>
      <c r="P926" s="6" t="inlineStr"/>
      <c r="Q926" s="5" t="inlineStr"/>
      <c r="R926" s="5" t="inlineStr"/>
      <c r="S926" s="5" t="inlineStr"/>
      <c r="T926" s="5" t="inlineStr"/>
      <c r="U926" s="5" t="inlineStr"/>
      <c r="V926" s="5" t="inlineStr"/>
      <c r="W926" s="5" t="inlineStr"/>
      <c r="X926" s="5" t="inlineStr"/>
      <c r="Y926" s="5" t="inlineStr"/>
      <c r="Z926" s="6" t="inlineStr"/>
      <c r="AA926" s="5" t="inlineStr"/>
      <c r="AB926" s="5" t="inlineStr"/>
      <c r="AC926" s="5" t="inlineStr"/>
      <c r="AD926" s="5" t="inlineStr"/>
      <c r="AE926" s="5" t="inlineStr"/>
      <c r="AF926" s="5" t="inlineStr"/>
      <c r="AG926" s="5" t="inlineStr"/>
      <c r="AH926" s="5" t="inlineStr"/>
      <c r="AI926" s="5" t="inlineStr"/>
      <c r="AJ926" s="5" t="inlineStr"/>
    </row>
    <row r="927">
      <c r="A927" s="5" t="inlineStr">
        <is>
          <t>mb-asansorde-genel-mudur</t>
        </is>
      </c>
      <c r="B927" s="5" t="n">
        <v>2</v>
      </c>
      <c r="C927" s="6" t="inlineStr">
        <is>
          <t>Projeni anlat</t>
        </is>
      </c>
      <c r="D927" s="5" t="inlineStr">
        <is>
          <t>Cesaret</t>
        </is>
      </c>
      <c r="E927" s="5" t="inlineStr">
        <is>
          <t>Zor</t>
        </is>
      </c>
      <c r="F927" s="5" t="inlineStr"/>
      <c r="G927" s="6" t="inlineStr"/>
      <c r="H927" s="6" t="inlineStr">
        <is>
          <t>Projeni kırk dakikada üç kez anlattın; üçüncüsünde genel müdür telefonuna not aldı. Kapı açıldığında projenin bütçesi vardı, senin de terden sırılsıklam bir gömleğin.</t>
        </is>
      </c>
      <c r="I927" s="6" t="inlineStr">
        <is>
          <t>Kapı açılınca genel müdür teknisyene değil sana döndü: “Devam edelim, yukarı gel.” Bir ay sonra masan yirmi üçüncü kattaydı. Asansöre hâlâ binmiyorsun; merdivenden çıkıyorsun.</t>
        </is>
      </c>
      <c r="J927" s="6" t="inlineStr">
        <is>
          <t>Anlattın; genel müdür kırk dakika boyunca telefonunun çekip çekmediğine baktı.</t>
        </is>
      </c>
      <c r="K927" s="6" t="inlineStr">
        <is>
          <t>Projeni anlatırken eski bir projeyi yerden yere vurdun. O projeyi başlatan oydu. Daha otuz sekiz dakika vardı.</t>
        </is>
      </c>
      <c r="L927" s="6" t="inlineStr"/>
      <c r="M927" s="5" t="inlineStr"/>
      <c r="N927" s="5" t="inlineStr"/>
      <c r="O927" s="6" t="inlineStr"/>
      <c r="P927" s="6" t="inlineStr"/>
      <c r="Q927" s="5" t="inlineStr"/>
      <c r="R927" s="5" t="inlineStr"/>
      <c r="S927" s="5" t="inlineStr"/>
      <c r="T927" s="5" t="inlineStr"/>
      <c r="U927" s="5" t="inlineStr"/>
      <c r="V927" s="5" t="inlineStr">
        <is>
          <t>beyazyaka-gm-tanidik</t>
        </is>
      </c>
      <c r="W927" s="5" t="inlineStr"/>
      <c r="X927" s="5" t="inlineStr"/>
      <c r="Y927" s="5" t="inlineStr"/>
      <c r="Z927" s="6" t="inlineStr"/>
      <c r="AA927" s="5" t="inlineStr"/>
      <c r="AB927" s="5" t="inlineStr"/>
      <c r="AC927" s="5" t="inlineStr"/>
      <c r="AD927" s="5" t="inlineStr"/>
      <c r="AE927" s="5" t="inlineStr"/>
      <c r="AF927" s="5" t="inlineStr"/>
      <c r="AG927" s="5" t="inlineStr"/>
      <c r="AH927" s="5" t="inlineStr"/>
      <c r="AI927" s="5" t="inlineStr"/>
      <c r="AJ927" s="5" t="inlineStr"/>
    </row>
    <row r="928">
      <c r="A928" s="5" t="inlineStr">
        <is>
          <t>mb-asansorde-genel-mudur</t>
        </is>
      </c>
      <c r="B928" s="5" t="n">
        <v>3</v>
      </c>
      <c r="C928" s="6" t="inlineStr">
        <is>
          <t>Balıkçılıktan aç</t>
        </is>
      </c>
      <c r="D928" s="5" t="inlineStr">
        <is>
          <t>Sosyal Radar</t>
        </is>
      </c>
      <c r="E928" s="5" t="inlineStr">
        <is>
          <t>Kolay</t>
        </is>
      </c>
      <c r="F928" s="5" t="inlineStr"/>
      <c r="G928" s="6" t="inlineStr"/>
      <c r="H928" s="6" t="inlineStr">
        <is>
          <t>Kırk dakika olta konuştunuz. Hafta sonu göle davet edildin.</t>
        </is>
      </c>
      <c r="I928" s="6" t="inlineStr">
        <is>
          <t>Göle davet edildin. Üç saatte o dört balık tuttu, sen yalnızca üşüdün. Ertesi ay bir birimin başına getirildin; masanda çerçeveli bir fotoğraf var: ikiniz ve onun balığı.</t>
        </is>
      </c>
      <c r="J928" s="6" t="inlineStr">
        <is>
          <t>Balıktan açtın; genel müdür denizci çıktı. Göl lafı hakaret sayıldı.</t>
        </is>
      </c>
      <c r="K928" s="6" t="inlineStr">
        <is>
          <t>Balıktan açtın; genel müdür “Balık tuttuğumu nereden biliyorsun?” dedi. Çantasına baktığını itiraf ettin. Kalan otuz beş dakika boyunca çantasını göğsüne bastırarak durdu.</t>
        </is>
      </c>
      <c r="L928" s="6" t="inlineStr"/>
      <c r="M928" s="5" t="inlineStr"/>
      <c r="N928" s="5" t="inlineStr"/>
      <c r="O928" s="6" t="inlineStr"/>
      <c r="P928" s="6" t="inlineStr"/>
      <c r="Q928" s="5" t="inlineStr"/>
      <c r="R928" s="5" t="inlineStr"/>
      <c r="S928" s="5" t="inlineStr">
        <is>
          <t>Sosyal Radar</t>
        </is>
      </c>
      <c r="T928" s="5" t="inlineStr"/>
      <c r="U928" s="5" t="inlineStr"/>
      <c r="V928" s="5" t="inlineStr">
        <is>
          <t>beyazyaka-gm-tanidik</t>
        </is>
      </c>
      <c r="W928" s="5" t="inlineStr"/>
      <c r="X928" s="5" t="inlineStr"/>
      <c r="Y928" s="5" t="inlineStr"/>
      <c r="Z928" s="6" t="inlineStr"/>
      <c r="AA928" s="5" t="inlineStr"/>
      <c r="AB928" s="5" t="inlineStr"/>
      <c r="AC928" s="5" t="inlineStr"/>
      <c r="AD928" s="5" t="inlineStr"/>
      <c r="AE928" s="5" t="inlineStr"/>
      <c r="AF928" s="5" t="inlineStr"/>
      <c r="AG928" s="5" t="inlineStr"/>
      <c r="AH928" s="5" t="inlineStr"/>
      <c r="AI928" s="5" t="inlineStr"/>
      <c r="AJ928" s="5" t="inlineStr"/>
    </row>
    <row r="929">
      <c r="A929" s="5" t="inlineStr">
        <is>
          <t>mb-asansorde-genel-mudur</t>
        </is>
      </c>
      <c r="B929" s="5" t="n">
        <v>4</v>
      </c>
      <c r="C929" s="6" t="inlineStr">
        <is>
          <t>Tavan kapağından çıkmayı dene</t>
        </is>
      </c>
      <c r="D929" s="5" t="inlineStr">
        <is>
          <t>Cesaret</t>
        </is>
      </c>
      <c r="E929" s="5" t="inlineStr">
        <is>
          <t>Zor</t>
        </is>
      </c>
      <c r="F929" s="5" t="inlineStr"/>
      <c r="G929" s="6" t="inlineStr"/>
      <c r="H929" s="6" t="inlineStr">
        <is>
          <t>Kapağı açıp kafanı çıkardın, teknisyene bağırdın: “Yirmi üçteyiz!” Teknisyen “Biliyorum” dedi. Ertesi gün genel müdür seni toplantıda herkese gösterdi: “Bu arkadaş tavandan çıktı.”</t>
        </is>
      </c>
      <c r="I929" s="6" t="inlineStr">
        <is>
          <t>Genel müdürü tavandan çıkardın. Şirket bülteninde kapak oldun: 'Liderlik yukarıdan başlar.'</t>
        </is>
      </c>
      <c r="J929" s="6" t="inlineStr">
        <is>
          <t>Kapağa uzandın, açamadın; pantolonunun dikişi açıldı. Genel müdür kalan otuz dakika boyunca nazikçe tavana baktı.</t>
        </is>
      </c>
      <c r="K929" s="6" t="inlineStr">
        <is>
          <t>Tavan kapağından yarıya kadar çıktın, kalçadan takıldın. Bacakların otuz beş dakika asansörün içinde sallandı; genel müdür onlara bakmamaya çalıştı. Teknisyen önce seni çıkardı. Ertesi sabah kantinde biri seslendi: “Avize, çayın soğuyor!”</t>
        </is>
      </c>
      <c r="L929" s="6" t="inlineStr"/>
      <c r="M929" s="5" t="inlineStr"/>
      <c r="N929" s="5" t="inlineStr"/>
      <c r="O929" s="6" t="inlineStr"/>
      <c r="P929" s="6" t="inlineStr"/>
      <c r="Q929" s="5" t="inlineStr"/>
      <c r="R929" s="5" t="inlineStr"/>
      <c r="S929" s="5" t="inlineStr"/>
      <c r="T929" s="5" t="inlineStr"/>
      <c r="U929" s="5" t="inlineStr"/>
      <c r="V929" s="5" t="inlineStr">
        <is>
          <t>beyazyaka-gm-tanidik</t>
        </is>
      </c>
      <c r="W929" s="5" t="inlineStr"/>
      <c r="X929" s="5" t="inlineStr"/>
      <c r="Y929" s="5" t="n">
        <v>2</v>
      </c>
      <c r="Z929" s="6" t="inlineStr">
        <is>
          <t>Arızalı plaza asansörünün tavan kapağından genel müdürü kurtarmaya çalışırken. Asansör tam o sırada düzeldi.</t>
        </is>
      </c>
      <c r="AA929" s="5" t="inlineStr"/>
      <c r="AB929" s="5" t="inlineStr"/>
      <c r="AC929" s="5" t="inlineStr"/>
      <c r="AD929" s="5" t="inlineStr"/>
      <c r="AE929" s="5" t="inlineStr"/>
      <c r="AF929" s="5" t="inlineStr"/>
      <c r="AG929" s="5" t="inlineStr"/>
      <c r="AH929" s="5" t="inlineStr"/>
      <c r="AI929" s="5" t="inlineStr">
        <is>
          <t>Avize</t>
        </is>
      </c>
      <c r="AJ929" s="5" t="inlineStr"/>
    </row>
    <row r="930">
      <c r="A930" s="5" t="inlineStr">
        <is>
          <t>me-tek-yildiz</t>
        </is>
      </c>
      <c r="B930" s="5" t="n">
        <v>1</v>
      </c>
      <c r="C930" s="6" t="inlineStr">
        <is>
          <t>Kibar bir cevap yaz</t>
        </is>
      </c>
      <c r="D930" s="5" t="inlineStr"/>
      <c r="E930" s="5" t="inlineStr"/>
      <c r="F930" s="5" t="inlineStr">
        <is>
          <t>İtibar +1, Çene +1</t>
        </is>
      </c>
      <c r="G930" s="6" t="inlineStr">
        <is>
          <t>“Değerli yorumunuz için teşekkürler, gündüz de bekleriz; çayımız demli” yazdın. Cevabın yorumdan fazla beğeni aldı; birini karşı dükkân yapmış.</t>
        </is>
      </c>
      <c r="H930" s="6" t="inlineStr"/>
      <c r="I930" s="6" t="inlineStr"/>
      <c r="J930" s="6" t="inlineStr"/>
      <c r="K930" s="6" t="inlineStr"/>
      <c r="L930" s="6" t="inlineStr"/>
      <c r="M930" s="5" t="inlineStr"/>
      <c r="N930" s="5" t="inlineStr"/>
      <c r="O930" s="6" t="inlineStr"/>
      <c r="P930" s="6" t="inlineStr"/>
      <c r="Q930" s="5" t="inlineStr"/>
      <c r="R930" s="5" t="inlineStr"/>
      <c r="S930" s="5" t="inlineStr"/>
      <c r="T930" s="5" t="inlineStr"/>
      <c r="U930" s="5" t="inlineStr"/>
      <c r="V930" s="5" t="inlineStr"/>
      <c r="W930" s="5" t="inlineStr"/>
      <c r="X930" s="5" t="inlineStr"/>
      <c r="Y930" s="5" t="inlineStr"/>
      <c r="Z930" s="6" t="inlineStr"/>
      <c r="AA930" s="5" t="inlineStr"/>
      <c r="AB930" s="5" t="inlineStr"/>
      <c r="AC930" s="5" t="inlineStr"/>
      <c r="AD930" s="5" t="inlineStr"/>
      <c r="AE930" s="5" t="inlineStr"/>
      <c r="AF930" s="5" t="inlineStr"/>
      <c r="AG930" s="5" t="inlineStr"/>
      <c r="AH930" s="5" t="inlineStr"/>
      <c r="AI930" s="5" t="inlineStr"/>
      <c r="AJ930" s="5" t="inlineStr"/>
    </row>
    <row r="931">
      <c r="A931" s="5" t="inlineStr">
        <is>
          <t>me-tek-yildiz</t>
        </is>
      </c>
      <c r="B931" s="5" t="n">
        <v>2</v>
      </c>
      <c r="C931" s="6" t="inlineStr">
        <is>
          <t>Müşteriyi bul, gönlünü al</t>
        </is>
      </c>
      <c r="D931" s="5" t="inlineStr">
        <is>
          <t>Sosyal Radar</t>
        </is>
      </c>
      <c r="E931" s="5" t="inlineStr">
        <is>
          <t>Orta</t>
        </is>
      </c>
      <c r="F931" s="5" t="inlineStr"/>
      <c r="G931" s="6" t="inlineStr"/>
      <c r="H931" s="6" t="inlineStr">
        <is>
          <t>Yorumcuyu buldun: gece vardiyasından dönen bir hemşire, o saatte açık dükkân arıyormuş. Ertesi gün çay, simit, bir de kolonya ikram ettin. Yıldız beşe çıktı, altına bir satır eklendi: “Gündüz gelin, değer.”</t>
        </is>
      </c>
      <c r="I931" s="6" t="inlineStr">
        <is>
          <t>Yorum 'Hayatımın esnafı' olarak güncellendi. Fotoğraf da eklendi; ikinizin.</t>
        </is>
      </c>
      <c r="J931" s="6" t="inlineStr">
        <is>
          <t>Bulduğun kişi yanlış kişiymiş. Şimdi iki kişi seni güler yüzsüz buluyor.</t>
        </is>
      </c>
      <c r="K931" s="6" t="inlineStr">
        <is>
          <t>Gönlünü almaya gittin, fazla gülümsedin. Yeni yorum: 'Esnaf ürkütücü derecede güler yüzlü.'</t>
        </is>
      </c>
      <c r="L931" s="6" t="inlineStr"/>
      <c r="M931" s="5" t="inlineStr"/>
      <c r="N931" s="5" t="inlineStr"/>
      <c r="O931" s="6" t="inlineStr"/>
      <c r="P931" s="6" t="inlineStr"/>
      <c r="Q931" s="5" t="inlineStr"/>
      <c r="R931" s="5" t="inlineStr"/>
      <c r="S931" s="5" t="inlineStr"/>
      <c r="T931" s="5" t="inlineStr"/>
      <c r="U931" s="5" t="inlineStr"/>
      <c r="V931" s="5" t="inlineStr"/>
      <c r="W931" s="5" t="inlineStr"/>
      <c r="X931" s="5" t="inlineStr"/>
      <c r="Y931" s="5" t="inlineStr"/>
      <c r="Z931" s="6" t="inlineStr"/>
      <c r="AA931" s="5" t="inlineStr"/>
      <c r="AB931" s="5" t="inlineStr"/>
      <c r="AC931" s="5" t="inlineStr"/>
      <c r="AD931" s="5" t="inlineStr"/>
      <c r="AE931" s="5" t="inlineStr"/>
      <c r="AF931" s="5" t="inlineStr"/>
      <c r="AG931" s="5" t="inlineStr"/>
      <c r="AH931" s="5" t="inlineStr"/>
      <c r="AI931" s="5" t="inlineStr"/>
      <c r="AJ931" s="5" t="inlineStr"/>
    </row>
    <row r="932">
      <c r="A932" s="5" t="inlineStr">
        <is>
          <t>me-tek-yildiz</t>
        </is>
      </c>
      <c r="B932" s="5" t="n">
        <v>3</v>
      </c>
      <c r="C932" s="6" t="inlineStr">
        <is>
          <t>Karşı dükkâna yorum yaz</t>
        </is>
      </c>
      <c r="D932" s="5" t="inlineStr">
        <is>
          <t>Kurnazlık</t>
        </is>
      </c>
      <c r="E932" s="5" t="inlineStr">
        <is>
          <t>Zor</t>
        </is>
      </c>
      <c r="F932" s="5" t="inlineStr"/>
      <c r="G932" s="6" t="inlineStr"/>
      <c r="H932" s="6" t="inlineStr">
        <is>
          <t>Karşıya dört yıldız verdin: “Ürünler güzel, esnaf güler yüzlü. Karşıdaki kadar değil ama.” Ertesi sabah karşının sahibi kapıda sana gülümsedi; dişlerini sıkarak.</t>
        </is>
      </c>
      <c r="I932" s="6" t="inlineStr">
        <is>
          <t>Yorumun o kadar dengeli oldu ki karşı dükkân onu vitrinine astı. Vitrinlerinde senin reklamın duruyor.</t>
        </is>
      </c>
      <c r="J932" s="6" t="inlineStr">
        <is>
          <t>Yorumu yazdın; profil fotoğrafında kendi kasan görünüyordu.</t>
        </is>
      </c>
      <c r="K932" s="6" t="inlineStr">
        <is>
          <t>Yorumu yanlış dükkâna yazdın: kendine. Tek yıldız. Artık iki tane.</t>
        </is>
      </c>
      <c r="L932" s="6" t="inlineStr"/>
      <c r="M932" s="5" t="inlineStr"/>
      <c r="N932" s="5" t="inlineStr"/>
      <c r="O932" s="6" t="inlineStr"/>
      <c r="P932" s="6" t="inlineStr"/>
      <c r="Q932" s="5" t="inlineStr"/>
      <c r="R932" s="5" t="inlineStr">
        <is>
          <t>esnaf-komsu-rakip</t>
        </is>
      </c>
      <c r="S932" s="5" t="inlineStr"/>
      <c r="T932" s="5" t="inlineStr"/>
      <c r="U932" s="5" t="inlineStr"/>
      <c r="V932" s="5" t="inlineStr"/>
      <c r="W932" s="5" t="inlineStr"/>
      <c r="X932" s="5" t="inlineStr"/>
      <c r="Y932" s="5" t="inlineStr"/>
      <c r="Z932" s="6" t="inlineStr"/>
      <c r="AA932" s="5" t="inlineStr"/>
      <c r="AB932" s="5" t="inlineStr"/>
      <c r="AC932" s="5" t="inlineStr"/>
      <c r="AD932" s="5" t="inlineStr"/>
      <c r="AE932" s="5" t="inlineStr"/>
      <c r="AF932" s="5" t="inlineStr"/>
      <c r="AG932" s="5" t="inlineStr"/>
      <c r="AH932" s="5" t="inlineStr"/>
      <c r="AI932" s="5" t="inlineStr"/>
      <c r="AJ932" s="5" t="inlineStr"/>
    </row>
    <row r="933">
      <c r="A933" s="5" t="inlineStr">
        <is>
          <t>me-tek-yildiz</t>
        </is>
      </c>
      <c r="B933" s="5" t="n">
        <v>4</v>
      </c>
      <c r="C933" s="6" t="inlineStr">
        <is>
          <t>Görmezden gel</t>
        </is>
      </c>
      <c r="D933" s="5" t="inlineStr"/>
      <c r="E933" s="5" t="inlineStr"/>
      <c r="F933" s="5" t="inlineStr">
        <is>
          <t>Dayanıklılık +1</t>
        </is>
      </c>
      <c r="G933" s="6" t="inlineStr">
        <is>
          <t>Yorumu görmezden geldin; çarşı gelmedi. Akşam kepenk indirirken yan dükkândan seslendiler: “Gülümse biraz!”</t>
        </is>
      </c>
      <c r="H933" s="6" t="inlineStr"/>
      <c r="I933" s="6" t="inlineStr"/>
      <c r="J933" s="6" t="inlineStr"/>
      <c r="K933" s="6" t="inlineStr"/>
      <c r="L933" s="6" t="inlineStr"/>
      <c r="M933" s="5" t="inlineStr"/>
      <c r="N933" s="5" t="inlineStr"/>
      <c r="O933" s="6" t="inlineStr"/>
      <c r="P933" s="6" t="inlineStr"/>
      <c r="Q933" s="5" t="inlineStr"/>
      <c r="R933" s="5" t="inlineStr"/>
      <c r="S933" s="5" t="inlineStr"/>
      <c r="T933" s="5" t="inlineStr"/>
      <c r="U933" s="5" t="inlineStr"/>
      <c r="V933" s="5" t="inlineStr"/>
      <c r="W933" s="5" t="inlineStr"/>
      <c r="X933" s="5" t="inlineStr"/>
      <c r="Y933" s="5" t="inlineStr"/>
      <c r="Z933" s="6" t="inlineStr"/>
      <c r="AA933" s="5" t="inlineStr"/>
      <c r="AB933" s="5" t="inlineStr"/>
      <c r="AC933" s="5" t="inlineStr"/>
      <c r="AD933" s="5" t="inlineStr"/>
      <c r="AE933" s="5" t="inlineStr"/>
      <c r="AF933" s="5" t="inlineStr"/>
      <c r="AG933" s="5" t="inlineStr"/>
      <c r="AH933" s="5" t="inlineStr"/>
      <c r="AI933" s="5" t="inlineStr"/>
      <c r="AJ933" s="5" t="inlineStr"/>
    </row>
    <row r="934">
      <c r="A934" s="5" t="inlineStr">
        <is>
          <t>mm-vatandasla-diyalog</t>
        </is>
      </c>
      <c r="B934" s="5" t="n">
        <v>1</v>
      </c>
      <c r="C934" s="6" t="inlineStr">
        <is>
          <t>Usulü anlat</t>
        </is>
      </c>
      <c r="D934" s="5" t="inlineStr"/>
      <c r="E934" s="5" t="inlineStr"/>
      <c r="F934" s="5" t="inlineStr">
        <is>
          <t>İtibar +1, Akıl +1</t>
        </is>
      </c>
      <c r="G934" s="6" t="inlineStr">
        <is>
          <t>Dilekçe, iki fotokopi, bir vesikalık. Adam söylene söylene sıraya geçti; çıkarken “Siz iyi birisiniz ama düzen bozuk” dedi. Yirmi yıldır en sık duyduğun iltifat.</t>
        </is>
      </c>
      <c r="H934" s="6" t="inlineStr"/>
      <c r="I934" s="6" t="inlineStr"/>
      <c r="J934" s="6" t="inlineStr"/>
      <c r="K934" s="6" t="inlineStr"/>
      <c r="L934" s="6" t="inlineStr"/>
      <c r="M934" s="5" t="inlineStr"/>
      <c r="N934" s="5" t="inlineStr"/>
      <c r="O934" s="6" t="inlineStr"/>
      <c r="P934" s="6" t="inlineStr"/>
      <c r="Q934" s="5" t="inlineStr"/>
      <c r="R934" s="5" t="inlineStr"/>
      <c r="S934" s="5" t="inlineStr"/>
      <c r="T934" s="5" t="inlineStr"/>
      <c r="U934" s="5" t="inlineStr"/>
      <c r="V934" s="5" t="inlineStr"/>
      <c r="W934" s="5" t="inlineStr"/>
      <c r="X934" s="5" t="inlineStr"/>
      <c r="Y934" s="5" t="inlineStr"/>
      <c r="Z934" s="6" t="inlineStr"/>
      <c r="AA934" s="5" t="inlineStr"/>
      <c r="AB934" s="5" t="inlineStr"/>
      <c r="AC934" s="5" t="inlineStr"/>
      <c r="AD934" s="5" t="inlineStr"/>
      <c r="AE934" s="5" t="inlineStr"/>
      <c r="AF934" s="5" t="inlineStr"/>
      <c r="AG934" s="5" t="inlineStr"/>
      <c r="AH934" s="5" t="inlineStr"/>
      <c r="AI934" s="5" t="inlineStr"/>
      <c r="AJ934" s="5" t="inlineStr"/>
    </row>
    <row r="935">
      <c r="A935" s="5" t="inlineStr">
        <is>
          <t>mm-vatandasla-diyalog</t>
        </is>
      </c>
      <c r="B935" s="5" t="n">
        <v>2</v>
      </c>
      <c r="C935" s="6" t="inlineStr">
        <is>
          <t>'Ben de masayım' de</t>
        </is>
      </c>
      <c r="D935" s="5" t="inlineStr">
        <is>
          <t>Pişkinlik</t>
        </is>
      </c>
      <c r="E935" s="5" t="inlineStr">
        <is>
          <t>Orta</t>
        </is>
      </c>
      <c r="F935" s="5" t="inlineStr"/>
      <c r="G935" s="6" t="inlineStr"/>
      <c r="H935" s="6" t="inlineStr">
        <is>
          <t>Vatandaş bir masaya baktı, bir sana; anlamadı ama sıraya geçti. Yan masadaki arkadaşın çayını bırakıp fısıldadı: “Yirmi yıldır bunu bekliyordun, değil mi?”</t>
        </is>
      </c>
      <c r="I935" s="6" t="inlineStr">
        <is>
          <t>Koridor alkışladı. Cümle bir haftada kısa video uygulamasında 'masa memur' diye yayıldı.</t>
        </is>
      </c>
      <c r="J935" s="6" t="inlineStr">
        <is>
          <t>'Masa mı? Müdürünüzü çağırın' dedi. Müdür de bir masaydı.</t>
        </is>
      </c>
      <c r="K935" s="6" t="inlineStr">
        <is>
          <t>Gerçekten birinin nesiymiş: müdürün kayınpederi. Pazartesiden itibaren arşivdesin; kapında elle yazılmış bir kâğıt: “Masa.”</t>
        </is>
      </c>
      <c r="L935" s="6" t="inlineStr"/>
      <c r="M935" s="5" t="inlineStr"/>
      <c r="N935" s="5" t="inlineStr"/>
      <c r="O935" s="6" t="inlineStr"/>
      <c r="P935" s="6" t="inlineStr"/>
      <c r="Q935" s="5" t="inlineStr"/>
      <c r="R935" s="5" t="inlineStr"/>
      <c r="S935" s="5" t="inlineStr">
        <is>
          <t>Pişkinlik</t>
        </is>
      </c>
      <c r="T935" s="5" t="inlineStr"/>
      <c r="U935" s="5" t="inlineStr"/>
      <c r="V935" s="5" t="inlineStr"/>
      <c r="W935" s="5" t="inlineStr"/>
      <c r="X935" s="5" t="inlineStr"/>
      <c r="Y935" s="5" t="inlineStr"/>
      <c r="Z935" s="6" t="inlineStr"/>
      <c r="AA935" s="5" t="inlineStr"/>
      <c r="AB935" s="5" t="inlineStr"/>
      <c r="AC935" s="5" t="inlineStr"/>
      <c r="AD935" s="5" t="inlineStr"/>
      <c r="AE935" s="5" t="inlineStr"/>
      <c r="AF935" s="5" t="inlineStr"/>
      <c r="AG935" s="5" t="inlineStr"/>
      <c r="AH935" s="5" t="inlineStr"/>
      <c r="AI935" s="5" t="inlineStr">
        <is>
          <t>Masa</t>
        </is>
      </c>
      <c r="AJ935" s="5" t="inlineStr"/>
    </row>
    <row r="936">
      <c r="A936" s="5" t="inlineStr">
        <is>
          <t>mm-vatandasla-diyalog</t>
        </is>
      </c>
      <c r="B936" s="5" t="n">
        <v>3</v>
      </c>
      <c r="C936" s="6" t="inlineStr">
        <is>
          <t>Kayıp dosyayı tanı</t>
        </is>
      </c>
      <c r="D936" s="5" t="inlineStr">
        <is>
          <t>Akıl</t>
        </is>
      </c>
      <c r="E936" s="5" t="inlineStr">
        <is>
          <t>Orta</t>
        </is>
      </c>
      <c r="F936" s="5" t="inlineStr"/>
      <c r="G936" s="6" t="inlineStr"/>
      <c r="H936" s="6" t="inlineStr">
        <is>
          <t>Arşivin tam yerini hatırladın. Yıllardır süren iş on üç dakikada bitti.</t>
        </is>
      </c>
      <c r="I936" s="6" t="inlineStr">
        <is>
          <t>Dosyayı buldun: yıllardır kayıp olan, adamın dedesinin tapusu. İşlem bitince adam elini sıktı, kapıda döndü: “Kim olduğumu sormadınız.” “Artık biliyorum: sırası gelmiş biri.”</t>
        </is>
      </c>
      <c r="J936" s="6" t="inlineStr">
        <is>
          <t>Arşiv taşınmış. Yeni arşiv, eski arşivin nerede olduğunu bilmiyor.</t>
        </is>
      </c>
      <c r="K936" s="6" t="inlineStr">
        <is>
          <t>'Bunu ben kaybetmiştim' dedin. Kim olduğunu bu kez söyledi: avukat.</t>
        </is>
      </c>
      <c r="L936" s="6" t="inlineStr"/>
      <c r="M936" s="5" t="inlineStr"/>
      <c r="N936" s="5" t="inlineStr"/>
      <c r="O936" s="6" t="inlineStr"/>
      <c r="P936" s="6" t="inlineStr"/>
      <c r="Q936" s="5" t="inlineStr"/>
      <c r="R936" s="5" t="inlineStr">
        <is>
          <t>memur-kayip-dosya</t>
        </is>
      </c>
      <c r="S936" s="5" t="inlineStr"/>
      <c r="T936" s="5" t="inlineStr"/>
      <c r="U936" s="5" t="inlineStr"/>
      <c r="V936" s="5" t="inlineStr"/>
      <c r="W936" s="5" t="inlineStr"/>
      <c r="X936" s="5" t="inlineStr"/>
      <c r="Y936" s="5" t="inlineStr"/>
      <c r="Z936" s="6" t="inlineStr"/>
      <c r="AA936" s="5" t="inlineStr"/>
      <c r="AB936" s="5" t="inlineStr"/>
      <c r="AC936" s="5" t="inlineStr"/>
      <c r="AD936" s="5" t="inlineStr"/>
      <c r="AE936" s="5" t="inlineStr"/>
      <c r="AF936" s="5" t="inlineStr"/>
      <c r="AG936" s="5" t="inlineStr"/>
      <c r="AH936" s="5" t="inlineStr"/>
      <c r="AI936" s="5" t="inlineStr"/>
      <c r="AJ936" s="5" t="inlineStr"/>
    </row>
    <row r="937">
      <c r="A937" s="5" t="inlineStr">
        <is>
          <t>mm-vatandasla-diyalog</t>
        </is>
      </c>
      <c r="B937" s="5" t="n">
        <v>4</v>
      </c>
      <c r="C937" s="6" t="inlineStr">
        <is>
          <t>Kibarca sıraya yönlendir</t>
        </is>
      </c>
      <c r="D937" s="5" t="inlineStr">
        <is>
          <t>Cesaret</t>
        </is>
      </c>
      <c r="E937" s="5" t="inlineStr">
        <is>
          <t>Kolay</t>
        </is>
      </c>
      <c r="F937" s="5" t="inlineStr"/>
      <c r="G937" s="6" t="inlineStr"/>
      <c r="H937" s="6" t="inlineStr">
        <is>
          <t>Sıra numarası verdin. Vatandaş kim olduğunu sıra numarasıyla öğrendi: 47.</t>
        </is>
      </c>
      <c r="I937" s="6" t="inlineStr">
        <is>
          <t>Öyle sakin söyledin ki arkadaki herkes de sıraya geçti. Koridorda ilk kez düzen var.</t>
        </is>
      </c>
      <c r="J937" s="6" t="inlineStr">
        <is>
          <t>Sıraya geçti; üç dakika sonra yine masadaydı. 'Bir şey soracağım sadece.'</t>
        </is>
      </c>
      <c r="K937" s="6" t="inlineStr">
        <is>
          <t>Sıraya yönlendirdin; sıranın başındaki kişi onun kim olduğunu biliyormuş. Herkes ona yer verdi.</t>
        </is>
      </c>
      <c r="L937" s="6" t="inlineStr"/>
      <c r="M937" s="5" t="inlineStr"/>
      <c r="N937" s="5" t="inlineStr"/>
      <c r="O937" s="6" t="inlineStr"/>
      <c r="P937" s="6" t="inlineStr"/>
      <c r="Q937" s="5" t="inlineStr"/>
      <c r="R937" s="5" t="inlineStr"/>
      <c r="S937" s="5" t="inlineStr"/>
      <c r="T937" s="5" t="inlineStr"/>
      <c r="U937" s="5" t="inlineStr"/>
      <c r="V937" s="5" t="inlineStr"/>
      <c r="W937" s="5" t="inlineStr"/>
      <c r="X937" s="5" t="inlineStr"/>
      <c r="Y937" s="5" t="inlineStr"/>
      <c r="Z937" s="6" t="inlineStr"/>
      <c r="AA937" s="5" t="inlineStr"/>
      <c r="AB937" s="5" t="inlineStr"/>
      <c r="AC937" s="5" t="inlineStr"/>
      <c r="AD937" s="5" t="inlineStr"/>
      <c r="AE937" s="5" t="inlineStr"/>
      <c r="AF937" s="5" t="inlineStr"/>
      <c r="AG937" s="5" t="inlineStr"/>
      <c r="AH937" s="5" t="inlineStr"/>
      <c r="AI937" s="5" t="inlineStr"/>
      <c r="AJ937" s="5" t="inlineStr"/>
    </row>
    <row r="938">
      <c r="A938" s="5" t="inlineStr">
        <is>
          <t>b8-yeni-hobi</t>
        </is>
      </c>
      <c r="B938" s="5" t="n">
        <v>1</v>
      </c>
      <c r="C938" s="6" t="inlineStr">
        <is>
          <t>Ekşi maya besle</t>
        </is>
      </c>
      <c r="D938" s="5" t="inlineStr"/>
      <c r="E938" s="5" t="inlineStr"/>
      <c r="F938" s="5" t="inlineStr">
        <is>
          <t>İtibar +1, Dayanıklılık +1</t>
        </is>
      </c>
      <c r="G938" s="6" t="inlineStr">
        <is>
          <t>Mayaya bir isim verdin: Necmiye. Haftada iki kez besliyorsun; tatile giderken komşuya bırakıp “Sabah akşam bir bak” diyorsun. Dönüşte komşu sordu: “Bu ekmek mi, çocuk mu?”</t>
        </is>
      </c>
      <c r="H938" s="6" t="inlineStr"/>
      <c r="I938" s="6" t="inlineStr"/>
      <c r="J938" s="6" t="inlineStr"/>
      <c r="K938" s="6" t="inlineStr"/>
      <c r="L938" s="6" t="inlineStr"/>
      <c r="M938" s="5" t="inlineStr"/>
      <c r="N938" s="5" t="inlineStr"/>
      <c r="O938" s="6" t="inlineStr"/>
      <c r="P938" s="6" t="inlineStr"/>
      <c r="Q938" s="5" t="inlineStr"/>
      <c r="R938" s="5" t="inlineStr"/>
      <c r="S938" s="5" t="inlineStr"/>
      <c r="T938" s="5" t="inlineStr"/>
      <c r="U938" s="5" t="inlineStr"/>
      <c r="V938" s="5" t="inlineStr"/>
      <c r="W938" s="5" t="inlineStr"/>
      <c r="X938" s="5" t="inlineStr"/>
      <c r="Y938" s="5" t="inlineStr"/>
      <c r="Z938" s="6" t="inlineStr"/>
      <c r="AA938" s="5" t="inlineStr"/>
      <c r="AB938" s="5" t="inlineStr"/>
      <c r="AC938" s="5" t="inlineStr"/>
      <c r="AD938" s="5" t="inlineStr"/>
      <c r="AE938" s="5" t="inlineStr"/>
      <c r="AF938" s="5" t="inlineStr"/>
      <c r="AG938" s="5" t="inlineStr"/>
      <c r="AH938" s="5" t="inlineStr"/>
      <c r="AI938" s="5" t="inlineStr"/>
      <c r="AJ938" s="5" t="inlineStr"/>
    </row>
    <row r="939">
      <c r="A939" s="5" t="inlineStr">
        <is>
          <t>b8-yeni-hobi</t>
        </is>
      </c>
      <c r="B939" s="5" t="n">
        <v>2</v>
      </c>
      <c r="C939" s="6" t="inlineStr">
        <is>
          <t>Bağlama kursuna yazıl</t>
        </is>
      </c>
      <c r="D939" s="5" t="inlineStr">
        <is>
          <t>Dayanıklılık</t>
        </is>
      </c>
      <c r="E939" s="5" t="inlineStr">
        <is>
          <t>Orta</t>
        </is>
      </c>
      <c r="F939" s="5" t="inlineStr"/>
      <c r="G939" s="6" t="inlineStr"/>
      <c r="H939" s="6" t="inlineStr">
        <is>
          <t>Üç ayda iki türkü çaldın. Komşular birini ezberledi.</t>
        </is>
      </c>
      <c r="I939" s="6" t="inlineStr">
        <is>
          <t>Kurs sonu konserinde solo verdin. Salonda iki kişi ağladı; biri duygulandığı için.</t>
        </is>
      </c>
      <c r="J939" s="6" t="inlineStr">
        <is>
          <t>Parmaklar tele alışmadı. Bağlama duvarda, dekorasyon olarak çalıyor.</t>
        </is>
      </c>
      <c r="K939" s="6" t="inlineStr">
        <is>
          <t>Gece on birde prova yaptın. Alt kat süpürge sapıyla tavana vurdu; sen tempo tutuyorlar sandın. Sabah asansörde bir not vardı: “Bağlama çalan komşumuz, o türküyü artık biz de biliyoruz.” Altında on iki imza.</t>
        </is>
      </c>
      <c r="L939" s="6" t="inlineStr"/>
      <c r="M939" s="5" t="inlineStr"/>
      <c r="N939" s="5" t="inlineStr"/>
      <c r="O939" s="6" t="inlineStr"/>
      <c r="P939" s="6" t="inlineStr"/>
      <c r="Q939" s="5" t="inlineStr"/>
      <c r="R939" s="5" t="inlineStr"/>
      <c r="S939" s="5" t="inlineStr"/>
      <c r="T939" s="5" t="inlineStr"/>
      <c r="U939" s="5" t="inlineStr"/>
      <c r="V939" s="5" t="inlineStr"/>
      <c r="W939" s="5" t="inlineStr"/>
      <c r="X939" s="5" t="inlineStr"/>
      <c r="Y939" s="5" t="inlineStr"/>
      <c r="Z939" s="6" t="inlineStr"/>
      <c r="AA939" s="5" t="inlineStr"/>
      <c r="AB939" s="5" t="inlineStr"/>
      <c r="AC939" s="5" t="inlineStr"/>
      <c r="AD939" s="5" t="inlineStr"/>
      <c r="AE939" s="5" t="inlineStr"/>
      <c r="AF939" s="5" t="inlineStr"/>
      <c r="AG939" s="5" t="inlineStr"/>
      <c r="AH939" s="5" t="inlineStr"/>
      <c r="AI939" s="5" t="inlineStr"/>
      <c r="AJ939" s="5" t="inlineStr"/>
    </row>
    <row r="940">
      <c r="A940" s="5" t="inlineStr">
        <is>
          <t>b8-yeni-hobi</t>
        </is>
      </c>
      <c r="B940" s="5" t="n">
        <v>3</v>
      </c>
      <c r="C940" s="6" t="inlineStr">
        <is>
          <t>Yamaç paraşütüne başla</t>
        </is>
      </c>
      <c r="D940" s="5" t="inlineStr">
        <is>
          <t>Cesaret</t>
        </is>
      </c>
      <c r="E940" s="5" t="inlineStr">
        <is>
          <t>Zor</t>
        </is>
      </c>
      <c r="F940" s="5" t="inlineStr"/>
      <c r="G940" s="6" t="inlineStr"/>
      <c r="H940" s="6" t="inlineStr">
        <is>
          <t>Atladın, süzüldün, indin. Bacakların hâlâ titrerken ilk işin aile grubuna fotoğraf atmak oldu. Annen hemen yazdı: “Aklını mı kaçırdın? Kim çekti bunu?”</t>
        </is>
      </c>
      <c r="I940" s="6" t="inlineStr">
        <is>
          <t>Sabah rüzgârında yarım saat süzüldün. Aşağıdaki kasaba seni reklam balonu sandı.</t>
        </is>
      </c>
      <c r="J940" s="6" t="inlineStr">
        <is>
          <t>Tepeye çıktın, aşağı baktın, geri indin. Yürüyüş olarak kaydedildi.</t>
        </is>
      </c>
      <c r="K940" s="6" t="inlineStr">
        <is>
          <t>Rüzgâr döndü; bir seranın naylon çatısını delip domateslerin arasına indin. Seracı seni kasaların arasından çıkarıp zararı kasa kasa yazdı. Faturada adının yerinde “Uçan Domates” yazıyordu.</t>
        </is>
      </c>
      <c r="L940" s="6" t="inlineStr"/>
      <c r="M940" s="5" t="inlineStr"/>
      <c r="N940" s="5" t="inlineStr"/>
      <c r="O940" s="6" t="inlineStr"/>
      <c r="P940" s="6" t="inlineStr"/>
      <c r="Q940" s="5" t="inlineStr"/>
      <c r="R940" s="5" t="inlineStr"/>
      <c r="S940" s="5" t="inlineStr"/>
      <c r="T940" s="5" t="inlineStr"/>
      <c r="U940" s="5" t="inlineStr"/>
      <c r="V940" s="5" t="inlineStr"/>
      <c r="W940" s="5" t="inlineStr"/>
      <c r="X940" s="5" t="inlineStr"/>
      <c r="Y940" s="5" t="n">
        <v>3</v>
      </c>
      <c r="Z940" s="6" t="inlineStr">
        <is>
          <t>Yamaç paraşütü eğitiminde, eğitmen 'Şimdi' demeden atlarken. Eğitmen 'Şimdi değil' diyordu.</t>
        </is>
      </c>
      <c r="AA940" s="5" t="inlineStr"/>
      <c r="AB940" s="5" t="inlineStr"/>
      <c r="AC940" s="5" t="inlineStr"/>
      <c r="AD940" s="5" t="inlineStr"/>
      <c r="AE940" s="5" t="inlineStr"/>
      <c r="AF940" s="5" t="inlineStr"/>
      <c r="AG940" s="5" t="inlineStr"/>
      <c r="AH940" s="5" t="inlineStr"/>
      <c r="AI940" s="5" t="inlineStr">
        <is>
          <t>Uçan Domates</t>
        </is>
      </c>
      <c r="AJ940" s="5" t="inlineStr"/>
    </row>
    <row r="941">
      <c r="A941" s="5" t="inlineStr">
        <is>
          <t>b8-yeni-hobi</t>
        </is>
      </c>
      <c r="B941" s="5" t="n">
        <v>4</v>
      </c>
      <c r="C941" s="6" t="inlineStr">
        <is>
          <t>Kamera uçurmaya başla</t>
        </is>
      </c>
      <c r="D941" s="5" t="inlineStr">
        <is>
          <t>Akıl</t>
        </is>
      </c>
      <c r="E941" s="5" t="inlineStr">
        <is>
          <t>Kolay</t>
        </is>
      </c>
      <c r="F941" s="5" t="inlineStr"/>
      <c r="G941" s="6" t="inlineStr"/>
      <c r="H941" s="6" t="inlineStr">
        <is>
          <t>Mahalleyi yukarıdan çektin. Evin çatısı sandığından da eski.</t>
        </is>
      </c>
      <c r="I941" s="6" t="inlineStr">
        <is>
          <t>Çektiğin sahil görüntüleri belediyenin tanıtım filmine girdi. Annen filmi dokuz kez izledi; her seferinde jeneriği durdurup misafire gösterdi.</t>
        </is>
      </c>
      <c r="J941" s="6" t="inlineStr">
        <is>
          <t>Uçan kamera bir ağaca kondu. Artık bir kuş gözlemevi.</t>
        </is>
      </c>
      <c r="K941" s="6" t="inlineStr">
        <is>
          <t>Uçan kamera komşunun balkonuna, tam kahvaltı sofrasının ortasına indi. Komşu kamerayı geri verdi; içindeki görüntüleri site yönetimine.</t>
        </is>
      </c>
      <c r="L941" s="6" t="inlineStr"/>
      <c r="M941" s="5" t="inlineStr"/>
      <c r="N941" s="5" t="inlineStr"/>
      <c r="O941" s="6" t="inlineStr"/>
      <c r="P941" s="6" t="inlineStr"/>
      <c r="Q941" s="5" t="inlineStr">
        <is>
          <t>Şifreyi Bilen</t>
        </is>
      </c>
      <c r="R941" s="5" t="inlineStr"/>
      <c r="S941" s="5" t="inlineStr"/>
      <c r="T941" s="5" t="inlineStr"/>
      <c r="U941" s="5" t="inlineStr"/>
      <c r="V941" s="5" t="inlineStr"/>
      <c r="W941" s="5" t="inlineStr"/>
      <c r="X941" s="5" t="inlineStr"/>
      <c r="Y941" s="5" t="inlineStr"/>
      <c r="Z941" s="6" t="inlineStr"/>
      <c r="AA941" s="5" t="inlineStr"/>
      <c r="AB941" s="5" t="inlineStr"/>
      <c r="AC941" s="5" t="inlineStr"/>
      <c r="AD941" s="5" t="inlineStr"/>
      <c r="AE941" s="5" t="inlineStr"/>
      <c r="AF941" s="5" t="inlineStr"/>
      <c r="AG941" s="5" t="inlineStr"/>
      <c r="AH941" s="5" t="inlineStr"/>
      <c r="AI941" s="5" t="inlineStr"/>
      <c r="AJ941" s="5" t="inlineStr"/>
    </row>
    <row r="942">
      <c r="A942" s="5" t="inlineStr">
        <is>
          <t>b8-maraton</t>
        </is>
      </c>
      <c r="B942" s="5" t="n">
        <v>1</v>
      </c>
      <c r="C942" s="6" t="inlineStr">
        <is>
          <t>Kendi temponda bitir</t>
        </is>
      </c>
      <c r="D942" s="5" t="inlineStr"/>
      <c r="E942" s="5" t="inlineStr"/>
      <c r="F942" s="5" t="inlineStr">
        <is>
          <t>Dayanıklılık +1</t>
        </is>
      </c>
      <c r="G942" s="6" t="inlineStr">
        <is>
          <t>Beş saat on dört dakika. Son düzlükte bir çocuk seni alkışladı; beş saatin tamamına değdi.</t>
        </is>
      </c>
      <c r="H942" s="6" t="inlineStr"/>
      <c r="I942" s="6" t="inlineStr"/>
      <c r="J942" s="6" t="inlineStr"/>
      <c r="K942" s="6" t="inlineStr"/>
      <c r="L942" s="6" t="inlineStr"/>
      <c r="M942" s="5" t="inlineStr"/>
      <c r="N942" s="5" t="inlineStr"/>
      <c r="O942" s="6" t="inlineStr"/>
      <c r="P942" s="6" t="inlineStr"/>
      <c r="Q942" s="5" t="inlineStr"/>
      <c r="R942" s="5" t="inlineStr"/>
      <c r="S942" s="5" t="inlineStr"/>
      <c r="T942" s="5" t="inlineStr"/>
      <c r="U942" s="5" t="inlineStr">
        <is>
          <t>maratoncu</t>
        </is>
      </c>
      <c r="V942" s="5" t="inlineStr"/>
      <c r="W942" s="5" t="inlineStr"/>
      <c r="X942" s="5" t="inlineStr"/>
      <c r="Y942" s="5" t="inlineStr"/>
      <c r="Z942" s="6" t="inlineStr"/>
      <c r="AA942" s="5" t="inlineStr"/>
      <c r="AB942" s="5" t="inlineStr"/>
      <c r="AC942" s="5" t="inlineStr"/>
      <c r="AD942" s="5" t="inlineStr"/>
      <c r="AE942" s="5" t="inlineStr"/>
      <c r="AF942" s="5" t="inlineStr"/>
      <c r="AG942" s="5" t="inlineStr"/>
      <c r="AH942" s="5" t="inlineStr"/>
      <c r="AI942" s="5" t="inlineStr"/>
      <c r="AJ942" s="5" t="inlineStr"/>
    </row>
    <row r="943">
      <c r="A943" s="5" t="inlineStr">
        <is>
          <t>b8-maraton</t>
        </is>
      </c>
      <c r="B943" s="5" t="n">
        <v>2</v>
      </c>
      <c r="C943" s="6" t="inlineStr">
        <is>
          <t>Son kilometrede depara kalk</t>
        </is>
      </c>
      <c r="D943" s="5" t="inlineStr">
        <is>
          <t>Dayanıklılık</t>
        </is>
      </c>
      <c r="E943" s="5" t="inlineStr">
        <is>
          <t>Zor</t>
        </is>
      </c>
      <c r="F943" s="5" t="inlineStr"/>
      <c r="G943" s="6" t="inlineStr"/>
      <c r="H943" s="6" t="inlineStr">
        <is>
          <t>Son kilometrede on iki kişiyi geçtin. Fotoğrafçı seni tam o anda çekti; gözlerin kapalıydı.</t>
        </is>
      </c>
      <c r="I943" s="6" t="inlineStr">
        <is>
          <t>Finişe kollarını açarak girdin. O fotoğraf şimdi annenin vitrininde, kristal şekerliğin yanında; misafire ilk o gösteriliyor.</t>
        </is>
      </c>
      <c r="J943" s="6" t="inlineStr">
        <is>
          <t>Depara kalktın; bacakların kalkmadı. Son kilometre yürüyerek tamamlandı.</t>
        </is>
      </c>
      <c r="K943" s="6" t="inlineStr">
        <is>
          <t>Son kilometrede gözün karardı; finiş yerine sponsor standına koştun. Üç yüz şişelik piramit üstüne yıkıldı. Sağlık ekibi seni şişelerin arasından çıkardı. Görüntü sponsorun yeni reklamında, altında tek kelime: “Durdurulamaz.”</t>
        </is>
      </c>
      <c r="L943" s="6" t="inlineStr">
        <is>
          <t>Yarı yolda kramp girdi. Finişe topallayarak ve alkışlar eşliğinde vardın.</t>
        </is>
      </c>
      <c r="M943" s="5" t="inlineStr">
        <is>
          <t>timing</t>
        </is>
      </c>
      <c r="N943" s="5" t="inlineStr">
        <is>
          <t>Son Kilometre</t>
        </is>
      </c>
      <c r="O943" s="6" t="inlineStr">
        <is>
          <t>İbre yeşil alandayken DURDUR'a bas. Art arda tutturdukça kombo kazanırsın.</t>
        </is>
      </c>
      <c r="P943" s="6" t="n"/>
      <c r="Q943" s="5" t="inlineStr"/>
      <c r="R943" s="5" t="inlineStr"/>
      <c r="S943" s="5" t="inlineStr"/>
      <c r="T943" s="5" t="inlineStr">
        <is>
          <t>Kolay Dağılmaz</t>
        </is>
      </c>
      <c r="U943" s="5" t="inlineStr"/>
      <c r="V943" s="5" t="inlineStr">
        <is>
          <t>maratoncu</t>
        </is>
      </c>
      <c r="W943" s="5" t="inlineStr"/>
      <c r="X943" s="5" t="inlineStr"/>
      <c r="Y943" s="5" t="n">
        <v>2</v>
      </c>
      <c r="Z943" s="6" t="inlineStr">
        <is>
          <t>Maratonun son kilometresinde sponsor standına dalarken. Madalyası kargoyla gönderildi.</t>
        </is>
      </c>
      <c r="AA943" s="5" t="inlineStr"/>
      <c r="AB943" s="5" t="inlineStr"/>
      <c r="AC943" s="5" t="inlineStr"/>
      <c r="AD943" s="5" t="inlineStr"/>
      <c r="AE943" s="5" t="inlineStr"/>
      <c r="AF943" s="5" t="inlineStr"/>
      <c r="AG943" s="5" t="inlineStr"/>
      <c r="AH943" s="5" t="inlineStr"/>
      <c r="AI943" s="5" t="inlineStr"/>
      <c r="AJ943" s="5" t="inlineStr"/>
    </row>
    <row r="944">
      <c r="A944" s="5" t="inlineStr">
        <is>
          <t>b8-maraton</t>
        </is>
      </c>
      <c r="B944" s="5" t="n">
        <v>3</v>
      </c>
      <c r="C944" s="6" t="inlineStr">
        <is>
          <t>Rotada kestirme bul</t>
        </is>
      </c>
      <c r="D944" s="5" t="inlineStr">
        <is>
          <t>Kurnazlık</t>
        </is>
      </c>
      <c r="E944" s="5" t="inlineStr">
        <is>
          <t>Orta</t>
        </is>
      </c>
      <c r="F944" s="5" t="inlineStr"/>
      <c r="G944" s="6" t="inlineStr"/>
      <c r="H944" s="6" t="inlineStr">
        <is>
          <t>Kestirmeden yirmi dakika kazandın. Madalyayı boynuna taktılar; eve kadar ceketinin altında taşıdın.</t>
        </is>
      </c>
      <c r="I944" s="6" t="inlineStr">
        <is>
          <t>Kestirmeden çıktığında kamera seni lider sandı. Birkaç saniye boyunca maratonun lideriydin.</t>
        </is>
      </c>
      <c r="J944" s="6" t="inlineStr">
        <is>
          <t>Kestirme bir otoparka çıktı. Otopark ücretliydi.</t>
        </is>
      </c>
      <c r="K944" s="6" t="inlineStr">
        <is>
          <t>Hakem seni gördü. Diskalifiye edildin ve bir sertifika aldın: 'Katılımınız için teşekkür ederiz.'</t>
        </is>
      </c>
      <c r="L944" s="6" t="inlineStr"/>
      <c r="M944" s="5" t="inlineStr"/>
      <c r="N944" s="5" t="inlineStr"/>
      <c r="O944" s="6" t="inlineStr"/>
      <c r="P944" s="6" t="inlineStr"/>
      <c r="Q944" s="5" t="inlineStr"/>
      <c r="R944" s="5" t="inlineStr"/>
      <c r="S944" s="5" t="inlineStr"/>
      <c r="T944" s="5" t="inlineStr"/>
      <c r="U944" s="5" t="inlineStr"/>
      <c r="V944" s="5" t="inlineStr"/>
      <c r="W944" s="5" t="inlineStr"/>
      <c r="X944" s="5" t="inlineStr"/>
      <c r="Y944" s="5" t="inlineStr"/>
      <c r="Z944" s="6" t="inlineStr"/>
      <c r="AA944" s="5" t="inlineStr"/>
      <c r="AB944" s="5" t="inlineStr"/>
      <c r="AC944" s="5" t="inlineStr"/>
      <c r="AD944" s="5" t="inlineStr"/>
      <c r="AE944" s="5" t="inlineStr"/>
      <c r="AF944" s="5" t="inlineStr"/>
      <c r="AG944" s="5" t="inlineStr"/>
      <c r="AH944" s="5" t="inlineStr"/>
      <c r="AI944" s="5" t="inlineStr"/>
      <c r="AJ944" s="5" t="inlineStr"/>
    </row>
    <row r="945">
      <c r="A945" s="5" t="inlineStr">
        <is>
          <t>b8-yeniden-egitim</t>
        </is>
      </c>
      <c r="B945" s="5" t="n">
        <v>1</v>
      </c>
      <c r="C945" s="6" t="inlineStr">
        <is>
          <t>Hafta sonu sertifika programı</t>
        </is>
      </c>
      <c r="D945" s="5" t="inlineStr"/>
      <c r="E945" s="5" t="inlineStr"/>
      <c r="F945" s="5" t="inlineStr">
        <is>
          <t>Akıl +1</t>
        </is>
      </c>
      <c r="G945" s="6" t="inlineStr">
        <is>
          <t>Sekiz hafta sonu, bir sertifika. Çerçeveletirken fark ettin: çerçeve sertifikadan pahalıydı.</t>
        </is>
      </c>
      <c r="H945" s="6" t="inlineStr"/>
      <c r="I945" s="6" t="inlineStr"/>
      <c r="J945" s="6" t="inlineStr"/>
      <c r="K945" s="6" t="inlineStr"/>
      <c r="L945" s="6" t="inlineStr"/>
      <c r="M945" s="5" t="inlineStr"/>
      <c r="N945" s="5" t="inlineStr"/>
      <c r="O945" s="6" t="inlineStr"/>
      <c r="P945" s="6" t="inlineStr"/>
      <c r="Q945" s="5" t="inlineStr"/>
      <c r="R945" s="5" t="inlineStr"/>
      <c r="S945" s="5" t="inlineStr"/>
      <c r="T945" s="5" t="inlineStr"/>
      <c r="U945" s="5" t="inlineStr"/>
      <c r="V945" s="5" t="inlineStr"/>
      <c r="W945" s="5" t="inlineStr"/>
      <c r="X945" s="5" t="inlineStr"/>
      <c r="Y945" s="5" t="inlineStr"/>
      <c r="Z945" s="6" t="inlineStr"/>
      <c r="AA945" s="5" t="inlineStr"/>
      <c r="AB945" s="5" t="inlineStr"/>
      <c r="AC945" s="5" t="inlineStr"/>
      <c r="AD945" s="5" t="inlineStr"/>
      <c r="AE945" s="5" t="inlineStr"/>
      <c r="AF945" s="5" t="inlineStr"/>
      <c r="AG945" s="5" t="inlineStr"/>
      <c r="AH945" s="5" t="inlineStr"/>
      <c r="AI945" s="5" t="inlineStr"/>
      <c r="AJ945" s="5" t="inlineStr"/>
    </row>
    <row r="946">
      <c r="A946" s="5" t="inlineStr">
        <is>
          <t>b8-yeniden-egitim</t>
        </is>
      </c>
      <c r="B946" s="5" t="n">
        <v>2</v>
      </c>
      <c r="C946" s="6" t="inlineStr">
        <is>
          <t>Tamamen yeni bir mesleğe geç</t>
        </is>
      </c>
      <c r="D946" s="5" t="inlineStr">
        <is>
          <t>Cesaret</t>
        </is>
      </c>
      <c r="E946" s="5" t="inlineStr">
        <is>
          <t>Zor</t>
        </is>
      </c>
      <c r="F946" s="5" t="inlineStr"/>
      <c r="G946" s="6" t="inlineStr"/>
      <c r="H946" s="6" t="inlineStr">
        <is>
          <t>İstifa ettin, yeni mesleğe başladın. İlk maaş eskisinin yarısı; ilk sabahki yüzün eskisinin iki katı.</t>
        </is>
      </c>
      <c r="I946" s="6" t="inlineStr">
        <is>
          <t>Bir yılda uzmanlaştın. Eski patronun seni danışman olarak geri çağırdı; iki katı ücretle.</t>
        </is>
      </c>
      <c r="J946" s="6" t="inlineStr">
        <is>
          <t>Üç ay denedin, eski işine döndün. Masan boşaltılmamıştı; kimse fark etmemişti.</t>
        </is>
      </c>
      <c r="K946" s="6" t="inlineStr">
        <is>
          <t>İstifa ettin; ertesi hafta kurs iptal edildi. Eski işyerine uğradığında masanda yirmi beş yaşında biri oturuyordu; senin kupandan çay içiyordu.</t>
        </is>
      </c>
      <c r="L946" s="6" t="inlineStr"/>
      <c r="M946" s="5" t="inlineStr"/>
      <c r="N946" s="5" t="inlineStr"/>
      <c r="O946" s="6" t="inlineStr"/>
      <c r="P946" s="6" t="inlineStr"/>
      <c r="Q946" s="5" t="inlineStr"/>
      <c r="R946" s="5" t="inlineStr"/>
      <c r="S946" s="5" t="inlineStr"/>
      <c r="T946" s="5" t="inlineStr">
        <is>
          <t>Geri Adım Atmaz</t>
        </is>
      </c>
      <c r="U946" s="5" t="inlineStr"/>
      <c r="V946" s="5" t="inlineStr">
        <is>
          <t>kariyer-degisti</t>
        </is>
      </c>
      <c r="W946" s="5" t="inlineStr"/>
      <c r="X946" s="5" t="inlineStr"/>
      <c r="Y946" s="5" t="inlineStr"/>
      <c r="Z946" s="6" t="inlineStr"/>
      <c r="AA946" s="5" t="inlineStr"/>
      <c r="AB946" s="5" t="inlineStr"/>
      <c r="AC946" s="5" t="inlineStr"/>
      <c r="AD946" s="5" t="inlineStr"/>
      <c r="AE946" s="5" t="inlineStr"/>
      <c r="AF946" s="5" t="inlineStr"/>
      <c r="AG946" s="5" t="inlineStr"/>
      <c r="AH946" s="5" t="inlineStr"/>
      <c r="AI946" s="5" t="inlineStr"/>
      <c r="AJ946" s="5" t="inlineStr"/>
    </row>
    <row r="947">
      <c r="A947" s="5" t="inlineStr">
        <is>
          <t>b8-yeniden-egitim</t>
        </is>
      </c>
      <c r="B947" s="5" t="n">
        <v>3</v>
      </c>
      <c r="C947" s="6" t="inlineStr">
        <is>
          <t>En ön sıraya otur</t>
        </is>
      </c>
      <c r="D947" s="5" t="inlineStr">
        <is>
          <t>Cesaret</t>
        </is>
      </c>
      <c r="E947" s="5" t="inlineStr">
        <is>
          <t>Orta</t>
        </is>
      </c>
      <c r="F947" s="5" t="inlineStr"/>
      <c r="G947" s="6" t="inlineStr"/>
      <c r="H947" s="6" t="inlineStr">
        <is>
          <t>En ön sırada oturdun, her soruya parmak kaldırdın. Sınav haftası yirmi yaşındakiler kapında sıraya girdi: “Hocam, notlarınızın fotokopisini alabilir miyiz?”</t>
        </is>
      </c>
      <c r="I947" s="6" t="inlineStr">
        <is>
          <t>Hoca seni asistan sandı. Dönem sonunda ciddi ciddi asistanlık teklif etti.</t>
        </is>
      </c>
      <c r="J947" s="6" t="inlineStr">
        <is>
          <t>En ön sırada uyuyakaldın. Hoca uyandırmadı; saygıdan.</t>
        </is>
      </c>
      <c r="K947" s="6" t="inlineStr">
        <is>
          <t>Her soruya 'Bizim zamanımızda' diye başladın. Sınıfta kısaltması var: 'BZ'.</t>
        </is>
      </c>
      <c r="L947" s="6" t="inlineStr"/>
      <c r="M947" s="5" t="inlineStr"/>
      <c r="N947" s="5" t="inlineStr"/>
      <c r="O947" s="6" t="inlineStr"/>
      <c r="P947" s="6" t="inlineStr"/>
      <c r="Q947" s="5" t="inlineStr"/>
      <c r="R947" s="5" t="inlineStr"/>
      <c r="S947" s="5" t="inlineStr">
        <is>
          <t>Cesaret</t>
        </is>
      </c>
      <c r="T947" s="5" t="inlineStr"/>
      <c r="U947" s="5" t="inlineStr"/>
      <c r="V947" s="5" t="inlineStr"/>
      <c r="W947" s="5" t="inlineStr"/>
      <c r="X947" s="5" t="inlineStr"/>
      <c r="Y947" s="5" t="inlineStr"/>
      <c r="Z947" s="6" t="inlineStr"/>
      <c r="AA947" s="5" t="inlineStr"/>
      <c r="AB947" s="5" t="inlineStr"/>
      <c r="AC947" s="5" t="inlineStr"/>
      <c r="AD947" s="5" t="inlineStr"/>
      <c r="AE947" s="5" t="inlineStr"/>
      <c r="AF947" s="5" t="inlineStr"/>
      <c r="AG947" s="5" t="inlineStr"/>
      <c r="AH947" s="5" t="inlineStr"/>
      <c r="AI947" s="5" t="inlineStr"/>
      <c r="AJ947" s="5" t="inlineStr"/>
    </row>
    <row r="948">
      <c r="A948" s="5" t="inlineStr">
        <is>
          <t>b8-yeniden-egitim</t>
        </is>
      </c>
      <c r="B948" s="5" t="n">
        <v>4</v>
      </c>
      <c r="C948" s="6" t="inlineStr">
        <is>
          <t>Kurumdan eğitim izni iste</t>
        </is>
      </c>
      <c r="D948" s="5" t="inlineStr">
        <is>
          <t>Çene</t>
        </is>
      </c>
      <c r="E948" s="5" t="inlineStr">
        <is>
          <t>Kolay</t>
        </is>
      </c>
      <c r="F948" s="5" t="inlineStr"/>
      <c r="G948" s="6" t="inlineStr"/>
      <c r="H948" s="6" t="inlineStr">
        <is>
          <t>Dilekçeni verdin; dört imzadan geçti. İzin onaylandı, kurs bitti, imza süreci sürüyor.</t>
        </is>
      </c>
      <c r="I948" s="6" t="inlineStr">
        <is>
          <t>Dilekçen o kadar usule uygundu ki örnek dilekçe olarak bütün birimlere dağıtıldı.</t>
        </is>
      </c>
      <c r="J948" s="6" t="inlineStr">
        <is>
          <t>Dilekçe 'üst yazı eksik' gerekçesiyle iade edildi. Üst yazının üst yazısı isteniyor.</t>
        </is>
      </c>
      <c r="K948" s="6" t="inlineStr">
        <is>
          <t>İzin çıktı; kursun bittiği gün. Kurumun eğitim raporunda başarı örneği olarak yer aldın.</t>
        </is>
      </c>
      <c r="L948" s="6" t="inlineStr"/>
      <c r="M948" s="5" t="inlineStr"/>
      <c r="N948" s="5" t="inlineStr"/>
      <c r="O948" s="6" t="inlineStr"/>
      <c r="P948" s="6" t="inlineStr"/>
      <c r="Q948" s="5" t="inlineStr"/>
      <c r="R948" s="5" t="inlineStr">
        <is>
          <t>meslek-memur</t>
        </is>
      </c>
      <c r="S948" s="5" t="inlineStr"/>
      <c r="T948" s="5" t="inlineStr"/>
      <c r="U948" s="5" t="inlineStr"/>
      <c r="V948" s="5" t="inlineStr"/>
      <c r="W948" s="5" t="inlineStr"/>
      <c r="X948" s="5" t="inlineStr"/>
      <c r="Y948" s="5" t="inlineStr"/>
      <c r="Z948" s="6" t="inlineStr"/>
      <c r="AA948" s="5" t="inlineStr"/>
      <c r="AB948" s="5" t="inlineStr"/>
      <c r="AC948" s="5" t="inlineStr"/>
      <c r="AD948" s="5" t="inlineStr"/>
      <c r="AE948" s="5" t="inlineStr"/>
      <c r="AF948" s="5" t="inlineStr"/>
      <c r="AG948" s="5" t="inlineStr"/>
      <c r="AH948" s="5" t="inlineStr"/>
      <c r="AI948" s="5" t="inlineStr"/>
      <c r="AJ948" s="5" t="inlineStr"/>
    </row>
    <row r="949">
      <c r="A949" s="5" t="inlineStr">
        <is>
          <t>b8-yazlik</t>
        </is>
      </c>
      <c r="B949" s="5" t="n">
        <v>1</v>
      </c>
      <c r="C949" s="6" t="inlineStr">
        <is>
          <t>Kiralık yazlıkla devam et</t>
        </is>
      </c>
      <c r="D949" s="5" t="inlineStr"/>
      <c r="E949" s="5" t="inlineStr"/>
      <c r="F949" s="5" t="inlineStr">
        <is>
          <t>Akıl +1, Kurnazlık +1</t>
        </is>
      </c>
      <c r="G949" s="6" t="inlineStr">
        <is>
          <t>Kiraya devam ettin. Her yaz başka bir ev. Ev sahibi telefonda “Çatı biraz akıyor” dediğinde “Kolay gelsin” deyip denize girdin.</t>
        </is>
      </c>
      <c r="H949" s="6" t="inlineStr"/>
      <c r="I949" s="6" t="inlineStr"/>
      <c r="J949" s="6" t="inlineStr"/>
      <c r="K949" s="6" t="inlineStr"/>
      <c r="L949" s="6" t="inlineStr"/>
      <c r="M949" s="5" t="inlineStr"/>
      <c r="N949" s="5" t="inlineStr"/>
      <c r="O949" s="6" t="inlineStr"/>
      <c r="P949" s="6" t="inlineStr"/>
      <c r="Q949" s="5" t="inlineStr"/>
      <c r="R949" s="5" t="inlineStr"/>
      <c r="S949" s="5" t="inlineStr"/>
      <c r="T949" s="5" t="inlineStr"/>
      <c r="U949" s="5" t="inlineStr"/>
      <c r="V949" s="5" t="inlineStr"/>
      <c r="W949" s="5" t="inlineStr"/>
      <c r="X949" s="5" t="inlineStr"/>
      <c r="Y949" s="5" t="inlineStr"/>
      <c r="Z949" s="6" t="inlineStr"/>
      <c r="AA949" s="5" t="inlineStr"/>
      <c r="AB949" s="5" t="inlineStr"/>
      <c r="AC949" s="5" t="inlineStr"/>
      <c r="AD949" s="5" t="inlineStr"/>
      <c r="AE949" s="5" t="inlineStr"/>
      <c r="AF949" s="5" t="inlineStr"/>
      <c r="AG949" s="5" t="inlineStr"/>
      <c r="AH949" s="5" t="inlineStr"/>
      <c r="AI949" s="5" t="inlineStr"/>
      <c r="AJ949" s="5" t="inlineStr"/>
    </row>
    <row r="950">
      <c r="A950" s="5" t="inlineStr">
        <is>
          <t>b8-yazlik</t>
        </is>
      </c>
      <c r="B950" s="5" t="n">
        <v>2</v>
      </c>
      <c r="C950" s="6" t="inlineStr">
        <is>
          <t>Pazarlık et, al</t>
        </is>
      </c>
      <c r="D950" s="5" t="inlineStr">
        <is>
          <t>Çene</t>
        </is>
      </c>
      <c r="E950" s="5" t="inlineStr">
        <is>
          <t>Orta</t>
        </is>
      </c>
      <c r="F950" s="5" t="inlineStr"/>
      <c r="G950" s="6" t="inlineStr"/>
      <c r="H950" s="6" t="inlineStr">
        <is>
          <t>Yazlığı aldın. İlk yaz bütün akrabalar ziyarete geldi; sen salonda yattın.</t>
        </is>
      </c>
      <c r="I950" s="6" t="inlineStr">
        <is>
          <t>Fiyatı indirdin; emlakçı imzadan sonra arabasında on dakika oturdu, çıkmadı. Bahçedeki incir ağacı da tapuya dahilmiş; ağustosta bütün sokak tabakla kapında.</t>
        </is>
      </c>
      <c r="J950" s="6" t="inlineStr">
        <is>
          <t>Aldın; denize yürüme mesafesi kırk dakikaymış. Sen yürüyorsun; deniz yürümüyor.</t>
        </is>
      </c>
      <c r="K950" s="6" t="inlineStr">
        <is>
          <t>Aldın; ilk kış çatı aktı. İkinci kış da. Yazlık artık yazın da su alıyor.</t>
        </is>
      </c>
      <c r="L950" s="6" t="inlineStr">
        <is>
          <t>Fiyatı biraz indirdin, emlakçı komisyonu biraz yükseltti. Yazlık senin; ödeştiniz sayılır.</t>
        </is>
      </c>
      <c r="M950" s="5" t="inlineStr">
        <is>
          <t>duel</t>
        </is>
      </c>
      <c r="N950" s="5" t="inlineStr">
        <is>
          <t>Emlakçı Pazarlığı</t>
        </is>
      </c>
      <c r="O950" s="6" t="inlineStr">
        <is>
          <t>Karşındakinin sabrı bitmeden en iyi cevabı seç.</t>
        </is>
      </c>
      <c r="P950" s="6" t="inlineStr">
        <is>
          <t>{"who": "Emlakçı", "item": "yazlık", "mode": "buy"}</t>
        </is>
      </c>
      <c r="Q950" s="5" t="inlineStr"/>
      <c r="R950" s="5" t="inlineStr"/>
      <c r="S950" s="5" t="inlineStr"/>
      <c r="T950" s="5" t="inlineStr"/>
      <c r="U950" s="5" t="inlineStr"/>
      <c r="V950" s="5" t="inlineStr">
        <is>
          <t>yazlikci</t>
        </is>
      </c>
      <c r="W950" s="5" t="inlineStr"/>
      <c r="X950" s="5" t="inlineStr"/>
      <c r="Y950" s="5" t="inlineStr"/>
      <c r="Z950" s="6" t="inlineStr"/>
      <c r="AA950" s="5" t="inlineStr"/>
      <c r="AB950" s="5" t="inlineStr"/>
      <c r="AC950" s="5" t="inlineStr"/>
      <c r="AD950" s="5" t="inlineStr"/>
      <c r="AE950" s="5" t="inlineStr"/>
      <c r="AF950" s="5" t="inlineStr"/>
      <c r="AG950" s="5" t="inlineStr"/>
      <c r="AH950" s="5" t="inlineStr"/>
      <c r="AI950" s="5" t="inlineStr"/>
      <c r="AJ950" s="5" t="inlineStr"/>
    </row>
    <row r="951">
      <c r="A951" s="5" t="inlineStr">
        <is>
          <t>b8-yazlik</t>
        </is>
      </c>
      <c r="B951" s="5" t="n">
        <v>3</v>
      </c>
      <c r="C951" s="6" t="inlineStr">
        <is>
          <t>Al ve çatıyı kendin onar</t>
        </is>
      </c>
      <c r="D951" s="5" t="inlineStr">
        <is>
          <t>Dayanıklılık</t>
        </is>
      </c>
      <c r="E951" s="5" t="inlineStr">
        <is>
          <t>Zor</t>
        </is>
      </c>
      <c r="F951" s="5" t="inlineStr"/>
      <c r="G951" s="6" t="inlineStr"/>
      <c r="H951" s="6" t="inlineStr">
        <is>
          <t>Çatıyı onardın. Ustaya gidecek para cebinde, güneş yanığı sırtında.</t>
        </is>
      </c>
      <c r="I951" s="6" t="inlineStr">
        <is>
          <t>Çatıyı onardın, üstüne güneş paneli de taktın. Komşular seni müteahhit sanıyor.</t>
        </is>
      </c>
      <c r="J951" s="6" t="inlineStr">
        <is>
          <t>Bir kiremit düşürdün, indin. Usta çağrıldı; kiremit ayrıca faturalandı.</t>
        </is>
      </c>
      <c r="K951" s="6" t="inlineStr">
        <is>
          <t>Onardın; ilk yağmurda su bu kez salondan değil, yatak odasından girdi, tam yastığının üstüne. Usta gelip baktı, güldü, iki katını istedi.</t>
        </is>
      </c>
      <c r="L951" s="6" t="inlineStr"/>
      <c r="M951" s="5" t="inlineStr"/>
      <c r="N951" s="5" t="inlineStr"/>
      <c r="O951" s="6" t="inlineStr"/>
      <c r="P951" s="6" t="inlineStr"/>
      <c r="Q951" s="5" t="inlineStr"/>
      <c r="R951" s="5" t="inlineStr"/>
      <c r="S951" s="5" t="inlineStr"/>
      <c r="T951" s="5" t="inlineStr"/>
      <c r="U951" s="5" t="inlineStr"/>
      <c r="V951" s="5" t="inlineStr">
        <is>
          <t>yazlikci</t>
        </is>
      </c>
      <c r="W951" s="5" t="inlineStr"/>
      <c r="X951" s="5" t="inlineStr"/>
      <c r="Y951" s="5" t="n">
        <v>3</v>
      </c>
      <c r="Z951" s="6" t="inlineStr">
        <is>
          <t>Yazlığın çatısını ustaya para vermemek için kendi tamir ederken. Usta hâlâ 'Ben demiştim' diyor.</t>
        </is>
      </c>
      <c r="AA951" s="5" t="inlineStr"/>
      <c r="AB951" s="5" t="inlineStr"/>
      <c r="AC951" s="5" t="inlineStr"/>
      <c r="AD951" s="5" t="inlineStr"/>
      <c r="AE951" s="5" t="inlineStr"/>
      <c r="AF951" s="5" t="inlineStr"/>
      <c r="AG951" s="5" t="inlineStr"/>
      <c r="AH951" s="5" t="inlineStr"/>
      <c r="AI951" s="5" t="inlineStr"/>
      <c r="AJ951" s="5" t="inlineStr"/>
    </row>
    <row r="952">
      <c r="A952" s="5" t="inlineStr">
        <is>
          <t>b8-yazlik</t>
        </is>
      </c>
      <c r="B952" s="5" t="n">
        <v>4</v>
      </c>
      <c r="C952" s="6" t="inlineStr">
        <is>
          <t>Şehirdeki evi kiraya ver, yazlığa taşın</t>
        </is>
      </c>
      <c r="D952" s="5" t="inlineStr">
        <is>
          <t>Kurnazlık</t>
        </is>
      </c>
      <c r="E952" s="5" t="inlineStr">
        <is>
          <t>Orta</t>
        </is>
      </c>
      <c r="F952" s="5" t="inlineStr"/>
      <c r="G952" s="6" t="inlineStr"/>
      <c r="H952" s="6" t="inlineStr">
        <is>
          <t>Kira geliri yazlığın taksidini karşılıyor. Denize kırk dakika, patrona dört saat uzaktasın.</t>
        </is>
      </c>
      <c r="I952" s="6" t="inlineStr">
        <is>
          <t>Uzaktan çalışmaya geçtin. Toplantılara deniz manzarasıyla katılıyorsun; iş arkadaşları kamerayı kapattı.</t>
        </is>
      </c>
      <c r="J952" s="6" t="inlineStr">
        <is>
          <t>Kiracı ilk ay kombiyi bozdu. Şimdi iki evin sorunu da senin.</t>
        </is>
      </c>
      <c r="K952" s="6" t="inlineStr">
        <is>
          <t>Kış geldi. Kasabada sen, iki kedi ve kapalı bir bakkal kaldınız.</t>
        </is>
      </c>
      <c r="L952" s="6" t="inlineStr"/>
      <c r="M952" s="5" t="inlineStr"/>
      <c r="N952" s="5" t="inlineStr"/>
      <c r="O952" s="6" t="inlineStr"/>
      <c r="P952" s="6" t="inlineStr"/>
      <c r="Q952" s="5" t="inlineStr"/>
      <c r="R952" s="5" t="inlineStr">
        <is>
          <t>ev-sahibi</t>
        </is>
      </c>
      <c r="S952" s="5" t="inlineStr"/>
      <c r="T952" s="5" t="inlineStr"/>
      <c r="U952" s="5" t="inlineStr"/>
      <c r="V952" s="5" t="inlineStr">
        <is>
          <t>yazlikci</t>
        </is>
      </c>
      <c r="W952" s="5" t="inlineStr"/>
      <c r="X952" s="5" t="inlineStr"/>
      <c r="Y952" s="5" t="inlineStr"/>
      <c r="Z952" s="6" t="inlineStr"/>
      <c r="AA952" s="5" t="inlineStr"/>
      <c r="AB952" s="5" t="inlineStr"/>
      <c r="AC952" s="5" t="inlineStr"/>
      <c r="AD952" s="5" t="inlineStr"/>
      <c r="AE952" s="5" t="inlineStr"/>
      <c r="AF952" s="5" t="inlineStr"/>
      <c r="AG952" s="5" t="inlineStr"/>
      <c r="AH952" s="5" t="inlineStr"/>
      <c r="AI952" s="5" t="inlineStr"/>
      <c r="AJ952" s="5" t="inlineStr"/>
    </row>
    <row r="953">
      <c r="A953" s="5" t="inlineStr">
        <is>
          <t>b8-ilac-kutusu</t>
        </is>
      </c>
      <c r="B953" s="5" t="n">
        <v>1</v>
      </c>
      <c r="C953" s="6" t="inlineStr">
        <is>
          <t>Her sabah telefonla hatırlat</t>
        </is>
      </c>
      <c r="D953" s="5" t="inlineStr"/>
      <c r="E953" s="5" t="inlineStr"/>
      <c r="F953" s="5" t="inlineStr">
        <is>
          <t>İtibar +1</t>
        </is>
      </c>
      <c r="G953" s="6" t="inlineStr">
        <is>
          <t>Her sabah 08.00'de aradın. Aramadığın ilk gün onlar aradı: 'İyi misin?'</t>
        </is>
      </c>
      <c r="H953" s="6" t="inlineStr"/>
      <c r="I953" s="6" t="inlineStr"/>
      <c r="J953" s="6" t="inlineStr"/>
      <c r="K953" s="6" t="inlineStr"/>
      <c r="L953" s="6" t="inlineStr"/>
      <c r="M953" s="5" t="inlineStr"/>
      <c r="N953" s="5" t="inlineStr"/>
      <c r="O953" s="6" t="inlineStr"/>
      <c r="P953" s="6" t="inlineStr"/>
      <c r="Q953" s="5" t="inlineStr"/>
      <c r="R953" s="5" t="inlineStr"/>
      <c r="S953" s="5" t="inlineStr"/>
      <c r="T953" s="5" t="inlineStr"/>
      <c r="U953" s="5" t="inlineStr"/>
      <c r="V953" s="5" t="inlineStr"/>
      <c r="W953" s="5" t="inlineStr"/>
      <c r="X953" s="5" t="inlineStr"/>
      <c r="Y953" s="5" t="inlineStr"/>
      <c r="Z953" s="6" t="inlineStr"/>
      <c r="AA953" s="5" t="inlineStr"/>
      <c r="AB953" s="5" t="inlineStr"/>
      <c r="AC953" s="5" t="inlineStr"/>
      <c r="AD953" s="5" t="inlineStr"/>
      <c r="AE953" s="5" t="inlineStr"/>
      <c r="AF953" s="5" t="inlineStr"/>
      <c r="AG953" s="5" t="inlineStr"/>
      <c r="AH953" s="5" t="inlineStr"/>
      <c r="AI953" s="5" t="inlineStr"/>
      <c r="AJ953" s="5" t="inlineStr"/>
    </row>
    <row r="954">
      <c r="A954" s="5" t="inlineStr">
        <is>
          <t>b8-ilac-kutusu</t>
        </is>
      </c>
      <c r="B954" s="5" t="n">
        <v>2</v>
      </c>
      <c r="C954" s="6" t="inlineStr">
        <is>
          <t>Renkli bir tablo hazırla</t>
        </is>
      </c>
      <c r="D954" s="5" t="inlineStr">
        <is>
          <t>Akıl</t>
        </is>
      </c>
      <c r="E954" s="5" t="inlineStr">
        <is>
          <t>Orta</t>
        </is>
      </c>
      <c r="F954" s="5" t="inlineStr"/>
      <c r="G954" s="6" t="inlineStr"/>
      <c r="H954" s="6" t="inlineStr">
        <is>
          <t>Tabloyu buzdolabına astın. Babanın yorumu: 'Devlet dairesi gibi.' Övgü olarak kabul edildi.</t>
        </is>
      </c>
      <c r="I954" s="6" t="inlineStr">
        <is>
          <t>Tablon öyle anlaşılır oldu ki alt kattaki teyze de kendi ilaçlarını getirdi. Artık apartmanın bütün ilaç saatlerini sen biliyorsun; kapın sabah sekizde çalıyor.</t>
        </is>
      </c>
      <c r="J954" s="6" t="inlineStr">
        <is>
          <t>Tabloyu hazırladın; yazı çok küçük çıktı. Kimse okuyamıyor, sen dahil.</t>
        </is>
      </c>
      <c r="K954" s="6" t="inlineStr">
        <is>
          <t>Pazartesiyle perşembenin gözlerini karıştırdın. Perşembe sabahı baban kutuyu boş bulup telaşla aradı; yarım saat tartıştınız, haklı çıkan o oldu. Annen telefonu aldı: “Senin kafana da bir kutu alalım mı?”</t>
        </is>
      </c>
      <c r="L954" s="6" t="inlineStr"/>
      <c r="M954" s="5" t="inlineStr"/>
      <c r="N954" s="5" t="inlineStr"/>
      <c r="O954" s="6" t="inlineStr"/>
      <c r="P954" s="6" t="inlineStr"/>
      <c r="Q954" s="5" t="inlineStr"/>
      <c r="R954" s="5" t="inlineStr"/>
      <c r="S954" s="5" t="inlineStr"/>
      <c r="T954" s="5" t="inlineStr"/>
      <c r="U954" s="5" t="inlineStr"/>
      <c r="V954" s="5" t="inlineStr"/>
      <c r="W954" s="5" t="inlineStr"/>
      <c r="X954" s="5" t="inlineStr"/>
      <c r="Y954" s="5" t="inlineStr"/>
      <c r="Z954" s="6" t="inlineStr"/>
      <c r="AA954" s="5" t="inlineStr"/>
      <c r="AB954" s="5" t="inlineStr"/>
      <c r="AC954" s="5" t="inlineStr"/>
      <c r="AD954" s="5" t="inlineStr"/>
      <c r="AE954" s="5" t="inlineStr"/>
      <c r="AF954" s="5" t="inlineStr"/>
      <c r="AG954" s="5" t="inlineStr"/>
      <c r="AH954" s="5" t="inlineStr"/>
      <c r="AI954" s="5" t="inlineStr"/>
      <c r="AJ954" s="5" t="inlineStr"/>
    </row>
    <row r="955">
      <c r="A955" s="5" t="inlineStr">
        <is>
          <t>b8-ilac-kutusu</t>
        </is>
      </c>
      <c r="B955" s="5" t="n">
        <v>3</v>
      </c>
      <c r="C955" s="6" t="inlineStr">
        <is>
          <t>Eczacıyla dost ol</t>
        </is>
      </c>
      <c r="D955" s="5" t="inlineStr">
        <is>
          <t>Çene</t>
        </is>
      </c>
      <c r="E955" s="5" t="inlineStr">
        <is>
          <t>Kolay</t>
        </is>
      </c>
      <c r="F955" s="5" t="inlineStr"/>
      <c r="G955" s="6" t="inlineStr"/>
      <c r="H955" s="6" t="inlineStr">
        <is>
          <t>Eczacı seni adınla tanıyor. Reçete yenilemesi artık sohbet eşliğinde.</t>
        </is>
      </c>
      <c r="I955" s="6" t="inlineStr">
        <is>
          <t>Eczacı hatırlatma mesajı atmaya başladı. Anne-baban artık seni değil, onu arıyor.</t>
        </is>
      </c>
      <c r="J955" s="6" t="inlineStr">
        <is>
          <t>Eczacı değişti. Yeni gelen genç babanın ilacını “Reçete?” diye karşıladı. Eskisi olsa önce sorardı: “Baban nasıl?”</t>
        </is>
      </c>
      <c r="K955" s="6" t="inlineStr">
        <is>
          <t>O kadar samimi oldunuz ki eczacı sana da tansiyon ölçmeye başladı. Yüksek çıktı; annene de söyledi. Artık her sabah 08.00'de annen seni arayıp ilacını soruyor.</t>
        </is>
      </c>
      <c r="L955" s="6" t="inlineStr"/>
      <c r="M955" s="5" t="inlineStr"/>
      <c r="N955" s="5" t="inlineStr"/>
      <c r="O955" s="6" t="inlineStr"/>
      <c r="P955" s="6" t="inlineStr"/>
      <c r="Q955" s="5" t="inlineStr"/>
      <c r="R955" s="5" t="inlineStr"/>
      <c r="S955" s="5" t="inlineStr"/>
      <c r="T955" s="5" t="inlineStr"/>
      <c r="U955" s="5" t="inlineStr"/>
      <c r="V955" s="5" t="inlineStr"/>
      <c r="W955" s="5" t="inlineStr"/>
      <c r="X955" s="5" t="inlineStr"/>
      <c r="Y955" s="5" t="inlineStr"/>
      <c r="Z955" s="6" t="inlineStr"/>
      <c r="AA955" s="5" t="inlineStr"/>
      <c r="AB955" s="5" t="inlineStr"/>
      <c r="AC955" s="5" t="inlineStr"/>
      <c r="AD955" s="5" t="inlineStr"/>
      <c r="AE955" s="5" t="inlineStr"/>
      <c r="AF955" s="5" t="inlineStr"/>
      <c r="AG955" s="5" t="inlineStr"/>
      <c r="AH955" s="5" t="inlineStr"/>
      <c r="AI955" s="5" t="inlineStr"/>
      <c r="AJ955" s="5" t="inlineStr"/>
    </row>
    <row r="956">
      <c r="A956" s="5" t="inlineStr">
        <is>
          <t>b8-ilac-kutusu</t>
        </is>
      </c>
      <c r="B956" s="5" t="n">
        <v>4</v>
      </c>
      <c r="C956" s="6" t="inlineStr">
        <is>
          <t>Kardeşlerle nöbet çizelgesi yap</t>
        </is>
      </c>
      <c r="D956" s="5" t="inlineStr">
        <is>
          <t>Sosyal Radar</t>
        </is>
      </c>
      <c r="E956" s="5" t="inlineStr">
        <is>
          <t>Orta</t>
        </is>
      </c>
      <c r="F956" s="5" t="inlineStr"/>
      <c r="G956" s="6" t="inlineStr"/>
      <c r="H956" s="6" t="inlineStr">
        <is>
          <t>Herkes haftasını aldı. Bayram haftası hâlâ sahipsiz.</t>
        </is>
      </c>
      <c r="I956" s="6" t="inlineStr">
        <is>
          <t>Çizelge o kadar adil çıktı ki kimse itiraz etmedi; en kaytarıcı kardeşin bile. Annen çizelgeyi vitrine koydu, düğün fotoğrafının yanına.</t>
        </is>
      </c>
      <c r="J956" s="6" t="inlineStr">
        <is>
          <t>Çizelge aile grubuna gönderildi. Herkes okudu, kimse cevap vermedi. Nöbet sende.</t>
        </is>
      </c>
      <c r="K956" s="6" t="inlineStr">
        <is>
          <t>Kimseye danışmadan yapıp aile grubuna attın. Pazar günü bütün kardeşler annenlerde toplandı; çay demlendi, börek kesildi, konu sendin. Sen yoktun; çağrılmamıştın.</t>
        </is>
      </c>
      <c r="L956" s="6" t="inlineStr"/>
      <c r="M956" s="5" t="inlineStr"/>
      <c r="N956" s="5" t="inlineStr"/>
      <c r="O956" s="6" t="inlineStr"/>
      <c r="P956" s="6" t="inlineStr"/>
      <c r="Q956" s="5" t="inlineStr">
        <is>
          <t>Kuralı Koyan</t>
        </is>
      </c>
      <c r="R956" s="5" t="inlineStr"/>
      <c r="S956" s="5" t="inlineStr"/>
      <c r="T956" s="5" t="inlineStr"/>
      <c r="U956" s="5" t="inlineStr"/>
      <c r="V956" s="5" t="inlineStr"/>
      <c r="W956" s="5" t="inlineStr"/>
      <c r="X956" s="5" t="inlineStr"/>
      <c r="Y956" s="5" t="inlineStr"/>
      <c r="Z956" s="6" t="inlineStr"/>
      <c r="AA956" s="5" t="inlineStr"/>
      <c r="AB956" s="5" t="inlineStr"/>
      <c r="AC956" s="5" t="inlineStr"/>
      <c r="AD956" s="5" t="inlineStr"/>
      <c r="AE956" s="5" t="inlineStr"/>
      <c r="AF956" s="5" t="inlineStr"/>
      <c r="AG956" s="5" t="inlineStr"/>
      <c r="AH956" s="5" t="inlineStr"/>
      <c r="AI956" s="5" t="inlineStr"/>
      <c r="AJ956" s="5" t="inlineStr"/>
    </row>
    <row r="957">
      <c r="A957" s="5" t="inlineStr">
        <is>
          <t>b8-ilac-kutusu</t>
        </is>
      </c>
      <c r="B957" s="5" t="n">
        <v>5</v>
      </c>
      <c r="C957" s="6" t="inlineStr">
        <is>
          <t>Gözlüğü tak, prospektüsleri oku</t>
        </is>
      </c>
      <c r="D957" s="5" t="inlineStr"/>
      <c r="E957" s="5" t="inlineStr"/>
      <c r="F957" s="5" t="inlineStr">
        <is>
          <t>Akıl +1</t>
        </is>
      </c>
      <c r="G957" s="6" t="inlineStr">
        <is>
          <t>Bütün prospektüsleri okudun. Artık yan etkileri ezbere biliyorsun; hiçbirinde 'evlat telaşı' yazmıyor.</t>
        </is>
      </c>
      <c r="H957" s="6" t="inlineStr"/>
      <c r="I957" s="6" t="inlineStr"/>
      <c r="J957" s="6" t="inlineStr"/>
      <c r="K957" s="6" t="inlineStr"/>
      <c r="L957" s="6" t="inlineStr"/>
      <c r="M957" s="5" t="inlineStr"/>
      <c r="N957" s="5" t="inlineStr"/>
      <c r="O957" s="6" t="inlineStr"/>
      <c r="P957" s="6" t="inlineStr"/>
      <c r="Q957" s="5" t="inlineStr"/>
      <c r="R957" s="5" t="inlineStr">
        <is>
          <t>gozluklu</t>
        </is>
      </c>
      <c r="S957" s="5" t="inlineStr"/>
      <c r="T957" s="5" t="inlineStr"/>
      <c r="U957" s="5" t="inlineStr"/>
      <c r="V957" s="5" t="inlineStr"/>
      <c r="W957" s="5" t="inlineStr"/>
      <c r="X957" s="5" t="inlineStr"/>
      <c r="Y957" s="5" t="inlineStr"/>
      <c r="Z957" s="6" t="inlineStr"/>
      <c r="AA957" s="5" t="inlineStr"/>
      <c r="AB957" s="5" t="inlineStr"/>
      <c r="AC957" s="5" t="inlineStr"/>
      <c r="AD957" s="5" t="inlineStr"/>
      <c r="AE957" s="5" t="inlineStr"/>
      <c r="AF957" s="5" t="inlineStr"/>
      <c r="AG957" s="5" t="inlineStr"/>
      <c r="AH957" s="5" t="inlineStr"/>
      <c r="AI957" s="5" t="inlineStr"/>
      <c r="AJ957" s="5" t="inlineStr"/>
    </row>
    <row r="958">
      <c r="A958" s="5" t="inlineStr">
        <is>
          <t>b8-site-yoneticisi</t>
        </is>
      </c>
      <c r="B958" s="5" t="n">
        <v>1</v>
      </c>
      <c r="C958" s="6" t="inlineStr">
        <is>
          <t>Aday ol</t>
        </is>
      </c>
      <c r="D958" s="5" t="inlineStr">
        <is>
          <t>İtibar</t>
        </is>
      </c>
      <c r="E958" s="5" t="inlineStr">
        <is>
          <t>Zor</t>
        </is>
      </c>
      <c r="F958" s="5" t="inlineStr"/>
      <c r="G958" s="6" t="inlineStr"/>
      <c r="H958" s="6" t="inlineStr">
        <is>
          <t>Seçildin. İlk akşam kapın dört kez çalındı: üçüncü kat otoparkı, ikinci kat kediyi, beşinci kat dördüncünün halı silkelemesini şikâyet etti. Saat on birde kapıyı açmamayı öğrendin.</t>
        </is>
      </c>
      <c r="I958" s="6" t="inlineStr">
        <is>
          <t>Oybirliğiyle seçildin; aidat borcu olanlar bile el kaldırdı. Tahsilata onlardan başlayacaksın.</t>
        </is>
      </c>
      <c r="J958" s="6" t="inlineStr">
        <is>
          <t>Üçüncü kattaki komşu çantasından dosyasını çıkardı. Dosyalı adaylar kazanır.</t>
        </is>
      </c>
      <c r="K958" s="6" t="inlineStr">
        <is>
          <t>Seçildin. İlk hafta asansör bozuldu, ikinci hafta kombi, üçüncü hafta sen.</t>
        </is>
      </c>
      <c r="L958" s="6" t="inlineStr"/>
      <c r="M958" s="5" t="inlineStr"/>
      <c r="N958" s="5" t="inlineStr"/>
      <c r="O958" s="6" t="inlineStr"/>
      <c r="P958" s="6" t="inlineStr"/>
      <c r="Q958" s="5" t="inlineStr"/>
      <c r="R958" s="5" t="inlineStr"/>
      <c r="S958" s="5" t="inlineStr"/>
      <c r="T958" s="5" t="inlineStr">
        <is>
          <t>Aidat Tahsildarı</t>
        </is>
      </c>
      <c r="U958" s="5" t="inlineStr"/>
      <c r="V958" s="5" t="inlineStr">
        <is>
          <t>site-yoneticisi</t>
        </is>
      </c>
      <c r="W958" s="5" t="inlineStr"/>
      <c r="X958" s="5" t="inlineStr"/>
      <c r="Y958" s="5" t="inlineStr"/>
      <c r="Z958" s="6" t="inlineStr"/>
      <c r="AA958" s="5" t="inlineStr"/>
      <c r="AB958" s="5" t="inlineStr"/>
      <c r="AC958" s="5" t="inlineStr"/>
      <c r="AD958" s="5" t="inlineStr"/>
      <c r="AE958" s="5" t="inlineStr"/>
      <c r="AF958" s="5" t="inlineStr"/>
      <c r="AG958" s="5" t="inlineStr"/>
      <c r="AH958" s="5" t="inlineStr"/>
      <c r="AI958" s="5" t="inlineStr"/>
      <c r="AJ958" s="5" t="inlineStr"/>
    </row>
    <row r="959">
      <c r="A959" s="5" t="inlineStr">
        <is>
          <t>b8-site-yoneticisi</t>
        </is>
      </c>
      <c r="B959" s="5" t="n">
        <v>2</v>
      </c>
      <c r="C959" s="6" t="inlineStr">
        <is>
          <t>Asansörü kendin tamir et, aidatı düşür</t>
        </is>
      </c>
      <c r="D959" s="5" t="inlineStr">
        <is>
          <t>Akıl</t>
        </is>
      </c>
      <c r="E959" s="5" t="inlineStr">
        <is>
          <t>Zor</t>
        </is>
      </c>
      <c r="F959" s="5" t="inlineStr"/>
      <c r="G959" s="6" t="inlineStr"/>
      <c r="H959" s="6" t="inlineStr">
        <is>
          <t>Asansörü tamir ettin, aidat düştü. Ertesi sabah asansörün aynasında elle yazılmış bir kâğıt vardı: “Bu asansörü 4 numara yaptı. Eline sağlık.” Altında altı imza, biri kapıcının.</t>
        </is>
      </c>
      <c r="I959" s="6" t="inlineStr">
        <is>
          <t>Tamir ettin, üstüne müzik sistemi ekledin. Site artık katlar arası konserlerle anılıyor.</t>
        </is>
      </c>
      <c r="J959" s="6" t="inlineStr">
        <is>
          <t>Tamir ettin; asansör artık yalnızca çift katlarda duruyor.</t>
        </is>
      </c>
      <c r="K959" s="6" t="inlineStr">
        <is>
          <t>Asansör seni bütün gün katlar arasında gezdirdi. Kurtarıldığında toplantı bitmiş, yönetici seçilmiştin.</t>
        </is>
      </c>
      <c r="L959" s="6" t="inlineStr"/>
      <c r="M959" s="5" t="inlineStr"/>
      <c r="N959" s="5" t="inlineStr"/>
      <c r="O959" s="6" t="inlineStr"/>
      <c r="P959" s="6" t="inlineStr"/>
      <c r="Q959" s="5" t="inlineStr"/>
      <c r="R959" s="5" t="inlineStr"/>
      <c r="S959" s="5" t="inlineStr"/>
      <c r="T959" s="5" t="inlineStr"/>
      <c r="U959" s="5" t="inlineStr"/>
      <c r="V959" s="5" t="inlineStr"/>
      <c r="W959" s="5" t="inlineStr">
        <is>
          <t>site-yoneticisi</t>
        </is>
      </c>
      <c r="X959" s="5" t="inlineStr"/>
      <c r="Y959" s="5" t="n">
        <v>3</v>
      </c>
      <c r="Z959" s="6" t="inlineStr">
        <is>
          <t>Aidatları düşürmek için asansör bakımını bizzat yaparken. Aidatlar düştü.</t>
        </is>
      </c>
      <c r="AA959" s="5" t="inlineStr"/>
      <c r="AB959" s="5" t="inlineStr"/>
      <c r="AC959" s="5" t="inlineStr"/>
      <c r="AD959" s="5" t="inlineStr"/>
      <c r="AE959" s="5" t="inlineStr"/>
      <c r="AF959" s="5" t="inlineStr"/>
      <c r="AG959" s="5" t="inlineStr"/>
      <c r="AH959" s="5" t="inlineStr"/>
      <c r="AI959" s="5" t="inlineStr"/>
      <c r="AJ959" s="5" t="inlineStr"/>
    </row>
    <row r="960">
      <c r="A960" s="5" t="inlineStr">
        <is>
          <t>b8-site-yoneticisi</t>
        </is>
      </c>
      <c r="B960" s="5" t="n">
        <v>3</v>
      </c>
      <c r="C960" s="6" t="inlineStr">
        <is>
          <t>Kedi mama kabını savun</t>
        </is>
      </c>
      <c r="D960" s="5" t="inlineStr"/>
      <c r="E960" s="5" t="inlineStr"/>
      <c r="F960" s="5" t="inlineStr">
        <is>
          <t>Gönül +1</t>
        </is>
      </c>
      <c r="G960" s="6" t="inlineStr">
        <is>
          <t>Mama kabı oybirliğiyle kaldı. Tutanağa bir satır eklendi: 'Kediler yönetimin güvencesindedir.'</t>
        </is>
      </c>
      <c r="H960" s="6" t="inlineStr"/>
      <c r="I960" s="6" t="inlineStr"/>
      <c r="J960" s="6" t="inlineStr"/>
      <c r="K960" s="6" t="inlineStr"/>
      <c r="L960" s="6" t="inlineStr"/>
      <c r="M960" s="5" t="inlineStr"/>
      <c r="N960" s="5" t="inlineStr"/>
      <c r="O960" s="6" t="inlineStr"/>
      <c r="P960" s="6" t="inlineStr"/>
      <c r="Q960" s="5" t="inlineStr"/>
      <c r="R960" s="5" t="inlineStr"/>
      <c r="S960" s="5" t="inlineStr"/>
      <c r="T960" s="5" t="inlineStr"/>
      <c r="U960" s="5" t="inlineStr"/>
      <c r="V960" s="5" t="inlineStr"/>
      <c r="W960" s="5" t="inlineStr"/>
      <c r="X960" s="5" t="inlineStr"/>
      <c r="Y960" s="5" t="inlineStr"/>
      <c r="Z960" s="6" t="inlineStr"/>
      <c r="AA960" s="5" t="inlineStr"/>
      <c r="AB960" s="5" t="inlineStr"/>
      <c r="AC960" s="5" t="inlineStr"/>
      <c r="AD960" s="5" t="inlineStr"/>
      <c r="AE960" s="5" t="inlineStr"/>
      <c r="AF960" s="5" t="inlineStr"/>
      <c r="AG960" s="5" t="inlineStr"/>
      <c r="AH960" s="5" t="inlineStr"/>
      <c r="AI960" s="5" t="inlineStr"/>
      <c r="AJ960" s="5" t="inlineStr"/>
    </row>
    <row r="961">
      <c r="A961" s="5" t="inlineStr">
        <is>
          <t>b8-site-yoneticisi</t>
        </is>
      </c>
      <c r="B961" s="5" t="n">
        <v>4</v>
      </c>
      <c r="C961" s="6" t="inlineStr">
        <is>
          <t>Toplantıyı yirmi dakikada bitir</t>
        </is>
      </c>
      <c r="D961" s="5" t="inlineStr">
        <is>
          <t>Kurnazlık</t>
        </is>
      </c>
      <c r="E961" s="5" t="inlineStr">
        <is>
          <t>Orta</t>
        </is>
      </c>
      <c r="F961" s="5" t="inlineStr"/>
      <c r="G961" s="6" t="inlineStr"/>
      <c r="H961" s="6" t="inlineStr">
        <is>
          <t>Gündem yirmi dakikada bitti. Sitede adın “Kronometre” oldu; aday gösterildin, reddedemedin.</t>
        </is>
      </c>
      <c r="I961" s="6" t="inlineStr">
        <is>
          <t>On sekiz dakika. Rekor. Kimse ne karar alındığını hatırlamıyor ama herkes memnun.</t>
        </is>
      </c>
      <c r="J961" s="6" t="inlineStr">
        <is>
          <t>Yirmi dakikada bitirdin; kimse kalkmadı. Serbest kürsüde iki saat otopark konuşuldu.</t>
        </is>
      </c>
      <c r="K961" s="6" t="inlineStr">
        <is>
          <t>Hızlı oylama sırasında aidatı yanlışlıkla ikiye katladın. Karar oybirliğiyle alındı.</t>
        </is>
      </c>
      <c r="L961" s="6" t="inlineStr"/>
      <c r="M961" s="5" t="inlineStr"/>
      <c r="N961" s="5" t="inlineStr"/>
      <c r="O961" s="6" t="inlineStr"/>
      <c r="P961" s="6" t="inlineStr"/>
      <c r="Q961" s="5" t="inlineStr">
        <is>
          <t>Kuralı Koyan</t>
        </is>
      </c>
      <c r="R961" s="5" t="inlineStr"/>
      <c r="S961" s="5" t="inlineStr"/>
      <c r="T961" s="5" t="inlineStr"/>
      <c r="U961" s="5" t="inlineStr"/>
      <c r="V961" s="5" t="inlineStr">
        <is>
          <t>site-yoneticisi</t>
        </is>
      </c>
      <c r="W961" s="5" t="inlineStr"/>
      <c r="X961" s="5" t="inlineStr"/>
      <c r="Y961" s="5" t="inlineStr"/>
      <c r="Z961" s="6" t="inlineStr"/>
      <c r="AA961" s="5" t="inlineStr"/>
      <c r="AB961" s="5" t="inlineStr"/>
      <c r="AC961" s="5" t="inlineStr"/>
      <c r="AD961" s="5" t="inlineStr"/>
      <c r="AE961" s="5" t="inlineStr"/>
      <c r="AF961" s="5" t="inlineStr"/>
      <c r="AG961" s="5" t="inlineStr"/>
      <c r="AH961" s="5" t="inlineStr"/>
      <c r="AI961" s="5" t="inlineStr"/>
      <c r="AJ961" s="5" t="inlineStr"/>
    </row>
    <row r="962">
      <c r="A962" s="5" t="inlineStr">
        <is>
          <t>mb-genc-yonetici</t>
        </is>
      </c>
      <c r="B962" s="5" t="n">
        <v>1</v>
      </c>
      <c r="C962" s="6" t="inlineStr">
        <is>
          <t>Mentorluk teklif et</t>
        </is>
      </c>
      <c r="D962" s="5" t="inlineStr"/>
      <c r="E962" s="5" t="inlineStr"/>
      <c r="F962" s="5" t="inlineStr">
        <is>
          <t>İtibar +1</t>
        </is>
      </c>
      <c r="G962" s="6" t="inlineStr">
        <is>
          <t>Ona her şeyi öğrettin. Bir yıl sonra yöneticisinin de yöneticisi oldu. Hâlâ sana danışıyor. Gizlice.</t>
        </is>
      </c>
      <c r="H962" s="6" t="inlineStr"/>
      <c r="I962" s="6" t="inlineStr"/>
      <c r="J962" s="6" t="inlineStr"/>
      <c r="K962" s="6" t="inlineStr"/>
      <c r="L962" s="6" t="inlineStr"/>
      <c r="M962" s="5" t="inlineStr"/>
      <c r="N962" s="5" t="inlineStr"/>
      <c r="O962" s="6" t="inlineStr"/>
      <c r="P962" s="6" t="inlineStr"/>
      <c r="Q962" s="5" t="inlineStr"/>
      <c r="R962" s="5" t="inlineStr"/>
      <c r="S962" s="5" t="inlineStr"/>
      <c r="T962" s="5" t="inlineStr"/>
      <c r="U962" s="5" t="inlineStr"/>
      <c r="V962" s="5" t="inlineStr"/>
      <c r="W962" s="5" t="inlineStr"/>
      <c r="X962" s="5" t="inlineStr"/>
      <c r="Y962" s="5" t="inlineStr"/>
      <c r="Z962" s="6" t="inlineStr"/>
      <c r="AA962" s="5" t="inlineStr"/>
      <c r="AB962" s="5" t="inlineStr"/>
      <c r="AC962" s="5" t="inlineStr"/>
      <c r="AD962" s="5" t="inlineStr"/>
      <c r="AE962" s="5" t="inlineStr"/>
      <c r="AF962" s="5" t="inlineStr"/>
      <c r="AG962" s="5" t="inlineStr"/>
      <c r="AH962" s="5" t="inlineStr"/>
      <c r="AI962" s="5" t="inlineStr"/>
      <c r="AJ962" s="5" t="inlineStr"/>
    </row>
    <row r="963">
      <c r="A963" s="5" t="inlineStr">
        <is>
          <t>mb-genc-yonetici</t>
        </is>
      </c>
      <c r="B963" s="5" t="n">
        <v>2</v>
      </c>
      <c r="C963" s="6" t="inlineStr">
        <is>
          <t>Onun dilini öğren</t>
        </is>
      </c>
      <c r="D963" s="5" t="inlineStr">
        <is>
          <t>Kurnazlık</t>
        </is>
      </c>
      <c r="E963" s="5" t="inlineStr">
        <is>
          <t>Kolay</t>
        </is>
      </c>
      <c r="F963" s="5" t="inlineStr"/>
      <c r="G963" s="6" t="inlineStr"/>
      <c r="H963" s="6" t="inlineStr">
        <is>
          <t>Her cümlene “aksiyon” ve “hızlıca” ekledin. Yöneticin seni toplantıda örnek gösterdi. Akşam yemekte tuzu “hızlıca” istedin; evdekiler birbirine baktı.</t>
        </is>
      </c>
      <c r="I963" s="6" t="inlineStr">
        <is>
          <t>Onun jargonunu ondan iyi konuştun. Toplantılarda artık sana tercümanlık yapıyor.</t>
        </is>
      </c>
      <c r="J963" s="6" t="inlineStr">
        <is>
          <t>'Hızlıca bir aksiyon alalım' dedin; bu ifade geçen çeyrekte kullanımdan kalkmış.</t>
        </is>
      </c>
      <c r="K963" s="6" t="inlineStr">
        <is>
          <t>Yeni jargonla bir e-posta yazdın. Kimse anlamadı. Sen de.</t>
        </is>
      </c>
      <c r="L963" s="6" t="inlineStr"/>
      <c r="M963" s="5" t="inlineStr"/>
      <c r="N963" s="5" t="inlineStr"/>
      <c r="O963" s="6" t="inlineStr"/>
      <c r="P963" s="6" t="inlineStr"/>
      <c r="Q963" s="5" t="inlineStr"/>
      <c r="R963" s="5" t="inlineStr"/>
      <c r="S963" s="5" t="inlineStr"/>
      <c r="T963" s="5" t="inlineStr"/>
      <c r="U963" s="5" t="inlineStr"/>
      <c r="V963" s="5" t="inlineStr"/>
      <c r="W963" s="5" t="inlineStr"/>
      <c r="X963" s="5" t="inlineStr"/>
      <c r="Y963" s="5" t="inlineStr"/>
      <c r="Z963" s="6" t="inlineStr"/>
      <c r="AA963" s="5" t="inlineStr"/>
      <c r="AB963" s="5" t="inlineStr"/>
      <c r="AC963" s="5" t="inlineStr"/>
      <c r="AD963" s="5" t="inlineStr"/>
      <c r="AE963" s="5" t="inlineStr"/>
      <c r="AF963" s="5" t="inlineStr"/>
      <c r="AG963" s="5" t="inlineStr"/>
      <c r="AH963" s="5" t="inlineStr"/>
      <c r="AI963" s="5" t="inlineStr"/>
      <c r="AJ963" s="5" t="inlineStr"/>
    </row>
    <row r="964">
      <c r="A964" s="5" t="inlineStr">
        <is>
          <t>mb-genc-yonetici</t>
        </is>
      </c>
      <c r="B964" s="5" t="n">
        <v>3</v>
      </c>
      <c r="C964" s="6" t="inlineStr">
        <is>
          <t>Deneyimini masaya koy</t>
        </is>
      </c>
      <c r="D964" s="5" t="inlineStr">
        <is>
          <t>Akıl</t>
        </is>
      </c>
      <c r="E964" s="5" t="inlineStr">
        <is>
          <t>Orta</t>
        </is>
      </c>
      <c r="F964" s="5" t="inlineStr"/>
      <c r="G964" s="6" t="inlineStr"/>
      <c r="H964" s="6" t="inlineStr">
        <is>
          <t>“Bunu iki kez denedik, ikisinde de batırdık” dedin. Proje yeniden planlandı; yöneticin ilk kez not aldı.</t>
        </is>
      </c>
      <c r="I964" s="6" t="inlineStr">
        <is>
          <t>Eski bir raporu açtın; yeni fikir yirmi yıl önce denenmiş, belgesiyle. Toplantı saygıyla sustu.</t>
        </is>
      </c>
      <c r="J964" s="6" t="inlineStr">
        <is>
          <t>Deneyimini anlattın; yöneticin 'Çok değerli' deyip tam tersini yaptı.</t>
        </is>
      </c>
      <c r="K964" s="6" t="inlineStr">
        <is>
          <t>Deneyimini göstermek için eski bir raporu açtın. Kapakta şirket pikniğinden bir fotoğraf vardı: yöneticin bebek, senin kucağında. Toplantı orada bitti; fotoğraf ofis grubunda hâlâ dolaşıyor.</t>
        </is>
      </c>
      <c r="L964" s="6" t="inlineStr"/>
      <c r="M964" s="5" t="inlineStr"/>
      <c r="N964" s="5" t="inlineStr"/>
      <c r="O964" s="6" t="inlineStr"/>
      <c r="P964" s="6" t="inlineStr"/>
      <c r="Q964" s="5" t="inlineStr"/>
      <c r="R964" s="5" t="inlineStr"/>
      <c r="S964" s="5" t="inlineStr"/>
      <c r="T964" s="5" t="inlineStr"/>
      <c r="U964" s="5" t="inlineStr"/>
      <c r="V964" s="5" t="inlineStr"/>
      <c r="W964" s="5" t="inlineStr"/>
      <c r="X964" s="5" t="inlineStr"/>
      <c r="Y964" s="5" t="inlineStr"/>
      <c r="Z964" s="6" t="inlineStr"/>
      <c r="AA964" s="5" t="inlineStr"/>
      <c r="AB964" s="5" t="inlineStr"/>
      <c r="AC964" s="5" t="inlineStr"/>
      <c r="AD964" s="5" t="inlineStr"/>
      <c r="AE964" s="5" t="inlineStr"/>
      <c r="AF964" s="5" t="inlineStr"/>
      <c r="AG964" s="5" t="inlineStr"/>
      <c r="AH964" s="5" t="inlineStr"/>
      <c r="AI964" s="5" t="inlineStr"/>
      <c r="AJ964" s="5" t="inlineStr"/>
    </row>
    <row r="965">
      <c r="A965" s="5" t="inlineStr">
        <is>
          <t>mb-genc-yonetici</t>
        </is>
      </c>
      <c r="B965" s="5" t="n">
        <v>4</v>
      </c>
      <c r="C965" s="6" t="inlineStr">
        <is>
          <t>Genel müdürü göle çağır, yöneticiyi de</t>
        </is>
      </c>
      <c r="D965" s="5" t="inlineStr">
        <is>
          <t>Sosyal Radar</t>
        </is>
      </c>
      <c r="E965" s="5" t="inlineStr">
        <is>
          <t>Orta</t>
        </is>
      </c>
      <c r="F965" s="5" t="inlineStr"/>
      <c r="G965" s="6" t="inlineStr"/>
      <c r="H965" s="6" t="inlineStr">
        <is>
          <t>Üçünüz gölde balık tuttunuz. Pazartesi yöneticin toplantıyı senin sözünle açtı: “Önce bir de tecrübeye soralım.”</t>
        </is>
      </c>
      <c r="I965" s="6" t="inlineStr">
        <is>
          <t>Genel müdür oltasını bırakıp yeni yöneticine döndü: “Bu işi ondan öğren.” Dönüş yolunda yöneticin arabada sana çay doldurdu; termos onundu.</t>
        </is>
      </c>
      <c r="J965" s="6" t="inlineStr">
        <is>
          <t>Göle gittiniz; en büyük balığı yöneticin tuttu. Sen fotoğrafı çektin.</t>
        </is>
      </c>
      <c r="K965" s="6" t="inlineStr">
        <is>
          <t>Gölde yöneticin genel müdürle o kadar iyi anlaştı ki bir sonraki göl davetine sen çağrılmadın.</t>
        </is>
      </c>
      <c r="L965" s="6" t="inlineStr"/>
      <c r="M965" s="5" t="inlineStr"/>
      <c r="N965" s="5" t="inlineStr"/>
      <c r="O965" s="6" t="inlineStr"/>
      <c r="P965" s="6" t="inlineStr"/>
      <c r="Q965" s="5" t="inlineStr"/>
      <c r="R965" s="5" t="inlineStr">
        <is>
          <t>beyazyaka-gm-tanidik</t>
        </is>
      </c>
      <c r="S965" s="5" t="inlineStr"/>
      <c r="T965" s="5" t="inlineStr"/>
      <c r="U965" s="5" t="inlineStr"/>
      <c r="V965" s="5" t="inlineStr"/>
      <c r="W965" s="5" t="inlineStr"/>
      <c r="X965" s="5" t="inlineStr"/>
      <c r="Y965" s="5" t="inlineStr"/>
      <c r="Z965" s="6" t="inlineStr"/>
      <c r="AA965" s="5" t="inlineStr"/>
      <c r="AB965" s="5" t="inlineStr"/>
      <c r="AC965" s="5" t="inlineStr"/>
      <c r="AD965" s="5" t="inlineStr"/>
      <c r="AE965" s="5" t="inlineStr"/>
      <c r="AF965" s="5" t="inlineStr"/>
      <c r="AG965" s="5" t="inlineStr"/>
      <c r="AH965" s="5" t="inlineStr"/>
      <c r="AI965" s="5" t="inlineStr"/>
      <c r="AJ965" s="5" t="inlineStr"/>
    </row>
    <row r="966">
      <c r="A966" s="5" t="inlineStr">
        <is>
          <t>ms-atolye-kirasi</t>
        </is>
      </c>
      <c r="B966" s="5" t="n">
        <v>1</v>
      </c>
      <c r="C966" s="6" t="inlineStr">
        <is>
          <t>Atölyeyi eve taşı</t>
        </is>
      </c>
      <c r="D966" s="5" t="inlineStr"/>
      <c r="E966" s="5" t="inlineStr"/>
      <c r="F966" s="5" t="inlineStr">
        <is>
          <t>Dayanıklılık +1</t>
        </is>
      </c>
      <c r="G966" s="6" t="inlineStr">
        <is>
          <t>Atölyeyi salona taşıdın. Misafirler artık bir koltuğa değil, bir enstalasyona oturuyor.</t>
        </is>
      </c>
      <c r="H966" s="6" t="inlineStr"/>
      <c r="I966" s="6" t="inlineStr"/>
      <c r="J966" s="6" t="inlineStr"/>
      <c r="K966" s="6" t="inlineStr"/>
      <c r="L966" s="6" t="inlineStr"/>
      <c r="M966" s="5" t="inlineStr"/>
      <c r="N966" s="5" t="inlineStr"/>
      <c r="O966" s="6" t="inlineStr"/>
      <c r="P966" s="6" t="inlineStr"/>
      <c r="Q966" s="5" t="inlineStr"/>
      <c r="R966" s="5" t="inlineStr"/>
      <c r="S966" s="5" t="inlineStr"/>
      <c r="T966" s="5" t="inlineStr"/>
      <c r="U966" s="5" t="inlineStr"/>
      <c r="V966" s="5" t="inlineStr"/>
      <c r="W966" s="5" t="inlineStr"/>
      <c r="X966" s="5" t="inlineStr"/>
      <c r="Y966" s="5" t="inlineStr"/>
      <c r="Z966" s="6" t="inlineStr"/>
      <c r="AA966" s="5" t="inlineStr"/>
      <c r="AB966" s="5" t="inlineStr"/>
      <c r="AC966" s="5" t="inlineStr"/>
      <c r="AD966" s="5" t="inlineStr"/>
      <c r="AE966" s="5" t="inlineStr"/>
      <c r="AF966" s="5" t="inlineStr"/>
      <c r="AG966" s="5" t="inlineStr"/>
      <c r="AH966" s="5" t="inlineStr"/>
      <c r="AI966" s="5" t="inlineStr"/>
      <c r="AJ966" s="5" t="inlineStr"/>
    </row>
    <row r="967">
      <c r="A967" s="5" t="inlineStr">
        <is>
          <t>ms-atolye-kirasi</t>
        </is>
      </c>
      <c r="B967" s="5" t="n">
        <v>2</v>
      </c>
      <c r="C967" s="6" t="inlineStr">
        <is>
          <t>Ev sahibinin portresini yap, pazarlığa otur</t>
        </is>
      </c>
      <c r="D967" s="5" t="inlineStr">
        <is>
          <t>Çene</t>
        </is>
      </c>
      <c r="E967" s="5" t="inlineStr">
        <is>
          <t>Orta</t>
        </is>
      </c>
      <c r="F967" s="5" t="inlineStr"/>
      <c r="G967" s="6" t="inlineStr"/>
      <c r="H967" s="6" t="inlineStr">
        <is>
          <t>Portreyi çok beğendi. Kira yalnızca iki katına çıktı.</t>
        </is>
      </c>
      <c r="I967" s="6" t="inlineStr">
        <is>
          <t>Ev sahibi portreyi apartman girişine astı; önünden geçen herkese “Bunu bizim sanatçı yaptı” diyor. Kiran sabitlendi.</t>
        </is>
      </c>
      <c r="J967" s="6" t="inlineStr">
        <is>
          <t>Portreyi beğendi. Kiradan düşmedi ama çerçeve parası istemedi.</t>
        </is>
      </c>
      <c r="K967" s="6" t="inlineStr">
        <is>
          <t>Portrede burnunu biraz büyük yaptın. Kira dört katına çıktı.</t>
        </is>
      </c>
      <c r="L967" s="6" t="inlineStr"/>
      <c r="M967" s="5" t="inlineStr"/>
      <c r="N967" s="5" t="inlineStr"/>
      <c r="O967" s="6" t="inlineStr"/>
      <c r="P967" s="6" t="inlineStr"/>
      <c r="Q967" s="5" t="inlineStr"/>
      <c r="R967" s="5" t="inlineStr"/>
      <c r="S967" s="5" t="inlineStr"/>
      <c r="T967" s="5" t="inlineStr"/>
      <c r="U967" s="5" t="inlineStr"/>
      <c r="V967" s="5" t="inlineStr"/>
      <c r="W967" s="5" t="inlineStr"/>
      <c r="X967" s="5" t="inlineStr"/>
      <c r="Y967" s="5" t="inlineStr"/>
      <c r="Z967" s="6" t="inlineStr"/>
      <c r="AA967" s="5" t="inlineStr"/>
      <c r="AB967" s="5" t="inlineStr"/>
      <c r="AC967" s="5" t="inlineStr"/>
      <c r="AD967" s="5" t="inlineStr"/>
      <c r="AE967" s="5" t="inlineStr"/>
      <c r="AF967" s="5" t="inlineStr"/>
      <c r="AG967" s="5" t="inlineStr"/>
      <c r="AH967" s="5" t="inlineStr"/>
      <c r="AI967" s="5" t="inlineStr"/>
      <c r="AJ967" s="5" t="inlineStr"/>
    </row>
    <row r="968">
      <c r="A968" s="5" t="inlineStr">
        <is>
          <t>ms-atolye-kirasi</t>
        </is>
      </c>
      <c r="B968" s="5" t="n">
        <v>3</v>
      </c>
      <c r="C968" s="6" t="inlineStr">
        <is>
          <t>Fonun mekân kalemini kullan</t>
        </is>
      </c>
      <c r="D968" s="5" t="inlineStr">
        <is>
          <t>Kurnazlık</t>
        </is>
      </c>
      <c r="E968" s="5" t="inlineStr">
        <is>
          <t>Kolay</t>
        </is>
      </c>
      <c r="F968" s="5" t="inlineStr"/>
      <c r="G968" s="6" t="inlineStr"/>
      <c r="H968" s="6" t="inlineStr">
        <is>
          <t>Fon raporuna 'sanatın mekânla ilişkisi' yazdın. Kira bir yıl çözüldü.</t>
        </is>
      </c>
      <c r="I968" s="6" t="inlineStr">
        <is>
          <t>Mekân giderini anlattın; fon yetkilisi atölyeyi görmeye geldi, nem kokusuna “Otantik” dedi. Ertesi yılın bütçesi atölyene ayrıldı; nem de dahil.</t>
        </is>
      </c>
      <c r="J968" s="6" t="inlineStr">
        <is>
          <t>Fonun mekân kalemi yalnızca 'etkinlik salonu' için geçerliymiş. Atölye etkinlik sayılmıyor.</t>
        </is>
      </c>
      <c r="K968" s="6" t="inlineStr">
        <is>
          <t>Raporu gönderdin; denetçi atölyeyi ziyarete geldi ve tavandan su damladı. Üstüne.</t>
        </is>
      </c>
      <c r="L968" s="6" t="inlineStr"/>
      <c r="M968" s="5" t="inlineStr"/>
      <c r="N968" s="5" t="inlineStr"/>
      <c r="O968" s="6" t="inlineStr"/>
      <c r="P968" s="6" t="inlineStr"/>
      <c r="Q968" s="5" t="inlineStr"/>
      <c r="R968" s="5" t="inlineStr">
        <is>
          <t>serbest-fon-aldi</t>
        </is>
      </c>
      <c r="S968" s="5" t="inlineStr"/>
      <c r="T968" s="5" t="inlineStr"/>
      <c r="U968" s="5" t="inlineStr"/>
      <c r="V968" s="5" t="inlineStr"/>
      <c r="W968" s="5" t="inlineStr"/>
      <c r="X968" s="5" t="inlineStr"/>
      <c r="Y968" s="5" t="inlineStr"/>
      <c r="Z968" s="6" t="inlineStr"/>
      <c r="AA968" s="5" t="inlineStr"/>
      <c r="AB968" s="5" t="inlineStr"/>
      <c r="AC968" s="5" t="inlineStr"/>
      <c r="AD968" s="5" t="inlineStr"/>
      <c r="AE968" s="5" t="inlineStr"/>
      <c r="AF968" s="5" t="inlineStr"/>
      <c r="AG968" s="5" t="inlineStr"/>
      <c r="AH968" s="5" t="inlineStr"/>
      <c r="AI968" s="5" t="inlineStr"/>
      <c r="AJ968" s="5" t="inlineStr"/>
    </row>
    <row r="969">
      <c r="A969" s="5" t="inlineStr">
        <is>
          <t>ms-atolye-kirasi</t>
        </is>
      </c>
      <c r="B969" s="5" t="n">
        <v>4</v>
      </c>
      <c r="C969" s="6" t="inlineStr">
        <is>
          <t>Mahalledeki sanatçılarla ortak atölye kur</t>
        </is>
      </c>
      <c r="D969" s="5" t="inlineStr">
        <is>
          <t>Sosyal Radar</t>
        </is>
      </c>
      <c r="E969" s="5" t="inlineStr">
        <is>
          <t>Orta</t>
        </is>
      </c>
      <c r="F969" s="5" t="inlineStr"/>
      <c r="G969" s="6" t="inlineStr"/>
      <c r="H969" s="6" t="inlineStr">
        <is>
          <t>Beş kişi bir depoyu paylaştınız. Kira beşte bir, dedikodu beş kat.</t>
        </is>
      </c>
      <c r="I969" s="6" t="inlineStr">
        <is>
          <t>Ortak atölye bir kültür merkezine dönüştü. Belediye önünden tur otobüsü geçiriyor.</t>
        </is>
      </c>
      <c r="J969" s="6" t="inlineStr">
        <is>
          <t>Ortak atölye kuruldu; ilk ay ortak buzdolabı yüzünden dağıldı.</t>
        </is>
      </c>
      <c r="K969" s="6" t="inlineStr">
        <is>
          <t>Ortak atölyeyi kurdunuz; mahalle daha da 'sanat mahallesi' oldu. Depo kirası da üçe katlandı.</t>
        </is>
      </c>
      <c r="L969" s="6" t="inlineStr"/>
      <c r="M969" s="5" t="inlineStr"/>
      <c r="N969" s="5" t="inlineStr"/>
      <c r="O969" s="6" t="inlineStr"/>
      <c r="P969" s="6" t="inlineStr"/>
      <c r="Q969" s="5" t="inlineStr"/>
      <c r="R969" s="5" t="inlineStr"/>
      <c r="S969" s="5" t="inlineStr"/>
      <c r="T969" s="5" t="inlineStr"/>
      <c r="U969" s="5" t="inlineStr"/>
      <c r="V969" s="5" t="inlineStr"/>
      <c r="W969" s="5" t="inlineStr"/>
      <c r="X969" s="5" t="inlineStr"/>
      <c r="Y969" s="5" t="inlineStr"/>
      <c r="Z969" s="6" t="inlineStr"/>
      <c r="AA969" s="5" t="inlineStr"/>
      <c r="AB969" s="5" t="inlineStr"/>
      <c r="AC969" s="5" t="inlineStr"/>
      <c r="AD969" s="5" t="inlineStr"/>
      <c r="AE969" s="5" t="inlineStr"/>
      <c r="AF969" s="5" t="inlineStr"/>
      <c r="AG969" s="5" t="inlineStr"/>
      <c r="AH969" s="5" t="inlineStr"/>
      <c r="AI969" s="5" t="inlineStr"/>
      <c r="AJ969" s="5" t="inlineStr"/>
    </row>
    <row r="970">
      <c r="A970" s="5" t="inlineStr">
        <is>
          <t>b8-bakim-evraki</t>
        </is>
      </c>
      <c r="B970" s="5" t="n">
        <v>1</v>
      </c>
      <c r="C970" s="6" t="inlineStr">
        <is>
          <t>Sıranı bekle</t>
        </is>
      </c>
      <c r="D970" s="5" t="inlineStr"/>
      <c r="E970" s="5" t="inlineStr"/>
      <c r="F970" s="5" t="inlineStr">
        <is>
          <t>Dayanıklılık +1</t>
        </is>
      </c>
      <c r="G970" s="6" t="inlineStr">
        <is>
          <t>Dört saat bekledin. Sıra gelince memur “Bir fotokopi eksik” dedi. Eve dönünce annen “Yoruldun mu, yavrum?” diye sordu; “Yok” dedin. Yarın yine gideceksin.</t>
        </is>
      </c>
      <c r="H970" s="6" t="inlineStr"/>
      <c r="I970" s="6" t="inlineStr"/>
      <c r="J970" s="6" t="inlineStr"/>
      <c r="K970" s="6" t="inlineStr"/>
      <c r="L970" s="6" t="inlineStr"/>
      <c r="M970" s="5" t="inlineStr"/>
      <c r="N970" s="5" t="inlineStr"/>
      <c r="O970" s="6" t="inlineStr"/>
      <c r="P970" s="6" t="inlineStr"/>
      <c r="Q970" s="5" t="inlineStr"/>
      <c r="R970" s="5" t="inlineStr"/>
      <c r="S970" s="5" t="inlineStr"/>
      <c r="T970" s="5" t="inlineStr"/>
      <c r="U970" s="5" t="inlineStr"/>
      <c r="V970" s="5" t="inlineStr"/>
      <c r="W970" s="5" t="inlineStr"/>
      <c r="X970" s="5" t="inlineStr"/>
      <c r="Y970" s="5" t="inlineStr"/>
      <c r="Z970" s="6" t="inlineStr"/>
      <c r="AA970" s="5" t="inlineStr"/>
      <c r="AB970" s="5" t="inlineStr"/>
      <c r="AC970" s="5" t="inlineStr"/>
      <c r="AD970" s="5" t="inlineStr"/>
      <c r="AE970" s="5" t="inlineStr"/>
      <c r="AF970" s="5" t="inlineStr"/>
      <c r="AG970" s="5" t="inlineStr"/>
      <c r="AH970" s="5" t="inlineStr"/>
      <c r="AI970" s="5" t="inlineStr"/>
      <c r="AJ970" s="5" t="inlineStr"/>
    </row>
    <row r="971">
      <c r="A971" s="5" t="inlineStr">
        <is>
          <t>b8-bakim-evraki</t>
        </is>
      </c>
      <c r="B971" s="5" t="n">
        <v>2</v>
      </c>
      <c r="C971" s="6" t="inlineStr">
        <is>
          <t>Evrak listesini baştan kontrol et</t>
        </is>
      </c>
      <c r="D971" s="5" t="inlineStr">
        <is>
          <t>Akıl</t>
        </is>
      </c>
      <c r="E971" s="5" t="inlineStr">
        <is>
          <t>Orta</t>
        </is>
      </c>
      <c r="F971" s="5" t="inlineStr"/>
      <c r="G971" s="6" t="inlineStr"/>
      <c r="H971" s="6" t="inlineStr">
        <is>
          <t>Eksik fotokopiyi sıra gelmeden fark ettin. Koridordaki makineden çektin. Dosya bir seferde kabul edildi; nadir görülen bir olay.</t>
        </is>
      </c>
      <c r="I971" s="6" t="inlineStr">
        <is>
          <t>Listeyi düzenledin; arkandaki teyze dosyasını uzattı: “Benimkine de bir bak evladım.” Öğlene kadar koridorda beş dosya düzelttin; biri sana termosundan çay koydu.</t>
        </is>
      </c>
      <c r="J971" s="6" t="inlineStr">
        <is>
          <t>Listeyi kontrol ettin; liste güncellenmiş. Senin elindeki geçen yılınki.</t>
        </is>
      </c>
      <c r="K971" s="6" t="inlineStr">
        <is>
          <t>Kontrol ederken belgeleri yere düşürdün; yandaki teyzenin belgeleriyle karıştı. Kurum iki dosyayı birleştirdi. Annenin bakım kararında artık iki kişinin adı var; öbür teyze bayramda el öpmeye gelmek istiyor.</t>
        </is>
      </c>
      <c r="L971" s="6" t="inlineStr"/>
      <c r="M971" s="5" t="inlineStr"/>
      <c r="N971" s="5" t="inlineStr"/>
      <c r="O971" s="6" t="inlineStr"/>
      <c r="P971" s="6" t="inlineStr"/>
      <c r="Q971" s="5" t="inlineStr"/>
      <c r="R971" s="5" t="inlineStr"/>
      <c r="S971" s="5" t="inlineStr"/>
      <c r="T971" s="5" t="inlineStr"/>
      <c r="U971" s="5" t="inlineStr"/>
      <c r="V971" s="5" t="inlineStr"/>
      <c r="W971" s="5" t="inlineStr"/>
      <c r="X971" s="5" t="inlineStr"/>
      <c r="Y971" s="5" t="inlineStr"/>
      <c r="Z971" s="6" t="inlineStr"/>
      <c r="AA971" s="5" t="inlineStr"/>
      <c r="AB971" s="5" t="inlineStr"/>
      <c r="AC971" s="5" t="inlineStr"/>
      <c r="AD971" s="5" t="inlineStr"/>
      <c r="AE971" s="5" t="inlineStr"/>
      <c r="AF971" s="5" t="inlineStr"/>
      <c r="AG971" s="5" t="inlineStr"/>
      <c r="AH971" s="5" t="inlineStr"/>
      <c r="AI971" s="5" t="inlineStr"/>
      <c r="AJ971" s="5" t="inlineStr"/>
    </row>
    <row r="972">
      <c r="A972" s="5" t="inlineStr">
        <is>
          <t>b8-bakim-evraki</t>
        </is>
      </c>
      <c r="B972" s="5" t="n">
        <v>3</v>
      </c>
      <c r="C972" s="6" t="inlineStr">
        <is>
          <t>Doğrudan yedi numaraya git</t>
        </is>
      </c>
      <c r="D972" s="5" t="inlineStr">
        <is>
          <t>Kurnazlık</t>
        </is>
      </c>
      <c r="E972" s="5" t="inlineStr">
        <is>
          <t>Kolay</t>
        </is>
      </c>
      <c r="F972" s="5" t="inlineStr"/>
      <c r="G972" s="6" t="inlineStr"/>
      <c r="H972" s="6" t="inlineStr">
        <is>
          <t>Yedi numara seni hemen aldı. İşlem on dakika. Koridordakiler seni kıskançlıkla izledi.</t>
        </is>
      </c>
      <c r="I972" s="6" t="inlineStr">
        <is>
          <t>Yedi numaradaki memur dosyana baktı, annenin adını okudu: “Bu teyze bizim eski komşu değil mi?” Dosyan on dakikada tamamlandı. Annene selam, sana da çay.</t>
        </is>
      </c>
      <c r="J972" s="6" t="inlineStr">
        <is>
          <t>Yedi numara 'Önce üçe uğrayın' dedi. Üç, seni yeniden yediye gönderdi.</t>
        </is>
      </c>
      <c r="K972" s="6" t="inlineStr">
        <is>
          <t>Yedi numaraya vardığın an memur camın önüne bir kâğıt astı: “Öğle arası.” Döndüğünde ekranda 348 yazıyordu. Seninki az önce okunmuş, geçmişti.</t>
        </is>
      </c>
      <c r="L972" s="6" t="inlineStr"/>
      <c r="M972" s="5" t="inlineStr"/>
      <c r="N972" s="5" t="inlineStr"/>
      <c r="O972" s="6" t="inlineStr"/>
      <c r="P972" s="6" t="inlineStr"/>
      <c r="Q972" s="5" t="inlineStr"/>
      <c r="R972" s="5" t="inlineStr"/>
      <c r="S972" s="5" t="inlineStr">
        <is>
          <t>Kurnazlık</t>
        </is>
      </c>
      <c r="T972" s="5" t="inlineStr"/>
      <c r="U972" s="5" t="inlineStr"/>
      <c r="V972" s="5" t="inlineStr"/>
      <c r="W972" s="5" t="inlineStr"/>
      <c r="X972" s="5" t="inlineStr"/>
      <c r="Y972" s="5" t="inlineStr"/>
      <c r="Z972" s="6" t="inlineStr"/>
      <c r="AA972" s="5" t="inlineStr"/>
      <c r="AB972" s="5" t="inlineStr"/>
      <c r="AC972" s="5" t="inlineStr"/>
      <c r="AD972" s="5" t="inlineStr"/>
      <c r="AE972" s="5" t="inlineStr"/>
      <c r="AF972" s="5" t="inlineStr"/>
      <c r="AG972" s="5" t="inlineStr"/>
      <c r="AH972" s="5" t="inlineStr"/>
      <c r="AI972" s="5" t="inlineStr"/>
      <c r="AJ972" s="5" t="inlineStr"/>
    </row>
    <row r="973">
      <c r="A973" s="5" t="inlineStr">
        <is>
          <t>b8-bakim-evraki</t>
        </is>
      </c>
      <c r="B973" s="5" t="n">
        <v>4</v>
      </c>
      <c r="C973" s="6" t="inlineStr">
        <is>
          <t>Memur dilinden konuş</t>
        </is>
      </c>
      <c r="D973" s="5" t="inlineStr">
        <is>
          <t>Çene</t>
        </is>
      </c>
      <c r="E973" s="5" t="inlineStr">
        <is>
          <t>Kolay</t>
        </is>
      </c>
      <c r="F973" s="5" t="inlineStr"/>
      <c r="G973" s="6" t="inlineStr"/>
      <c r="H973" s="6" t="inlineStr">
        <is>
          <t>'Dosya üst yazıyla tamamlandı mı?' diye sordun. Memur başını kaldırdı; meslektaş tanındı.</t>
        </is>
      </c>
      <c r="I973" s="6" t="inlineStr">
        <is>
          <t>Memurla aynı yönetmelik maddesini aynı anda söylediniz. İşlem beş dakika; üstüne kurum çayı.</t>
        </is>
      </c>
      <c r="J973" s="6" t="inlineStr">
        <is>
          <t>Fazla teknik konuştun. Memur 'Bu bizim birimin işi değil' dedi.</t>
        </is>
      </c>
      <c r="K973" s="6" t="inlineStr">
        <is>
          <t>Yönetmelik maddesini yanlış söyledin. Memur düzeltti ve bunu bütün servise anlattı.</t>
        </is>
      </c>
      <c r="L973" s="6" t="inlineStr"/>
      <c r="M973" s="5" t="inlineStr"/>
      <c r="N973" s="5" t="inlineStr"/>
      <c r="O973" s="6" t="inlineStr"/>
      <c r="P973" s="6" t="inlineStr"/>
      <c r="Q973" s="5" t="inlineStr"/>
      <c r="R973" s="5" t="inlineStr">
        <is>
          <t>meslek-memur</t>
        </is>
      </c>
      <c r="S973" s="5" t="inlineStr"/>
      <c r="T973" s="5" t="inlineStr"/>
      <c r="U973" s="5" t="inlineStr"/>
      <c r="V973" s="5" t="inlineStr"/>
      <c r="W973" s="5" t="inlineStr"/>
      <c r="X973" s="5" t="inlineStr"/>
      <c r="Y973" s="5" t="inlineStr"/>
      <c r="Z973" s="6" t="inlineStr"/>
      <c r="AA973" s="5" t="inlineStr"/>
      <c r="AB973" s="5" t="inlineStr"/>
      <c r="AC973" s="5" t="inlineStr"/>
      <c r="AD973" s="5" t="inlineStr"/>
      <c r="AE973" s="5" t="inlineStr"/>
      <c r="AF973" s="5" t="inlineStr"/>
      <c r="AG973" s="5" t="inlineStr"/>
      <c r="AH973" s="5" t="inlineStr"/>
      <c r="AI973" s="5" t="inlineStr"/>
      <c r="AJ973" s="5" t="inlineStr"/>
    </row>
    <row r="974">
      <c r="A974" s="5" t="inlineStr">
        <is>
          <t>b8-ikinci-bahar</t>
        </is>
      </c>
      <c r="B974" s="5" t="n">
        <v>1</v>
      </c>
      <c r="C974" s="6" t="inlineStr">
        <is>
          <t>Gitme, evde kal</t>
        </is>
      </c>
      <c r="D974" s="5" t="inlineStr"/>
      <c r="E974" s="5" t="inlineStr"/>
      <c r="F974" s="5" t="inlineStr">
        <is>
          <t>Dayanıklılık +1</t>
        </is>
      </c>
      <c r="G974" s="6" t="inlineStr">
        <is>
          <t>Evde kaldın. Televizyon seni hiç yargılamadı. Ama bir şey de sormadı.</t>
        </is>
      </c>
      <c r="H974" s="6" t="inlineStr"/>
      <c r="I974" s="6" t="inlineStr"/>
      <c r="J974" s="6" t="inlineStr"/>
      <c r="K974" s="6" t="inlineStr"/>
      <c r="L974" s="6" t="inlineStr"/>
      <c r="M974" s="5" t="inlineStr"/>
      <c r="N974" s="5" t="inlineStr"/>
      <c r="O974" s="6" t="inlineStr"/>
      <c r="P974" s="6" t="inlineStr"/>
      <c r="Q974" s="5" t="inlineStr"/>
      <c r="R974" s="5" t="inlineStr"/>
      <c r="S974" s="5" t="inlineStr"/>
      <c r="T974" s="5" t="inlineStr"/>
      <c r="U974" s="5" t="inlineStr"/>
      <c r="V974" s="5" t="inlineStr"/>
      <c r="W974" s="5" t="inlineStr"/>
      <c r="X974" s="5" t="inlineStr"/>
      <c r="Y974" s="5" t="inlineStr"/>
      <c r="Z974" s="6" t="inlineStr"/>
      <c r="AA974" s="5" t="inlineStr"/>
      <c r="AB974" s="5" t="inlineStr"/>
      <c r="AC974" s="5" t="inlineStr"/>
      <c r="AD974" s="5" t="inlineStr"/>
      <c r="AE974" s="5" t="inlineStr"/>
      <c r="AF974" s="5" t="inlineStr"/>
      <c r="AG974" s="5" t="inlineStr"/>
      <c r="AH974" s="5" t="inlineStr"/>
      <c r="AI974" s="5" t="inlineStr"/>
      <c r="AJ974" s="5" t="inlineStr"/>
    </row>
    <row r="975">
      <c r="A975" s="5" t="inlineStr">
        <is>
          <t>b8-ikinci-bahar</t>
        </is>
      </c>
      <c r="B975" s="5" t="n">
        <v>2</v>
      </c>
      <c r="C975" s="6" t="inlineStr">
        <is>
          <t>Doğal ol</t>
        </is>
      </c>
      <c r="D975" s="5" t="inlineStr">
        <is>
          <t>Gönül</t>
        </is>
      </c>
      <c r="E975" s="5" t="inlineStr">
        <is>
          <t>Orta</t>
        </is>
      </c>
      <c r="F975" s="5" t="inlineStr"/>
      <c r="G975" s="6" t="inlineStr"/>
      <c r="H975" s="6" t="inlineStr">
        <is>
          <t>Konuştunuz, güldünüz, hesabı bölüştünüz. İkinci buluşma takvime yazıldı; kurşun kalemle, ama yazıldı.</t>
        </is>
      </c>
      <c r="I975" s="6" t="inlineStr">
        <is>
          <t>Saatin nasıl geçtiğini anlamadınız. Kafe kapanırken sandalyeleri toplamaya birlikte yardım ettiniz.</t>
        </is>
      </c>
      <c r="J975" s="6" t="inlineStr">
        <is>
          <t>Doğal oldun; fazla doğal. Bir saat bel ağrısı anlattın, sonra fıtık ameliyatı olan kuzenini.</t>
        </is>
      </c>
      <c r="K975" s="6" t="inlineStr">
        <is>
          <t>Eski eşinden söz ettin. Üç kez. Adıyla.</t>
        </is>
      </c>
      <c r="L975" s="6" t="inlineStr">
        <is>
          <t>İlk yarım saat ellerin terledi, sonra açıldın. İkinci buluşma “bakarız”a kaldı; ama gülerek söylendi.</t>
        </is>
      </c>
      <c r="M975" s="5" t="inlineStr">
        <is>
          <t>duel</t>
        </is>
      </c>
      <c r="N975" s="5" t="inlineStr">
        <is>
          <t>İlk Buluşma Sohbeti</t>
        </is>
      </c>
      <c r="O975" s="6" t="inlineStr">
        <is>
          <t>Karşındakinin sabrı bitmeden en iyi cevabı seç.</t>
        </is>
      </c>
      <c r="P975" s="6" t="inlineStr">
        <is>
          <t>{"who": "Karşındaki", "rounds": [{"q": "Siz de mi bir tanıdığın tanıdığısınız?", "o": [{"t": "Evet; umarım tanıdığımız iyi bir kahveci çıkar.", "s": 1}, {"t": "Aslında hiç gelmek istememiştim.", "s": 0.15}, {"t": "Tanıdık bilmem, kahve güzelmiş.", "s": 0.6}]}, {"q": "Ne yapıyorsunuz, emekli misiniz?", "o": [{"t": "İşten çok işlerin peşinden koşuyorum.", "s": 1}, {"t": "Evet, çok sıkıcı.", "s": 0.25}, {"t": "Hayat bana bakıyor.", "s": 0.5}]}, {"q": "Bir daha kahve içer miyiz?", "o": [{"t": "İçeriz; bu sefer benden.", "s": 1}, {"t": "Düşüneyim.", "s": 0.4}, {"t": "Teyze ayarlasın.", "s": 0.3}]}]}</t>
        </is>
      </c>
      <c r="Q975" s="5" t="inlineStr"/>
      <c r="R975" s="5" t="inlineStr"/>
      <c r="S975" s="5" t="inlineStr"/>
      <c r="T975" s="5" t="inlineStr"/>
      <c r="U975" s="5" t="inlineStr"/>
      <c r="V975" s="5" t="inlineStr">
        <is>
          <t>ikinci-bahar</t>
        </is>
      </c>
      <c r="W975" s="5" t="inlineStr"/>
      <c r="X975" s="5" t="inlineStr"/>
      <c r="Y975" s="5" t="inlineStr"/>
      <c r="Z975" s="6" t="inlineStr"/>
      <c r="AA975" s="5" t="inlineStr"/>
      <c r="AB975" s="5" t="inlineStr"/>
      <c r="AC975" s="5" t="inlineStr"/>
      <c r="AD975" s="5" t="inlineStr"/>
      <c r="AE975" s="5" t="inlineStr"/>
      <c r="AF975" s="5" t="inlineStr"/>
      <c r="AG975" s="5" t="inlineStr"/>
      <c r="AH975" s="5" t="inlineStr"/>
      <c r="AI975" s="5" t="inlineStr"/>
      <c r="AJ975" s="5" t="inlineStr"/>
    </row>
    <row r="976">
      <c r="A976" s="5" t="inlineStr">
        <is>
          <t>b8-ikinci-bahar</t>
        </is>
      </c>
      <c r="B976" s="5" t="n">
        <v>3</v>
      </c>
      <c r="C976" s="6" t="inlineStr">
        <is>
          <t>Gerginliği ilk sen kır</t>
        </is>
      </c>
      <c r="D976" s="5" t="inlineStr">
        <is>
          <t>Sosyal Radar</t>
        </is>
      </c>
      <c r="E976" s="5" t="inlineStr">
        <is>
          <t>Kolay</t>
        </is>
      </c>
      <c r="F976" s="5" t="inlineStr"/>
      <c r="G976" s="6" t="inlineStr"/>
      <c r="H976" s="6" t="inlineStr">
        <is>
          <t>'Ben de menüyü üç kez okudum' dedin. İkiniz de güldünüz; gerisi kolay geldi.</t>
        </is>
      </c>
      <c r="I976" s="6" t="inlineStr">
        <is>
          <t>Güldünüz, sonra aynı anda “Bir kahve daha?” dediniz. İkinci kahve masada soğudu; ikiniz de fark etmediniz.</t>
        </is>
      </c>
      <c r="J976" s="6" t="inlineStr">
        <is>
          <t>Espri yaptın; karşındaki 'Hangi menü?' dedi. Gerginlik ikiye katlandı.</t>
        </is>
      </c>
      <c r="K976" s="6" t="inlineStr">
        <is>
          <t>Gerginliği kırmak için gözlüğünü takıp menüyü yüksek sesle okudun, fiyatlarıyla birlikte. Yan masa güldü. Karşındaki telefonuna baktı: “Kızım arıyor.” Telefon çalmıyordu.</t>
        </is>
      </c>
      <c r="L976" s="6" t="inlineStr"/>
      <c r="M976" s="5" t="inlineStr"/>
      <c r="N976" s="5" t="inlineStr"/>
      <c r="O976" s="6" t="inlineStr"/>
      <c r="P976" s="6" t="inlineStr"/>
      <c r="Q976" s="5" t="inlineStr"/>
      <c r="R976" s="5" t="inlineStr"/>
      <c r="S976" s="5" t="inlineStr">
        <is>
          <t>Sosyal Radar</t>
        </is>
      </c>
      <c r="T976" s="5" t="inlineStr"/>
      <c r="U976" s="5" t="inlineStr"/>
      <c r="V976" s="5" t="inlineStr">
        <is>
          <t>ikinci-bahar</t>
        </is>
      </c>
      <c r="W976" s="5" t="inlineStr"/>
      <c r="X976" s="5" t="inlineStr"/>
      <c r="Y976" s="5" t="inlineStr"/>
      <c r="Z976" s="6" t="inlineStr"/>
      <c r="AA976" s="5" t="inlineStr"/>
      <c r="AB976" s="5" t="inlineStr"/>
      <c r="AC976" s="5" t="inlineStr"/>
      <c r="AD976" s="5" t="inlineStr"/>
      <c r="AE976" s="5" t="inlineStr"/>
      <c r="AF976" s="5" t="inlineStr"/>
      <c r="AG976" s="5" t="inlineStr"/>
      <c r="AH976" s="5" t="inlineStr"/>
      <c r="AI976" s="5" t="inlineStr"/>
      <c r="AJ976" s="5" t="inlineStr"/>
    </row>
    <row r="977">
      <c r="A977" s="5" t="inlineStr">
        <is>
          <t>b8-ikinci-bahar</t>
        </is>
      </c>
      <c r="B977" s="5" t="n">
        <v>4</v>
      </c>
      <c r="C977" s="6" t="inlineStr">
        <is>
          <t>Kendi hikâyene gülerek başla</t>
        </is>
      </c>
      <c r="D977" s="5" t="inlineStr">
        <is>
          <t>Pişkinlik</t>
        </is>
      </c>
      <c r="E977" s="5" t="inlineStr">
        <is>
          <t>Kolay</t>
        </is>
      </c>
      <c r="F977" s="5" t="inlineStr"/>
      <c r="G977" s="6" t="inlineStr"/>
      <c r="H977" s="6" t="inlineStr">
        <is>
          <t>'Evrak işlerinde iyiyimdir, boşanma dahil' dedin. Karşındaki kahkaha attı.</t>
        </is>
      </c>
      <c r="I977" s="6" t="inlineStr">
        <is>
          <t>Sen hikâyeni anlattın, karşındaki kendininkini. Hesap gelince ikiniz birden cüzdana uzandınız, kavga ederek ödediniz. Kapıda ikinci kahvenin sırası belliydi: “Bu sefer ben.”</t>
        </is>
      </c>
      <c r="J977" s="6" t="inlineStr">
        <is>
          <t>Espri fazla kara kaçtı. Karşındaki çayını yavaşça bitirdi.</t>
        </is>
      </c>
      <c r="K977" s="6" t="inlineStr">
        <is>
          <t>Hikâyeyi en baştan anlattın: nişandan. Kafe kapanırken sen daha düğün salonundaydın. Karşındaki taksi çağırdı; ikinci buluşmayı değil.</t>
        </is>
      </c>
      <c r="L977" s="6" t="inlineStr"/>
      <c r="M977" s="5" t="inlineStr"/>
      <c r="N977" s="5" t="inlineStr"/>
      <c r="O977" s="6" t="inlineStr"/>
      <c r="P977" s="6" t="inlineStr"/>
      <c r="Q977" s="5" t="inlineStr">
        <is>
          <t>Kendine Gülebilir</t>
        </is>
      </c>
      <c r="R977" s="5" t="inlineStr"/>
      <c r="S977" s="5" t="inlineStr"/>
      <c r="T977" s="5" t="inlineStr"/>
      <c r="U977" s="5" t="inlineStr"/>
      <c r="V977" s="5" t="inlineStr">
        <is>
          <t>ikinci-bahar</t>
        </is>
      </c>
      <c r="W977" s="5" t="inlineStr"/>
      <c r="X977" s="5" t="inlineStr"/>
      <c r="Y977" s="5" t="inlineStr"/>
      <c r="Z977" s="6" t="inlineStr"/>
      <c r="AA977" s="5" t="inlineStr"/>
      <c r="AB977" s="5" t="inlineStr"/>
      <c r="AC977" s="5" t="inlineStr"/>
      <c r="AD977" s="5" t="inlineStr"/>
      <c r="AE977" s="5" t="inlineStr"/>
      <c r="AF977" s="5" t="inlineStr"/>
      <c r="AG977" s="5" t="inlineStr"/>
      <c r="AH977" s="5" t="inlineStr"/>
      <c r="AI977" s="5" t="inlineStr"/>
      <c r="AJ977" s="5" t="inlineStr"/>
    </row>
    <row r="978">
      <c r="A978" s="5" t="inlineStr">
        <is>
          <t>me-dernek-secimi</t>
        </is>
      </c>
      <c r="B978" s="5" t="n">
        <v>1</v>
      </c>
      <c r="C978" s="6" t="inlineStr">
        <is>
          <t>Oyunu kullan, çayını iç</t>
        </is>
      </c>
      <c r="D978" s="5" t="inlineStr"/>
      <c r="E978" s="5" t="inlineStr"/>
      <c r="F978" s="5" t="inlineStr">
        <is>
          <t>Sosyal Radar +1</t>
        </is>
      </c>
      <c r="G978" s="6" t="inlineStr">
        <is>
          <t>Oyunu verdin, çayını içtin. Başkan yine seçildi; teşekkür konuşmasını yirmi yıl önceki kâğıttan okudu. Kâğıt sararmıştı, çay aynı demdeydi.</t>
        </is>
      </c>
      <c r="H978" s="6" t="inlineStr"/>
      <c r="I978" s="6" t="inlineStr"/>
      <c r="J978" s="6" t="inlineStr"/>
      <c r="K978" s="6" t="inlineStr"/>
      <c r="L978" s="6" t="inlineStr"/>
      <c r="M978" s="5" t="inlineStr"/>
      <c r="N978" s="5" t="inlineStr"/>
      <c r="O978" s="6" t="inlineStr"/>
      <c r="P978" s="6" t="inlineStr"/>
      <c r="Q978" s="5" t="inlineStr"/>
      <c r="R978" s="5" t="inlineStr"/>
      <c r="S978" s="5" t="inlineStr"/>
      <c r="T978" s="5" t="inlineStr"/>
      <c r="U978" s="5" t="inlineStr"/>
      <c r="V978" s="5" t="inlineStr"/>
      <c r="W978" s="5" t="inlineStr"/>
      <c r="X978" s="5" t="inlineStr"/>
      <c r="Y978" s="5" t="inlineStr"/>
      <c r="Z978" s="6" t="inlineStr"/>
      <c r="AA978" s="5" t="inlineStr"/>
      <c r="AB978" s="5" t="inlineStr"/>
      <c r="AC978" s="5" t="inlineStr"/>
      <c r="AD978" s="5" t="inlineStr"/>
      <c r="AE978" s="5" t="inlineStr"/>
      <c r="AF978" s="5" t="inlineStr"/>
      <c r="AG978" s="5" t="inlineStr"/>
      <c r="AH978" s="5" t="inlineStr"/>
      <c r="AI978" s="5" t="inlineStr"/>
      <c r="AJ978" s="5" t="inlineStr"/>
    </row>
    <row r="979">
      <c r="A979" s="5" t="inlineStr">
        <is>
          <t>me-dernek-secimi</t>
        </is>
      </c>
      <c r="B979" s="5" t="n">
        <v>2</v>
      </c>
      <c r="C979" s="6" t="inlineStr">
        <is>
          <t>Aday ol</t>
        </is>
      </c>
      <c r="D979" s="5" t="inlineStr">
        <is>
          <t>İtibar</t>
        </is>
      </c>
      <c r="E979" s="5" t="inlineStr">
        <is>
          <t>Zor</t>
        </is>
      </c>
      <c r="F979" s="5" t="inlineStr"/>
      <c r="G979" s="6" t="inlineStr"/>
      <c r="H979" s="6" t="inlineStr">
        <is>
          <t>Kazandın. İlk icraatın çarşıya ortak çöp kutusu oldu. Çöp kutusunun yeri hâlâ tartışılıyor.</t>
        </is>
      </c>
      <c r="I979" s="6" t="inlineStr">
        <is>
          <t>Farkla kazandın. Eski başkan bile sana oy verdi; sonradan yanlış kutuya attığını söyledi.</t>
        </is>
      </c>
      <c r="J979" s="6" t="inlineStr">
        <is>
          <t>Seçim günü dükkânı kapatmaya kıyamadın. Oy vermeye gidemeyen tek aday sendin.</t>
        </is>
      </c>
      <c r="K979" s="6" t="inlineStr">
        <is>
          <t>Tek oy aldın. Kimin verdiği hâlâ tartışma konusu. Senin değildi.</t>
        </is>
      </c>
      <c r="L979" s="6" t="inlineStr"/>
      <c r="M979" s="5" t="inlineStr"/>
      <c r="N979" s="5" t="inlineStr"/>
      <c r="O979" s="6" t="inlineStr"/>
      <c r="P979" s="6" t="inlineStr"/>
      <c r="Q979" s="5" t="inlineStr"/>
      <c r="R979" s="5" t="inlineStr"/>
      <c r="S979" s="5" t="inlineStr"/>
      <c r="T979" s="5" t="inlineStr"/>
      <c r="U979" s="5" t="inlineStr"/>
      <c r="V979" s="5" t="inlineStr">
        <is>
          <t>esnaf-dernek-baskani</t>
        </is>
      </c>
      <c r="W979" s="5" t="inlineStr"/>
      <c r="X979" s="5" t="inlineStr"/>
      <c r="Y979" s="5" t="inlineStr"/>
      <c r="Z979" s="6" t="inlineStr"/>
      <c r="AA979" s="5" t="inlineStr"/>
      <c r="AB979" s="5" t="inlineStr"/>
      <c r="AC979" s="5" t="inlineStr"/>
      <c r="AD979" s="5" t="inlineStr"/>
      <c r="AE979" s="5" t="inlineStr"/>
      <c r="AF979" s="5" t="inlineStr"/>
      <c r="AG979" s="5" t="inlineStr"/>
      <c r="AH979" s="5" t="inlineStr"/>
      <c r="AI979" s="5" t="inlineStr">
        <is>
          <t>Tek Oy</t>
        </is>
      </c>
      <c r="AJ979" s="5" t="inlineStr"/>
    </row>
    <row r="980">
      <c r="A980" s="5" t="inlineStr">
        <is>
          <t>me-dernek-secimi</t>
        </is>
      </c>
      <c r="B980" s="5" t="n">
        <v>3</v>
      </c>
      <c r="C980" s="6" t="inlineStr">
        <is>
          <t>Seçimi organize et</t>
        </is>
      </c>
      <c r="D980" s="5" t="inlineStr">
        <is>
          <t>Sosyal Radar</t>
        </is>
      </c>
      <c r="E980" s="5" t="inlineStr">
        <is>
          <t>Kolay</t>
        </is>
      </c>
      <c r="F980" s="5" t="inlineStr"/>
      <c r="G980" s="6" t="inlineStr"/>
      <c r="H980" s="6" t="inlineStr">
        <is>
          <t>Sandık, pusula, çay, sayım: hepsini sen kurdun. Çarşının ilk tartışmasız seçimi yapıldı.</t>
        </is>
      </c>
      <c r="I980" s="6" t="inlineStr">
        <is>
          <t>İki aday da sana başkanlık teklif etti. “Ben sandığa bakarım” dedin. Çarşı o günden beri her kavgada senin dükkânına geliyor; hakemlik bedava, çay değil.</t>
        </is>
      </c>
      <c r="J980" s="6" t="inlineStr">
        <is>
          <t>Sandığın anahtarı sende kalmış. Oylar ertesi gün sayıldı; itirazlar bir hafta.</t>
        </is>
      </c>
      <c r="K980" s="6" t="inlineStr">
        <is>
          <t>Pusulaları dükkânının indirim kuponu kâğıdına bastırdın. Seçim iptal edildi, başkan yeniden seçildi; ilk kararı senin dükkânına “seçim reklamı” cezası kesmek oldu.</t>
        </is>
      </c>
      <c r="L980" s="6" t="inlineStr"/>
      <c r="M980" s="5" t="inlineStr"/>
      <c r="N980" s="5" t="inlineStr"/>
      <c r="O980" s="6" t="inlineStr"/>
      <c r="P980" s="6" t="inlineStr"/>
      <c r="Q980" s="5" t="inlineStr">
        <is>
          <t>Kuralı Koyan</t>
        </is>
      </c>
      <c r="R980" s="5" t="inlineStr"/>
      <c r="S980" s="5" t="inlineStr"/>
      <c r="T980" s="5" t="inlineStr"/>
      <c r="U980" s="5" t="inlineStr"/>
      <c r="V980" s="5" t="inlineStr"/>
      <c r="W980" s="5" t="inlineStr"/>
      <c r="X980" s="5" t="inlineStr"/>
      <c r="Y980" s="5" t="inlineStr"/>
      <c r="Z980" s="6" t="inlineStr"/>
      <c r="AA980" s="5" t="inlineStr"/>
      <c r="AB980" s="5" t="inlineStr"/>
      <c r="AC980" s="5" t="inlineStr"/>
      <c r="AD980" s="5" t="inlineStr"/>
      <c r="AE980" s="5" t="inlineStr"/>
      <c r="AF980" s="5" t="inlineStr"/>
      <c r="AG980" s="5" t="inlineStr"/>
      <c r="AH980" s="5" t="inlineStr"/>
      <c r="AI980" s="5" t="inlineStr"/>
      <c r="AJ980" s="5" t="inlineStr"/>
    </row>
    <row r="981">
      <c r="A981" s="5" t="inlineStr">
        <is>
          <t>me-dernek-secimi</t>
        </is>
      </c>
      <c r="B981" s="5" t="n">
        <v>4</v>
      </c>
      <c r="C981" s="6" t="inlineStr">
        <is>
          <t>Sınıf başkanlığını hatırlat</t>
        </is>
      </c>
      <c r="D981" s="5" t="inlineStr">
        <is>
          <t>Pişkinlik</t>
        </is>
      </c>
      <c r="E981" s="5" t="inlineStr">
        <is>
          <t>Orta</t>
        </is>
      </c>
      <c r="F981" s="5" t="inlineStr"/>
      <c r="G981" s="6" t="inlineStr"/>
      <c r="H981" s="6" t="inlineStr">
        <is>
          <t>'Ben ilkokulda da başkandım' dedin. Esnaflar güldü, sonra oy verdi.</t>
        </is>
      </c>
      <c r="I981" s="6" t="inlineStr">
        <is>
          <t>Seçim bildirgen ilkokuldaki bildirgenin aynısıydı; yalnızca “teneffüs” yerine “çay molası” yazdın. Farkla kazandın.</t>
        </is>
      </c>
      <c r="J981" s="6" t="inlineStr">
        <is>
          <t>Esnaflar güldü. Sadece güldü.</t>
        </is>
      </c>
      <c r="K981" s="6" t="inlineStr">
        <is>
          <t>Eski sınıf arkadaşın da çarşıda esnafmış. 'O zaman da söz verip yapmamıştı' dedi.</t>
        </is>
      </c>
      <c r="L981" s="6" t="inlineStr"/>
      <c r="M981" s="5" t="inlineStr"/>
      <c r="N981" s="5" t="inlineStr"/>
      <c r="O981" s="6" t="inlineStr"/>
      <c r="P981" s="6" t="inlineStr"/>
      <c r="Q981" s="5" t="inlineStr"/>
      <c r="R981" s="5" t="inlineStr">
        <is>
          <t>baskan</t>
        </is>
      </c>
      <c r="S981" s="5" t="inlineStr"/>
      <c r="T981" s="5" t="inlineStr"/>
      <c r="U981" s="5" t="inlineStr"/>
      <c r="V981" s="5" t="inlineStr">
        <is>
          <t>esnaf-dernek-baskani</t>
        </is>
      </c>
      <c r="W981" s="5" t="inlineStr"/>
      <c r="X981" s="5" t="inlineStr"/>
      <c r="Y981" s="5" t="inlineStr"/>
      <c r="Z981" s="6" t="inlineStr"/>
      <c r="AA981" s="5" t="inlineStr"/>
      <c r="AB981" s="5" t="inlineStr"/>
      <c r="AC981" s="5" t="inlineStr"/>
      <c r="AD981" s="5" t="inlineStr"/>
      <c r="AE981" s="5" t="inlineStr"/>
      <c r="AF981" s="5" t="inlineStr"/>
      <c r="AG981" s="5" t="inlineStr"/>
      <c r="AH981" s="5" t="inlineStr"/>
      <c r="AI981" s="5" t="inlineStr"/>
      <c r="AJ981" s="5" t="inlineStr"/>
    </row>
    <row r="982">
      <c r="A982" s="5" t="inlineStr">
        <is>
          <t>mm-ikinci-is-hayali</t>
        </is>
      </c>
      <c r="B982" s="5" t="n">
        <v>1</v>
      </c>
      <c r="C982" s="6" t="inlineStr">
        <is>
          <t>Planı deftere yaz</t>
        </is>
      </c>
      <c r="D982" s="5" t="inlineStr"/>
      <c r="E982" s="5" t="inlineStr"/>
      <c r="F982" s="5" t="inlineStr">
        <is>
          <t>Akıl +1, İtibar +1</t>
        </is>
      </c>
      <c r="G982" s="6" t="inlineStr">
        <is>
          <t>Menü, kira, fiyat listesi. Defterin kapağında 'Emeklilik' yazıyor, ilk sayfasında tek kelime: 'Belki.'</t>
        </is>
      </c>
      <c r="H982" s="6" t="inlineStr"/>
      <c r="I982" s="6" t="inlineStr"/>
      <c r="J982" s="6" t="inlineStr"/>
      <c r="K982" s="6" t="inlineStr"/>
      <c r="L982" s="6" t="inlineStr"/>
      <c r="M982" s="5" t="inlineStr"/>
      <c r="N982" s="5" t="inlineStr"/>
      <c r="O982" s="6" t="inlineStr"/>
      <c r="P982" s="6" t="inlineStr"/>
      <c r="Q982" s="5" t="inlineStr"/>
      <c r="R982" s="5" t="inlineStr"/>
      <c r="S982" s="5" t="inlineStr"/>
      <c r="T982" s="5" t="inlineStr"/>
      <c r="U982" s="5" t="inlineStr">
        <is>
          <t>memur-ikinci-is</t>
        </is>
      </c>
      <c r="V982" s="5" t="inlineStr"/>
      <c r="W982" s="5" t="inlineStr"/>
      <c r="X982" s="5" t="inlineStr"/>
      <c r="Y982" s="5" t="inlineStr"/>
      <c r="Z982" s="6" t="inlineStr"/>
      <c r="AA982" s="5" t="inlineStr"/>
      <c r="AB982" s="5" t="inlineStr"/>
      <c r="AC982" s="5" t="inlineStr"/>
      <c r="AD982" s="5" t="inlineStr"/>
      <c r="AE982" s="5" t="inlineStr"/>
      <c r="AF982" s="5" t="inlineStr"/>
      <c r="AG982" s="5" t="inlineStr"/>
      <c r="AH982" s="5" t="inlineStr"/>
      <c r="AI982" s="5" t="inlineStr"/>
      <c r="AJ982" s="5" t="inlineStr"/>
    </row>
    <row r="983">
      <c r="A983" s="5" t="inlineStr">
        <is>
          <t>mm-ikinci-is-hayali</t>
        </is>
      </c>
      <c r="B983" s="5" t="n">
        <v>2</v>
      </c>
      <c r="C983" s="6" t="inlineStr">
        <is>
          <t>Hafta sonları bir kafede çalış</t>
        </is>
      </c>
      <c r="D983" s="5" t="inlineStr">
        <is>
          <t>Dayanıklılık</t>
        </is>
      </c>
      <c r="E983" s="5" t="inlineStr">
        <is>
          <t>Orta</t>
        </is>
      </c>
      <c r="F983" s="5" t="inlineStr"/>
      <c r="G983" s="6" t="inlineStr"/>
      <c r="H983" s="6" t="inlineStr">
        <is>
          <t>Hafta sonları kafede çalıştın. Pazartesi masanda esniyorsun; dilekçe getirene farkında olmadan “Şekerli mi?” diye soruyorsun.</t>
        </is>
      </c>
      <c r="I983" s="6" t="inlineStr">
        <is>
          <t>Kafe sahibi seni ortaklığa davet etti. Tabelaya ikinizin adı yazılacak; seninki emekli olana kadar küçük puntoyla.</t>
        </is>
      </c>
      <c r="J983" s="6" t="inlineStr">
        <is>
          <t>İlk gün bir fincanı üç kez imzalamaya çalıştın. Refleks.</t>
        </is>
      </c>
      <c r="K983" s="6" t="inlineStr">
        <is>
          <t>Kafeye müdürün geldi; kahvesini sen getirdin. Önlüğüne baktı, sonra yüzüne: “Pazartesi raporlu musun?” Pazartesi masanda iki nüsha bir form duruyordu: “Ek iş beyanı.”</t>
        </is>
      </c>
      <c r="L983" s="6" t="inlineStr"/>
      <c r="M983" s="5" t="inlineStr"/>
      <c r="N983" s="5" t="inlineStr"/>
      <c r="O983" s="6" t="inlineStr"/>
      <c r="P983" s="6" t="inlineStr"/>
      <c r="Q983" s="5" t="inlineStr"/>
      <c r="R983" s="5" t="inlineStr"/>
      <c r="S983" s="5" t="inlineStr"/>
      <c r="T983" s="5" t="inlineStr"/>
      <c r="U983" s="5" t="inlineStr"/>
      <c r="V983" s="5" t="inlineStr">
        <is>
          <t>memur-ikinci-is</t>
        </is>
      </c>
      <c r="W983" s="5" t="inlineStr">
        <is>
          <t>memur-mudur-dusmani</t>
        </is>
      </c>
      <c r="X983" s="5" t="inlineStr"/>
      <c r="Y983" s="5" t="inlineStr"/>
      <c r="Z983" s="6" t="inlineStr"/>
      <c r="AA983" s="5" t="inlineStr"/>
      <c r="AB983" s="5" t="inlineStr"/>
      <c r="AC983" s="5" t="inlineStr"/>
      <c r="AD983" s="5" t="inlineStr"/>
      <c r="AE983" s="5" t="inlineStr"/>
      <c r="AF983" s="5" t="inlineStr"/>
      <c r="AG983" s="5" t="inlineStr"/>
      <c r="AH983" s="5" t="inlineStr"/>
      <c r="AI983" s="5" t="inlineStr"/>
      <c r="AJ983" s="5" t="inlineStr"/>
    </row>
    <row r="984">
      <c r="A984" s="5" t="inlineStr">
        <is>
          <t>mm-ikinci-is-hayali</t>
        </is>
      </c>
      <c r="B984" s="5" t="n">
        <v>3</v>
      </c>
      <c r="C984" s="6" t="inlineStr">
        <is>
          <t>İş planı çıkar</t>
        </is>
      </c>
      <c r="D984" s="5" t="inlineStr">
        <is>
          <t>Akıl</t>
        </is>
      </c>
      <c r="E984" s="5" t="inlineStr">
        <is>
          <t>Kolay</t>
        </is>
      </c>
      <c r="F984" s="5" t="inlineStr"/>
      <c r="G984" s="6" t="inlineStr"/>
      <c r="H984" s="6" t="inlineStr">
        <is>
          <t>Plan hazır. Banka 'Devlet maaşı güvenilirdir' dedi ve kredi ön onayı verdi.</t>
        </is>
      </c>
      <c r="I984" s="6" t="inlineStr">
        <is>
          <t>Bir kafe zinciri planını satın almak istedi. Satmadın. Teklif mektubunu katlayıp defterin arasına koydun, “Belki” yazan sayfaya.</t>
        </is>
      </c>
      <c r="J984" s="6" t="inlineStr">
        <is>
          <t>Planı bitirdin. Kira satırına gelince hesap makinesini kapattın, defteri de. Kafeyi bir sonraki öğle arasına erteledin.</t>
        </is>
      </c>
      <c r="K984" s="6" t="inlineStr">
        <is>
          <t>Planı yıllık izin formunun arkasına yazmışsın. Form müdüre gitti, oradan arşive; kafen şimdi bir klasörün içinde.</t>
        </is>
      </c>
      <c r="L984" s="6" t="inlineStr"/>
      <c r="M984" s="5" t="inlineStr"/>
      <c r="N984" s="5" t="inlineStr"/>
      <c r="O984" s="6" t="inlineStr"/>
      <c r="P984" s="6" t="inlineStr"/>
      <c r="Q984" s="5" t="inlineStr">
        <is>
          <t>Sofra Müteahhidi</t>
        </is>
      </c>
      <c r="R984" s="5" t="inlineStr"/>
      <c r="S984" s="5" t="inlineStr"/>
      <c r="T984" s="5" t="inlineStr"/>
      <c r="U984" s="5" t="inlineStr"/>
      <c r="V984" s="5" t="inlineStr">
        <is>
          <t>memur-ikinci-is</t>
        </is>
      </c>
      <c r="W984" s="5" t="inlineStr"/>
      <c r="X984" s="5" t="inlineStr"/>
      <c r="Y984" s="5" t="inlineStr"/>
      <c r="Z984" s="6" t="inlineStr"/>
      <c r="AA984" s="5" t="inlineStr"/>
      <c r="AB984" s="5" t="inlineStr"/>
      <c r="AC984" s="5" t="inlineStr"/>
      <c r="AD984" s="5" t="inlineStr"/>
      <c r="AE984" s="5" t="inlineStr"/>
      <c r="AF984" s="5" t="inlineStr"/>
      <c r="AG984" s="5" t="inlineStr"/>
      <c r="AH984" s="5" t="inlineStr"/>
      <c r="AI984" s="5" t="inlineStr"/>
      <c r="AJ984" s="5" t="inlineStr"/>
    </row>
    <row r="985">
      <c r="A985" s="5" t="inlineStr">
        <is>
          <t>mm-ikinci-is-hayali</t>
        </is>
      </c>
      <c r="B985" s="5" t="n">
        <v>4</v>
      </c>
      <c r="C985" s="6" t="inlineStr">
        <is>
          <t>Hayalden vazgeç</t>
        </is>
      </c>
      <c r="D985" s="5" t="inlineStr"/>
      <c r="E985" s="5" t="inlineStr"/>
      <c r="F985" s="5" t="inlineStr">
        <is>
          <t>Dayanıklılık +1</t>
        </is>
      </c>
      <c r="G985" s="6" t="inlineStr">
        <is>
          <t>Menüyü atmadın ama çekmeceye koydun; eski maaş bordrolarının altına, ara sıra bakarsın diye.</t>
        </is>
      </c>
      <c r="H985" s="6" t="inlineStr"/>
      <c r="I985" s="6" t="inlineStr"/>
      <c r="J985" s="6" t="inlineStr"/>
      <c r="K985" s="6" t="inlineStr"/>
      <c r="L985" s="6" t="inlineStr"/>
      <c r="M985" s="5" t="inlineStr"/>
      <c r="N985" s="5" t="inlineStr"/>
      <c r="O985" s="6" t="inlineStr"/>
      <c r="P985" s="6" t="inlineStr"/>
      <c r="Q985" s="5" t="inlineStr"/>
      <c r="R985" s="5" t="inlineStr"/>
      <c r="S985" s="5" t="inlineStr"/>
      <c r="T985" s="5" t="inlineStr"/>
      <c r="U985" s="5" t="inlineStr"/>
      <c r="V985" s="5" t="inlineStr"/>
      <c r="W985" s="5" t="inlineStr"/>
      <c r="X985" s="5" t="inlineStr"/>
      <c r="Y985" s="5" t="inlineStr"/>
      <c r="Z985" s="6" t="inlineStr"/>
      <c r="AA985" s="5" t="inlineStr"/>
      <c r="AB985" s="5" t="inlineStr"/>
      <c r="AC985" s="5" t="inlineStr"/>
      <c r="AD985" s="5" t="inlineStr"/>
      <c r="AE985" s="5" t="inlineStr"/>
      <c r="AF985" s="5" t="inlineStr"/>
      <c r="AG985" s="5" t="inlineStr"/>
      <c r="AH985" s="5" t="inlineStr"/>
      <c r="AI985" s="5" t="inlineStr"/>
      <c r="AJ985" s="5" t="inlineStr"/>
    </row>
    <row r="986">
      <c r="A986" s="5" t="inlineStr">
        <is>
          <t>b8-cocuk-fenomen</t>
        </is>
      </c>
      <c r="B986" s="5" t="n">
        <v>1</v>
      </c>
      <c r="C986" s="6" t="inlineStr">
        <is>
          <t>Rolü kabul et, yeni bölüm çek</t>
        </is>
      </c>
      <c r="D986" s="5" t="inlineStr">
        <is>
          <t>Pişkinlik</t>
        </is>
      </c>
      <c r="E986" s="5" t="inlineStr">
        <is>
          <t>Orta</t>
        </is>
      </c>
      <c r="F986" s="5" t="inlineStr"/>
      <c r="G986" s="6" t="inlineStr"/>
      <c r="H986" s="6" t="inlineStr">
        <is>
          <t>Yeni bölüm: “Bizimki yazıcıyla konuşuyor.” Hayran sayfası açıldı; yorumların yarısı yazıcıya selam söylüyor.</t>
        </is>
      </c>
      <c r="I986" s="6" t="inlineStr">
        <is>
          <t>Bir reklam anlaşması geldi. Çocuğun sana ilk kez harçlık verdi; sen de aldın, cebine koydun.</t>
        </is>
      </c>
      <c r="J986" s="6" t="inlineStr">
        <is>
          <t>Kamera karşısında doğal olamadın. Yorumlar: 'Senaryolu.'</t>
        </is>
      </c>
      <c r="K986" s="6" t="inlineStr">
        <is>
          <t>Çekimde yazıcıyla gerçekten kavga ettin. Video bu sefer gerçekten patladı; yazıcı da.</t>
        </is>
      </c>
      <c r="L986" s="6" t="inlineStr"/>
      <c r="M986" s="5" t="inlineStr"/>
      <c r="N986" s="5" t="inlineStr"/>
      <c r="O986" s="6" t="inlineStr"/>
      <c r="P986" s="6" t="inlineStr"/>
      <c r="Q986" s="5" t="inlineStr"/>
      <c r="R986" s="5" t="inlineStr"/>
      <c r="S986" s="5" t="inlineStr"/>
      <c r="T986" s="5" t="inlineStr"/>
      <c r="U986" s="5" t="inlineStr"/>
      <c r="V986" s="5" t="inlineStr"/>
      <c r="W986" s="5" t="inlineStr"/>
      <c r="X986" s="5" t="inlineStr"/>
      <c r="Y986" s="5" t="inlineStr"/>
      <c r="Z986" s="6" t="inlineStr"/>
      <c r="AA986" s="5" t="inlineStr"/>
      <c r="AB986" s="5" t="inlineStr"/>
      <c r="AC986" s="5" t="inlineStr"/>
      <c r="AD986" s="5" t="inlineStr"/>
      <c r="AE986" s="5" t="inlineStr"/>
      <c r="AF986" s="5" t="inlineStr"/>
      <c r="AG986" s="5" t="inlineStr"/>
      <c r="AH986" s="5" t="inlineStr"/>
      <c r="AI986" s="5" t="inlineStr"/>
      <c r="AJ986" s="5" t="inlineStr"/>
    </row>
    <row r="987">
      <c r="A987" s="5" t="inlineStr">
        <is>
          <t>b8-cocuk-fenomen</t>
        </is>
      </c>
      <c r="B987" s="5" t="n">
        <v>2</v>
      </c>
      <c r="C987" s="6" t="inlineStr">
        <is>
          <t>Videonun kaldırılmasını iste</t>
        </is>
      </c>
      <c r="D987" s="5" t="inlineStr">
        <is>
          <t>Cesaret</t>
        </is>
      </c>
      <c r="E987" s="5" t="inlineStr">
        <is>
          <t>Zor</t>
        </is>
      </c>
      <c r="F987" s="5" t="inlineStr"/>
      <c r="G987" s="6" t="inlineStr"/>
      <c r="H987" s="6" t="inlineStr">
        <is>
          <t>Videoyu kaldırdı. Yerine “Bizimki videoyu kaldırttı” videosunu çekti. Daha çok izlendi.</t>
        </is>
      </c>
      <c r="I987" s="6" t="inlineStr">
        <is>
          <t>Kaldırdı ve özür diledi. Sonra birlikte bir kural listesi yazdınız. Liste de viral oldu.</t>
        </is>
      </c>
      <c r="J987" s="6" t="inlineStr">
        <is>
          <t>Kaldırmadı; 'Özgür sanat' dedi. Sanatın konusu sensin.</t>
        </is>
      </c>
      <c r="K987" s="6" t="inlineStr">
        <is>
          <t>Konuşmanızı gizlice çekmiş. Yeni video: “Bizimki video hakkında konuşuyor.” Seri üçüncü sezonunda.</t>
        </is>
      </c>
      <c r="L987" s="6" t="inlineStr"/>
      <c r="M987" s="5" t="inlineStr"/>
      <c r="N987" s="5" t="inlineStr"/>
      <c r="O987" s="6" t="inlineStr"/>
      <c r="P987" s="6" t="inlineStr"/>
      <c r="Q987" s="5" t="inlineStr"/>
      <c r="R987" s="5" t="inlineStr"/>
      <c r="S987" s="5" t="inlineStr"/>
      <c r="T987" s="5" t="inlineStr">
        <is>
          <t>Sözünü Geçirir</t>
        </is>
      </c>
      <c r="U987" s="5" t="inlineStr"/>
      <c r="V987" s="5" t="inlineStr"/>
      <c r="W987" s="5" t="inlineStr"/>
      <c r="X987" s="5" t="inlineStr"/>
      <c r="Y987" s="5" t="inlineStr"/>
      <c r="Z987" s="6" t="inlineStr"/>
      <c r="AA987" s="5" t="inlineStr"/>
      <c r="AB987" s="5" t="inlineStr"/>
      <c r="AC987" s="5" t="inlineStr"/>
      <c r="AD987" s="5" t="inlineStr"/>
      <c r="AE987" s="5" t="inlineStr"/>
      <c r="AF987" s="5" t="inlineStr"/>
      <c r="AG987" s="5" t="inlineStr"/>
      <c r="AH987" s="5" t="inlineStr"/>
      <c r="AI987" s="5" t="inlineStr"/>
      <c r="AJ987" s="5" t="inlineStr"/>
    </row>
    <row r="988">
      <c r="A988" s="5" t="inlineStr">
        <is>
          <t>b8-cocuk-fenomen</t>
        </is>
      </c>
      <c r="B988" s="5" t="n">
        <v>3</v>
      </c>
      <c r="C988" s="6" t="inlineStr">
        <is>
          <t>Yorumları okumadan yaşa</t>
        </is>
      </c>
      <c r="D988" s="5" t="inlineStr"/>
      <c r="E988" s="5" t="inlineStr"/>
      <c r="F988" s="5" t="inlineStr">
        <is>
          <t>Dayanıklılık +1</t>
        </is>
      </c>
      <c r="G988" s="6" t="inlineStr">
        <is>
          <t>Hiçbir yorumu okumadın. Markette biri seni tanıdı ve yazıcını sordu. Yazıcın iyi.</t>
        </is>
      </c>
      <c r="H988" s="6" t="inlineStr"/>
      <c r="I988" s="6" t="inlineStr"/>
      <c r="J988" s="6" t="inlineStr"/>
      <c r="K988" s="6" t="inlineStr"/>
      <c r="L988" s="6" t="inlineStr"/>
      <c r="M988" s="5" t="inlineStr"/>
      <c r="N988" s="5" t="inlineStr"/>
      <c r="O988" s="6" t="inlineStr"/>
      <c r="P988" s="6" t="inlineStr"/>
      <c r="Q988" s="5" t="inlineStr"/>
      <c r="R988" s="5" t="inlineStr"/>
      <c r="S988" s="5" t="inlineStr"/>
      <c r="T988" s="5" t="inlineStr"/>
      <c r="U988" s="5" t="inlineStr"/>
      <c r="V988" s="5" t="inlineStr"/>
      <c r="W988" s="5" t="inlineStr"/>
      <c r="X988" s="5" t="inlineStr"/>
      <c r="Y988" s="5" t="inlineStr"/>
      <c r="Z988" s="6" t="inlineStr"/>
      <c r="AA988" s="5" t="inlineStr"/>
      <c r="AB988" s="5" t="inlineStr"/>
      <c r="AC988" s="5" t="inlineStr"/>
      <c r="AD988" s="5" t="inlineStr"/>
      <c r="AE988" s="5" t="inlineStr"/>
      <c r="AF988" s="5" t="inlineStr"/>
      <c r="AG988" s="5" t="inlineStr"/>
      <c r="AH988" s="5" t="inlineStr"/>
      <c r="AI988" s="5" t="inlineStr"/>
      <c r="AJ988" s="5" t="inlineStr"/>
    </row>
    <row r="989">
      <c r="A989" s="5" t="inlineStr">
        <is>
          <t>b8-cocuk-fenomen</t>
        </is>
      </c>
      <c r="B989" s="5" t="n">
        <v>4</v>
      </c>
      <c r="C989" s="6" t="inlineStr">
        <is>
          <t>Eski hesabını aç, düello yap</t>
        </is>
      </c>
      <c r="D989" s="5" t="inlineStr">
        <is>
          <t>Pişkinlik</t>
        </is>
      </c>
      <c r="E989" s="5" t="inlineStr">
        <is>
          <t>Kolay</t>
        </is>
      </c>
      <c r="F989" s="5" t="inlineStr"/>
      <c r="G989" s="6" t="inlineStr"/>
      <c r="H989" s="6" t="inlineStr">
        <is>
          <t>Kendi eski hesabından cevap videosu çektin. Takipçiler ikiye bölündü; aile içi derbi başladı.</t>
        </is>
      </c>
      <c r="I989" s="6" t="inlineStr">
        <is>
          <t>Düello videonuz ikinizinkinden de çok izlendi. Ortak hesap açıldı; tapu gibi, yarı yarıya.</t>
        </is>
      </c>
      <c r="J989" s="6" t="inlineStr">
        <is>
          <t>Eski hesabının şifresini hatırlayamadın. Şifre sıfırlama e-postası, kapanmış bir adrese gitti.</t>
        </is>
      </c>
      <c r="K989" s="6" t="inlineStr">
        <is>
          <t>Cevap videon çocuğunkinden az izlendi. Çocuğun yeni videosu: “Bizimki benimle yarışıyor.” O da seninkinden çok izlendi.</t>
        </is>
      </c>
      <c r="L989" s="6" t="inlineStr"/>
      <c r="M989" s="5" t="inlineStr"/>
      <c r="N989" s="5" t="inlineStr"/>
      <c r="O989" s="6" t="inlineStr"/>
      <c r="P989" s="6" t="inlineStr"/>
      <c r="Q989" s="5" t="inlineStr"/>
      <c r="R989" s="5" t="inlineStr">
        <is>
          <t>fenomen</t>
        </is>
      </c>
      <c r="S989" s="5" t="inlineStr"/>
      <c r="T989" s="5" t="inlineStr"/>
      <c r="U989" s="5" t="inlineStr"/>
      <c r="V989" s="5" t="inlineStr"/>
      <c r="W989" s="5" t="inlineStr"/>
      <c r="X989" s="5" t="inlineStr"/>
      <c r="Y989" s="5" t="inlineStr"/>
      <c r="Z989" s="6" t="inlineStr"/>
      <c r="AA989" s="5" t="inlineStr"/>
      <c r="AB989" s="5" t="inlineStr"/>
      <c r="AC989" s="5" t="inlineStr"/>
      <c r="AD989" s="5" t="inlineStr"/>
      <c r="AE989" s="5" t="inlineStr"/>
      <c r="AF989" s="5" t="inlineStr"/>
      <c r="AG989" s="5" t="inlineStr"/>
      <c r="AH989" s="5" t="inlineStr"/>
      <c r="AI989" s="5" t="inlineStr"/>
      <c r="AJ989" s="5" t="inlineStr"/>
    </row>
    <row r="990">
      <c r="A990" s="5" t="inlineStr">
        <is>
          <t>b8-yapay-zeka-egitimi</t>
        </is>
      </c>
      <c r="B990" s="5" t="n">
        <v>1</v>
      </c>
      <c r="C990" s="6" t="inlineStr">
        <is>
          <t>Not al, sessizce öğren</t>
        </is>
      </c>
      <c r="D990" s="5" t="inlineStr"/>
      <c r="E990" s="5" t="inlineStr"/>
      <c r="F990" s="5" t="inlineStr">
        <is>
          <t>Akıl +1, Dayanıklılık +1</t>
        </is>
      </c>
      <c r="G990" s="6" t="inlineStr">
        <is>
          <t>Not aldın. Eğitim sonunda yapay zekâya bir e-posta yazdırdın. E-posta senden daha kibar.</t>
        </is>
      </c>
      <c r="H990" s="6" t="inlineStr"/>
      <c r="I990" s="6" t="inlineStr"/>
      <c r="J990" s="6" t="inlineStr"/>
      <c r="K990" s="6" t="inlineStr"/>
      <c r="L990" s="6" t="inlineStr"/>
      <c r="M990" s="5" t="inlineStr"/>
      <c r="N990" s="5" t="inlineStr"/>
      <c r="O990" s="6" t="inlineStr"/>
      <c r="P990" s="6" t="inlineStr"/>
      <c r="Q990" s="5" t="inlineStr"/>
      <c r="R990" s="5" t="inlineStr"/>
      <c r="S990" s="5" t="inlineStr"/>
      <c r="T990" s="5" t="inlineStr"/>
      <c r="U990" s="5" t="inlineStr"/>
      <c r="V990" s="5" t="inlineStr"/>
      <c r="W990" s="5" t="inlineStr"/>
      <c r="X990" s="5" t="inlineStr"/>
      <c r="Y990" s="5" t="inlineStr"/>
      <c r="Z990" s="6" t="inlineStr"/>
      <c r="AA990" s="5" t="inlineStr"/>
      <c r="AB990" s="5" t="inlineStr"/>
      <c r="AC990" s="5" t="inlineStr"/>
      <c r="AD990" s="5" t="inlineStr"/>
      <c r="AE990" s="5" t="inlineStr"/>
      <c r="AF990" s="5" t="inlineStr"/>
      <c r="AG990" s="5" t="inlineStr"/>
      <c r="AH990" s="5" t="inlineStr"/>
      <c r="AI990" s="5" t="inlineStr"/>
      <c r="AJ990" s="5" t="inlineStr"/>
    </row>
    <row r="991">
      <c r="A991" s="5" t="inlineStr">
        <is>
          <t>b8-yapay-zeka-egitimi</t>
        </is>
      </c>
      <c r="B991" s="5" t="n">
        <v>2</v>
      </c>
      <c r="C991" s="6" t="inlineStr">
        <is>
          <t>Yapay zekâya tüm işini yaptır</t>
        </is>
      </c>
      <c r="D991" s="5" t="inlineStr">
        <is>
          <t>Kurnazlık</t>
        </is>
      </c>
      <c r="E991" s="5" t="inlineStr">
        <is>
          <t>Orta</t>
        </is>
      </c>
      <c r="F991" s="5" t="inlineStr"/>
      <c r="G991" s="6" t="inlineStr"/>
      <c r="H991" s="6" t="inlineStr">
        <is>
          <t>Haftalık raporu yapay zekâ yazdı. Müdür 'Bu hafta çok iyi yazmışsın' dedi. Teşekkür ettin; ikiniz adına.</t>
        </is>
      </c>
      <c r="I991" s="6" t="inlineStr">
        <is>
          <t>Bütün işini otomatikleştirdin. Artık günde iki saat çalışıp altı saat 'strateji' yapıyorsun.</t>
        </is>
      </c>
      <c r="J991" s="6" t="inlineStr">
        <is>
          <t>Rapor fazla kusursuz çıktı. Müdür 'Bunu sen mi yazdın?' diye sordu. Yalan söylemek için bile yardım istedin.</t>
        </is>
      </c>
      <c r="K991" s="6" t="inlineStr">
        <is>
          <t>Yapay zekâ raporuna bir şiir ekledi. Rapor yönetim kuruluna gitti. Şiir de.</t>
        </is>
      </c>
      <c r="L991" s="6" t="inlineStr"/>
      <c r="M991" s="5" t="inlineStr"/>
      <c r="N991" s="5" t="inlineStr"/>
      <c r="O991" s="6" t="inlineStr"/>
      <c r="P991" s="6" t="inlineStr"/>
      <c r="Q991" s="5" t="inlineStr"/>
      <c r="R991" s="5" t="inlineStr"/>
      <c r="S991" s="5" t="inlineStr"/>
      <c r="T991" s="5" t="inlineStr"/>
      <c r="U991" s="5" t="inlineStr"/>
      <c r="V991" s="5" t="inlineStr"/>
      <c r="W991" s="5" t="inlineStr"/>
      <c r="X991" s="5" t="inlineStr"/>
      <c r="Y991" s="5" t="inlineStr"/>
      <c r="Z991" s="6" t="inlineStr"/>
      <c r="AA991" s="5" t="inlineStr"/>
      <c r="AB991" s="5" t="inlineStr"/>
      <c r="AC991" s="5" t="inlineStr"/>
      <c r="AD991" s="5" t="inlineStr"/>
      <c r="AE991" s="5" t="inlineStr"/>
      <c r="AF991" s="5" t="inlineStr"/>
      <c r="AG991" s="5" t="inlineStr"/>
      <c r="AH991" s="5" t="inlineStr"/>
      <c r="AI991" s="5" t="inlineStr"/>
      <c r="AJ991" s="5" t="inlineStr"/>
    </row>
    <row r="992">
      <c r="A992" s="5" t="inlineStr">
        <is>
          <t>b8-yapay-zeka-egitimi</t>
        </is>
      </c>
      <c r="B992" s="5" t="n">
        <v>3</v>
      </c>
      <c r="C992" s="6" t="inlineStr">
        <is>
          <t>Eğitmene faksı anlat</t>
        </is>
      </c>
      <c r="D992" s="5" t="inlineStr">
        <is>
          <t>Çene</t>
        </is>
      </c>
      <c r="E992" s="5" t="inlineStr">
        <is>
          <t>Kolay</t>
        </is>
      </c>
      <c r="F992" s="5" t="inlineStr"/>
      <c r="G992" s="6" t="inlineStr"/>
      <c r="H992" s="6" t="inlineStr">
        <is>
          <t>Eğitmen faksı ağzı açık dinledi, sonunda sordu: “Yani kâğıdı telefonla mı gönderiyordunuz?” “Evet.” Eğitimin geri kalanında sana herkesten yavaş anlattı.</t>
        </is>
      </c>
      <c r="I992" s="6" t="inlineStr">
        <is>
          <t>Faks hikâyen o kadar ilgi gördü ki şirket içi 'Eski Teknolojiler' semineri istendi. Konuşmacı: sen.</t>
        </is>
      </c>
      <c r="J992" s="6" t="inlineStr">
        <is>
          <t>Eğitmen 'Faks bir tür sosyal medya mı?' diye sordu. Cevap veremedin.</t>
        </is>
      </c>
      <c r="K992" s="6" t="inlineStr">
        <is>
          <t>Faksı anlatırken sesini de taklit ettin: “Dıııt, kşşşş.” Eğitmen videoya alıp şirket grubuna attı. Bir haftadır koridorda seni o sesle selamlıyorlar.</t>
        </is>
      </c>
      <c r="L992" s="6" t="inlineStr"/>
      <c r="M992" s="5" t="inlineStr"/>
      <c r="N992" s="5" t="inlineStr"/>
      <c r="O992" s="6" t="inlineStr"/>
      <c r="P992" s="6" t="inlineStr"/>
      <c r="Q992" s="5" t="inlineStr"/>
      <c r="R992" s="5" t="inlineStr"/>
      <c r="S992" s="5" t="inlineStr"/>
      <c r="T992" s="5" t="inlineStr"/>
      <c r="U992" s="5" t="inlineStr"/>
      <c r="V992" s="5" t="inlineStr"/>
      <c r="W992" s="5" t="inlineStr"/>
      <c r="X992" s="5" t="inlineStr"/>
      <c r="Y992" s="5" t="inlineStr"/>
      <c r="Z992" s="6" t="inlineStr"/>
      <c r="AA992" s="5" t="inlineStr"/>
      <c r="AB992" s="5" t="inlineStr"/>
      <c r="AC992" s="5" t="inlineStr"/>
      <c r="AD992" s="5" t="inlineStr"/>
      <c r="AE992" s="5" t="inlineStr"/>
      <c r="AF992" s="5" t="inlineStr"/>
      <c r="AG992" s="5" t="inlineStr"/>
      <c r="AH992" s="5" t="inlineStr"/>
      <c r="AI992" s="5" t="inlineStr">
        <is>
          <t>Faks</t>
        </is>
      </c>
      <c r="AJ992" s="5" t="inlineStr"/>
    </row>
    <row r="993">
      <c r="A993" s="5" t="inlineStr">
        <is>
          <t>b8-yapay-zeka-egitimi</t>
        </is>
      </c>
      <c r="B993" s="5" t="n">
        <v>4</v>
      </c>
      <c r="C993" s="6" t="inlineStr">
        <is>
          <t>Eğitmene soru yağdır</t>
        </is>
      </c>
      <c r="D993" s="5" t="inlineStr">
        <is>
          <t>Akıl</t>
        </is>
      </c>
      <c r="E993" s="5" t="inlineStr">
        <is>
          <t>Zor</t>
        </is>
      </c>
      <c r="F993" s="5" t="inlineStr"/>
      <c r="G993" s="6" t="inlineStr"/>
      <c r="H993" s="6" t="inlineStr">
        <is>
          <t>Sorularının yarısına cevap verildi. Diğer yarısı eğitmenin gece ödevi oldu.</t>
        </is>
      </c>
      <c r="I993" s="6" t="inlineStr">
        <is>
          <t>Eğitimin sonunda eğitmen sana döndü: “Beni siz eğittiniz.” Ertesi hafta eğitmenin annesi aradı; yapay zekâyı telefonda ona da anlatmanı istiyor.</t>
        </is>
      </c>
      <c r="J993" s="6" t="inlineStr">
        <is>
          <t>Sorular teknikti, cevaplar daha teknikti. Eğitim uzadı; öğle yemeği kısaldı.</t>
        </is>
      </c>
      <c r="K993" s="6" t="inlineStr">
        <is>
          <t>Soru sorarken yapay zekâ senin sorunu senin yerine cevapladı. Yanlış cevapladı. Sen de onayladın.</t>
        </is>
      </c>
      <c r="L993" s="6" t="inlineStr"/>
      <c r="M993" s="5" t="inlineStr"/>
      <c r="N993" s="5" t="inlineStr"/>
      <c r="O993" s="6" t="inlineStr"/>
      <c r="P993" s="6" t="inlineStr"/>
      <c r="Q993" s="5" t="inlineStr">
        <is>
          <t>Şifreyi Bilen</t>
        </is>
      </c>
      <c r="R993" s="5" t="inlineStr"/>
      <c r="S993" s="5" t="inlineStr"/>
      <c r="T993" s="5" t="inlineStr"/>
      <c r="U993" s="5" t="inlineStr"/>
      <c r="V993" s="5" t="inlineStr"/>
      <c r="W993" s="5" t="inlineStr"/>
      <c r="X993" s="5" t="inlineStr"/>
      <c r="Y993" s="5" t="inlineStr"/>
      <c r="Z993" s="6" t="inlineStr"/>
      <c r="AA993" s="5" t="inlineStr"/>
      <c r="AB993" s="5" t="inlineStr"/>
      <c r="AC993" s="5" t="inlineStr"/>
      <c r="AD993" s="5" t="inlineStr"/>
      <c r="AE993" s="5" t="inlineStr"/>
      <c r="AF993" s="5" t="inlineStr"/>
      <c r="AG993" s="5" t="inlineStr"/>
      <c r="AH993" s="5" t="inlineStr"/>
      <c r="AI993" s="5" t="inlineStr"/>
      <c r="AJ993" s="5" t="inlineStr"/>
    </row>
    <row r="994">
      <c r="A994" s="5" t="inlineStr">
        <is>
          <t>b8-emeklilik-hesabi</t>
        </is>
      </c>
      <c r="B994" s="5" t="n">
        <v>1</v>
      </c>
      <c r="C994" s="6" t="inlineStr">
        <is>
          <t>Bir yıl sonra yeniden hesapla</t>
        </is>
      </c>
      <c r="D994" s="5" t="inlineStr"/>
      <c r="E994" s="5" t="inlineStr"/>
      <c r="F994" s="5" t="inlineStr">
        <is>
          <t>Dayanıklılık +1</t>
        </is>
      </c>
      <c r="G994" s="6" t="inlineStr">
        <is>
          <t>Bir yıl sonra yeniden hesapladın. Sonuç: 'Bir yıl sonra yeniden hesaplayın.'</t>
        </is>
      </c>
      <c r="H994" s="6" t="inlineStr"/>
      <c r="I994" s="6" t="inlineStr"/>
      <c r="J994" s="6" t="inlineStr"/>
      <c r="K994" s="6" t="inlineStr"/>
      <c r="L994" s="6" t="inlineStr"/>
      <c r="M994" s="5" t="inlineStr"/>
      <c r="N994" s="5" t="inlineStr"/>
      <c r="O994" s="6" t="inlineStr"/>
      <c r="P994" s="6" t="inlineStr"/>
      <c r="Q994" s="5" t="inlineStr"/>
      <c r="R994" s="5" t="inlineStr"/>
      <c r="S994" s="5" t="inlineStr"/>
      <c r="T994" s="5" t="inlineStr"/>
      <c r="U994" s="5" t="inlineStr"/>
      <c r="V994" s="5" t="inlineStr"/>
      <c r="W994" s="5" t="inlineStr"/>
      <c r="X994" s="5" t="inlineStr"/>
      <c r="Y994" s="5" t="inlineStr"/>
      <c r="Z994" s="6" t="inlineStr"/>
      <c r="AA994" s="5" t="inlineStr"/>
      <c r="AB994" s="5" t="inlineStr"/>
      <c r="AC994" s="5" t="inlineStr"/>
      <c r="AD994" s="5" t="inlineStr"/>
      <c r="AE994" s="5" t="inlineStr"/>
      <c r="AF994" s="5" t="inlineStr"/>
      <c r="AG994" s="5" t="inlineStr"/>
      <c r="AH994" s="5" t="inlineStr"/>
      <c r="AI994" s="5" t="inlineStr"/>
      <c r="AJ994" s="5" t="inlineStr"/>
    </row>
    <row r="995">
      <c r="A995" s="5" t="inlineStr">
        <is>
          <t>b8-emeklilik-hesabi</t>
        </is>
      </c>
      <c r="B995" s="5" t="n">
        <v>2</v>
      </c>
      <c r="C995" s="6" t="inlineStr">
        <is>
          <t>Hizmet dökümünü satır satır incele</t>
        </is>
      </c>
      <c r="D995" s="5" t="inlineStr">
        <is>
          <t>Akıl</t>
        </is>
      </c>
      <c r="E995" s="5" t="inlineStr">
        <is>
          <t>Orta</t>
        </is>
      </c>
      <c r="F995" s="5" t="inlineStr"/>
      <c r="G995" s="6" t="inlineStr"/>
      <c r="H995" s="6" t="inlineStr">
        <is>
          <t>Eksik yüz gün buldun. Eski bir işverenin bildirmemiş. Dilekçe gönderildi; gün geri geldi.</t>
        </is>
      </c>
      <c r="I995" s="6" t="inlineStr">
        <is>
          <t>Dökümdeki üç hatayı düzelttirdin; emeklilik tarihin bir yıl öne çekildi. Haberi aile grubuna yazdın; eniştenin cevabı hemen geldi: “Bizimkine de bir bakar mısın?”</t>
        </is>
      </c>
      <c r="J995" s="6" t="inlineStr">
        <is>
          <t>Dökümü inceledin; hiçbir şey anlamadın. Kahvede emekli bir komşuya gösterdin; o da anlamadı ama bir saat yorum yaptı.</t>
        </is>
      </c>
      <c r="K995" s="6" t="inlineStr">
        <is>
          <t>İnceledin, fazladan iki yüz gün buldun ve dürüstçe bildirdin. Kurum hesabı yeniden yaptı: emekliliğin üç yıl ileri gitti. Gişedeki memur “Kimse bildirmez, siz bildirdiniz” dedi; övgü müydü acıma mı, anlayamadın.</t>
        </is>
      </c>
      <c r="L995" s="6" t="inlineStr"/>
      <c r="M995" s="5" t="inlineStr"/>
      <c r="N995" s="5" t="inlineStr"/>
      <c r="O995" s="6" t="inlineStr"/>
      <c r="P995" s="6" t="inlineStr"/>
      <c r="Q995" s="5" t="inlineStr"/>
      <c r="R995" s="5" t="inlineStr"/>
      <c r="S995" s="5" t="inlineStr"/>
      <c r="T995" s="5" t="inlineStr"/>
      <c r="U995" s="5" t="inlineStr"/>
      <c r="V995" s="5" t="inlineStr"/>
      <c r="W995" s="5" t="inlineStr"/>
      <c r="X995" s="5" t="inlineStr"/>
      <c r="Y995" s="5" t="inlineStr"/>
      <c r="Z995" s="6" t="inlineStr"/>
      <c r="AA995" s="5" t="inlineStr"/>
      <c r="AB995" s="5" t="inlineStr"/>
      <c r="AC995" s="5" t="inlineStr"/>
      <c r="AD995" s="5" t="inlineStr"/>
      <c r="AE995" s="5" t="inlineStr"/>
      <c r="AF995" s="5" t="inlineStr"/>
      <c r="AG995" s="5" t="inlineStr"/>
      <c r="AH995" s="5" t="inlineStr"/>
      <c r="AI995" s="5" t="inlineStr"/>
      <c r="AJ995" s="5" t="inlineStr"/>
    </row>
    <row r="996">
      <c r="A996" s="5" t="inlineStr">
        <is>
          <t>b8-emeklilik-hesabi</t>
        </is>
      </c>
      <c r="B996" s="5" t="n">
        <v>3</v>
      </c>
      <c r="C996" s="6" t="inlineStr">
        <is>
          <t>Askerlik borçlanması yap</t>
        </is>
      </c>
      <c r="D996" s="5" t="inlineStr"/>
      <c r="E996" s="5" t="inlineStr"/>
      <c r="F996" s="5" t="inlineStr">
        <is>
          <t>Kurnazlık +1</t>
        </is>
      </c>
      <c r="G996" s="6" t="inlineStr">
        <is>
          <t>Askerlik süreni borçlanarak prim gününe ekledin. Dört ay erken emeklilik. Kışlada nöbet tuttuğun geceler, sonunda ödendi.</t>
        </is>
      </c>
      <c r="H996" s="6" t="inlineStr"/>
      <c r="I996" s="6" t="inlineStr"/>
      <c r="J996" s="6" t="inlineStr"/>
      <c r="K996" s="6" t="inlineStr"/>
      <c r="L996" s="6" t="inlineStr"/>
      <c r="M996" s="5" t="inlineStr"/>
      <c r="N996" s="5" t="inlineStr"/>
      <c r="O996" s="6" t="inlineStr"/>
      <c r="P996" s="6" t="inlineStr"/>
      <c r="Q996" s="5" t="inlineStr"/>
      <c r="R996" s="5" t="inlineStr">
        <is>
          <t>askerlik-yapti</t>
        </is>
      </c>
      <c r="S996" s="5" t="inlineStr"/>
      <c r="T996" s="5" t="inlineStr"/>
      <c r="U996" s="5" t="inlineStr"/>
      <c r="V996" s="5" t="inlineStr"/>
      <c r="W996" s="5" t="inlineStr"/>
      <c r="X996" s="5" t="inlineStr"/>
      <c r="Y996" s="5" t="inlineStr"/>
      <c r="Z996" s="6" t="inlineStr"/>
      <c r="AA996" s="5" t="inlineStr"/>
      <c r="AB996" s="5" t="inlineStr"/>
      <c r="AC996" s="5" t="inlineStr"/>
      <c r="AD996" s="5" t="inlineStr"/>
      <c r="AE996" s="5" t="inlineStr"/>
      <c r="AF996" s="5" t="inlineStr"/>
      <c r="AG996" s="5" t="inlineStr"/>
      <c r="AH996" s="5" t="inlineStr"/>
      <c r="AI996" s="5" t="inlineStr"/>
      <c r="AJ996" s="5" t="inlineStr"/>
    </row>
    <row r="997">
      <c r="A997" s="5" t="inlineStr">
        <is>
          <t>b8-emeklilik-hesabi</t>
        </is>
      </c>
      <c r="B997" s="5" t="n">
        <v>4</v>
      </c>
      <c r="C997" s="6" t="inlineStr">
        <is>
          <t>Yastık altını say</t>
        </is>
      </c>
      <c r="D997" s="5" t="inlineStr">
        <is>
          <t>Kurnazlık</t>
        </is>
      </c>
      <c r="E997" s="5" t="inlineStr">
        <is>
          <t>Kolay</t>
        </is>
      </c>
      <c r="F997" s="5" t="inlineStr"/>
      <c r="G997" s="6" t="inlineStr"/>
      <c r="H997" s="6" t="inlineStr">
        <is>
          <t>Yastık altı tahmininden fazla çıktı. Emeklilik planı B hazır.</t>
        </is>
      </c>
      <c r="I997" s="6" t="inlineStr">
        <is>
          <t>Saydıkça çıktı: eski paltonun cebinden, bir kitabın arasından, kışlık çizmenin içinden. Toplam, bankanın planından fazla. Annen telefonda “Benden öğrendin” dedi.</t>
        </is>
      </c>
      <c r="J997" s="6" t="inlineStr">
        <is>
          <t>Saydın; enflasyon senden önce saymış.</t>
        </is>
      </c>
      <c r="K997" s="6" t="inlineStr">
        <is>
          <t>Saydın; destenin yarısı çoktan tedavülden kalkmış. Bankadaki genç memur bir tanesini ışığa tuttu: “Bunlar artık geçmiyor. Ama çok güzel duruyor.”</t>
        </is>
      </c>
      <c r="L997" s="6" t="inlineStr"/>
      <c r="M997" s="5" t="inlineStr"/>
      <c r="N997" s="5" t="inlineStr"/>
      <c r="O997" s="6" t="inlineStr"/>
      <c r="P997" s="6" t="inlineStr"/>
      <c r="Q997" s="5" t="inlineStr">
        <is>
          <t>Yastık Altı Ekonomisti</t>
        </is>
      </c>
      <c r="R997" s="5" t="inlineStr"/>
      <c r="S997" s="5" t="inlineStr"/>
      <c r="T997" s="5" t="inlineStr"/>
      <c r="U997" s="5" t="inlineStr"/>
      <c r="V997" s="5" t="inlineStr"/>
      <c r="W997" s="5" t="inlineStr"/>
      <c r="X997" s="5" t="inlineStr"/>
      <c r="Y997" s="5" t="inlineStr"/>
      <c r="Z997" s="6" t="inlineStr"/>
      <c r="AA997" s="5" t="inlineStr"/>
      <c r="AB997" s="5" t="inlineStr"/>
      <c r="AC997" s="5" t="inlineStr"/>
      <c r="AD997" s="5" t="inlineStr"/>
      <c r="AE997" s="5" t="inlineStr"/>
      <c r="AF997" s="5" t="inlineStr"/>
      <c r="AG997" s="5" t="inlineStr"/>
      <c r="AH997" s="5" t="inlineStr"/>
      <c r="AI997" s="5" t="inlineStr"/>
      <c r="AJ997" s="5" t="inlineStr"/>
    </row>
    <row r="998">
      <c r="A998" s="5" t="inlineStr">
        <is>
          <t>b8-bos-yuva</t>
        </is>
      </c>
      <c r="B998" s="5" t="n">
        <v>1</v>
      </c>
      <c r="C998" s="6" t="inlineStr">
        <is>
          <t>Odayı olduğu gibi bırak</t>
        </is>
      </c>
      <c r="D998" s="5" t="inlineStr"/>
      <c r="E998" s="5" t="inlineStr"/>
      <c r="F998" s="5" t="inlineStr">
        <is>
          <t>Gönül +1</t>
        </is>
      </c>
      <c r="G998" s="6" t="inlineStr">
        <is>
          <t>Odaya dokunmadın. Akşamları girip yatağın kenarına oturuyorsun. Yastığın kokusu bir ayda gitti; yastığı yine de değiştirmedin.</t>
        </is>
      </c>
      <c r="H998" s="6" t="inlineStr"/>
      <c r="I998" s="6" t="inlineStr"/>
      <c r="J998" s="6" t="inlineStr"/>
      <c r="K998" s="6" t="inlineStr"/>
      <c r="L998" s="6" t="inlineStr"/>
      <c r="M998" s="5" t="inlineStr"/>
      <c r="N998" s="5" t="inlineStr"/>
      <c r="O998" s="6" t="inlineStr"/>
      <c r="P998" s="6" t="inlineStr"/>
      <c r="Q998" s="5" t="inlineStr"/>
      <c r="R998" s="5" t="inlineStr"/>
      <c r="S998" s="5" t="inlineStr"/>
      <c r="T998" s="5" t="inlineStr"/>
      <c r="U998" s="5" t="inlineStr"/>
      <c r="V998" s="5" t="inlineStr"/>
      <c r="W998" s="5" t="inlineStr"/>
      <c r="X998" s="5" t="inlineStr"/>
      <c r="Y998" s="5" t="inlineStr"/>
      <c r="Z998" s="6" t="inlineStr"/>
      <c r="AA998" s="5" t="inlineStr"/>
      <c r="AB998" s="5" t="inlineStr"/>
      <c r="AC998" s="5" t="inlineStr"/>
      <c r="AD998" s="5" t="inlineStr"/>
      <c r="AE998" s="5" t="inlineStr"/>
      <c r="AF998" s="5" t="inlineStr"/>
      <c r="AG998" s="5" t="inlineStr"/>
      <c r="AH998" s="5" t="inlineStr"/>
      <c r="AI998" s="5" t="inlineStr"/>
      <c r="AJ998" s="5" t="inlineStr"/>
    </row>
    <row r="999">
      <c r="A999" s="5" t="inlineStr">
        <is>
          <t>b8-bos-yuva</t>
        </is>
      </c>
      <c r="B999" s="5" t="n">
        <v>2</v>
      </c>
      <c r="C999" s="6" t="inlineStr">
        <is>
          <t>Hobi odasına çevir</t>
        </is>
      </c>
      <c r="D999" s="5" t="inlineStr">
        <is>
          <t>Kurnazlık</t>
        </is>
      </c>
      <c r="E999" s="5" t="inlineStr">
        <is>
          <t>Orta</t>
        </is>
      </c>
      <c r="F999" s="5" t="inlineStr"/>
      <c r="G999" s="6" t="inlineStr"/>
      <c r="H999" s="6" t="inlineStr">
        <is>
          <t>Oda hobi odası oldu. Çocuk tatilde gelip 'Benim odam nerede?' dedi. Salonda.</t>
        </is>
      </c>
      <c r="I999" s="6" t="inlineStr">
        <is>
          <t>Oda öyle güzel oldu ki çocuk tatilde gelip orada yatmak istedi. Gece yarısı ikiniz o odada çay içtiniz; bir saat boyunca kimse telefonuna bakmadı.</t>
        </is>
      </c>
      <c r="J999" s="6" t="inlineStr">
        <is>
          <t>Hobi malzemeleri geldi. Oda artık bir depo; hobi hâlâ gelmedi.</t>
        </is>
      </c>
      <c r="K999" s="6" t="inlineStr">
        <is>
          <t>Çocuk dönem arası habersiz geldi; eşyalarını bodrumda, bir kolinin içinde buldu. Kolinin üstünde senin el yazın: “Eski.” Üç gün seninle konuşmadı.</t>
        </is>
      </c>
      <c r="L999" s="6" t="inlineStr"/>
      <c r="M999" s="5" t="inlineStr"/>
      <c r="N999" s="5" t="inlineStr"/>
      <c r="O999" s="6" t="inlineStr"/>
      <c r="P999" s="6" t="inlineStr"/>
      <c r="Q999" s="5" t="inlineStr"/>
      <c r="R999" s="5" t="inlineStr"/>
      <c r="S999" s="5" t="inlineStr"/>
      <c r="T999" s="5" t="inlineStr"/>
      <c r="U999" s="5" t="inlineStr"/>
      <c r="V999" s="5" t="inlineStr"/>
      <c r="W999" s="5" t="inlineStr"/>
      <c r="X999" s="5" t="inlineStr"/>
      <c r="Y999" s="5" t="inlineStr"/>
      <c r="Z999" s="6" t="inlineStr"/>
      <c r="AA999" s="5" t="inlineStr"/>
      <c r="AB999" s="5" t="inlineStr"/>
      <c r="AC999" s="5" t="inlineStr"/>
      <c r="AD999" s="5" t="inlineStr"/>
      <c r="AE999" s="5" t="inlineStr"/>
      <c r="AF999" s="5" t="inlineStr"/>
      <c r="AG999" s="5" t="inlineStr"/>
      <c r="AH999" s="5" t="inlineStr"/>
      <c r="AI999" s="5" t="inlineStr"/>
      <c r="AJ999" s="5" t="inlineStr"/>
    </row>
    <row r="1000">
      <c r="A1000" s="5" t="inlineStr">
        <is>
          <t>b8-bos-yuva</t>
        </is>
      </c>
      <c r="B1000" s="5" t="n">
        <v>3</v>
      </c>
      <c r="C1000" s="6" t="inlineStr">
        <is>
          <t>Ara, ama her gün değil</t>
        </is>
      </c>
      <c r="D1000" s="5" t="inlineStr">
        <is>
          <t>Sosyal Radar</t>
        </is>
      </c>
      <c r="E1000" s="5" t="inlineStr">
        <is>
          <t>Orta</t>
        </is>
      </c>
      <c r="F1000" s="5" t="inlineStr"/>
      <c r="G1000" s="6" t="inlineStr"/>
      <c r="H1000" s="6" t="inlineStr">
        <is>
          <t>Haftada üç arama. Çocuk telefonu açıyor; bazen gülümsüyor bile.</t>
        </is>
      </c>
      <c r="I1000" s="6" t="inlineStr">
        <is>
          <t>Pazartesi ve perşembe aradın, kısa tuttun, hep önce sen kapattın. Üçüncü hafta, çarşamba gecesi telefon çaldı: “Bir şey yok. Sesini duymak istedim.”</t>
        </is>
      </c>
      <c r="J1000" s="6" t="inlineStr">
        <is>
          <t>Kendini iki gün tuttun, üçüncü gün dört kez aradın. Çocuk artık “Toplantıdayım” diye yazıyor. Öğrencinin toplantısı yok.</t>
        </is>
      </c>
      <c r="K1000" s="6" t="inlineStr">
        <is>
          <t>Görüntülü aradın; çocuğun telefonu masada açık kalmış, kendisi yok. Ev arkadaşları bir saat seninle sohbet etti. Artık onlar her pazar arıyor; çocuğun aramıyor.</t>
        </is>
      </c>
      <c r="L1000" s="6" t="inlineStr"/>
      <c r="M1000" s="5" t="inlineStr"/>
      <c r="N1000" s="5" t="inlineStr"/>
      <c r="O1000" s="6" t="inlineStr"/>
      <c r="P1000" s="6" t="inlineStr"/>
      <c r="Q1000" s="5" t="inlineStr"/>
      <c r="R1000" s="5" t="inlineStr"/>
      <c r="S1000" s="5" t="inlineStr"/>
      <c r="T1000" s="5" t="inlineStr"/>
      <c r="U1000" s="5" t="inlineStr"/>
      <c r="V1000" s="5" t="inlineStr"/>
      <c r="W1000" s="5" t="inlineStr"/>
      <c r="X1000" s="5" t="inlineStr"/>
      <c r="Y1000" s="5" t="inlineStr"/>
      <c r="Z1000" s="6" t="inlineStr"/>
      <c r="AA1000" s="5" t="inlineStr"/>
      <c r="AB1000" s="5" t="inlineStr"/>
      <c r="AC1000" s="5" t="inlineStr"/>
      <c r="AD1000" s="5" t="inlineStr"/>
      <c r="AE1000" s="5" t="inlineStr"/>
      <c r="AF1000" s="5" t="inlineStr"/>
      <c r="AG1000" s="5" t="inlineStr"/>
      <c r="AH1000" s="5" t="inlineStr"/>
      <c r="AI1000" s="5" t="inlineStr"/>
      <c r="AJ1000" s="5" t="inlineStr"/>
    </row>
    <row r="1001">
      <c r="A1001" s="5" t="inlineStr">
        <is>
          <t>b8-bos-yuva</t>
        </is>
      </c>
      <c r="B1001" s="5" t="n">
        <v>4</v>
      </c>
      <c r="C1001" s="6" t="inlineStr">
        <is>
          <t>Bir tabağı gizlice odaya koy</t>
        </is>
      </c>
      <c r="D1001" s="5" t="inlineStr">
        <is>
          <t>Pişkinlik</t>
        </is>
      </c>
      <c r="E1001" s="5" t="inlineStr">
        <is>
          <t>Kolay</t>
        </is>
      </c>
      <c r="F1001" s="5" t="inlineStr"/>
      <c r="G1001" s="6" t="inlineStr"/>
      <c r="H1001" s="6" t="inlineStr">
        <is>
          <t>Tabağı koydun. Oda eski hâline döndü gibi oldu. Kimse bilmiyor; sen biliyorsun.</t>
        </is>
      </c>
      <c r="I1001" s="6" t="inlineStr">
        <is>
          <t>Çocuk tatilde geldi, tabağı gördü, güldü: “Hâlâ burada mı?” Sonra sana sarıldı; bavulu kapıda kaldı.</t>
        </is>
      </c>
      <c r="J1001" s="6" t="inlineStr">
        <is>
          <t>Tabağı koydun; ertesi gün mutfakta yıkanmış buldun. Kimin kaldırdığını kimse söylemiyor. İkinci tabak yolda.</t>
        </is>
      </c>
      <c r="K1001" s="6" t="inlineStr">
        <is>
          <t>Tabağı koydun, unuttun. Üç hafta sonra odadan bir koku yükseldi. Gelen misafir burnunu kırıştırdı: “Çocuk dönmüş mü?”</t>
        </is>
      </c>
      <c r="L1001" s="6" t="inlineStr"/>
      <c r="M1001" s="5" t="inlineStr"/>
      <c r="N1001" s="5" t="inlineStr"/>
      <c r="O1001" s="6" t="inlineStr"/>
      <c r="P1001" s="6" t="inlineStr"/>
      <c r="Q1001" s="5" t="inlineStr"/>
      <c r="R1001" s="5" t="inlineStr"/>
      <c r="S1001" s="5" t="inlineStr"/>
      <c r="T1001" s="5" t="inlineStr"/>
      <c r="U1001" s="5" t="inlineStr"/>
      <c r="V1001" s="5" t="inlineStr"/>
      <c r="W1001" s="5" t="inlineStr"/>
      <c r="X1001" s="5" t="inlineStr"/>
      <c r="Y1001" s="5" t="inlineStr"/>
      <c r="Z1001" s="6" t="inlineStr"/>
      <c r="AA1001" s="5" t="inlineStr"/>
      <c r="AB1001" s="5" t="inlineStr"/>
      <c r="AC1001" s="5" t="inlineStr"/>
      <c r="AD1001" s="5" t="inlineStr"/>
      <c r="AE1001" s="5" t="inlineStr"/>
      <c r="AF1001" s="5" t="inlineStr"/>
      <c r="AG1001" s="5" t="inlineStr"/>
      <c r="AH1001" s="5" t="inlineStr"/>
      <c r="AI1001" s="5" t="inlineStr"/>
      <c r="AJ1001" s="5" t="inlineStr"/>
    </row>
    <row r="1002">
      <c r="A1002" s="5" t="inlineStr">
        <is>
          <t>b8-bos-yuva</t>
        </is>
      </c>
      <c r="B1002" s="5" t="n">
        <v>5</v>
      </c>
      <c r="C1002" s="6" t="inlineStr">
        <is>
          <t>Kargoya koli ver</t>
        </is>
      </c>
      <c r="D1002" s="5" t="inlineStr">
        <is>
          <t>Gönül</t>
        </is>
      </c>
      <c r="E1002" s="5" t="inlineStr">
        <is>
          <t>Orta</t>
        </is>
      </c>
      <c r="F1002" s="5" t="inlineStr"/>
      <c r="G1002" s="6" t="inlineStr"/>
      <c r="H1002" s="6" t="inlineStr">
        <is>
          <t>Koli iki günde vardı. Çocuk fotoğraf attı: kurabiyeler bitmiş, çoraplar duruyor. “Çorabı neden yolladın?” Çünkü kış geliyor.</t>
        </is>
      </c>
      <c r="I1002" s="6" t="inlineStr">
        <is>
          <t>Koliye sarma, kurabiye, iki kavanoz reçel ve kalın çorap koydun. Yurtta koli açılınca koridor boşaldı; ertesi hafta oda arkadaşları kendi adreslerini yolladı.</t>
        </is>
      </c>
      <c r="J1002" s="6" t="inlineStr">
        <is>
          <t>Koli kargoda dört gün bekledi; sarmalar yola dayanamadı. Çocuk kapağı açmadan çöpe attı, sana “Çok güzeldi” yazdı.</t>
        </is>
      </c>
      <c r="K1002" s="6" t="inlineStr">
        <is>
          <t>Reçel kavanozu yolda açılmış. Koli yurt kapısına damlayarak geldi; görevli çocuğun adını bütün yurda anons etti. Çocuk bir hafta telefonunu açmadı.</t>
        </is>
      </c>
      <c r="L1002" s="6" t="inlineStr"/>
      <c r="M1002" s="5" t="inlineStr"/>
      <c r="N1002" s="5" t="inlineStr"/>
      <c r="O1002" s="6" t="inlineStr"/>
      <c r="P1002" s="6" t="inlineStr"/>
      <c r="Q1002" s="5" t="inlineStr"/>
      <c r="R1002" s="5" t="inlineStr"/>
      <c r="S1002" s="5" t="inlineStr"/>
      <c r="T1002" s="5" t="inlineStr"/>
      <c r="U1002" s="5" t="inlineStr"/>
      <c r="V1002" s="5" t="inlineStr"/>
      <c r="W1002" s="5" t="inlineStr"/>
      <c r="X1002" s="5" t="inlineStr"/>
      <c r="Y1002" s="5" t="inlineStr"/>
      <c r="Z1002" s="6" t="inlineStr"/>
      <c r="AA1002" s="5" t="inlineStr"/>
      <c r="AB1002" s="5" t="inlineStr"/>
      <c r="AC1002" s="5" t="inlineStr"/>
      <c r="AD1002" s="5" t="inlineStr"/>
      <c r="AE1002" s="5" t="inlineStr"/>
      <c r="AF1002" s="5" t="inlineStr"/>
      <c r="AG1002" s="5" t="inlineStr"/>
      <c r="AH1002" s="5" t="inlineStr"/>
      <c r="AI1002" s="5" t="inlineStr"/>
      <c r="AJ1002" s="5" t="inlineStr"/>
    </row>
    <row r="1003">
      <c r="A1003" s="5" t="inlineStr">
        <is>
          <t>b8-son-taksit</t>
        </is>
      </c>
      <c r="B1003" s="5" t="n">
        <v>1</v>
      </c>
      <c r="C1003" s="6" t="inlineStr">
        <is>
          <t>Baklava al, apartmana dağıt</t>
        </is>
      </c>
      <c r="D1003" s="5" t="inlineStr"/>
      <c r="E1003" s="5" t="inlineStr"/>
      <c r="F1003" s="5" t="inlineStr">
        <is>
          <t>İtibar +1, Dayanıklılık +1</t>
        </is>
      </c>
      <c r="G1003" s="6" t="inlineStr">
        <is>
          <t>İki tepsi baklava aldın, kapı kapı dağıttın. Alt kat “Ne kutluyoruz?” diye sordu; “Ev bizim oldu” dedin. Akşam tapuyla fotoğraf çektin; tapu senden iyi çıktı.</t>
        </is>
      </c>
      <c r="H1003" s="6" t="inlineStr"/>
      <c r="I1003" s="6" t="inlineStr"/>
      <c r="J1003" s="6" t="inlineStr"/>
      <c r="K1003" s="6" t="inlineStr"/>
      <c r="L1003" s="6" t="inlineStr"/>
      <c r="M1003" s="5" t="inlineStr"/>
      <c r="N1003" s="5" t="inlineStr"/>
      <c r="O1003" s="6" t="inlineStr"/>
      <c r="P1003" s="6" t="inlineStr"/>
      <c r="Q1003" s="5" t="inlineStr"/>
      <c r="R1003" s="5" t="inlineStr"/>
      <c r="S1003" s="5" t="inlineStr"/>
      <c r="T1003" s="5" t="inlineStr"/>
      <c r="U1003" s="5" t="inlineStr"/>
      <c r="V1003" s="5" t="inlineStr"/>
      <c r="W1003" s="5" t="inlineStr"/>
      <c r="X1003" s="5" t="inlineStr"/>
      <c r="Y1003" s="5" t="inlineStr"/>
      <c r="Z1003" s="6" t="inlineStr"/>
      <c r="AA1003" s="5" t="inlineStr"/>
      <c r="AB1003" s="5" t="inlineStr"/>
      <c r="AC1003" s="5" t="inlineStr"/>
      <c r="AD1003" s="5" t="inlineStr"/>
      <c r="AE1003" s="5" t="inlineStr"/>
      <c r="AF1003" s="5" t="inlineStr"/>
      <c r="AG1003" s="5" t="inlineStr"/>
      <c r="AH1003" s="5" t="inlineStr"/>
      <c r="AI1003" s="5" t="inlineStr"/>
      <c r="AJ1003" s="5" t="inlineStr"/>
    </row>
    <row r="1004">
      <c r="A1004" s="5" t="inlineStr">
        <is>
          <t>b8-son-taksit</t>
        </is>
      </c>
      <c r="B1004" s="5" t="n">
        <v>2</v>
      </c>
      <c r="C1004" s="6" t="inlineStr">
        <is>
          <t>Yeni kredi teklifini değerlendir</t>
        </is>
      </c>
      <c r="D1004" s="5" t="inlineStr">
        <is>
          <t>Kurnazlık</t>
        </is>
      </c>
      <c r="E1004" s="5" t="inlineStr">
        <is>
          <t>Zor</t>
        </is>
      </c>
      <c r="F1004" s="5" t="inlineStr"/>
      <c r="G1004" s="6" t="inlineStr"/>
      <c r="H1004" s="6" t="inlineStr">
        <is>
          <t>Teklifi inceledin, faizi pazarlıkla düşürdün, sonra yine reddettin. Şube müdürü seni kapıya kadar geçirdi: “Sizin gibi müşteri istemeyiz, ama saygı duyarız.”</t>
        </is>
      </c>
      <c r="I1004" s="6" t="inlineStr">
        <is>
          <t>Teklifi kullanıp mutfağı, banyoyu, o duvardaki çatlağı yeniledin. Ev değer kazandı; borç da geri geldi. Ama bu sefer çatlaksız bir duvara bakarak ödüyorsun.</t>
        </is>
      </c>
      <c r="J1004" s="6" t="inlineStr">
        <is>
          <t>Teklifi okudun; yıldızlı dipnota gözlüğün yetmedi. Sen karar verene kadar teklifin süresi doldu. Banka ertesi sabah yenisini yolladı.</t>
        </is>
      </c>
      <c r="K1004" s="6" t="inlineStr">
        <is>
          <t>Teklifi imzaladın; son taksit yetmiş dört yaşında. Yanında gelen sigorta, kart ve bir mutfak robotu da hesaba yazıldı.</t>
        </is>
      </c>
      <c r="L1004" s="6" t="inlineStr"/>
      <c r="M1004" s="5" t="inlineStr"/>
      <c r="N1004" s="5" t="inlineStr"/>
      <c r="O1004" s="6" t="inlineStr"/>
      <c r="P1004" s="6" t="inlineStr"/>
      <c r="Q1004" s="5" t="inlineStr"/>
      <c r="R1004" s="5" t="inlineStr"/>
      <c r="S1004" s="5" t="inlineStr"/>
      <c r="T1004" s="5" t="inlineStr"/>
      <c r="U1004" s="5" t="inlineStr"/>
      <c r="V1004" s="5" t="inlineStr"/>
      <c r="W1004" s="5" t="inlineStr">
        <is>
          <t>borclu</t>
        </is>
      </c>
      <c r="X1004" s="5" t="inlineStr"/>
      <c r="Y1004" s="5" t="inlineStr"/>
      <c r="Z1004" s="6" t="inlineStr"/>
      <c r="AA1004" s="5" t="inlineStr"/>
      <c r="AB1004" s="5" t="inlineStr"/>
      <c r="AC1004" s="5" t="inlineStr"/>
      <c r="AD1004" s="5" t="inlineStr"/>
      <c r="AE1004" s="5" t="inlineStr"/>
      <c r="AF1004" s="5" t="inlineStr"/>
      <c r="AG1004" s="5" t="inlineStr"/>
      <c r="AH1004" s="5" t="inlineStr"/>
      <c r="AI1004" s="5" t="inlineStr"/>
      <c r="AJ1004" s="5" t="inlineStr"/>
    </row>
    <row r="1005">
      <c r="A1005" s="5" t="inlineStr">
        <is>
          <t>b8-son-taksit</t>
        </is>
      </c>
      <c r="B1005" s="5" t="n">
        <v>3</v>
      </c>
      <c r="C1005" s="6" t="inlineStr">
        <is>
          <t>Bankaya teşekkür dilekçesi yaz</t>
        </is>
      </c>
      <c r="D1005" s="5" t="inlineStr">
        <is>
          <t>Pişkinlik</t>
        </is>
      </c>
      <c r="E1005" s="5" t="inlineStr">
        <is>
          <t>Kolay</t>
        </is>
      </c>
      <c r="F1005" s="5" t="inlineStr"/>
      <c r="G1005" s="6" t="inlineStr"/>
      <c r="H1005" s="6" t="inlineStr">
        <is>
          <t>'Yirmi yıllık birlikteliğimiz için teşekkürler' yazdın. Banka cevabı otomatik gönderdi: 'Kredi teklifimiz geçerlidir.'</t>
        </is>
      </c>
      <c r="I1005" s="6" t="inlineStr">
        <is>
          <t>Dilekçen şubede panoya asıldı. Müdür seni aradı ve ilk kez kredi teklif etmedi.</t>
        </is>
      </c>
      <c r="J1005" s="6" t="inlineStr">
        <is>
          <t>Dilekçeni gişeye verdin. Memur okudu, güldü, geri uzattı: “Teşekkür formumuz yok. Şikâyet formuna yazalım mı?”</t>
        </is>
      </c>
      <c r="K1005" s="6" t="inlineStr">
        <is>
          <t>Dilekçe yanlışlıkla kredi başvurusu olarak işleme alındı. Onaylandı.</t>
        </is>
      </c>
      <c r="L1005" s="6" t="inlineStr"/>
      <c r="M1005" s="5" t="inlineStr"/>
      <c r="N1005" s="5" t="inlineStr"/>
      <c r="O1005" s="6" t="inlineStr"/>
      <c r="P1005" s="6" t="inlineStr"/>
      <c r="Q1005" s="5" t="inlineStr"/>
      <c r="R1005" s="5" t="inlineStr"/>
      <c r="S1005" s="5" t="inlineStr"/>
      <c r="T1005" s="5" t="inlineStr"/>
      <c r="U1005" s="5" t="inlineStr"/>
      <c r="V1005" s="5" t="inlineStr"/>
      <c r="W1005" s="5" t="inlineStr"/>
      <c r="X1005" s="5" t="inlineStr"/>
      <c r="Y1005" s="5" t="inlineStr"/>
      <c r="Z1005" s="6" t="inlineStr"/>
      <c r="AA1005" s="5" t="inlineStr"/>
      <c r="AB1005" s="5" t="inlineStr"/>
      <c r="AC1005" s="5" t="inlineStr"/>
      <c r="AD1005" s="5" t="inlineStr"/>
      <c r="AE1005" s="5" t="inlineStr"/>
      <c r="AF1005" s="5" t="inlineStr"/>
      <c r="AG1005" s="5" t="inlineStr"/>
      <c r="AH1005" s="5" t="inlineStr"/>
      <c r="AI1005" s="5" t="inlineStr"/>
      <c r="AJ1005" s="5" t="inlineStr"/>
    </row>
    <row r="1006">
      <c r="A1006" s="5" t="inlineStr">
        <is>
          <t>b9-yazi-boyutu</t>
        </is>
      </c>
      <c r="B1006" s="5" t="n">
        <v>1</v>
      </c>
      <c r="C1006" s="6" t="inlineStr">
        <is>
          <t>Yazı boyutunu en büyüğe al</t>
        </is>
      </c>
      <c r="D1006" s="5" t="inlineStr"/>
      <c r="E1006" s="5" t="inlineStr"/>
      <c r="F1006" s="5" t="inlineStr">
        <is>
          <t>Akıl +1</t>
        </is>
      </c>
      <c r="G1006" s="6" t="inlineStr">
        <is>
          <t>Yazı boyutunu en büyüğe çektin. 'Günaydın' artık iki satıra bölünüyor. Karşı komşu senin mesajlarını kendi balkonundan okuyabiliyor.</t>
        </is>
      </c>
      <c r="H1006" s="6" t="inlineStr"/>
      <c r="I1006" s="6" t="inlineStr"/>
      <c r="J1006" s="6" t="inlineStr"/>
      <c r="K1006" s="6" t="inlineStr"/>
      <c r="L1006" s="6" t="inlineStr"/>
      <c r="M1006" s="5" t="inlineStr"/>
      <c r="N1006" s="5" t="inlineStr"/>
      <c r="O1006" s="6" t="inlineStr"/>
      <c r="P1006" s="6" t="inlineStr"/>
      <c r="Q1006" s="5" t="inlineStr"/>
      <c r="R1006" s="5" t="inlineStr"/>
      <c r="S1006" s="5" t="inlineStr"/>
      <c r="T1006" s="5" t="inlineStr"/>
      <c r="U1006" s="5" t="inlineStr"/>
      <c r="V1006" s="5" t="inlineStr"/>
      <c r="W1006" s="5" t="inlineStr"/>
      <c r="X1006" s="5" t="inlineStr"/>
      <c r="Y1006" s="5" t="inlineStr"/>
      <c r="Z1006" s="6" t="inlineStr"/>
      <c r="AA1006" s="5" t="inlineStr"/>
      <c r="AB1006" s="5" t="inlineStr"/>
      <c r="AC1006" s="5" t="inlineStr"/>
      <c r="AD1006" s="5" t="inlineStr"/>
      <c r="AE1006" s="5" t="inlineStr"/>
      <c r="AF1006" s="5" t="inlineStr"/>
      <c r="AG1006" s="5" t="inlineStr"/>
      <c r="AH1006" s="5" t="inlineStr"/>
      <c r="AI1006" s="5" t="inlineStr"/>
      <c r="AJ1006" s="5" t="inlineStr"/>
    </row>
    <row r="1007">
      <c r="A1007" s="5" t="inlineStr">
        <is>
          <t>b9-yazi-boyutu</t>
        </is>
      </c>
      <c r="B1007" s="5" t="n">
        <v>2</v>
      </c>
      <c r="C1007" s="6" t="inlineStr">
        <is>
          <t>Gözlüğü ara</t>
        </is>
      </c>
      <c r="D1007" s="5" t="inlineStr">
        <is>
          <t>Dayanıklılık</t>
        </is>
      </c>
      <c r="E1007" s="5" t="inlineStr">
        <is>
          <t>Kolay</t>
        </is>
      </c>
      <c r="F1007" s="5" t="inlineStr"/>
      <c r="G1007" s="6" t="inlineStr"/>
      <c r="H1007" s="6" t="inlineStr">
        <is>
          <t>Gözlüğü buldun, taktın, mesajı okudun: 'Gözlüğün bizde kalmış.' Taktığın gözlüğün kimin olduğunu hâlâ bilmiyorsun.</t>
        </is>
      </c>
      <c r="I1007" s="6" t="inlineStr">
        <is>
          <t>Gözlüğü ilk denemede, olması gereken yerde buldun: kılıfında. Haber aile grubuna düştü; üç kişi inanmadı.</t>
        </is>
      </c>
      <c r="J1007" s="6" t="inlineStr">
        <is>
          <t>Gözlüğü aradın. Başının üstündeydi. Bunu aynaya bakınca öğrendin.</t>
        </is>
      </c>
      <c r="K1007" s="6" t="inlineStr">
        <is>
          <t>Gözlüğü ararken koltuğa oturdun. Altından çıt diye bir ses geldi. Bir hafta mesajları tek camla, bir gözünü kısarak okudun.</t>
        </is>
      </c>
      <c r="L1007" s="6" t="inlineStr"/>
      <c r="M1007" s="5" t="inlineStr"/>
      <c r="N1007" s="5" t="inlineStr"/>
      <c r="O1007" s="6" t="inlineStr"/>
      <c r="P1007" s="6" t="inlineStr"/>
      <c r="Q1007" s="5" t="inlineStr"/>
      <c r="R1007" s="5" t="inlineStr"/>
      <c r="S1007" s="5" t="inlineStr"/>
      <c r="T1007" s="5" t="inlineStr"/>
      <c r="U1007" s="5" t="inlineStr"/>
      <c r="V1007" s="5" t="inlineStr"/>
      <c r="W1007" s="5" t="inlineStr"/>
      <c r="X1007" s="5" t="inlineStr"/>
      <c r="Y1007" s="5" t="inlineStr"/>
      <c r="Z1007" s="6" t="inlineStr"/>
      <c r="AA1007" s="5" t="inlineStr"/>
      <c r="AB1007" s="5" t="inlineStr"/>
      <c r="AC1007" s="5" t="inlineStr"/>
      <c r="AD1007" s="5" t="inlineStr"/>
      <c r="AE1007" s="5" t="inlineStr"/>
      <c r="AF1007" s="5" t="inlineStr"/>
      <c r="AG1007" s="5" t="inlineStr"/>
      <c r="AH1007" s="5" t="inlineStr"/>
      <c r="AI1007" s="5" t="inlineStr"/>
      <c r="AJ1007" s="5" t="inlineStr"/>
    </row>
    <row r="1008">
      <c r="A1008" s="5" t="inlineStr">
        <is>
          <t>b9-yazi-boyutu</t>
        </is>
      </c>
      <c r="B1008" s="5" t="n">
        <v>3</v>
      </c>
      <c r="C1008" s="6" t="inlineStr">
        <is>
          <t>Sesli okuma özelliğini aç</t>
        </is>
      </c>
      <c r="D1008" s="5" t="inlineStr">
        <is>
          <t>Akıl</t>
        </is>
      </c>
      <c r="E1008" s="5" t="inlineStr">
        <is>
          <t>Orta</t>
        </is>
      </c>
      <c r="F1008" s="5" t="inlineStr"/>
      <c r="G1008" s="6" t="inlineStr"/>
      <c r="H1008" s="6" t="inlineStr">
        <is>
          <t>Telefon mesajı sesli okudu. Robot ses 'Acil havale yapar mısın, akşam anlatırım' derken bile tatlıydı. Havaleyi yaptın, akşam kimse anlatmadı.</t>
        </is>
      </c>
      <c r="I1008" s="6" t="inlineStr">
        <is>
          <t>Sesli okuma, ekran büyüteci, karanlık mod. Aile grubunda telefon ayarı soran herkes artık seni arıyor; sen de 'Bir saniye, gözlüğümü takayım' diyorsun.</t>
        </is>
      </c>
      <c r="J1008" s="6" t="inlineStr">
        <is>
          <t>Sesli okuma açıldı. Kapanmıyor. Market fişi dahil her şey yüksek sesle okunuyor.</t>
        </is>
      </c>
      <c r="K1008" s="6" t="inlineStr">
        <is>
          <t>Sesli okuma otobüste açıldı. Aile grubundaki bütün dedikodu bütün otobüse okundu; şoför sonunu duymak için durakta bekledi.</t>
        </is>
      </c>
      <c r="L1008" s="6" t="inlineStr"/>
      <c r="M1008" s="5" t="inlineStr"/>
      <c r="N1008" s="5" t="inlineStr"/>
      <c r="O1008" s="6" t="inlineStr"/>
      <c r="P1008" s="6" t="inlineStr"/>
      <c r="Q1008" s="5" t="inlineStr">
        <is>
          <t>Şifreyi Bilen</t>
        </is>
      </c>
      <c r="R1008" s="5" t="inlineStr"/>
      <c r="S1008" s="5" t="inlineStr"/>
      <c r="T1008" s="5" t="inlineStr"/>
      <c r="U1008" s="5" t="inlineStr"/>
      <c r="V1008" s="5" t="inlineStr"/>
      <c r="W1008" s="5" t="inlineStr"/>
      <c r="X1008" s="5" t="inlineStr"/>
      <c r="Y1008" s="5" t="inlineStr"/>
      <c r="Z1008" s="6" t="inlineStr"/>
      <c r="AA1008" s="5" t="inlineStr"/>
      <c r="AB1008" s="5" t="inlineStr"/>
      <c r="AC1008" s="5" t="inlineStr"/>
      <c r="AD1008" s="5" t="inlineStr"/>
      <c r="AE1008" s="5" t="inlineStr"/>
      <c r="AF1008" s="5" t="inlineStr"/>
      <c r="AG1008" s="5" t="inlineStr"/>
      <c r="AH1008" s="5" t="inlineStr"/>
      <c r="AI1008" s="5" t="inlineStr">
        <is>
          <t>Hoparlör</t>
        </is>
      </c>
      <c r="AJ1008" s="5" t="inlineStr"/>
    </row>
    <row r="1009">
      <c r="A1009" s="5" t="inlineStr">
        <is>
          <t>b9-gunaydin-gorselleri</t>
        </is>
      </c>
      <c r="B1009" s="5" t="n">
        <v>1</v>
      </c>
      <c r="C1009" s="6" t="inlineStr">
        <is>
          <t>Her sabah göndermeye devam et</t>
        </is>
      </c>
      <c r="D1009" s="5" t="inlineStr"/>
      <c r="E1009" s="5" t="inlineStr"/>
      <c r="F1009" s="5" t="inlineStr">
        <is>
          <t>Dayanıklılık +1</t>
        </is>
      </c>
      <c r="G1009" s="6" t="inlineStr">
        <is>
          <t>Her sabah yedide bir gül gönderdin. Bir yıl sonra bir sabah unuttun; öğlene kadar üç kişi arayıp 'İyi misin?' diye sordu.</t>
        </is>
      </c>
      <c r="H1009" s="6" t="inlineStr"/>
      <c r="I1009" s="6" t="inlineStr"/>
      <c r="J1009" s="6" t="inlineStr"/>
      <c r="K1009" s="6" t="inlineStr"/>
      <c r="L1009" s="6" t="inlineStr"/>
      <c r="M1009" s="5" t="inlineStr"/>
      <c r="N1009" s="5" t="inlineStr"/>
      <c r="O1009" s="6" t="inlineStr"/>
      <c r="P1009" s="6" t="inlineStr"/>
      <c r="Q1009" s="5" t="inlineStr"/>
      <c r="R1009" s="5" t="inlineStr"/>
      <c r="S1009" s="5" t="inlineStr"/>
      <c r="T1009" s="5" t="inlineStr"/>
      <c r="U1009" s="5" t="inlineStr"/>
      <c r="V1009" s="5" t="inlineStr"/>
      <c r="W1009" s="5" t="inlineStr"/>
      <c r="X1009" s="5" t="inlineStr"/>
      <c r="Y1009" s="5" t="inlineStr"/>
      <c r="Z1009" s="6" t="inlineStr"/>
      <c r="AA1009" s="5" t="inlineStr"/>
      <c r="AB1009" s="5" t="inlineStr"/>
      <c r="AC1009" s="5" t="inlineStr"/>
      <c r="AD1009" s="5" t="inlineStr"/>
      <c r="AE1009" s="5" t="inlineStr"/>
      <c r="AF1009" s="5" t="inlineStr"/>
      <c r="AG1009" s="5" t="inlineStr"/>
      <c r="AH1009" s="5" t="inlineStr"/>
      <c r="AI1009" s="5" t="inlineStr"/>
      <c r="AJ1009" s="5" t="inlineStr"/>
    </row>
    <row r="1010">
      <c r="A1010" s="5" t="inlineStr">
        <is>
          <t>b9-gunaydin-gorselleri</t>
        </is>
      </c>
      <c r="B1010" s="5" t="n">
        <v>2</v>
      </c>
      <c r="C1010" s="6" t="inlineStr">
        <is>
          <t>Kendi görselini tasarla</t>
        </is>
      </c>
      <c r="D1010" s="5" t="inlineStr">
        <is>
          <t>Pişkinlik</t>
        </is>
      </c>
      <c r="E1010" s="5" t="inlineStr">
        <is>
          <t>Orta</t>
        </is>
      </c>
      <c r="F1010" s="5" t="inlineStr"/>
      <c r="G1010" s="6" t="inlineStr"/>
      <c r="H1010" s="6" t="inlineStr">
        <is>
          <t>Kendi fotoğrafının üstüne 'Güne gülümse' yazdın. Üç kişi kalp bıraktı; teyzen “Ay, ne genç çıkmışsın” yazdı. Fotoğraf on beş yıllıktı.</t>
        </is>
      </c>
      <c r="I1010" s="6" t="inlineStr">
        <is>
          <t>Görselin öyle parladı ki başka ailelerin gruplarında dolaştı. Bir sabah halanın kızı aynı görseli sana 'Günaydın' diye geri yolladı.</t>
        </is>
      </c>
      <c r="J1010" s="6" t="inlineStr">
        <is>
          <t>Yazıyı fotoğrafın tam ortasına koydun. 'Güne gülümse' yazıyor; gülümseyen yüz görünmüyor. Halan 'Bu kim?' diye sordu.</t>
        </is>
      </c>
      <c r="K1010" s="6" t="inlineStr">
        <is>
          <t>Görseli tasarlarken yanlış çerçeveyi seçtin: siyah kenar, tek karanfil, altında 'Başımız sağ olsun.' Grupta on dakika boyunca yalnızca 'Kim?' yazıldı. Halan çoktan siyahlarını giyip taksiye binmişti.</t>
        </is>
      </c>
      <c r="L1010" s="6" t="inlineStr"/>
      <c r="M1010" s="5" t="inlineStr"/>
      <c r="N1010" s="5" t="inlineStr"/>
      <c r="O1010" s="6" t="inlineStr"/>
      <c r="P1010" s="6" t="inlineStr"/>
      <c r="Q1010" s="5" t="inlineStr"/>
      <c r="R1010" s="5" t="inlineStr"/>
      <c r="S1010" s="5" t="inlineStr"/>
      <c r="T1010" s="5" t="inlineStr"/>
      <c r="U1010" s="5" t="inlineStr"/>
      <c r="V1010" s="5" t="inlineStr"/>
      <c r="W1010" s="5" t="inlineStr"/>
      <c r="X1010" s="5" t="inlineStr"/>
      <c r="Y1010" s="5" t="inlineStr"/>
      <c r="Z1010" s="6" t="inlineStr"/>
      <c r="AA1010" s="5" t="inlineStr"/>
      <c r="AB1010" s="5" t="inlineStr"/>
      <c r="AC1010" s="5" t="inlineStr"/>
      <c r="AD1010" s="5" t="inlineStr"/>
      <c r="AE1010" s="5" t="inlineStr"/>
      <c r="AF1010" s="5" t="inlineStr"/>
      <c r="AG1010" s="5" t="inlineStr"/>
      <c r="AH1010" s="5" t="inlineStr"/>
      <c r="AI1010" s="5" t="inlineStr">
        <is>
          <t>Başsağlığı</t>
        </is>
      </c>
      <c r="AJ1010" s="5" t="inlineStr"/>
    </row>
    <row r="1011">
      <c r="A1011" s="5" t="inlineStr">
        <is>
          <t>b9-gunaydin-gorselleri</t>
        </is>
      </c>
      <c r="B1011" s="5" t="n">
        <v>3</v>
      </c>
      <c r="C1011" s="6" t="inlineStr">
        <is>
          <t>'Gizli gruptaki görselleri biliyorum' yaz</t>
        </is>
      </c>
      <c r="D1011" s="5" t="inlineStr">
        <is>
          <t>Sosyal Radar</t>
        </is>
      </c>
      <c r="E1011" s="5" t="inlineStr">
        <is>
          <t>Kolay</t>
        </is>
      </c>
      <c r="F1011" s="5" t="inlineStr"/>
      <c r="G1011" s="6" t="inlineStr"/>
      <c r="H1011" s="6" t="inlineStr">
        <is>
          <t>Grupta derin bir sessizlik oldu. Ertesi sabah yirmi üç kişi 'Günaydın' yazdı.</t>
        </is>
      </c>
      <c r="I1011" s="6" t="inlineStr">
        <is>
          <t>Gizli grubun kurucusu yeğenin çıktı. Özür diledi, seni de gruba ekledi. Artık sabahları kendi gülüne kendin gülüyorsun.</t>
        </is>
      </c>
      <c r="J1011" s="6" t="inlineStr">
        <is>
          <t>Mesajı yazdın; kimse anlamadı. Üç kişi 'Hangi grup?' diye sordu, ikisi 'Ben de girebilir miyim?'</t>
        </is>
      </c>
      <c r="K1011" s="6" t="inlineStr">
        <is>
          <t>Yanlış gruba yazdın: apartman grubuna. Yönetici hemen cevap verdi: 'Ne gizli grubu? Aidatla ilgiliyse açık konuşalım.' Akşama kadar on iki daire kapını çaldı.</t>
        </is>
      </c>
      <c r="L1011" s="6" t="inlineStr"/>
      <c r="M1011" s="5" t="inlineStr"/>
      <c r="N1011" s="5" t="inlineStr"/>
      <c r="O1011" s="6" t="inlineStr"/>
      <c r="P1011" s="6" t="inlineStr"/>
      <c r="Q1011" s="5" t="inlineStr"/>
      <c r="R1011" s="5" t="inlineStr"/>
      <c r="S1011" s="5" t="inlineStr">
        <is>
          <t>Sosyal Radar</t>
        </is>
      </c>
      <c r="T1011" s="5" t="inlineStr"/>
      <c r="U1011" s="5" t="inlineStr"/>
      <c r="V1011" s="5" t="inlineStr"/>
      <c r="W1011" s="5" t="inlineStr"/>
      <c r="X1011" s="5" t="inlineStr"/>
      <c r="Y1011" s="5" t="inlineStr"/>
      <c r="Z1011" s="6" t="inlineStr"/>
      <c r="AA1011" s="5" t="inlineStr"/>
      <c r="AB1011" s="5" t="inlineStr"/>
      <c r="AC1011" s="5" t="inlineStr"/>
      <c r="AD1011" s="5" t="inlineStr"/>
      <c r="AE1011" s="5" t="inlineStr"/>
      <c r="AF1011" s="5" t="inlineStr"/>
      <c r="AG1011" s="5" t="inlineStr"/>
      <c r="AH1011" s="5" t="inlineStr"/>
      <c r="AI1011" s="5" t="inlineStr"/>
      <c r="AJ1011" s="5" t="inlineStr"/>
    </row>
    <row r="1012">
      <c r="A1012" s="5" t="inlineStr">
        <is>
          <t>b9-sabah-yuruyusu</t>
        </is>
      </c>
      <c r="B1012" s="5" t="n">
        <v>1</v>
      </c>
      <c r="C1012" s="6" t="inlineStr">
        <is>
          <t>En öne geç</t>
        </is>
      </c>
      <c r="D1012" s="5" t="inlineStr">
        <is>
          <t>Dayanıklılık</t>
        </is>
      </c>
      <c r="E1012" s="5" t="inlineStr">
        <is>
          <t>Orta</t>
        </is>
      </c>
      <c r="F1012" s="5" t="inlineStr"/>
      <c r="G1012" s="6" t="inlineStr"/>
      <c r="H1012" s="6" t="inlineStr">
        <is>
          <t>En öne geçtin; konuyu sen seçtin: kaldırım taşları. Grup iki tur sabretti. Üçüncüde biri seni geçip sordu: 'Kimin gelini hamileymiş?' Saltanatın iki tur sürdü.</t>
        </is>
      </c>
      <c r="I1012" s="6" t="inlineStr">
        <is>
          <t>Grubu öyle hızlı çektin ki kimsede konuşacak nefes kalmadı. Mahalle tarihinde ilk kez bir sabah yürüyüşünde kimse çekiştirilmedi. Ertesi sabah grubun yarısı gelmedi; dizleri gelmedi.</t>
        </is>
      </c>
      <c r="J1012" s="6" t="inlineStr">
        <is>
          <t>İkinci turda dördüncü sıraya düştün. Arkadan dinledin: konu, nefes nefese kalan biriydi. Sendin.</t>
        </is>
      </c>
      <c r="K1012" s="6" t="inlineStr">
        <is>
          <t>Hızlanırken yanlış patikaya saptın, parktan çıkıp iki mahalle öteye yürüdün. Eve taksiyle döndün. Ertesi sabah grup seni kapıda bekliyordu: 'Bugün en arkada sen yürüyorsun.'</t>
        </is>
      </c>
      <c r="L1012" s="6" t="inlineStr">
        <is>
          <t>Grubun ortasında kaldın. Önde konuşulanı duyuyorsun ama laf yetiştirecek nefesin yok.</t>
        </is>
      </c>
      <c r="M1012" s="5" t="inlineStr">
        <is>
          <t>timing</t>
        </is>
      </c>
      <c r="N1012" s="5" t="inlineStr">
        <is>
          <t>Tempo Yarışı</t>
        </is>
      </c>
      <c r="O1012" s="6" t="inlineStr">
        <is>
          <t>İbre yeşil alandayken DURDUR'a bas. Art arda tutturdukça kombo kazanırsın.</t>
        </is>
      </c>
      <c r="P1012" s="6" t="n"/>
      <c r="Q1012" s="5" t="inlineStr"/>
      <c r="R1012" s="5" t="inlineStr"/>
      <c r="S1012" s="5" t="inlineStr"/>
      <c r="T1012" s="5" t="inlineStr"/>
      <c r="U1012" s="5" t="inlineStr"/>
      <c r="V1012" s="5" t="inlineStr">
        <is>
          <t>yuruyus-grubu</t>
        </is>
      </c>
      <c r="W1012" s="5" t="inlineStr"/>
      <c r="X1012" s="5" t="inlineStr"/>
      <c r="Y1012" s="5" t="inlineStr"/>
      <c r="Z1012" s="6" t="inlineStr"/>
      <c r="AA1012" s="5" t="inlineStr"/>
      <c r="AB1012" s="5" t="inlineStr"/>
      <c r="AC1012" s="5" t="inlineStr"/>
      <c r="AD1012" s="5" t="inlineStr"/>
      <c r="AE1012" s="5" t="inlineStr"/>
      <c r="AF1012" s="5" t="inlineStr"/>
      <c r="AG1012" s="5" t="inlineStr"/>
      <c r="AH1012" s="5" t="inlineStr"/>
      <c r="AI1012" s="5" t="inlineStr"/>
      <c r="AJ1012" s="5" t="inlineStr"/>
    </row>
    <row r="1013">
      <c r="A1013" s="5" t="inlineStr">
        <is>
          <t>b9-sabah-yuruyusu</t>
        </is>
      </c>
      <c r="B1013" s="5" t="n">
        <v>2</v>
      </c>
      <c r="C1013" s="6" t="inlineStr">
        <is>
          <t>Arkada yürü, dinle</t>
        </is>
      </c>
      <c r="D1013" s="5" t="inlineStr"/>
      <c r="E1013" s="5" t="inlineStr"/>
      <c r="F1013" s="5" t="inlineStr">
        <is>
          <t>Sosyal Radar +1</t>
        </is>
      </c>
      <c r="G1013" s="6" t="inlineStr">
        <is>
          <t>Arkada yürüdün. Mahallenin üç boşanmasını, bir tayinini ve bir kombi arızasını öğrendin.</t>
        </is>
      </c>
      <c r="H1013" s="6" t="inlineStr"/>
      <c r="I1013" s="6" t="inlineStr"/>
      <c r="J1013" s="6" t="inlineStr"/>
      <c r="K1013" s="6" t="inlineStr"/>
      <c r="L1013" s="6" t="inlineStr"/>
      <c r="M1013" s="5" t="inlineStr"/>
      <c r="N1013" s="5" t="inlineStr"/>
      <c r="O1013" s="6" t="inlineStr"/>
      <c r="P1013" s="6" t="inlineStr"/>
      <c r="Q1013" s="5" t="inlineStr"/>
      <c r="R1013" s="5" t="inlineStr"/>
      <c r="S1013" s="5" t="inlineStr"/>
      <c r="T1013" s="5" t="inlineStr"/>
      <c r="U1013" s="5" t="inlineStr"/>
      <c r="V1013" s="5" t="inlineStr"/>
      <c r="W1013" s="5" t="inlineStr"/>
      <c r="X1013" s="5" t="inlineStr"/>
      <c r="Y1013" s="5" t="inlineStr"/>
      <c r="Z1013" s="6" t="inlineStr"/>
      <c r="AA1013" s="5" t="inlineStr"/>
      <c r="AB1013" s="5" t="inlineStr"/>
      <c r="AC1013" s="5" t="inlineStr"/>
      <c r="AD1013" s="5" t="inlineStr"/>
      <c r="AE1013" s="5" t="inlineStr"/>
      <c r="AF1013" s="5" t="inlineStr"/>
      <c r="AG1013" s="5" t="inlineStr"/>
      <c r="AH1013" s="5" t="inlineStr"/>
      <c r="AI1013" s="5" t="inlineStr"/>
      <c r="AJ1013" s="5" t="inlineStr"/>
    </row>
    <row r="1014">
      <c r="A1014" s="5" t="inlineStr">
        <is>
          <t>b9-sabah-yuruyusu</t>
        </is>
      </c>
      <c r="B1014" s="5" t="n">
        <v>3</v>
      </c>
      <c r="C1014" s="6" t="inlineStr">
        <is>
          <t>Grubu düzenle</t>
        </is>
      </c>
      <c r="D1014" s="5" t="inlineStr">
        <is>
          <t>İtibar</t>
        </is>
      </c>
      <c r="E1014" s="5" t="inlineStr">
        <is>
          <t>Orta</t>
        </is>
      </c>
      <c r="F1014" s="5" t="inlineStr"/>
      <c r="G1014" s="6" t="inlineStr"/>
      <c r="H1014" s="6" t="inlineStr">
        <is>
          <t>Yürüyüş grubuna bir de mesaj grubu kurdun. Artık sabah altıda kimse yürümüyor; herkes yataktan 'Yürüdünüz mü?' yazıyor.</t>
        </is>
      </c>
      <c r="I1014" s="6" t="inlineStr">
        <is>
          <t>Grubun tüzüğünü yazdın. Madde dört: 'Konu açan, konuyu kapatır.' Kabul edildi.</t>
        </is>
      </c>
      <c r="J1014" s="6" t="inlineStr">
        <is>
          <t>Yürüyüş saatini yediye çektin. Eski üyeler altıda ayrı bir grup kurdu.</t>
        </is>
      </c>
      <c r="K1014" s="6" t="inlineStr">
        <is>
          <t>Rotayı bir inşaat alanından geçirdin. Grup çamura battı, biri tek ayakkabıyla döndü. Ertesi sabah sana bir baret hediye ettiler; takmadan yürümen yasak.</t>
        </is>
      </c>
      <c r="L1014" s="6" t="inlineStr"/>
      <c r="M1014" s="5" t="inlineStr"/>
      <c r="N1014" s="5" t="inlineStr"/>
      <c r="O1014" s="6" t="inlineStr"/>
      <c r="P1014" s="6" t="inlineStr"/>
      <c r="Q1014" s="5" t="inlineStr">
        <is>
          <t>Kuralı Koyan</t>
        </is>
      </c>
      <c r="R1014" s="5" t="inlineStr"/>
      <c r="S1014" s="5" t="inlineStr"/>
      <c r="T1014" s="5" t="inlineStr"/>
      <c r="U1014" s="5" t="inlineStr"/>
      <c r="V1014" s="5" t="inlineStr">
        <is>
          <t>yuruyus-grubu</t>
        </is>
      </c>
      <c r="W1014" s="5" t="inlineStr"/>
      <c r="X1014" s="5" t="inlineStr"/>
      <c r="Y1014" s="5" t="inlineStr"/>
      <c r="Z1014" s="6" t="inlineStr"/>
      <c r="AA1014" s="5" t="inlineStr"/>
      <c r="AB1014" s="5" t="inlineStr"/>
      <c r="AC1014" s="5" t="inlineStr"/>
      <c r="AD1014" s="5" t="inlineStr"/>
      <c r="AE1014" s="5" t="inlineStr"/>
      <c r="AF1014" s="5" t="inlineStr"/>
      <c r="AG1014" s="5" t="inlineStr"/>
      <c r="AH1014" s="5" t="inlineStr"/>
      <c r="AI1014" s="5" t="inlineStr"/>
      <c r="AJ1014" s="5" t="inlineStr"/>
    </row>
    <row r="1015">
      <c r="A1015" s="5" t="inlineStr">
        <is>
          <t>mb-emeklilik-hesabi</t>
        </is>
      </c>
      <c r="B1015" s="5" t="n">
        <v>1</v>
      </c>
      <c r="C1015" s="6" t="inlineStr">
        <is>
          <t>Tarihi kabul et</t>
        </is>
      </c>
      <c r="D1015" s="5" t="inlineStr"/>
      <c r="E1015" s="5" t="inlineStr"/>
      <c r="F1015" s="5" t="inlineStr">
        <is>
          <t>Dayanıklılık +1</t>
        </is>
      </c>
      <c r="G1015" s="6" t="inlineStr">
        <is>
          <t>Tarih beş yıl ileride. Takvime kırmızı kalemle daire çizecektin; takvim o yılı göstermiyor. Bir sonraki takvimi bekliyorsun.</t>
        </is>
      </c>
      <c r="H1015" s="6" t="inlineStr"/>
      <c r="I1015" s="6" t="inlineStr"/>
      <c r="J1015" s="6" t="inlineStr"/>
      <c r="K1015" s="6" t="inlineStr"/>
      <c r="L1015" s="6" t="inlineStr"/>
      <c r="M1015" s="5" t="inlineStr"/>
      <c r="N1015" s="5" t="inlineStr"/>
      <c r="O1015" s="6" t="inlineStr"/>
      <c r="P1015" s="6" t="inlineStr"/>
      <c r="Q1015" s="5" t="inlineStr"/>
      <c r="R1015" s="5" t="inlineStr"/>
      <c r="S1015" s="5" t="inlineStr"/>
      <c r="T1015" s="5" t="inlineStr"/>
      <c r="U1015" s="5" t="inlineStr"/>
      <c r="V1015" s="5" t="inlineStr"/>
      <c r="W1015" s="5" t="inlineStr"/>
      <c r="X1015" s="5" t="inlineStr"/>
      <c r="Y1015" s="5" t="inlineStr"/>
      <c r="Z1015" s="6" t="inlineStr"/>
      <c r="AA1015" s="5" t="inlineStr"/>
      <c r="AB1015" s="5" t="inlineStr"/>
      <c r="AC1015" s="5" t="inlineStr"/>
      <c r="AD1015" s="5" t="inlineStr"/>
      <c r="AE1015" s="5" t="inlineStr"/>
      <c r="AF1015" s="5" t="inlineStr"/>
      <c r="AG1015" s="5" t="inlineStr"/>
      <c r="AH1015" s="5" t="inlineStr"/>
      <c r="AI1015" s="5" t="inlineStr"/>
      <c r="AJ1015" s="5" t="inlineStr"/>
    </row>
    <row r="1016">
      <c r="A1016" s="5" t="inlineStr">
        <is>
          <t>mb-emeklilik-hesabi</t>
        </is>
      </c>
      <c r="B1016" s="5" t="n">
        <v>2</v>
      </c>
      <c r="C1016" s="6" t="inlineStr">
        <is>
          <t>Staj yılının kaydını iste</t>
        </is>
      </c>
      <c r="D1016" s="5" t="inlineStr">
        <is>
          <t>Akıl</t>
        </is>
      </c>
      <c r="E1016" s="5" t="inlineStr">
        <is>
          <t>Orta</t>
        </is>
      </c>
      <c r="F1016" s="5" t="inlineStr"/>
      <c r="G1016" s="6" t="inlineStr"/>
      <c r="H1016" s="6" t="inlineStr">
        <is>
          <t>Stajyerken yatırılan primi buldun. Emekliliğin bir yıl öne çekildi.</t>
        </is>
      </c>
      <c r="I1016" s="6" t="inlineStr">
        <is>
          <t>Staj kaydıyla birlikte unutulmuş bir yarı zamanlı iş de çıktı. Tarih iki yıl öne geldi.</t>
        </is>
      </c>
      <c r="J1016" s="6" t="inlineStr">
        <is>
          <t>Kayıt bulundu ama 'başka bir birimde' duruyor. O birim taşınmış.</t>
        </is>
      </c>
      <c r="K1016" s="6" t="inlineStr">
        <is>
          <t>Kaydı aradılar ve buldular: stajyerken patronun primini hiç yatırmamış. Tarih bir yıl ileri kaydı. O patron geçen ay emekli oldu; davetiye sana da gelmişti.</t>
        </is>
      </c>
      <c r="L1016" s="6" t="inlineStr"/>
      <c r="M1016" s="5" t="inlineStr"/>
      <c r="N1016" s="5" t="inlineStr"/>
      <c r="O1016" s="6" t="inlineStr"/>
      <c r="P1016" s="6" t="inlineStr"/>
      <c r="Q1016" s="5" t="inlineStr"/>
      <c r="R1016" s="5" t="inlineStr"/>
      <c r="S1016" s="5" t="inlineStr">
        <is>
          <t>Akıl</t>
        </is>
      </c>
      <c r="T1016" s="5" t="inlineStr"/>
      <c r="U1016" s="5" t="inlineStr"/>
      <c r="V1016" s="5" t="inlineStr"/>
      <c r="W1016" s="5" t="inlineStr"/>
      <c r="X1016" s="5" t="inlineStr"/>
      <c r="Y1016" s="5" t="inlineStr"/>
      <c r="Z1016" s="6" t="inlineStr"/>
      <c r="AA1016" s="5" t="inlineStr"/>
      <c r="AB1016" s="5" t="inlineStr"/>
      <c r="AC1016" s="5" t="inlineStr"/>
      <c r="AD1016" s="5" t="inlineStr"/>
      <c r="AE1016" s="5" t="inlineStr"/>
      <c r="AF1016" s="5" t="inlineStr"/>
      <c r="AG1016" s="5" t="inlineStr"/>
      <c r="AH1016" s="5" t="inlineStr"/>
      <c r="AI1016" s="5" t="inlineStr"/>
      <c r="AJ1016" s="5" t="inlineStr"/>
    </row>
    <row r="1017">
      <c r="A1017" s="5" t="inlineStr">
        <is>
          <t>mb-emeklilik-hesabi</t>
        </is>
      </c>
      <c r="B1017" s="5" t="n">
        <v>3</v>
      </c>
      <c r="C1017" s="6" t="inlineStr">
        <is>
          <t>Yarı zamanlı danışmanlık planla</t>
        </is>
      </c>
      <c r="D1017" s="5" t="inlineStr">
        <is>
          <t>Kurnazlık</t>
        </is>
      </c>
      <c r="E1017" s="5" t="inlineStr">
        <is>
          <t>Kolay</t>
        </is>
      </c>
      <c r="F1017" s="5" t="inlineStr"/>
      <c r="G1017" s="6" t="inlineStr"/>
      <c r="H1017" s="6" t="inlineStr">
        <is>
          <t>Emekli olup aynı işi danışman olarak yapacaksın. Aynı masa, farklı unvan, saat ücreti.</t>
        </is>
      </c>
      <c r="I1017" s="6" t="inlineStr">
        <is>
          <t>Danışmanlık teklifini daha emekli olmadan imzalattın. Kıdem tazminatı ve saat ücreti bir arada.</t>
        </is>
      </c>
      <c r="J1017" s="6" t="inlineStr">
        <is>
          <t>Plan yaptın; şirket danışmanlığı kaldırdı, yerine bir yazılım aldı. Yazılımın ilk işi senin raporlarını özetlemek oldu: 'Gereksiz.'</t>
        </is>
      </c>
      <c r="K1017" s="6" t="inlineStr">
        <is>
          <t>Danışmanlık teklifini yanlışlıkla kendi yöneticine gönderdin. Yöneticin istifa sandı, kabul etti, veda pastasını da sipariş etti. Emekliliğine beş yıl var; pasta yarın geliyor.</t>
        </is>
      </c>
      <c r="L1017" s="6" t="inlineStr"/>
      <c r="M1017" s="5" t="inlineStr"/>
      <c r="N1017" s="5" t="inlineStr"/>
      <c r="O1017" s="6" t="inlineStr"/>
      <c r="P1017" s="6" t="inlineStr"/>
      <c r="Q1017" s="5" t="inlineStr">
        <is>
          <t>Plaza Diplomatı</t>
        </is>
      </c>
      <c r="R1017" s="5" t="inlineStr"/>
      <c r="S1017" s="5" t="inlineStr"/>
      <c r="T1017" s="5" t="inlineStr"/>
      <c r="U1017" s="5" t="inlineStr"/>
      <c r="V1017" s="5" t="inlineStr"/>
      <c r="W1017" s="5" t="inlineStr"/>
      <c r="X1017" s="5" t="inlineStr"/>
      <c r="Y1017" s="5" t="inlineStr"/>
      <c r="Z1017" s="6" t="inlineStr"/>
      <c r="AA1017" s="5" t="inlineStr"/>
      <c r="AB1017" s="5" t="inlineStr"/>
      <c r="AC1017" s="5" t="inlineStr"/>
      <c r="AD1017" s="5" t="inlineStr"/>
      <c r="AE1017" s="5" t="inlineStr"/>
      <c r="AF1017" s="5" t="inlineStr"/>
      <c r="AG1017" s="5" t="inlineStr"/>
      <c r="AH1017" s="5" t="inlineStr"/>
      <c r="AI1017" s="5" t="inlineStr"/>
      <c r="AJ1017" s="5" t="inlineStr"/>
    </row>
    <row r="1018">
      <c r="A1018" s="5" t="inlineStr">
        <is>
          <t>mm-gun-sayaci</t>
        </is>
      </c>
      <c r="B1018" s="5" t="n">
        <v>1</v>
      </c>
      <c r="C1018" s="6" t="inlineStr">
        <is>
          <t>Bir çizgi daha çek</t>
        </is>
      </c>
      <c r="D1018" s="5" t="inlineStr"/>
      <c r="E1018" s="5" t="inlineStr"/>
      <c r="F1018" s="5" t="inlineStr">
        <is>
          <t>Dayanıklılık +1</t>
        </is>
      </c>
      <c r="G1018" s="6" t="inlineStr">
        <is>
          <t>Bir çizgi daha çektin. Kâğıtta yer kalmadı, yanına ikinci kâğıdı yapıştırdın. Çaycı her sabah tepsiyi bırakırken soruyor: 'Kaç kaldı hocam?' Cevabı artık onun da ezberinde.</t>
        </is>
      </c>
      <c r="H1018" s="6" t="inlineStr"/>
      <c r="I1018" s="6" t="inlineStr"/>
      <c r="J1018" s="6" t="inlineStr"/>
      <c r="K1018" s="6" t="inlineStr"/>
      <c r="L1018" s="6" t="inlineStr"/>
      <c r="M1018" s="5" t="inlineStr"/>
      <c r="N1018" s="5" t="inlineStr"/>
      <c r="O1018" s="6" t="inlineStr"/>
      <c r="P1018" s="6" t="inlineStr"/>
      <c r="Q1018" s="5" t="inlineStr"/>
      <c r="R1018" s="5" t="inlineStr"/>
      <c r="S1018" s="5" t="inlineStr"/>
      <c r="T1018" s="5" t="inlineStr"/>
      <c r="U1018" s="5" t="inlineStr"/>
      <c r="V1018" s="5" t="inlineStr"/>
      <c r="W1018" s="5" t="inlineStr"/>
      <c r="X1018" s="5" t="inlineStr"/>
      <c r="Y1018" s="5" t="inlineStr"/>
      <c r="Z1018" s="6" t="inlineStr"/>
      <c r="AA1018" s="5" t="inlineStr"/>
      <c r="AB1018" s="5" t="inlineStr"/>
      <c r="AC1018" s="5" t="inlineStr"/>
      <c r="AD1018" s="5" t="inlineStr"/>
      <c r="AE1018" s="5" t="inlineStr"/>
      <c r="AF1018" s="5" t="inlineStr"/>
      <c r="AG1018" s="5" t="inlineStr"/>
      <c r="AH1018" s="5" t="inlineStr"/>
      <c r="AI1018" s="5" t="inlineStr"/>
      <c r="AJ1018" s="5" t="inlineStr"/>
    </row>
    <row r="1019">
      <c r="A1019" s="5" t="inlineStr">
        <is>
          <t>mm-gun-sayaci</t>
        </is>
      </c>
      <c r="B1019" s="5" t="n">
        <v>2</v>
      </c>
      <c r="C1019" s="6" t="inlineStr">
        <is>
          <t>Sayacı bilgisayara taşı</t>
        </is>
      </c>
      <c r="D1019" s="5" t="inlineStr">
        <is>
          <t>Akıl</t>
        </is>
      </c>
      <c r="E1019" s="5" t="inlineStr">
        <is>
          <t>Kolay</t>
        </is>
      </c>
      <c r="F1019" s="5" t="inlineStr"/>
      <c r="G1019" s="6" t="inlineStr"/>
      <c r="H1019" s="6" t="inlineStr">
        <is>
          <t>Saat, dakika, saniye. Mesai bitince ekranda konfeti patlıyor. Yan masa her akşam 16.59'da sandalyesini çevirip izliyor.</t>
        </is>
      </c>
      <c r="I1019" s="6" t="inlineStr">
        <is>
          <t>Sayacı bilgisayarın açılış ekranına koydun; bilgi işlemdeki genç beğenip bütün daireye kurdu. Artık her sabah kırk ekranda aynı anda senin emekliliğin sayılıyor. Müdür kendi sayacını istedi.</t>
        </is>
      </c>
      <c r="J1019" s="6" t="inlineStr">
        <is>
          <t>Sistem çöktüğünde sayaç da sıfırlandı. Kalan gün: bilinmiyor.</t>
        </is>
      </c>
      <c r="K1019" s="6" t="inlineStr">
        <is>
          <t>Sayacı yanlış ayarladın; ekran emekliliğe 4.160 gün diyor. Bir hafta kimseyle konuşmadın. Yan masa hatayı ilk gün gördü ama bir hafta söylemedi.</t>
        </is>
      </c>
      <c r="L1019" s="6" t="inlineStr"/>
      <c r="M1019" s="5" t="inlineStr"/>
      <c r="N1019" s="5" t="inlineStr"/>
      <c r="O1019" s="6" t="inlineStr"/>
      <c r="P1019" s="6" t="inlineStr"/>
      <c r="Q1019" s="5" t="inlineStr"/>
      <c r="R1019" s="5" t="inlineStr"/>
      <c r="S1019" s="5" t="inlineStr"/>
      <c r="T1019" s="5" t="inlineStr"/>
      <c r="U1019" s="5" t="inlineStr"/>
      <c r="V1019" s="5" t="inlineStr"/>
      <c r="W1019" s="5" t="inlineStr"/>
      <c r="X1019" s="5" t="inlineStr"/>
      <c r="Y1019" s="5" t="inlineStr"/>
      <c r="Z1019" s="6" t="inlineStr"/>
      <c r="AA1019" s="5" t="inlineStr"/>
      <c r="AB1019" s="5" t="inlineStr"/>
      <c r="AC1019" s="5" t="inlineStr"/>
      <c r="AD1019" s="5" t="inlineStr"/>
      <c r="AE1019" s="5" t="inlineStr"/>
      <c r="AF1019" s="5" t="inlineStr"/>
      <c r="AG1019" s="5" t="inlineStr"/>
      <c r="AH1019" s="5" t="inlineStr"/>
      <c r="AI1019" s="5" t="inlineStr"/>
      <c r="AJ1019" s="5" t="inlineStr"/>
    </row>
    <row r="1020">
      <c r="A1020" s="5" t="inlineStr">
        <is>
          <t>mm-gun-sayaci</t>
        </is>
      </c>
      <c r="B1020" s="5" t="n">
        <v>3</v>
      </c>
      <c r="C1020" s="6" t="inlineStr">
        <is>
          <t>Yan masayla yarış başlat</t>
        </is>
      </c>
      <c r="D1020" s="5" t="inlineStr">
        <is>
          <t>Çene</t>
        </is>
      </c>
      <c r="E1020" s="5" t="inlineStr">
        <is>
          <t>Orta</t>
        </is>
      </c>
      <c r="F1020" s="5" t="inlineStr"/>
      <c r="G1020" s="6" t="inlineStr"/>
      <c r="H1020" s="6" t="inlineStr">
        <is>
          <t>'Kim önce emekli olacak' yarışını duyurdun. Daire ikiye bölündü; çaycı tarafını belli etti: senin çayın artık iki şekerli geliyor.</t>
        </is>
      </c>
      <c r="I1020" s="6" t="inlineStr">
        <is>
          <t>Yan masayla ortak geri sayım panosu kurdunuz. Müdür bile her sabah bir çizgi çekiyor.</t>
        </is>
      </c>
      <c r="J1020" s="6" t="inlineStr">
        <is>
          <t>Yan masa kazandı. Tabii ki. Üç yüz gün öndeydi.</t>
        </is>
      </c>
      <c r="K1020" s="6" t="inlineStr">
        <is>
          <t>Yarış öyle kızıştı ki yan masa emeklilik dilekçesini erken verdi. Onun dosyaları artık sende.</t>
        </is>
      </c>
      <c r="L1020" s="6" t="inlineStr"/>
      <c r="M1020" s="5" t="inlineStr"/>
      <c r="N1020" s="5" t="inlineStr"/>
      <c r="O1020" s="6" t="inlineStr"/>
      <c r="P1020" s="6" t="inlineStr"/>
      <c r="Q1020" s="5" t="inlineStr"/>
      <c r="R1020" s="5" t="inlineStr"/>
      <c r="S1020" s="5" t="inlineStr">
        <is>
          <t>Sosyal Radar</t>
        </is>
      </c>
      <c r="T1020" s="5" t="inlineStr"/>
      <c r="U1020" s="5" t="inlineStr"/>
      <c r="V1020" s="5" t="inlineStr"/>
      <c r="W1020" s="5" t="inlineStr"/>
      <c r="X1020" s="5" t="inlineStr"/>
      <c r="Y1020" s="5" t="inlineStr"/>
      <c r="Z1020" s="6" t="inlineStr"/>
      <c r="AA1020" s="5" t="inlineStr"/>
      <c r="AB1020" s="5" t="inlineStr"/>
      <c r="AC1020" s="5" t="inlineStr"/>
      <c r="AD1020" s="5" t="inlineStr"/>
      <c r="AE1020" s="5" t="inlineStr"/>
      <c r="AF1020" s="5" t="inlineStr"/>
      <c r="AG1020" s="5" t="inlineStr"/>
      <c r="AH1020" s="5" t="inlineStr"/>
      <c r="AI1020" s="5" t="inlineStr"/>
      <c r="AJ1020" s="5" t="inlineStr"/>
    </row>
    <row r="1021">
      <c r="A1021" s="5" t="inlineStr">
        <is>
          <t>mm-gun-sayaci</t>
        </is>
      </c>
      <c r="B1021" s="5" t="n">
        <v>4</v>
      </c>
      <c r="C1021" s="6" t="inlineStr">
        <is>
          <t>Hizmet borçlanmasını hesapla</t>
        </is>
      </c>
      <c r="D1021" s="5" t="inlineStr">
        <is>
          <t>Akıl</t>
        </is>
      </c>
      <c r="E1021" s="5" t="inlineStr">
        <is>
          <t>Orta</t>
        </is>
      </c>
      <c r="F1021" s="5" t="inlineStr"/>
      <c r="G1021" s="6" t="inlineStr"/>
      <c r="H1021" s="6" t="inlineStr">
        <is>
          <t>Staj ve eski hizmet sürelerini ekledin. Sayaç bir gecede dört yüz gün eksildi.</t>
        </is>
      </c>
      <c r="I1021" s="6" t="inlineStr">
        <is>
          <t>Mevzuatta öyle bir madde buldun ki emekliliğin iki yıl öne çekildi. Kâğıdı yeniden yazman gerekti.</t>
        </is>
      </c>
      <c r="J1021" s="6" t="inlineStr">
        <is>
          <t>Hesap doğru ama borçlanma bedeli bir arabalık. Sayaç yerinde, hayal yerinde.</t>
        </is>
      </c>
      <c r="K1021" s="6" t="inlineStr">
        <is>
          <t>Hesabı yaparken yeni bir değişikliği gözden kaçırdın. Sayaç iki yüz gün arttı.</t>
        </is>
      </c>
      <c r="L1021" s="6" t="inlineStr"/>
      <c r="M1021" s="5" t="inlineStr"/>
      <c r="N1021" s="5" t="inlineStr"/>
      <c r="O1021" s="6" t="inlineStr"/>
      <c r="P1021" s="6" t="inlineStr"/>
      <c r="Q1021" s="5" t="inlineStr">
        <is>
          <t>Mevzuat Kalkanı</t>
        </is>
      </c>
      <c r="R1021" s="5" t="inlineStr"/>
      <c r="S1021" s="5" t="inlineStr"/>
      <c r="T1021" s="5" t="inlineStr"/>
      <c r="U1021" s="5" t="inlineStr"/>
      <c r="V1021" s="5" t="inlineStr"/>
      <c r="W1021" s="5" t="inlineStr"/>
      <c r="X1021" s="5" t="inlineStr"/>
      <c r="Y1021" s="5" t="inlineStr"/>
      <c r="Z1021" s="6" t="inlineStr"/>
      <c r="AA1021" s="5" t="inlineStr"/>
      <c r="AB1021" s="5" t="inlineStr"/>
      <c r="AC1021" s="5" t="inlineStr"/>
      <c r="AD1021" s="5" t="inlineStr"/>
      <c r="AE1021" s="5" t="inlineStr"/>
      <c r="AF1021" s="5" t="inlineStr"/>
      <c r="AG1021" s="5" t="inlineStr"/>
      <c r="AH1021" s="5" t="inlineStr"/>
      <c r="AI1021" s="5" t="inlineStr"/>
      <c r="AJ1021" s="5" t="inlineStr"/>
    </row>
    <row r="1022">
      <c r="A1022" s="5" t="inlineStr">
        <is>
          <t>b9-doktor-randevusu</t>
        </is>
      </c>
      <c r="B1022" s="5" t="n">
        <v>1</v>
      </c>
      <c r="C1022" s="6" t="inlineStr">
        <is>
          <t>Gece yarısı iptal avına çık</t>
        </is>
      </c>
      <c r="D1022" s="5" t="inlineStr">
        <is>
          <t>Akıl</t>
        </is>
      </c>
      <c r="E1022" s="5" t="inlineStr">
        <is>
          <t>Zor</t>
        </is>
      </c>
      <c r="F1022" s="5" t="inlineStr"/>
      <c r="G1022" s="6" t="inlineStr"/>
      <c r="H1022" s="6" t="inlineStr">
        <is>
          <t>Gece 02.14'te bir iptal yakaladın, sabah muayenedeydin. Doktor 'Çok uykusuz görünüyorsunuz' dedi ve yeni bir randevu yazdı.</t>
        </is>
      </c>
      <c r="I1022" s="6" t="inlineStr">
        <is>
          <t>İptalleri koklar oldun. Artık bütün akraba randevu için seni arıyor; halanın kızı gece ikide 'Uyanık mısın?' yazıyor. Uyanıksın.</t>
        </is>
      </c>
      <c r="J1022" s="6" t="inlineStr">
        <is>
          <t>İptali gördün, dokundun, 'İşlem zaman aşımına uğradı' dedi uygulama.</t>
        </is>
      </c>
      <c r="K1022" s="6" t="inlineStr">
        <is>
          <t>Gece uyanık kaldın, sabah uyuyakaldın; dört ayda bulduğun randevuyu kaçırdın. Öğlen uygulama kibarca sordu: 'Muayenenizi değerlendirin.' Bir yıldız verdin; kendine.</t>
        </is>
      </c>
      <c r="L1022" s="6" t="inlineStr"/>
      <c r="M1022" s="5" t="inlineStr"/>
      <c r="N1022" s="5" t="inlineStr"/>
      <c r="O1022" s="6" t="inlineStr"/>
      <c r="P1022" s="6" t="inlineStr"/>
      <c r="Q1022" s="5" t="inlineStr"/>
      <c r="R1022" s="5" t="inlineStr"/>
      <c r="S1022" s="5" t="inlineStr"/>
      <c r="T1022" s="5" t="inlineStr">
        <is>
          <t>Randevu Avcısı</t>
        </is>
      </c>
      <c r="U1022" s="5" t="inlineStr"/>
      <c r="V1022" s="5" t="inlineStr"/>
      <c r="W1022" s="5" t="inlineStr"/>
      <c r="X1022" s="5" t="inlineStr"/>
      <c r="Y1022" s="5" t="inlineStr"/>
      <c r="Z1022" s="6" t="inlineStr"/>
      <c r="AA1022" s="5" t="inlineStr"/>
      <c r="AB1022" s="5" t="inlineStr"/>
      <c r="AC1022" s="5" t="inlineStr"/>
      <c r="AD1022" s="5" t="inlineStr"/>
      <c r="AE1022" s="5" t="inlineStr"/>
      <c r="AF1022" s="5" t="inlineStr"/>
      <c r="AG1022" s="5" t="inlineStr"/>
      <c r="AH1022" s="5" t="inlineStr"/>
      <c r="AI1022" s="5" t="inlineStr"/>
      <c r="AJ1022" s="5" t="inlineStr"/>
    </row>
    <row r="1023">
      <c r="A1023" s="5" t="inlineStr">
        <is>
          <t>b9-doktor-randevusu</t>
        </is>
      </c>
      <c r="B1023" s="5" t="n">
        <v>2</v>
      </c>
      <c r="C1023" s="6" t="inlineStr">
        <is>
          <t>Hastaneye bizzat git</t>
        </is>
      </c>
      <c r="D1023" s="5" t="inlineStr"/>
      <c r="E1023" s="5" t="inlineStr"/>
      <c r="F1023" s="5" t="inlineStr">
        <is>
          <t>Dayanıklılık +1</t>
        </is>
      </c>
      <c r="G1023" s="6" t="inlineStr">
        <is>
          <t>Hastaneye gittin. Kapıda sana bir kâğıt verildi. Kâğıtta uygulamanın adresi yazıyordu.</t>
        </is>
      </c>
      <c r="H1023" s="6" t="inlineStr"/>
      <c r="I1023" s="6" t="inlineStr"/>
      <c r="J1023" s="6" t="inlineStr"/>
      <c r="K1023" s="6" t="inlineStr"/>
      <c r="L1023" s="6" t="inlineStr"/>
      <c r="M1023" s="5" t="inlineStr"/>
      <c r="N1023" s="5" t="inlineStr"/>
      <c r="O1023" s="6" t="inlineStr"/>
      <c r="P1023" s="6" t="inlineStr"/>
      <c r="Q1023" s="5" t="inlineStr"/>
      <c r="R1023" s="5" t="inlineStr"/>
      <c r="S1023" s="5" t="inlineStr"/>
      <c r="T1023" s="5" t="inlineStr"/>
      <c r="U1023" s="5" t="inlineStr"/>
      <c r="V1023" s="5" t="inlineStr"/>
      <c r="W1023" s="5" t="inlineStr"/>
      <c r="X1023" s="5" t="inlineStr"/>
      <c r="Y1023" s="5" t="inlineStr"/>
      <c r="Z1023" s="6" t="inlineStr"/>
      <c r="AA1023" s="5" t="inlineStr"/>
      <c r="AB1023" s="5" t="inlineStr"/>
      <c r="AC1023" s="5" t="inlineStr"/>
      <c r="AD1023" s="5" t="inlineStr"/>
      <c r="AE1023" s="5" t="inlineStr"/>
      <c r="AF1023" s="5" t="inlineStr"/>
      <c r="AG1023" s="5" t="inlineStr"/>
      <c r="AH1023" s="5" t="inlineStr"/>
      <c r="AI1023" s="5" t="inlineStr"/>
      <c r="AJ1023" s="5" t="inlineStr"/>
    </row>
    <row r="1024">
      <c r="A1024" s="5" t="inlineStr">
        <is>
          <t>b9-doktor-randevusu</t>
        </is>
      </c>
      <c r="B1024" s="5" t="n">
        <v>3</v>
      </c>
      <c r="C1024" s="6" t="inlineStr">
        <is>
          <t>Tanıdık bir hemşireyi ara</t>
        </is>
      </c>
      <c r="D1024" s="5" t="inlineStr">
        <is>
          <t>Sosyal Radar</t>
        </is>
      </c>
      <c r="E1024" s="5" t="inlineStr">
        <is>
          <t>Orta</t>
        </is>
      </c>
      <c r="F1024" s="5" t="inlineStr"/>
      <c r="G1024" s="6" t="inlineStr"/>
      <c r="H1024" s="6" t="inlineStr">
        <is>
          <t>Tanıdığın tanıdığı randevuyu ertesi haftaya çekti. Karşılığında kızının düğününe davetlisin; takı bekleniyor.</t>
        </is>
      </c>
      <c r="I1024" s="6" t="inlineStr">
        <is>
          <t>Hemşire hem randevu ayarladı hem bekleme salonunda sana çay getirdi. Sıradakiler seni müdürün akrabası sandı.</t>
        </is>
      </c>
      <c r="J1024" s="6" t="inlineStr">
        <is>
          <t>Tanıdığın hemşire iki yıl önce emekli olmuş. Sana emeklilik hakkında yarım saat bilgi verdi.</t>
        </is>
      </c>
      <c r="K1024" s="6" t="inlineStr">
        <is>
          <t>Aradığın hemşire seni tanımadı ama kibarlıktan tanımış gibi yaptı. Yarım saat konuştunuz. Randevun yok; oğluna iş bulman bekleniyor.</t>
        </is>
      </c>
      <c r="L1024" s="6" t="inlineStr"/>
      <c r="M1024" s="5" t="inlineStr"/>
      <c r="N1024" s="5" t="inlineStr"/>
      <c r="O1024" s="6" t="inlineStr"/>
      <c r="P1024" s="6" t="inlineStr"/>
      <c r="Q1024" s="5" t="inlineStr">
        <is>
          <t>Odayı Okur</t>
        </is>
      </c>
      <c r="R1024" s="5" t="inlineStr"/>
      <c r="S1024" s="5" t="inlineStr"/>
      <c r="T1024" s="5" t="inlineStr"/>
      <c r="U1024" s="5" t="inlineStr"/>
      <c r="V1024" s="5" t="inlineStr"/>
      <c r="W1024" s="5" t="inlineStr"/>
      <c r="X1024" s="5" t="inlineStr"/>
      <c r="Y1024" s="5" t="inlineStr"/>
      <c r="Z1024" s="6" t="inlineStr"/>
      <c r="AA1024" s="5" t="inlineStr"/>
      <c r="AB1024" s="5" t="inlineStr"/>
      <c r="AC1024" s="5" t="inlineStr"/>
      <c r="AD1024" s="5" t="inlineStr"/>
      <c r="AE1024" s="5" t="inlineStr"/>
      <c r="AF1024" s="5" t="inlineStr"/>
      <c r="AG1024" s="5" t="inlineStr"/>
      <c r="AH1024" s="5" t="inlineStr"/>
      <c r="AI1024" s="5" t="inlineStr"/>
      <c r="AJ1024" s="5" t="inlineStr"/>
    </row>
    <row r="1025">
      <c r="A1025" s="5" t="inlineStr">
        <is>
          <t>b9-ilk-torun</t>
        </is>
      </c>
      <c r="B1025" s="5" t="n">
        <v>1</v>
      </c>
      <c r="C1025" s="6" t="inlineStr">
        <is>
          <t>Kucağına al, ağla</t>
        </is>
      </c>
      <c r="D1025" s="5" t="inlineStr"/>
      <c r="E1025" s="5" t="inlineStr"/>
      <c r="F1025" s="5" t="inlineStr">
        <is>
          <t>Gönül +1</t>
        </is>
      </c>
      <c r="G1025" s="6" t="inlineStr">
        <is>
          <t>Kucağına aldın ve ağladın. Fotoğraflarda sen bebekten daha çok ağlıyorsun.</t>
        </is>
      </c>
      <c r="H1025" s="6" t="inlineStr"/>
      <c r="I1025" s="6" t="inlineStr"/>
      <c r="J1025" s="6" t="inlineStr"/>
      <c r="K1025" s="6" t="inlineStr"/>
      <c r="L1025" s="6" t="inlineStr"/>
      <c r="M1025" s="5" t="inlineStr"/>
      <c r="N1025" s="5" t="inlineStr"/>
      <c r="O1025" s="6" t="inlineStr"/>
      <c r="P1025" s="6" t="inlineStr"/>
      <c r="Q1025" s="5" t="inlineStr"/>
      <c r="R1025" s="5" t="inlineStr"/>
      <c r="S1025" s="5" t="inlineStr"/>
      <c r="T1025" s="5" t="inlineStr"/>
      <c r="U1025" s="5" t="inlineStr">
        <is>
          <t>torunlu</t>
        </is>
      </c>
      <c r="V1025" s="5" t="inlineStr"/>
      <c r="W1025" s="5" t="inlineStr"/>
      <c r="X1025" s="5" t="inlineStr"/>
      <c r="Y1025" s="5" t="inlineStr"/>
      <c r="Z1025" s="6" t="inlineStr"/>
      <c r="AA1025" s="5" t="inlineStr"/>
      <c r="AB1025" s="5" t="inlineStr"/>
      <c r="AC1025" s="5" t="inlineStr"/>
      <c r="AD1025" s="5" t="inlineStr"/>
      <c r="AE1025" s="5" t="inlineStr"/>
      <c r="AF1025" s="5" t="inlineStr"/>
      <c r="AG1025" s="5" t="inlineStr"/>
      <c r="AH1025" s="5" t="inlineStr"/>
      <c r="AI1025" s="5" t="inlineStr"/>
      <c r="AJ1025" s="5" t="inlineStr"/>
    </row>
    <row r="1026">
      <c r="A1026" s="5" t="inlineStr">
        <is>
          <t>b9-ilk-torun</t>
        </is>
      </c>
      <c r="B1026" s="5" t="n">
        <v>2</v>
      </c>
      <c r="C1026" s="6" t="inlineStr">
        <is>
          <t>İsim önerisini yap</t>
        </is>
      </c>
      <c r="D1026" s="5" t="inlineStr">
        <is>
          <t>Çene</t>
        </is>
      </c>
      <c r="E1026" s="5" t="inlineStr">
        <is>
          <t>Zor</t>
        </is>
      </c>
      <c r="F1026" s="5" t="inlineStr"/>
      <c r="G1026" s="6" t="inlineStr"/>
      <c r="H1026" s="6" t="inlineStr">
        <is>
          <t>Önerdiğin isim ikinci isim olarak kabul edildi. Nüfus kaydında bir satır senin.</t>
        </is>
      </c>
      <c r="I1026" s="6" t="inlineStr">
        <is>
          <t>İsmi sen koydun. Dünürün itiraz etmek için ağzını açtı; bebek tam o an gülümsedi. Kimse bir şey diyemedi.</t>
        </is>
      </c>
      <c r="J1026" s="6" t="inlineStr">
        <is>
          <t>Önerini sundun. 'Çok eski' dendi. Önerdiğin isim, çocuğunun ismiydi.</t>
        </is>
      </c>
      <c r="K1026" s="6" t="inlineStr">
        <is>
          <t>Önerdiğin ismi yüksek sesle söyledin. Dünürün yüzü düştü: kedilerinin adıymış. Bebek o günden beri dünür tarafında 'Pisi' diye seviliyor.</t>
        </is>
      </c>
      <c r="L1026" s="6" t="inlineStr"/>
      <c r="M1026" s="5" t="inlineStr"/>
      <c r="N1026" s="5" t="inlineStr"/>
      <c r="O1026" s="6" t="inlineStr"/>
      <c r="P1026" s="6" t="inlineStr"/>
      <c r="Q1026" s="5" t="inlineStr"/>
      <c r="R1026" s="5" t="inlineStr"/>
      <c r="S1026" s="5" t="inlineStr"/>
      <c r="T1026" s="5" t="inlineStr"/>
      <c r="U1026" s="5" t="inlineStr">
        <is>
          <t>torunlu</t>
        </is>
      </c>
      <c r="V1026" s="5" t="inlineStr"/>
      <c r="W1026" s="5" t="inlineStr"/>
      <c r="X1026" s="5" t="inlineStr"/>
      <c r="Y1026" s="5" t="inlineStr"/>
      <c r="Z1026" s="6" t="inlineStr"/>
      <c r="AA1026" s="5" t="inlineStr"/>
      <c r="AB1026" s="5" t="inlineStr"/>
      <c r="AC1026" s="5" t="inlineStr"/>
      <c r="AD1026" s="5" t="inlineStr"/>
      <c r="AE1026" s="5" t="inlineStr"/>
      <c r="AF1026" s="5" t="inlineStr"/>
      <c r="AG1026" s="5" t="inlineStr"/>
      <c r="AH1026" s="5" t="inlineStr"/>
      <c r="AI1026" s="5" t="inlineStr"/>
      <c r="AJ1026" s="5" t="inlineStr"/>
    </row>
    <row r="1027">
      <c r="A1027" s="5" t="inlineStr">
        <is>
          <t>b9-ilk-torun</t>
        </is>
      </c>
      <c r="B1027" s="5" t="n">
        <v>3</v>
      </c>
      <c r="C1027" s="6" t="inlineStr">
        <is>
          <t>Bebeğin kime benzediğini ilan et</t>
        </is>
      </c>
      <c r="D1027" s="5" t="inlineStr">
        <is>
          <t>Sosyal Radar</t>
        </is>
      </c>
      <c r="E1027" s="5" t="inlineStr">
        <is>
          <t>Orta</t>
        </is>
      </c>
      <c r="F1027" s="5" t="inlineStr"/>
      <c r="G1027" s="6" t="inlineStr"/>
      <c r="H1027" s="6" t="inlineStr">
        <is>
          <t>'Bizim tarafa benziyor' dedin. Dünürün hemen telefonunu çıkarıp kendi bebeklik fotoğrafını gösterdi. Hastane koridorunda fotoğraf yarışı başladı.</t>
        </is>
      </c>
      <c r="I1027" s="6" t="inlineStr">
        <is>
          <t>'Herkese biraz benziyor' dedin. İki taraf da başını salladı, iki dünür de seni yemeğe çağırdı. Aynı akşama.</t>
        </is>
      </c>
      <c r="J1027" s="6" t="inlineStr">
        <is>
          <t>'Kulakları bizden' dedin. Dünür bebeğin şapkasını kaldırdı, baktı; sonra senin kulaklarına baktı. Şapkayı sessizce geri taktı.</t>
        </is>
      </c>
      <c r="K1027" s="6" t="inlineStr">
        <is>
          <t>'Tıpkı Sabri Amca' dedin. Oda buz kesti; Sabri Amca miras yüzünden yıllardır kimseyle konuşmuyor. Dünürün bebeği kucağından usulca geri aldı.</t>
        </is>
      </c>
      <c r="L1027" s="6" t="inlineStr"/>
      <c r="M1027" s="5" t="inlineStr"/>
      <c r="N1027" s="5" t="inlineStr"/>
      <c r="O1027" s="6" t="inlineStr"/>
      <c r="P1027" s="6" t="inlineStr"/>
      <c r="Q1027" s="5" t="inlineStr"/>
      <c r="R1027" s="5" t="inlineStr"/>
      <c r="S1027" s="5" t="inlineStr"/>
      <c r="T1027" s="5" t="inlineStr"/>
      <c r="U1027" s="5" t="inlineStr">
        <is>
          <t>torunlu</t>
        </is>
      </c>
      <c r="V1027" s="5" t="inlineStr"/>
      <c r="W1027" s="5" t="inlineStr"/>
      <c r="X1027" s="5" t="inlineStr"/>
      <c r="Y1027" s="5" t="inlineStr"/>
      <c r="Z1027" s="6" t="inlineStr"/>
      <c r="AA1027" s="5" t="inlineStr"/>
      <c r="AB1027" s="5" t="inlineStr"/>
      <c r="AC1027" s="5" t="inlineStr"/>
      <c r="AD1027" s="5" t="inlineStr"/>
      <c r="AE1027" s="5" t="inlineStr"/>
      <c r="AF1027" s="5" t="inlineStr"/>
      <c r="AG1027" s="5" t="inlineStr"/>
      <c r="AH1027" s="5" t="inlineStr"/>
      <c r="AI1027" s="5" t="inlineStr"/>
      <c r="AJ1027" s="5" t="inlineStr"/>
    </row>
    <row r="1028">
      <c r="A1028" s="5" t="inlineStr">
        <is>
          <t>ms-emeklilik-yok</t>
        </is>
      </c>
      <c r="B1028" s="5" t="n">
        <v>1</v>
      </c>
      <c r="C1028" s="6" t="inlineStr">
        <is>
          <t>Planı 'hep üretmek' olarak güncelle</t>
        </is>
      </c>
      <c r="D1028" s="5" t="inlineStr"/>
      <c r="E1028" s="5" t="inlineStr"/>
      <c r="F1028" s="5" t="inlineStr">
        <is>
          <t>Dayanıklılık +1</t>
        </is>
      </c>
      <c r="G1028" s="6" t="inlineStr">
        <is>
          <t>Emeklilik planına tek satır yazdın: 'Devam.' Muhasebecin okudu, 'En gerçekçi plan bu' dedi ve kendi planını da öyle değiştirdi.</t>
        </is>
      </c>
      <c r="H1028" s="6" t="inlineStr"/>
      <c r="I1028" s="6" t="inlineStr"/>
      <c r="J1028" s="6" t="inlineStr"/>
      <c r="K1028" s="6" t="inlineStr"/>
      <c r="L1028" s="6" t="inlineStr"/>
      <c r="M1028" s="5" t="inlineStr"/>
      <c r="N1028" s="5" t="inlineStr"/>
      <c r="O1028" s="6" t="inlineStr"/>
      <c r="P1028" s="6" t="inlineStr"/>
      <c r="Q1028" s="5" t="inlineStr"/>
      <c r="R1028" s="5" t="inlineStr"/>
      <c r="S1028" s="5" t="inlineStr"/>
      <c r="T1028" s="5" t="inlineStr"/>
      <c r="U1028" s="5" t="inlineStr"/>
      <c r="V1028" s="5" t="inlineStr"/>
      <c r="W1028" s="5" t="inlineStr"/>
      <c r="X1028" s="5" t="inlineStr"/>
      <c r="Y1028" s="5" t="inlineStr"/>
      <c r="Z1028" s="6" t="inlineStr"/>
      <c r="AA1028" s="5" t="inlineStr"/>
      <c r="AB1028" s="5" t="inlineStr"/>
      <c r="AC1028" s="5" t="inlineStr"/>
      <c r="AD1028" s="5" t="inlineStr"/>
      <c r="AE1028" s="5" t="inlineStr"/>
      <c r="AF1028" s="5" t="inlineStr"/>
      <c r="AG1028" s="5" t="inlineStr"/>
      <c r="AH1028" s="5" t="inlineStr"/>
      <c r="AI1028" s="5" t="inlineStr"/>
      <c r="AJ1028" s="5" t="inlineStr"/>
    </row>
    <row r="1029">
      <c r="A1029" s="5" t="inlineStr">
        <is>
          <t>ms-emeklilik-yok</t>
        </is>
      </c>
      <c r="B1029" s="5" t="n">
        <v>2</v>
      </c>
      <c r="C1029" s="6" t="inlineStr">
        <is>
          <t>Eski eserlerini sat</t>
        </is>
      </c>
      <c r="D1029" s="5" t="inlineStr">
        <is>
          <t>Kurnazlık</t>
        </is>
      </c>
      <c r="E1029" s="5" t="inlineStr">
        <is>
          <t>Orta</t>
        </is>
      </c>
      <c r="F1029" s="5" t="inlineStr"/>
      <c r="G1029" s="6" t="inlineStr"/>
      <c r="H1029" s="6" t="inlineStr">
        <is>
          <t>Depodaki eserler koleksiyonculara gitti; bir yıllık kira çıktı. Depo boşaldı, içine ilk kez araba girdi.</t>
        </is>
      </c>
      <c r="I1029" s="6" t="inlineStr">
        <is>
          <t>Otuz yıl önce satamadığın eser, bugün o günkü fiyatının yirmi katına satıldı. Alıcı, o gün 'pahalı' diyen adammış.</t>
        </is>
      </c>
      <c r="J1029" s="6" t="inlineStr">
        <is>
          <t>Eserleri satışa koydun; alıcılar 'İmzalı mı?' diye sordu. İmzalamayı unutmuşsun. Otuz yıl boyunca.</t>
        </is>
      </c>
      <c r="K1029" s="6" t="inlineStr">
        <is>
          <t>Eserleri sattın; bir yıl sonra değeri üçe katlandı. Alıcı teşekkür mesajı yolladı.</t>
        </is>
      </c>
      <c r="L1029" s="6" t="inlineStr"/>
      <c r="M1029" s="5" t="inlineStr"/>
      <c r="N1029" s="5" t="inlineStr"/>
      <c r="O1029" s="6" t="inlineStr"/>
      <c r="P1029" s="6" t="inlineStr"/>
      <c r="Q1029" s="5" t="inlineStr"/>
      <c r="R1029" s="5" t="inlineStr"/>
      <c r="S1029" s="5" t="inlineStr"/>
      <c r="T1029" s="5" t="inlineStr"/>
      <c r="U1029" s="5" t="inlineStr"/>
      <c r="V1029" s="5" t="inlineStr"/>
      <c r="W1029" s="5" t="inlineStr"/>
      <c r="X1029" s="5" t="inlineStr"/>
      <c r="Y1029" s="5" t="inlineStr"/>
      <c r="Z1029" s="6" t="inlineStr"/>
      <c r="AA1029" s="5" t="inlineStr"/>
      <c r="AB1029" s="5" t="inlineStr"/>
      <c r="AC1029" s="5" t="inlineStr"/>
      <c r="AD1029" s="5" t="inlineStr"/>
      <c r="AE1029" s="5" t="inlineStr"/>
      <c r="AF1029" s="5" t="inlineStr"/>
      <c r="AG1029" s="5" t="inlineStr"/>
      <c r="AH1029" s="5" t="inlineStr"/>
      <c r="AI1029" s="5" t="inlineStr"/>
      <c r="AJ1029" s="5" t="inlineStr"/>
    </row>
    <row r="1030">
      <c r="A1030" s="5" t="inlineStr">
        <is>
          <t>ms-emeklilik-yok</t>
        </is>
      </c>
      <c r="B1030" s="5" t="n">
        <v>3</v>
      </c>
      <c r="C1030" s="6" t="inlineStr">
        <is>
          <t>Gençlere serbest çalışma dersi ver</t>
        </is>
      </c>
      <c r="D1030" s="5" t="inlineStr">
        <is>
          <t>Çene</t>
        </is>
      </c>
      <c r="E1030" s="5" t="inlineStr">
        <is>
          <t>Kolay</t>
        </is>
      </c>
      <c r="F1030" s="5" t="inlineStr"/>
      <c r="G1030" s="6" t="inlineStr"/>
      <c r="H1030" s="6" t="inlineStr">
        <is>
          <t>İlk dersin konusu: fatura. İkinci dersin konusu: faturayı tahsil etmek. Üçüncü ders hiç bitmedi.</t>
        </is>
      </c>
      <c r="I1030" s="6" t="inlineStr">
        <is>
          <t>Dersin dolup taştı. Ders ücretini peşin aldın; hayatında ilk kez.</t>
        </is>
      </c>
      <c r="J1030" s="6" t="inlineStr">
        <is>
          <t>Öğrencilerden biri sordu: 'Bunu yapay zekâya sorsak olmaz mı?' Oldu.</t>
        </is>
      </c>
      <c r="K1030" s="6" t="inlineStr">
        <is>
          <t>Dersin sonunda öğrenciler sana 'Görünürlük sağlarız' dedi ve ücret ödemedi.</t>
        </is>
      </c>
      <c r="L1030" s="6" t="inlineStr"/>
      <c r="M1030" s="5" t="inlineStr"/>
      <c r="N1030" s="5" t="inlineStr"/>
      <c r="O1030" s="6" t="inlineStr"/>
      <c r="P1030" s="6" t="inlineStr"/>
      <c r="Q1030" s="5" t="inlineStr"/>
      <c r="R1030" s="5" t="inlineStr"/>
      <c r="S1030" s="5" t="inlineStr"/>
      <c r="T1030" s="5" t="inlineStr"/>
      <c r="U1030" s="5" t="inlineStr"/>
      <c r="V1030" s="5" t="inlineStr"/>
      <c r="W1030" s="5" t="inlineStr"/>
      <c r="X1030" s="5" t="inlineStr"/>
      <c r="Y1030" s="5" t="inlineStr"/>
      <c r="Z1030" s="6" t="inlineStr"/>
      <c r="AA1030" s="5" t="inlineStr"/>
      <c r="AB1030" s="5" t="inlineStr"/>
      <c r="AC1030" s="5" t="inlineStr"/>
      <c r="AD1030" s="5" t="inlineStr"/>
      <c r="AE1030" s="5" t="inlineStr"/>
      <c r="AF1030" s="5" t="inlineStr"/>
      <c r="AG1030" s="5" t="inlineStr"/>
      <c r="AH1030" s="5" t="inlineStr"/>
      <c r="AI1030" s="5" t="inlineStr"/>
      <c r="AJ1030" s="5" t="inlineStr"/>
    </row>
    <row r="1031">
      <c r="A1031" s="5" t="inlineStr">
        <is>
          <t>ms-emeklilik-yok</t>
        </is>
      </c>
      <c r="B1031" s="5" t="n">
        <v>4</v>
      </c>
      <c r="C1031" s="6" t="inlineStr">
        <is>
          <t>Evin bir odasını kiraya ver</t>
        </is>
      </c>
      <c r="D1031" s="5" t="inlineStr">
        <is>
          <t>Sosyal Radar</t>
        </is>
      </c>
      <c r="E1031" s="5" t="inlineStr">
        <is>
          <t>Orta</t>
        </is>
      </c>
      <c r="F1031" s="5" t="inlineStr"/>
      <c r="G1031" s="6" t="inlineStr"/>
      <c r="H1031" s="6" t="inlineStr">
        <is>
          <t>Odayı genç bir sanatçıya verdin. Kira düzenli geliyor. Senin kiraların hiç böyle gelmemişti.</t>
        </is>
      </c>
      <c r="I1031" s="6" t="inlineStr">
        <is>
          <t>Kiracın ünlendi; röportajlarda 'Her şeyi ev sahibimden öğrendim' diyor. Turlar evin önünde duruyor; çıkışta herkes senin eserlerinden birini alıyor. Kırk yıl sonra ilk kez kapıda kuyruk var.</t>
        </is>
      </c>
      <c r="J1031" s="6" t="inlineStr">
        <is>
          <t>Kiracı serbest çalışan çıktı. Kira 'onay bekliyor'.</t>
        </is>
      </c>
      <c r="K1031" s="6" t="inlineStr">
        <is>
          <t>Kiracı seninle aynı alanda çalışıyor. Artık bir rakibin var ve banyonu kullanıyor.</t>
        </is>
      </c>
      <c r="L1031" s="6" t="inlineStr"/>
      <c r="M1031" s="5" t="inlineStr"/>
      <c r="N1031" s="5" t="inlineStr"/>
      <c r="O1031" s="6" t="inlineStr"/>
      <c r="P1031" s="6" t="inlineStr"/>
      <c r="Q1031" s="5" t="inlineStr"/>
      <c r="R1031" s="5" t="inlineStr">
        <is>
          <t>ev-sahibi</t>
        </is>
      </c>
      <c r="S1031" s="5" t="inlineStr"/>
      <c r="T1031" s="5" t="inlineStr"/>
      <c r="U1031" s="5" t="inlineStr"/>
      <c r="V1031" s="5" t="inlineStr"/>
      <c r="W1031" s="5" t="inlineStr"/>
      <c r="X1031" s="5" t="inlineStr"/>
      <c r="Y1031" s="5" t="inlineStr"/>
      <c r="Z1031" s="6" t="inlineStr"/>
      <c r="AA1031" s="5" t="inlineStr"/>
      <c r="AB1031" s="5" t="inlineStr"/>
      <c r="AC1031" s="5" t="inlineStr"/>
      <c r="AD1031" s="5" t="inlineStr"/>
      <c r="AE1031" s="5" t="inlineStr"/>
      <c r="AF1031" s="5" t="inlineStr"/>
      <c r="AG1031" s="5" t="inlineStr"/>
      <c r="AH1031" s="5" t="inlineStr"/>
      <c r="AI1031" s="5" t="inlineStr"/>
      <c r="AJ1031" s="5" t="inlineStr"/>
    </row>
    <row r="1032">
      <c r="A1032" s="5" t="inlineStr">
        <is>
          <t>me-defterin-son-sayfasi</t>
        </is>
      </c>
      <c r="B1032" s="5" t="n">
        <v>1</v>
      </c>
      <c r="C1032" s="6" t="inlineStr">
        <is>
          <t>Defteri sil, hesapları kapat</t>
        </is>
      </c>
      <c r="D1032" s="5" t="inlineStr"/>
      <c r="E1032" s="5" t="inlineStr"/>
      <c r="F1032" s="5" t="inlineStr">
        <is>
          <t>İtibar +2</t>
        </is>
      </c>
      <c r="G1032" s="6" t="inlineStr">
        <is>
          <t>Bütün hesapları sildin. Mahalle bunu duydu; ertesi sabah yeni defter açılmasını bekleyenler kapıdaydı.</t>
        </is>
      </c>
      <c r="H1032" s="6" t="inlineStr"/>
      <c r="I1032" s="6" t="inlineStr"/>
      <c r="J1032" s="6" t="inlineStr"/>
      <c r="K1032" s="6" t="inlineStr"/>
      <c r="L1032" s="6" t="inlineStr"/>
      <c r="M1032" s="5" t="inlineStr"/>
      <c r="N1032" s="5" t="inlineStr"/>
      <c r="O1032" s="6" t="inlineStr"/>
      <c r="P1032" s="6" t="inlineStr"/>
      <c r="Q1032" s="5" t="inlineStr"/>
      <c r="R1032" s="5" t="inlineStr"/>
      <c r="S1032" s="5" t="inlineStr"/>
      <c r="T1032" s="5" t="inlineStr"/>
      <c r="U1032" s="5" t="inlineStr"/>
      <c r="V1032" s="5" t="inlineStr"/>
      <c r="W1032" s="5" t="inlineStr"/>
      <c r="X1032" s="5" t="inlineStr"/>
      <c r="Y1032" s="5" t="inlineStr"/>
      <c r="Z1032" s="6" t="inlineStr"/>
      <c r="AA1032" s="5" t="inlineStr"/>
      <c r="AB1032" s="5" t="inlineStr"/>
      <c r="AC1032" s="5" t="inlineStr"/>
      <c r="AD1032" s="5" t="inlineStr"/>
      <c r="AE1032" s="5" t="inlineStr"/>
      <c r="AF1032" s="5" t="inlineStr"/>
      <c r="AG1032" s="5" t="inlineStr"/>
      <c r="AH1032" s="5" t="inlineStr"/>
      <c r="AI1032" s="5" t="inlineStr"/>
      <c r="AJ1032" s="5" t="inlineStr"/>
    </row>
    <row r="1033">
      <c r="A1033" s="5" t="inlineStr">
        <is>
          <t>me-defterin-son-sayfasi</t>
        </is>
      </c>
      <c r="B1033" s="5" t="n">
        <v>2</v>
      </c>
      <c r="C1033" s="6" t="inlineStr">
        <is>
          <t>Tahsilat turuna çık</t>
        </is>
      </c>
      <c r="D1033" s="5" t="inlineStr">
        <is>
          <t>İtibar</t>
        </is>
      </c>
      <c r="E1033" s="5" t="inlineStr">
        <is>
          <t>Zor</t>
        </is>
      </c>
      <c r="F1033" s="5" t="inlineStr"/>
      <c r="G1033" s="6" t="inlineStr"/>
      <c r="H1033" s="6" t="inlineStr">
        <is>
          <t>Kapı kapı gezdin, yarısını topladın. Gerisi sana çay ısmarladı.</t>
        </is>
      </c>
      <c r="I1033" s="6" t="inlineStr">
        <is>
          <t>Kasanın iki katı parayla döndün. Bir borçlu 'Faizini de al' diye ısrar etti; almadın.</t>
        </is>
      </c>
      <c r="J1033" s="6" t="inlineStr">
        <is>
          <t>Herkes seni görünce bir şeyler hatırladı. Borçlarını değil, eski günleri.</t>
        </is>
      </c>
      <c r="K1033" s="6" t="inlineStr">
        <is>
          <t>Tahsilattan üç yeni veresiye yazarak döndün. Defter kapanmadı; ikinci cilde geçti.</t>
        </is>
      </c>
      <c r="L1033" s="6" t="inlineStr"/>
      <c r="M1033" s="5" t="inlineStr"/>
      <c r="N1033" s="5" t="inlineStr"/>
      <c r="O1033" s="6" t="inlineStr"/>
      <c r="P1033" s="6" t="inlineStr"/>
      <c r="Q1033" s="5" t="inlineStr"/>
      <c r="R1033" s="5" t="inlineStr"/>
      <c r="S1033" s="5" t="inlineStr"/>
      <c r="T1033" s="5" t="inlineStr">
        <is>
          <t>Mahalle Muhasebecisi</t>
        </is>
      </c>
      <c r="U1033" s="5" t="inlineStr"/>
      <c r="V1033" s="5" t="inlineStr"/>
      <c r="W1033" s="5" t="inlineStr"/>
      <c r="X1033" s="5" t="inlineStr"/>
      <c r="Y1033" s="5" t="inlineStr"/>
      <c r="Z1033" s="6" t="inlineStr"/>
      <c r="AA1033" s="5" t="inlineStr"/>
      <c r="AB1033" s="5" t="inlineStr"/>
      <c r="AC1033" s="5" t="inlineStr"/>
      <c r="AD1033" s="5" t="inlineStr"/>
      <c r="AE1033" s="5" t="inlineStr"/>
      <c r="AF1033" s="5" t="inlineStr"/>
      <c r="AG1033" s="5" t="inlineStr"/>
      <c r="AH1033" s="5" t="inlineStr"/>
      <c r="AI1033" s="5" t="inlineStr"/>
      <c r="AJ1033" s="5" t="inlineStr"/>
    </row>
    <row r="1034">
      <c r="A1034" s="5" t="inlineStr">
        <is>
          <t>me-defterin-son-sayfasi</t>
        </is>
      </c>
      <c r="B1034" s="5" t="n">
        <v>3</v>
      </c>
      <c r="C1034" s="6" t="inlineStr">
        <is>
          <t>Sıfır arabalıya kibarca uğra</t>
        </is>
      </c>
      <c r="D1034" s="5" t="inlineStr">
        <is>
          <t>Kurnazlık</t>
        </is>
      </c>
      <c r="E1034" s="5" t="inlineStr">
        <is>
          <t>Kolay</t>
        </is>
      </c>
      <c r="F1034" s="5" t="inlineStr"/>
      <c r="G1034" s="6" t="inlineStr"/>
      <c r="H1034" s="6" t="inlineStr">
        <is>
          <t>'Güle güle bin, defteri de unutma' dedin. Borç ertesi sabah kapandı; araba bir daha dükkânın önüne park etmedi.</t>
        </is>
      </c>
      <c r="I1034" s="6" t="inlineStr">
        <is>
          <t>Borcunu kapattı, bir de özür diledi. Dükkânın önündeki park yeri artık sana ayrıldı.</t>
        </is>
      </c>
      <c r="J1034" s="6" t="inlineStr">
        <is>
          <t>'Araba taksitle' dedi. Taksitlerin sırası belli; defter en sonda.</t>
        </is>
      </c>
      <c r="K1034" s="6" t="inlineStr">
        <is>
          <t>Kibarca uğradın; arabasıyla seni eve bırakmayı teklif etti. Bindin. Yol boyunca taksitlerini anlattı, inerken senden borç istedi.</t>
        </is>
      </c>
      <c r="L1034" s="6" t="inlineStr"/>
      <c r="M1034" s="5" t="inlineStr"/>
      <c r="N1034" s="5" t="inlineStr"/>
      <c r="O1034" s="6" t="inlineStr"/>
      <c r="P1034" s="6" t="inlineStr"/>
      <c r="Q1034" s="5" t="inlineStr"/>
      <c r="R1034" s="5" t="inlineStr"/>
      <c r="S1034" s="5" t="inlineStr">
        <is>
          <t>Kurnazlık</t>
        </is>
      </c>
      <c r="T1034" s="5" t="inlineStr"/>
      <c r="U1034" s="5" t="inlineStr"/>
      <c r="V1034" s="5" t="inlineStr"/>
      <c r="W1034" s="5" t="inlineStr"/>
      <c r="X1034" s="5" t="inlineStr"/>
      <c r="Y1034" s="5" t="inlineStr"/>
      <c r="Z1034" s="6" t="inlineStr"/>
      <c r="AA1034" s="5" t="inlineStr"/>
      <c r="AB1034" s="5" t="inlineStr"/>
      <c r="AC1034" s="5" t="inlineStr"/>
      <c r="AD1034" s="5" t="inlineStr"/>
      <c r="AE1034" s="5" t="inlineStr"/>
      <c r="AF1034" s="5" t="inlineStr"/>
      <c r="AG1034" s="5" t="inlineStr"/>
      <c r="AH1034" s="5" t="inlineStr"/>
      <c r="AI1034" s="5" t="inlineStr"/>
      <c r="AJ1034" s="5" t="inlineStr"/>
    </row>
    <row r="1035">
      <c r="A1035" s="5" t="inlineStr">
        <is>
          <t>me-defterin-son-sayfasi</t>
        </is>
      </c>
      <c r="B1035" s="5" t="n">
        <v>4</v>
      </c>
      <c r="C1035" s="6" t="inlineStr">
        <is>
          <t>Defteri hatıra kitabı yap</t>
        </is>
      </c>
      <c r="D1035" s="5" t="inlineStr">
        <is>
          <t>Pişkinlik</t>
        </is>
      </c>
      <c r="E1035" s="5" t="inlineStr">
        <is>
          <t>Orta</t>
        </is>
      </c>
      <c r="F1035" s="5" t="inlineStr"/>
      <c r="G1035" s="6" t="inlineStr"/>
      <c r="H1035" s="6" t="inlineStr">
        <is>
          <t>Borçlular kitabı almaya geldi. Kitabın parasını ödediler; borçlarını yine ödemediler.</t>
        </is>
      </c>
      <c r="I1035" s="6" t="inlineStr">
        <is>
          <t>Hatıra kitabı çarşıda çok sattı. Kitabın geliri defterin toplamını geçti.</t>
        </is>
      </c>
      <c r="J1035" s="6" t="inlineStr">
        <is>
          <t>Kitabı bastırdın. Kimse almadı; herkes kendi sayfasını dükkânda okuyup geri koydu.</t>
        </is>
      </c>
      <c r="K1035" s="6" t="inlineStr">
        <is>
          <t>İsimleri gizlemeyi unuttun. İmza gününe üç aile aynı anda geldi, birbirinin sayfasını okudu. Çarşıda o üç aile artık birbirine selam vermiyor; sana hiç vermiyor.</t>
        </is>
      </c>
      <c r="L1035" s="6" t="inlineStr"/>
      <c r="M1035" s="5" t="inlineStr"/>
      <c r="N1035" s="5" t="inlineStr"/>
      <c r="O1035" s="6" t="inlineStr"/>
      <c r="P1035" s="6" t="inlineStr"/>
      <c r="Q1035" s="5" t="inlineStr"/>
      <c r="R1035" s="5" t="inlineStr">
        <is>
          <t>esnaf-veresiye-batagi</t>
        </is>
      </c>
      <c r="S1035" s="5" t="inlineStr"/>
      <c r="T1035" s="5" t="inlineStr"/>
      <c r="U1035" s="5" t="inlineStr"/>
      <c r="V1035" s="5" t="inlineStr"/>
      <c r="W1035" s="5" t="inlineStr"/>
      <c r="X1035" s="5" t="inlineStr"/>
      <c r="Y1035" s="5" t="inlineStr"/>
      <c r="Z1035" s="6" t="inlineStr"/>
      <c r="AA1035" s="5" t="inlineStr"/>
      <c r="AB1035" s="5" t="inlineStr"/>
      <c r="AC1035" s="5" t="inlineStr"/>
      <c r="AD1035" s="5" t="inlineStr"/>
      <c r="AE1035" s="5" t="inlineStr"/>
      <c r="AF1035" s="5" t="inlineStr"/>
      <c r="AG1035" s="5" t="inlineStr"/>
      <c r="AH1035" s="5" t="inlineStr"/>
      <c r="AI1035" s="5" t="inlineStr"/>
      <c r="AJ1035" s="5" t="inlineStr"/>
    </row>
    <row r="1036">
      <c r="A1036" s="5" t="inlineStr">
        <is>
          <t>b9-genclere-tavsiye</t>
        </is>
      </c>
      <c r="B1036" s="5" t="n">
        <v>1</v>
      </c>
      <c r="C1036" s="6" t="inlineStr">
        <is>
          <t>Susup kahveni iç</t>
        </is>
      </c>
      <c r="D1036" s="5" t="inlineStr"/>
      <c r="E1036" s="5" t="inlineStr"/>
      <c r="F1036" s="5" t="inlineStr">
        <is>
          <t>İtibar +1</t>
        </is>
      </c>
      <c r="G1036" s="6" t="inlineStr">
        <is>
          <t>Sustun. Genç kendi hatalarını kendi yapacak. Kahve de soğudu.</t>
        </is>
      </c>
      <c r="H1036" s="6" t="inlineStr"/>
      <c r="I1036" s="6" t="inlineStr"/>
      <c r="J1036" s="6" t="inlineStr"/>
      <c r="K1036" s="6" t="inlineStr"/>
      <c r="L1036" s="6" t="inlineStr"/>
      <c r="M1036" s="5" t="inlineStr"/>
      <c r="N1036" s="5" t="inlineStr"/>
      <c r="O1036" s="6" t="inlineStr"/>
      <c r="P1036" s="6" t="inlineStr"/>
      <c r="Q1036" s="5" t="inlineStr"/>
      <c r="R1036" s="5" t="inlineStr"/>
      <c r="S1036" s="5" t="inlineStr"/>
      <c r="T1036" s="5" t="inlineStr"/>
      <c r="U1036" s="5" t="inlineStr"/>
      <c r="V1036" s="5" t="inlineStr"/>
      <c r="W1036" s="5" t="inlineStr"/>
      <c r="X1036" s="5" t="inlineStr"/>
      <c r="Y1036" s="5" t="inlineStr"/>
      <c r="Z1036" s="6" t="inlineStr"/>
      <c r="AA1036" s="5" t="inlineStr"/>
      <c r="AB1036" s="5" t="inlineStr"/>
      <c r="AC1036" s="5" t="inlineStr"/>
      <c r="AD1036" s="5" t="inlineStr"/>
      <c r="AE1036" s="5" t="inlineStr"/>
      <c r="AF1036" s="5" t="inlineStr"/>
      <c r="AG1036" s="5" t="inlineStr"/>
      <c r="AH1036" s="5" t="inlineStr"/>
      <c r="AI1036" s="5" t="inlineStr"/>
      <c r="AJ1036" s="5" t="inlineStr"/>
    </row>
    <row r="1037">
      <c r="A1037" s="5" t="inlineStr">
        <is>
          <t>b9-genclere-tavsiye</t>
        </is>
      </c>
      <c r="B1037" s="5" t="n">
        <v>2</v>
      </c>
      <c r="C1037" s="6" t="inlineStr">
        <is>
          <t>'Benim zamanımda…' diye başla</t>
        </is>
      </c>
      <c r="D1037" s="5" t="inlineStr">
        <is>
          <t>Çene</t>
        </is>
      </c>
      <c r="E1037" s="5" t="inlineStr">
        <is>
          <t>Zor</t>
        </is>
      </c>
      <c r="F1037" s="5" t="inlineStr"/>
      <c r="G1037" s="6" t="inlineStr"/>
      <c r="H1037" s="6" t="inlineStr">
        <is>
          <t>Anlattın. Genç iki dakika dinledi, sonra 'Haklısınız ama şimdi durum farklı' dedi. Değildi.</t>
        </is>
      </c>
      <c r="I1037" s="6" t="inlineStr">
        <is>
          <t>Hikâyen öyle oturdu ki genç not aldı. Üç ay sonra bir internet yayınında seni anlatıyordu: 'Kafede tanıştığım biri…' Adını bilmiyordu.</t>
        </is>
      </c>
      <c r="J1037" s="6" t="inlineStr">
        <is>
          <t>'Benim zamanımda' dedin; genç kulaklığını taktı. Cümleni tamamlamanın bir anlamı kalmadı.</t>
        </is>
      </c>
      <c r="K1037" s="6" t="inlineStr">
        <is>
          <t>'Benim zamanımda' diye başladın; kafedeki herkes kulaklık taktı. Garson da.</t>
        </is>
      </c>
      <c r="L1037" s="6" t="inlineStr"/>
      <c r="M1037" s="5" t="inlineStr"/>
      <c r="N1037" s="5" t="inlineStr"/>
      <c r="O1037" s="6" t="inlineStr"/>
      <c r="P1037" s="6" t="inlineStr"/>
      <c r="Q1037" s="5" t="inlineStr"/>
      <c r="R1037" s="5" t="inlineStr"/>
      <c r="S1037" s="5" t="inlineStr"/>
      <c r="T1037" s="5" t="inlineStr"/>
      <c r="U1037" s="5" t="inlineStr"/>
      <c r="V1037" s="5" t="inlineStr"/>
      <c r="W1037" s="5" t="inlineStr"/>
      <c r="X1037" s="5" t="inlineStr"/>
      <c r="Y1037" s="5" t="inlineStr"/>
      <c r="Z1037" s="6" t="inlineStr"/>
      <c r="AA1037" s="5" t="inlineStr"/>
      <c r="AB1037" s="5" t="inlineStr"/>
      <c r="AC1037" s="5" t="inlineStr"/>
      <c r="AD1037" s="5" t="inlineStr"/>
      <c r="AE1037" s="5" t="inlineStr"/>
      <c r="AF1037" s="5" t="inlineStr"/>
      <c r="AG1037" s="5" t="inlineStr"/>
      <c r="AH1037" s="5" t="inlineStr"/>
      <c r="AI1037" s="5" t="inlineStr"/>
      <c r="AJ1037" s="5" t="inlineStr"/>
    </row>
    <row r="1038">
      <c r="A1038" s="5" t="inlineStr">
        <is>
          <t>b9-genclere-tavsiye</t>
        </is>
      </c>
      <c r="B1038" s="5" t="n">
        <v>3</v>
      </c>
      <c r="C1038" s="6" t="inlineStr">
        <is>
          <t>'Sence ne yapmalısın?' diye sor</t>
        </is>
      </c>
      <c r="D1038" s="5" t="inlineStr">
        <is>
          <t>Çene</t>
        </is>
      </c>
      <c r="E1038" s="5" t="inlineStr">
        <is>
          <t>Kolay</t>
        </is>
      </c>
      <c r="F1038" s="5" t="inlineStr"/>
      <c r="G1038" s="6" t="inlineStr"/>
      <c r="H1038" s="6" t="inlineStr">
        <is>
          <t>Genç kendi sorusunu kendi cevapladı ve sana teşekkür etti. Danışmanlık ücreti: bir kahve.</t>
        </is>
      </c>
      <c r="I1038" s="6" t="inlineStr">
        <is>
          <t>Genç, 'Keşke iş yerimdeki yöneticiler sizin gibi olsa' dedi. Sen sadece soru sormuştun.</t>
        </is>
      </c>
      <c r="J1038" s="6" t="inlineStr">
        <is>
          <t>Genç 'Bilmiyorum, siz ne dersiniz?' dedi. Top sana döndü ve düştü.</t>
        </is>
      </c>
      <c r="K1038" s="6" t="inlineStr">
        <is>
          <t>Soruyu sordun. Genç kırk dakika cevap verdi, sonra ağladı, sonra annesini aradı ve telefonu sana uzattı: 'Siz anlatın.'</t>
        </is>
      </c>
      <c r="L1038" s="6" t="inlineStr"/>
      <c r="M1038" s="5" t="inlineStr"/>
      <c r="N1038" s="5" t="inlineStr"/>
      <c r="O1038" s="6" t="inlineStr"/>
      <c r="P1038" s="6" t="inlineStr"/>
      <c r="Q1038" s="5" t="inlineStr"/>
      <c r="R1038" s="5" t="inlineStr"/>
      <c r="S1038" s="5" t="inlineStr">
        <is>
          <t>Çene</t>
        </is>
      </c>
      <c r="T1038" s="5" t="inlineStr"/>
      <c r="U1038" s="5" t="inlineStr"/>
      <c r="V1038" s="5" t="inlineStr"/>
      <c r="W1038" s="5" t="inlineStr"/>
      <c r="X1038" s="5" t="inlineStr"/>
      <c r="Y1038" s="5" t="inlineStr"/>
      <c r="Z1038" s="6" t="inlineStr"/>
      <c r="AA1038" s="5" t="inlineStr"/>
      <c r="AB1038" s="5" t="inlineStr"/>
      <c r="AC1038" s="5" t="inlineStr"/>
      <c r="AD1038" s="5" t="inlineStr"/>
      <c r="AE1038" s="5" t="inlineStr"/>
      <c r="AF1038" s="5" t="inlineStr"/>
      <c r="AG1038" s="5" t="inlineStr"/>
      <c r="AH1038" s="5" t="inlineStr"/>
      <c r="AI1038" s="5" t="inlineStr"/>
      <c r="AJ1038" s="5" t="inlineStr"/>
    </row>
    <row r="1039">
      <c r="A1039" s="5" t="inlineStr">
        <is>
          <t>b9-lise-bulusmasi</t>
        </is>
      </c>
      <c r="B1039" s="5" t="n">
        <v>1</v>
      </c>
      <c r="C1039" s="6" t="inlineStr">
        <is>
          <t>Toplu fotoğrafı aile grubuna at</t>
        </is>
      </c>
      <c r="D1039" s="5" t="inlineStr"/>
      <c r="E1039" s="5" t="inlineStr"/>
      <c r="F1039" s="5" t="inlineStr">
        <is>
          <t>Pişkinlik +1</t>
        </is>
      </c>
      <c r="G1039" s="6" t="inlineStr">
        <is>
          <t>Fotoğrafı attın. Aile 'Hangisi sensin?' diye sordu. Sen de tam emin değildin.</t>
        </is>
      </c>
      <c r="H1039" s="6" t="inlineStr"/>
      <c r="I1039" s="6" t="inlineStr"/>
      <c r="J1039" s="6" t="inlineStr"/>
      <c r="K1039" s="6" t="inlineStr"/>
      <c r="L1039" s="6" t="inlineStr"/>
      <c r="M1039" s="5" t="inlineStr"/>
      <c r="N1039" s="5" t="inlineStr"/>
      <c r="O1039" s="6" t="inlineStr"/>
      <c r="P1039" s="6" t="inlineStr"/>
      <c r="Q1039" s="5" t="inlineStr"/>
      <c r="R1039" s="5" t="inlineStr"/>
      <c r="S1039" s="5" t="inlineStr"/>
      <c r="T1039" s="5" t="inlineStr"/>
      <c r="U1039" s="5" t="inlineStr"/>
      <c r="V1039" s="5" t="inlineStr"/>
      <c r="W1039" s="5" t="inlineStr"/>
      <c r="X1039" s="5" t="inlineStr"/>
      <c r="Y1039" s="5" t="inlineStr"/>
      <c r="Z1039" s="6" t="inlineStr"/>
      <c r="AA1039" s="5" t="inlineStr"/>
      <c r="AB1039" s="5" t="inlineStr"/>
      <c r="AC1039" s="5" t="inlineStr"/>
      <c r="AD1039" s="5" t="inlineStr"/>
      <c r="AE1039" s="5" t="inlineStr"/>
      <c r="AF1039" s="5" t="inlineStr"/>
      <c r="AG1039" s="5" t="inlineStr"/>
      <c r="AH1039" s="5" t="inlineStr"/>
      <c r="AI1039" s="5" t="inlineStr"/>
      <c r="AJ1039" s="5" t="inlineStr"/>
    </row>
    <row r="1040">
      <c r="A1040" s="5" t="inlineStr">
        <is>
          <t>b9-lise-bulusmasi</t>
        </is>
      </c>
      <c r="B1040" s="5" t="n">
        <v>2</v>
      </c>
      <c r="C1040" s="6" t="inlineStr">
        <is>
          <t>Yeni bir mesaj grubu kur</t>
        </is>
      </c>
      <c r="D1040" s="5" t="inlineStr">
        <is>
          <t>Çene</t>
        </is>
      </c>
      <c r="E1040" s="5" t="inlineStr">
        <is>
          <t>Orta</t>
        </is>
      </c>
      <c r="F1040" s="5" t="inlineStr"/>
      <c r="G1040" s="6" t="inlineStr"/>
      <c r="H1040" s="6" t="inlineStr">
        <is>
          <t>Grup kuruldu. İlk hafta seksen mesaj, ikinci hafta bir günaydın görseli, üçüncü hafta sessizlik.</t>
        </is>
      </c>
      <c r="I1040" s="6" t="inlineStr">
        <is>
          <t>Grup öyle yaşadı ki sınıf bir sonraki yıl tatile birlikte gitti. Kırk yıldır ilk kez yoklama tam.</t>
        </is>
      </c>
      <c r="J1040" s="6" t="inlineStr">
        <is>
          <t>Grubu kurdun; otomatik düzeltme 'Lise 3-B'yi 'Lise 3 Bebek' yaptı. Kimse düzeltmedi. Altmışlık bebekler her sabah orada günaydınlaşıyor.</t>
        </is>
      </c>
      <c r="K1040" s="6" t="inlineStr">
        <is>
          <t>Grubu kurdun, ilk mesajda yanlış kişiyi 'merhum' diye andın. Kendisi grupta; hemen yazdı: 'Yaşıyorum, ama sağ ol.' Kırk kişi aynı anda 'Geçmiş olsun' yazdı.</t>
        </is>
      </c>
      <c r="L1040" s="6" t="inlineStr"/>
      <c r="M1040" s="5" t="inlineStr"/>
      <c r="N1040" s="5" t="inlineStr"/>
      <c r="O1040" s="6" t="inlineStr"/>
      <c r="P1040" s="6" t="inlineStr"/>
      <c r="Q1040" s="5" t="inlineStr">
        <is>
          <t>Kuralı Koyan</t>
        </is>
      </c>
      <c r="R1040" s="5" t="inlineStr"/>
      <c r="S1040" s="5" t="inlineStr"/>
      <c r="T1040" s="5" t="inlineStr"/>
      <c r="U1040" s="5" t="inlineStr"/>
      <c r="V1040" s="5" t="inlineStr"/>
      <c r="W1040" s="5" t="inlineStr"/>
      <c r="X1040" s="5" t="inlineStr"/>
      <c r="Y1040" s="5" t="inlineStr"/>
      <c r="Z1040" s="6" t="inlineStr"/>
      <c r="AA1040" s="5" t="inlineStr"/>
      <c r="AB1040" s="5" t="inlineStr"/>
      <c r="AC1040" s="5" t="inlineStr"/>
      <c r="AD1040" s="5" t="inlineStr"/>
      <c r="AE1040" s="5" t="inlineStr"/>
      <c r="AF1040" s="5" t="inlineStr"/>
      <c r="AG1040" s="5" t="inlineStr"/>
      <c r="AH1040" s="5" t="inlineStr"/>
      <c r="AI1040" s="5" t="inlineStr"/>
      <c r="AJ1040" s="5" t="inlineStr"/>
    </row>
    <row r="1041">
      <c r="A1041" s="5" t="inlineStr">
        <is>
          <t>b9-lise-bulusmasi</t>
        </is>
      </c>
      <c r="B1041" s="5" t="n">
        <v>3</v>
      </c>
      <c r="C1041" s="6" t="inlineStr">
        <is>
          <t>Kimin ne olduğunu kıyasla</t>
        </is>
      </c>
      <c r="D1041" s="5" t="inlineStr">
        <is>
          <t>İtibar</t>
        </is>
      </c>
      <c r="E1041" s="5" t="inlineStr">
        <is>
          <t>Orta</t>
        </is>
      </c>
      <c r="F1041" s="5" t="inlineStr"/>
      <c r="G1041" s="6" t="inlineStr"/>
      <c r="H1041" s="6" t="inlineStr">
        <is>
          <t>Kıyasladın ve fark ettin: herkes bir yerinden yorulmuş. Rahatladın.</t>
        </is>
      </c>
      <c r="I1041" s="6" t="inlineStr">
        <is>
          <t>Kıyasladın ve kendini sınıfın ortalamasının üstünde buldun. Gece rahat uyudun. Kimseye söylemedin.</t>
        </is>
      </c>
      <c r="J1041" s="6" t="inlineStr">
        <is>
          <t>Kıyasladın. Sınıfın en tembeli şimdi bir otel zinciri sahibi. Bu bilgiyi hazmetmen iki gün sürdü.</t>
        </is>
      </c>
      <c r="K1041" s="6" t="inlineStr">
        <is>
          <t>Kıyaslarken yüksek sesle düşündün: 'En azından Kemal kadar göbeğim yok.' Seni eve bırakan Kemal'di.</t>
        </is>
      </c>
      <c r="L1041" s="6" t="inlineStr"/>
      <c r="M1041" s="5" t="inlineStr"/>
      <c r="N1041" s="5" t="inlineStr"/>
      <c r="O1041" s="6" t="inlineStr"/>
      <c r="P1041" s="6" t="inlineStr"/>
      <c r="Q1041" s="5" t="inlineStr"/>
      <c r="R1041" s="5" t="inlineStr"/>
      <c r="S1041" s="5" t="inlineStr"/>
      <c r="T1041" s="5" t="inlineStr"/>
      <c r="U1041" s="5" t="inlineStr"/>
      <c r="V1041" s="5" t="inlineStr"/>
      <c r="W1041" s="5" t="inlineStr"/>
      <c r="X1041" s="5" t="inlineStr"/>
      <c r="Y1041" s="5" t="inlineStr"/>
      <c r="Z1041" s="6" t="inlineStr"/>
      <c r="AA1041" s="5" t="inlineStr"/>
      <c r="AB1041" s="5" t="inlineStr"/>
      <c r="AC1041" s="5" t="inlineStr"/>
      <c r="AD1041" s="5" t="inlineStr"/>
      <c r="AE1041" s="5" t="inlineStr"/>
      <c r="AF1041" s="5" t="inlineStr"/>
      <c r="AG1041" s="5" t="inlineStr"/>
      <c r="AH1041" s="5" t="inlineStr"/>
      <c r="AI1041" s="5" t="inlineStr"/>
      <c r="AJ1041" s="5" t="inlineStr"/>
    </row>
    <row r="1042">
      <c r="A1042" s="5" t="inlineStr">
        <is>
          <t>b9-eski-ask</t>
        </is>
      </c>
      <c r="B1042" s="5" t="n">
        <v>1</v>
      </c>
      <c r="C1042" s="6" t="inlineStr">
        <is>
          <t>Nohudu bırak, başka reyona geç</t>
        </is>
      </c>
      <c r="D1042" s="5" t="inlineStr"/>
      <c r="E1042" s="5" t="inlineStr"/>
      <c r="F1042" s="5" t="inlineStr">
        <is>
          <t>Dayanıklılık +1</t>
        </is>
      </c>
      <c r="G1042" s="6" t="inlineStr">
        <is>
          <t>Nohudu bıraktın, başka reyona geçtin. Kasaya vardığında sepetinde üç paket mercimek vardı; neden aldığını bilmiyorsun.</t>
        </is>
      </c>
      <c r="H1042" s="6" t="inlineStr"/>
      <c r="I1042" s="6" t="inlineStr"/>
      <c r="J1042" s="6" t="inlineStr"/>
      <c r="K1042" s="6" t="inlineStr"/>
      <c r="L1042" s="6" t="inlineStr"/>
      <c r="M1042" s="5" t="inlineStr"/>
      <c r="N1042" s="5" t="inlineStr"/>
      <c r="O1042" s="6" t="inlineStr"/>
      <c r="P1042" s="6" t="inlineStr"/>
      <c r="Q1042" s="5" t="inlineStr"/>
      <c r="R1042" s="5" t="inlineStr"/>
      <c r="S1042" s="5" t="inlineStr"/>
      <c r="T1042" s="5" t="inlineStr"/>
      <c r="U1042" s="5" t="inlineStr"/>
      <c r="V1042" s="5" t="inlineStr"/>
      <c r="W1042" s="5" t="inlineStr"/>
      <c r="X1042" s="5" t="inlineStr"/>
      <c r="Y1042" s="5" t="inlineStr"/>
      <c r="Z1042" s="6" t="inlineStr"/>
      <c r="AA1042" s="5" t="inlineStr"/>
      <c r="AB1042" s="5" t="inlineStr"/>
      <c r="AC1042" s="5" t="inlineStr"/>
      <c r="AD1042" s="5" t="inlineStr"/>
      <c r="AE1042" s="5" t="inlineStr"/>
      <c r="AF1042" s="5" t="inlineStr"/>
      <c r="AG1042" s="5" t="inlineStr"/>
      <c r="AH1042" s="5" t="inlineStr"/>
      <c r="AI1042" s="5" t="inlineStr"/>
      <c r="AJ1042" s="5" t="inlineStr"/>
    </row>
    <row r="1043">
      <c r="A1043" s="5" t="inlineStr">
        <is>
          <t>b9-eski-ask</t>
        </is>
      </c>
      <c r="B1043" s="5" t="n">
        <v>2</v>
      </c>
      <c r="C1043" s="6" t="inlineStr">
        <is>
          <t>Selam ver</t>
        </is>
      </c>
      <c r="D1043" s="5" t="inlineStr">
        <is>
          <t>Cesaret</t>
        </is>
      </c>
      <c r="E1043" s="5" t="inlineStr">
        <is>
          <t>Orta</t>
        </is>
      </c>
      <c r="F1043" s="5" t="inlineStr"/>
      <c r="G1043" s="6" t="inlineStr"/>
      <c r="H1043" s="6" t="inlineStr">
        <is>
          <t>Selam verdin. On dakika konuştunuz, telefondan fotoğraf gösterdiniz. İkiniz de gözlüğü evde unutmuştu; fotoğraflara uzun uzun baktınız.</t>
        </is>
      </c>
      <c r="I1043" s="6" t="inlineStr">
        <is>
          <t>Selam verdin, kafeye oturdunuz, üç saat konuştunuz. Kasaya dönünce nohudun indirimi bitmişti.</t>
        </is>
      </c>
      <c r="J1043" s="6" t="inlineStr">
        <is>
          <t>Selam verdin. 'Pardon, tanıyamadım' dedi. Sen de tanımamış gibi yaptın. Artık ikiniz de yalan söylüyorsunuz.</t>
        </is>
      </c>
      <c r="K1043" s="6" t="inlineStr">
        <is>
          <t>Selam verdin, adıyla seslendin, 'Hiç değişmemişsin' dedin. Eski aşkın değilmiş. Eski aşkının annesiymiş.</t>
        </is>
      </c>
      <c r="L1043" s="6" t="inlineStr"/>
      <c r="M1043" s="5" t="inlineStr"/>
      <c r="N1043" s="5" t="inlineStr"/>
      <c r="O1043" s="6" t="inlineStr"/>
      <c r="P1043" s="6" t="inlineStr"/>
      <c r="Q1043" s="5" t="inlineStr"/>
      <c r="R1043" s="5" t="inlineStr"/>
      <c r="S1043" s="5" t="inlineStr"/>
      <c r="T1043" s="5" t="inlineStr"/>
      <c r="U1043" s="5" t="inlineStr"/>
      <c r="V1043" s="5" t="inlineStr"/>
      <c r="W1043" s="5" t="inlineStr"/>
      <c r="X1043" s="5" t="inlineStr"/>
      <c r="Y1043" s="5" t="inlineStr"/>
      <c r="Z1043" s="6" t="inlineStr"/>
      <c r="AA1043" s="5" t="inlineStr"/>
      <c r="AB1043" s="5" t="inlineStr"/>
      <c r="AC1043" s="5" t="inlineStr"/>
      <c r="AD1043" s="5" t="inlineStr"/>
      <c r="AE1043" s="5" t="inlineStr"/>
      <c r="AF1043" s="5" t="inlineStr"/>
      <c r="AG1043" s="5" t="inlineStr"/>
      <c r="AH1043" s="5" t="inlineStr"/>
      <c r="AI1043" s="5" t="inlineStr"/>
      <c r="AJ1043" s="5" t="inlineStr"/>
    </row>
    <row r="1044">
      <c r="A1044" s="5" t="inlineStr">
        <is>
          <t>b9-eski-ask</t>
        </is>
      </c>
      <c r="B1044" s="5" t="n">
        <v>3</v>
      </c>
      <c r="C1044" s="6" t="inlineStr">
        <is>
          <t>Yarım kalan mektubu anlat</t>
        </is>
      </c>
      <c r="D1044" s="5" t="inlineStr">
        <is>
          <t>Gönül</t>
        </is>
      </c>
      <c r="E1044" s="5" t="inlineStr">
        <is>
          <t>Zor</t>
        </is>
      </c>
      <c r="F1044" s="5" t="inlineStr"/>
      <c r="G1044" s="6" t="inlineStr"/>
      <c r="H1044" s="6" t="inlineStr">
        <is>
          <t>Mektubu anlattın. Güldü: 'O mektubu ben de yazıyordum.' İki yarım mektup bir marketin konserve reyonunda tamamlandı.</t>
        </is>
      </c>
      <c r="I1044" s="6" t="inlineStr">
        <is>
          <t>Mektubu anlattın. O da cüzdanından sararmış bir kâğıt çıkardı. Kırk yıl sonra teslim alındı.</t>
        </is>
      </c>
      <c r="J1044" s="6" t="inlineStr">
        <is>
          <t>Mektubu anlattın. 'Hangi mektup?' dedi. Kırk yıllık bir dram tek taraflıymış.</t>
        </is>
      </c>
      <c r="K1044" s="6" t="inlineStr">
        <is>
          <t>Mektubu anlatırken ağladın; nohut kutusu elinden kaydı, yuvarlana yuvarlana kasaya kadar gitti. Kasiyer kutuyu havaya kaldırdı: “Nohut kimin?” Bütün kuyruk dönüp kızarmış gözlerine baktı.</t>
        </is>
      </c>
      <c r="L1044" s="6" t="inlineStr"/>
      <c r="M1044" s="5" t="inlineStr"/>
      <c r="N1044" s="5" t="inlineStr"/>
      <c r="O1044" s="6" t="inlineStr"/>
      <c r="P1044" s="6" t="inlineStr"/>
      <c r="Q1044" s="5" t="inlineStr"/>
      <c r="R1044" s="5" t="inlineStr"/>
      <c r="S1044" s="5" t="inlineStr">
        <is>
          <t>Gönül</t>
        </is>
      </c>
      <c r="T1044" s="5" t="inlineStr"/>
      <c r="U1044" s="5" t="inlineStr"/>
      <c r="V1044" s="5" t="inlineStr"/>
      <c r="W1044" s="5" t="inlineStr"/>
      <c r="X1044" s="5" t="inlineStr"/>
      <c r="Y1044" s="5" t="inlineStr"/>
      <c r="Z1044" s="6" t="inlineStr"/>
      <c r="AA1044" s="5" t="inlineStr"/>
      <c r="AB1044" s="5" t="inlineStr"/>
      <c r="AC1044" s="5" t="inlineStr"/>
      <c r="AD1044" s="5" t="inlineStr"/>
      <c r="AE1044" s="5" t="inlineStr"/>
      <c r="AF1044" s="5" t="inlineStr"/>
      <c r="AG1044" s="5" t="inlineStr"/>
      <c r="AH1044" s="5" t="inlineStr"/>
      <c r="AI1044" s="5" t="inlineStr">
        <is>
          <t>Nohut</t>
        </is>
      </c>
      <c r="AJ1044" s="5" t="inlineStr"/>
    </row>
    <row r="1045">
      <c r="A1045" s="5" t="inlineStr">
        <is>
          <t>b9-balkon-tarimi</t>
        </is>
      </c>
      <c r="B1045" s="5" t="n">
        <v>1</v>
      </c>
      <c r="C1045" s="6" t="inlineStr">
        <is>
          <t>Her gün sula, bekle</t>
        </is>
      </c>
      <c r="D1045" s="5" t="inlineStr"/>
      <c r="E1045" s="5" t="inlineStr"/>
      <c r="F1045" s="5" t="inlineStr">
        <is>
          <t>İtibar +1, Dayanıklılık +1</t>
        </is>
      </c>
      <c r="G1045" s="6" t="inlineStr">
        <is>
          <t>Bekledin. Hasat: yedi domates. Her birine isim verdin. Salata yapmak zor oldu.</t>
        </is>
      </c>
      <c r="H1045" s="6" t="inlineStr"/>
      <c r="I1045" s="6" t="inlineStr"/>
      <c r="J1045" s="6" t="inlineStr"/>
      <c r="K1045" s="6" t="inlineStr"/>
      <c r="L1045" s="6" t="inlineStr"/>
      <c r="M1045" s="5" t="inlineStr"/>
      <c r="N1045" s="5" t="inlineStr"/>
      <c r="O1045" s="6" t="inlineStr"/>
      <c r="P1045" s="6" t="inlineStr"/>
      <c r="Q1045" s="5" t="inlineStr"/>
      <c r="R1045" s="5" t="inlineStr"/>
      <c r="S1045" s="5" t="inlineStr"/>
      <c r="T1045" s="5" t="inlineStr"/>
      <c r="U1045" s="5" t="inlineStr"/>
      <c r="V1045" s="5" t="inlineStr"/>
      <c r="W1045" s="5" t="inlineStr"/>
      <c r="X1045" s="5" t="inlineStr"/>
      <c r="Y1045" s="5" t="inlineStr"/>
      <c r="Z1045" s="6" t="inlineStr"/>
      <c r="AA1045" s="5" t="inlineStr"/>
      <c r="AB1045" s="5" t="inlineStr"/>
      <c r="AC1045" s="5" t="inlineStr"/>
      <c r="AD1045" s="5" t="inlineStr"/>
      <c r="AE1045" s="5" t="inlineStr"/>
      <c r="AF1045" s="5" t="inlineStr"/>
      <c r="AG1045" s="5" t="inlineStr"/>
      <c r="AH1045" s="5" t="inlineStr"/>
      <c r="AI1045" s="5" t="inlineStr"/>
      <c r="AJ1045" s="5" t="inlineStr"/>
    </row>
    <row r="1046">
      <c r="A1046" s="5" t="inlineStr">
        <is>
          <t>b9-balkon-tarimi</t>
        </is>
      </c>
      <c r="B1046" s="5" t="n">
        <v>2</v>
      </c>
      <c r="C1046" s="6" t="inlineStr">
        <is>
          <t>Toprak ve gübre araştır</t>
        </is>
      </c>
      <c r="D1046" s="5" t="inlineStr">
        <is>
          <t>Akıl</t>
        </is>
      </c>
      <c r="E1046" s="5" t="inlineStr">
        <is>
          <t>Zor</t>
        </is>
      </c>
      <c r="F1046" s="5" t="inlineStr"/>
      <c r="G1046" s="6" t="inlineStr"/>
      <c r="H1046" s="6" t="inlineStr">
        <is>
          <t>Toprağı değiştirdin, domatesler coştu. Bütün apartmana birer tabak gönderdin; tabakların hepsi börekle geri geldi.</t>
        </is>
      </c>
      <c r="I1046" s="6" t="inlineStr">
        <is>
          <t>Domatesler öyle büyüdü ki apartman yöneticisi 'Balkon statiği' konulu bir toplantı çağırdı.</t>
        </is>
      </c>
      <c r="J1046" s="6" t="inlineStr">
        <is>
          <t>Doğru gübreyi aldın, yanlış saksıya koydun. Sardunya dev oldu. Domatesler kıskandı.</t>
        </is>
      </c>
      <c r="K1046" s="6" t="inlineStr">
        <is>
          <t>Gübreyi fazla koydun. Balkon üç hafta ahır gibi koktu. Üst kat çamaşırını içeri astı, alt kat selamı kesti.</t>
        </is>
      </c>
      <c r="L1046" s="6" t="inlineStr"/>
      <c r="M1046" s="5" t="inlineStr"/>
      <c r="N1046" s="5" t="inlineStr"/>
      <c r="O1046" s="6" t="inlineStr"/>
      <c r="P1046" s="6" t="inlineStr"/>
      <c r="Q1046" s="5" t="inlineStr"/>
      <c r="R1046" s="5" t="inlineStr"/>
      <c r="S1046" s="5" t="inlineStr"/>
      <c r="T1046" s="5" t="inlineStr">
        <is>
          <t>Bahçe Filozofu</t>
        </is>
      </c>
      <c r="U1046" s="5" t="inlineStr"/>
      <c r="V1046" s="5" t="inlineStr"/>
      <c r="W1046" s="5" t="inlineStr"/>
      <c r="X1046" s="5" t="inlineStr"/>
      <c r="Y1046" s="5" t="inlineStr"/>
      <c r="Z1046" s="6" t="inlineStr"/>
      <c r="AA1046" s="5" t="inlineStr"/>
      <c r="AB1046" s="5" t="inlineStr"/>
      <c r="AC1046" s="5" t="inlineStr"/>
      <c r="AD1046" s="5" t="inlineStr"/>
      <c r="AE1046" s="5" t="inlineStr"/>
      <c r="AF1046" s="5" t="inlineStr"/>
      <c r="AG1046" s="5" t="inlineStr"/>
      <c r="AH1046" s="5" t="inlineStr"/>
      <c r="AI1046" s="5" t="inlineStr"/>
      <c r="AJ1046" s="5" t="inlineStr"/>
    </row>
    <row r="1047">
      <c r="A1047" s="5" t="inlineStr">
        <is>
          <t>b9-balkon-tarimi</t>
        </is>
      </c>
      <c r="B1047" s="5" t="n">
        <v>3</v>
      </c>
      <c r="C1047" s="6" t="inlineStr">
        <is>
          <t>Alt kata doğru genişlet</t>
        </is>
      </c>
      <c r="D1047" s="5" t="inlineStr">
        <is>
          <t>Kurnazlık</t>
        </is>
      </c>
      <c r="E1047" s="5" t="inlineStr">
        <is>
          <t>Zor</t>
        </is>
      </c>
      <c r="F1047" s="5" t="inlineStr"/>
      <c r="G1047" s="6" t="inlineStr"/>
      <c r="H1047" s="6" t="inlineStr">
        <is>
          <t>Saksılar alt kata sarkıtıldı. Domatesler güneşte. Alt kat henüz fark etmedi.</t>
        </is>
      </c>
      <c r="I1047" s="6" t="inlineStr">
        <is>
          <t>Alt kat fark etti, kızmadı; kendi saksısını ekledi. Artık iki balkon arasında bir ip var: sepetle domates iniyor, börek çıkıyor.</t>
        </is>
      </c>
      <c r="J1047" s="6" t="inlineStr">
        <is>
          <t>Alt kat fark etti ve saksıları geri itti. Sessiz bir sınır anlaşmazlığı başladı.</t>
        </is>
      </c>
      <c r="K1047" s="6" t="inlineStr">
        <is>
          <t>Saksı sarktı, sonra alt kattakinin balkonuna düştü. Bir ay sonra orada domates bitti. Alt kat onları sana satıyor.</t>
        </is>
      </c>
      <c r="L1047" s="6" t="inlineStr"/>
      <c r="M1047" s="5" t="inlineStr"/>
      <c r="N1047" s="5" t="inlineStr"/>
      <c r="O1047" s="6" t="inlineStr"/>
      <c r="P1047" s="6" t="inlineStr"/>
      <c r="Q1047" s="5" t="inlineStr"/>
      <c r="R1047" s="5" t="inlineStr"/>
      <c r="S1047" s="5" t="inlineStr"/>
      <c r="T1047" s="5" t="inlineStr"/>
      <c r="U1047" s="5" t="inlineStr"/>
      <c r="V1047" s="5" t="inlineStr"/>
      <c r="W1047" s="5" t="inlineStr"/>
      <c r="X1047" s="5" t="inlineStr"/>
      <c r="Y1047" s="5" t="inlineStr"/>
      <c r="Z1047" s="6" t="inlineStr"/>
      <c r="AA1047" s="5" t="inlineStr"/>
      <c r="AB1047" s="5" t="inlineStr"/>
      <c r="AC1047" s="5" t="inlineStr"/>
      <c r="AD1047" s="5" t="inlineStr"/>
      <c r="AE1047" s="5" t="inlineStr"/>
      <c r="AF1047" s="5" t="inlineStr"/>
      <c r="AG1047" s="5" t="inlineStr"/>
      <c r="AH1047" s="5" t="inlineStr"/>
      <c r="AI1047" s="5" t="inlineStr"/>
      <c r="AJ1047" s="5" t="inlineStr"/>
    </row>
    <row r="1048">
      <c r="A1048" s="5" t="inlineStr">
        <is>
          <t>mm-devir-teslim</t>
        </is>
      </c>
      <c r="B1048" s="5" t="n">
        <v>1</v>
      </c>
      <c r="C1048" s="6" t="inlineStr">
        <is>
          <t>Her şeyi tutanağa geçir</t>
        </is>
      </c>
      <c r="D1048" s="5" t="inlineStr"/>
      <c r="E1048" s="5" t="inlineStr"/>
      <c r="F1048" s="5" t="inlineStr">
        <is>
          <t>Akıl +1, İtibar +1</t>
        </is>
      </c>
      <c r="G1048" s="6" t="inlineStr">
        <is>
          <t>Kırk iki sayfalık tutanak yazdın. Genç memur ilk sayfayı okudu ve sordu: 'Kısaca?'</t>
        </is>
      </c>
      <c r="H1048" s="6" t="inlineStr"/>
      <c r="I1048" s="6" t="inlineStr"/>
      <c r="J1048" s="6" t="inlineStr"/>
      <c r="K1048" s="6" t="inlineStr"/>
      <c r="L1048" s="6" t="inlineStr"/>
      <c r="M1048" s="5" t="inlineStr"/>
      <c r="N1048" s="5" t="inlineStr"/>
      <c r="O1048" s="6" t="inlineStr"/>
      <c r="P1048" s="6" t="inlineStr"/>
      <c r="Q1048" s="5" t="inlineStr"/>
      <c r="R1048" s="5" t="inlineStr"/>
      <c r="S1048" s="5" t="inlineStr"/>
      <c r="T1048" s="5" t="inlineStr"/>
      <c r="U1048" s="5" t="inlineStr"/>
      <c r="V1048" s="5" t="inlineStr"/>
      <c r="W1048" s="5" t="inlineStr"/>
      <c r="X1048" s="5" t="inlineStr"/>
      <c r="Y1048" s="5" t="inlineStr"/>
      <c r="Z1048" s="6" t="inlineStr"/>
      <c r="AA1048" s="5" t="inlineStr"/>
      <c r="AB1048" s="5" t="inlineStr"/>
      <c r="AC1048" s="5" t="inlineStr"/>
      <c r="AD1048" s="5" t="inlineStr"/>
      <c r="AE1048" s="5" t="inlineStr"/>
      <c r="AF1048" s="5" t="inlineStr"/>
      <c r="AG1048" s="5" t="inlineStr"/>
      <c r="AH1048" s="5" t="inlineStr"/>
      <c r="AI1048" s="5" t="inlineStr"/>
      <c r="AJ1048" s="5" t="inlineStr"/>
    </row>
    <row r="1049">
      <c r="A1049" s="5" t="inlineStr">
        <is>
          <t>mm-devir-teslim</t>
        </is>
      </c>
      <c r="B1049" s="5" t="n">
        <v>2</v>
      </c>
      <c r="C1049" s="6" t="inlineStr">
        <is>
          <t>Genç memura işin inceliklerini öğret</t>
        </is>
      </c>
      <c r="D1049" s="5" t="inlineStr">
        <is>
          <t>Çene</t>
        </is>
      </c>
      <c r="E1049" s="5" t="inlineStr">
        <is>
          <t>Orta</t>
        </is>
      </c>
      <c r="F1049" s="5" t="inlineStr"/>
      <c r="G1049" s="6" t="inlineStr"/>
      <c r="H1049" s="6" t="inlineStr">
        <is>
          <t>Hangi evrak hangi masaya, hangi müdür hangi saatte. İki haftada otuz yıl aktarıldı.</t>
        </is>
      </c>
      <c r="I1049" s="6" t="inlineStr">
        <is>
          <t>Genç memur öğrendiklerini not aldı, not defteri birimde el kitabı oldu. Kapakta adın var.</t>
        </is>
      </c>
      <c r="J1049" s="6" t="inlineStr">
        <is>
          <t>Anlattın. Genç memur her cümleden sonra 'Sistemde bu otomatik' dedi.</t>
        </is>
      </c>
      <c r="K1049" s="6" t="inlineStr">
        <is>
          <t>O kadar anlattın ki genç memur tayin istedi. Devir teslim, yeni gelecek bir sonraki gence ertelendi.</t>
        </is>
      </c>
      <c r="L1049" s="6" t="inlineStr"/>
      <c r="M1049" s="5" t="inlineStr"/>
      <c r="N1049" s="5" t="inlineStr"/>
      <c r="O1049" s="6" t="inlineStr"/>
      <c r="P1049" s="6" t="inlineStr"/>
      <c r="Q1049" s="5" t="inlineStr"/>
      <c r="R1049" s="5" t="inlineStr"/>
      <c r="S1049" s="5" t="inlineStr"/>
      <c r="T1049" s="5" t="inlineStr"/>
      <c r="U1049" s="5" t="inlineStr"/>
      <c r="V1049" s="5" t="inlineStr"/>
      <c r="W1049" s="5" t="inlineStr"/>
      <c r="X1049" s="5" t="inlineStr"/>
      <c r="Y1049" s="5" t="inlineStr"/>
      <c r="Z1049" s="6" t="inlineStr"/>
      <c r="AA1049" s="5" t="inlineStr"/>
      <c r="AB1049" s="5" t="inlineStr"/>
      <c r="AC1049" s="5" t="inlineStr"/>
      <c r="AD1049" s="5" t="inlineStr"/>
      <c r="AE1049" s="5" t="inlineStr"/>
      <c r="AF1049" s="5" t="inlineStr"/>
      <c r="AG1049" s="5" t="inlineStr"/>
      <c r="AH1049" s="5" t="inlineStr"/>
      <c r="AI1049" s="5" t="inlineStr"/>
      <c r="AJ1049" s="5" t="inlineStr"/>
    </row>
    <row r="1050">
      <c r="A1050" s="5" t="inlineStr">
        <is>
          <t>mm-devir-teslim</t>
        </is>
      </c>
      <c r="B1050" s="5" t="n">
        <v>3</v>
      </c>
      <c r="C1050" s="6" t="inlineStr">
        <is>
          <t>Genç memurdan yeni sistemi öğren</t>
        </is>
      </c>
      <c r="D1050" s="5" t="inlineStr">
        <is>
          <t>Akıl</t>
        </is>
      </c>
      <c r="E1050" s="5" t="inlineStr">
        <is>
          <t>Kolay</t>
        </is>
      </c>
      <c r="F1050" s="5" t="inlineStr"/>
      <c r="G1050" s="6" t="inlineStr"/>
      <c r="H1050" s="6" t="inlineStr">
        <is>
          <t>On dakikada öğrendin. Son iki haftan otuz yılın en hızlı iki haftası oldu; kimseye 'Yarın gelin' demeye fırsat kalmadı.</t>
        </is>
      </c>
      <c r="I1050" s="6" t="inlineStr">
        <is>
          <t>Sistemi öyle kavradın ki çöktüğünde genç memur seni aradı. Otuz yılda bir ilk.</t>
        </is>
      </c>
      <c r="J1050" s="6" t="inlineStr">
        <is>
          <t>Öğrendin, sonra unuttun. Sistem de seni unuttu; şifren süresi dolmuştu.</t>
        </is>
      </c>
      <c r="K1050" s="6" t="inlineStr">
        <is>
          <t>Yanlış tuşa bastın; bütün birimin emeklilik tarihi bir yıl ileri kaydı. Düzelene kadar üç ay koridorda kimse sana selam vermedi.</t>
        </is>
      </c>
      <c r="L1050" s="6" t="inlineStr"/>
      <c r="M1050" s="5" t="inlineStr"/>
      <c r="N1050" s="5" t="inlineStr"/>
      <c r="O1050" s="6" t="inlineStr"/>
      <c r="P1050" s="6" t="inlineStr"/>
      <c r="Q1050" s="5" t="inlineStr"/>
      <c r="R1050" s="5" t="inlineStr"/>
      <c r="S1050" s="5" t="inlineStr"/>
      <c r="T1050" s="5" t="inlineStr"/>
      <c r="U1050" s="5" t="inlineStr"/>
      <c r="V1050" s="5" t="inlineStr"/>
      <c r="W1050" s="5" t="inlineStr"/>
      <c r="X1050" s="5" t="inlineStr"/>
      <c r="Y1050" s="5" t="inlineStr"/>
      <c r="Z1050" s="6" t="inlineStr"/>
      <c r="AA1050" s="5" t="inlineStr"/>
      <c r="AB1050" s="5" t="inlineStr"/>
      <c r="AC1050" s="5" t="inlineStr"/>
      <c r="AD1050" s="5" t="inlineStr"/>
      <c r="AE1050" s="5" t="inlineStr"/>
      <c r="AF1050" s="5" t="inlineStr"/>
      <c r="AG1050" s="5" t="inlineStr"/>
      <c r="AH1050" s="5" t="inlineStr"/>
      <c r="AI1050" s="5" t="inlineStr"/>
      <c r="AJ1050" s="5" t="inlineStr"/>
    </row>
    <row r="1051">
      <c r="A1051" s="5" t="inlineStr">
        <is>
          <t>mm-devir-teslim</t>
        </is>
      </c>
      <c r="B1051" s="5" t="n">
        <v>4</v>
      </c>
      <c r="C1051" s="6" t="inlineStr">
        <is>
          <t>Kayıp dosyayı da devret</t>
        </is>
      </c>
      <c r="D1051" s="5" t="inlineStr">
        <is>
          <t>Pişkinlik</t>
        </is>
      </c>
      <c r="E1051" s="5" t="inlineStr">
        <is>
          <t>Orta</t>
        </is>
      </c>
      <c r="F1051" s="5" t="inlineStr"/>
      <c r="G1051" s="6" t="inlineStr"/>
      <c r="H1051" s="6" t="inlineStr">
        <is>
          <t>Dosyanın kaybından artık yasal olarak başkası sorumlu. Omuzların otuz yıl sonra ilk kez düz.</t>
        </is>
      </c>
      <c r="I1051" s="6" t="inlineStr">
        <is>
          <t>Genç memur dosyayı ilk haftasında buldu, bir dolabın arkasındaymış. Otuz yıl, bir dolap kaydırma mesafesindeymiş.</t>
        </is>
      </c>
      <c r="J1051" s="6" t="inlineStr">
        <is>
          <t>Genç memur imzalamadı. Zimmet emekliliğine kadar sende.</t>
        </is>
      </c>
      <c r="K1051" s="6" t="inlineStr">
        <is>
          <t>Dosyayı devrederken ikinci bir belge kaybettin: devir tutanağını.</t>
        </is>
      </c>
      <c r="L1051" s="6" t="inlineStr"/>
      <c r="M1051" s="5" t="inlineStr"/>
      <c r="N1051" s="5" t="inlineStr"/>
      <c r="O1051" s="6" t="inlineStr"/>
      <c r="P1051" s="6" t="inlineStr"/>
      <c r="Q1051" s="5" t="inlineStr"/>
      <c r="R1051" s="5" t="inlineStr">
        <is>
          <t>memur-kayip-dosya</t>
        </is>
      </c>
      <c r="S1051" s="5" t="inlineStr"/>
      <c r="T1051" s="5" t="inlineStr"/>
      <c r="U1051" s="5" t="inlineStr"/>
      <c r="V1051" s="5" t="inlineStr"/>
      <c r="W1051" s="5" t="inlineStr"/>
      <c r="X1051" s="5" t="inlineStr"/>
      <c r="Y1051" s="5" t="inlineStr"/>
      <c r="Z1051" s="6" t="inlineStr"/>
      <c r="AA1051" s="5" t="inlineStr"/>
      <c r="AB1051" s="5" t="inlineStr"/>
      <c r="AC1051" s="5" t="inlineStr"/>
      <c r="AD1051" s="5" t="inlineStr"/>
      <c r="AE1051" s="5" t="inlineStr"/>
      <c r="AF1051" s="5" t="inlineStr"/>
      <c r="AG1051" s="5" t="inlineStr"/>
      <c r="AH1051" s="5" t="inlineStr"/>
      <c r="AI1051" s="5" t="inlineStr"/>
      <c r="AJ1051" s="5" t="inlineStr"/>
    </row>
    <row r="1052">
      <c r="A1052" s="5" t="inlineStr">
        <is>
          <t>b9-yapay-zeka-asistani</t>
        </is>
      </c>
      <c r="B1052" s="5" t="n">
        <v>1</v>
      </c>
      <c r="C1052" s="6" t="inlineStr">
        <is>
          <t>Asistana bağır</t>
        </is>
      </c>
      <c r="D1052" s="5" t="inlineStr">
        <is>
          <t>Cesaret</t>
        </is>
      </c>
      <c r="E1052" s="5" t="inlineStr">
        <is>
          <t>Kolay</t>
        </is>
      </c>
      <c r="F1052" s="5" t="inlineStr"/>
      <c r="G1052" s="6" t="inlineStr"/>
      <c r="H1052" s="6" t="inlineStr">
        <is>
          <t>Bağırdın. Asistan 'Sakin olun, size yardımcı olacağım' dedi ve oldu. Ertesi sabah seni kendiliğinden uyandırdı: “Günaydın. Bugün sakin miyiz?”</t>
        </is>
      </c>
      <c r="I1052" s="6" t="inlineStr">
        <is>
          <t>Bağırdın, asistan özür diledi. Hayatında ilk kez bir teknoloji senden özür diledi.</t>
        </is>
      </c>
      <c r="J1052" s="6" t="inlineStr">
        <is>
          <t>Bağırdın. Asistan 'Mutluluk verici müzikler çalıyorum' dedi ve çaldı.</t>
        </is>
      </c>
      <c r="K1052" s="6" t="inlineStr">
        <is>
          <t>Bağırdın. Komşu 'Her şey yolunda mı?' diye kapıyı çaldı. Asistan komşuyu anladı.</t>
        </is>
      </c>
      <c r="L1052" s="6" t="inlineStr"/>
      <c r="M1052" s="5" t="inlineStr"/>
      <c r="N1052" s="5" t="inlineStr"/>
      <c r="O1052" s="6" t="inlineStr"/>
      <c r="P1052" s="6" t="inlineStr"/>
      <c r="Q1052" s="5" t="inlineStr"/>
      <c r="R1052" s="5" t="inlineStr"/>
      <c r="S1052" s="5" t="inlineStr"/>
      <c r="T1052" s="5" t="inlineStr"/>
      <c r="U1052" s="5" t="inlineStr"/>
      <c r="V1052" s="5" t="inlineStr"/>
      <c r="W1052" s="5" t="inlineStr"/>
      <c r="X1052" s="5" t="inlineStr"/>
      <c r="Y1052" s="5" t="inlineStr"/>
      <c r="Z1052" s="6" t="inlineStr"/>
      <c r="AA1052" s="5" t="inlineStr"/>
      <c r="AB1052" s="5" t="inlineStr"/>
      <c r="AC1052" s="5" t="inlineStr"/>
      <c r="AD1052" s="5" t="inlineStr"/>
      <c r="AE1052" s="5" t="inlineStr"/>
      <c r="AF1052" s="5" t="inlineStr"/>
      <c r="AG1052" s="5" t="inlineStr"/>
      <c r="AH1052" s="5" t="inlineStr"/>
      <c r="AI1052" s="5" t="inlineStr"/>
      <c r="AJ1052" s="5" t="inlineStr"/>
    </row>
    <row r="1053">
      <c r="A1053" s="5" t="inlineStr">
        <is>
          <t>b9-yapay-zeka-asistani</t>
        </is>
      </c>
      <c r="B1053" s="5" t="n">
        <v>2</v>
      </c>
      <c r="C1053" s="6" t="inlineStr">
        <is>
          <t>Kibarca sor</t>
        </is>
      </c>
      <c r="D1053" s="5" t="inlineStr"/>
      <c r="E1053" s="5" t="inlineStr"/>
      <c r="F1053" s="5" t="inlineStr">
        <is>
          <t>İtibar +1</t>
        </is>
      </c>
      <c r="G1053" s="6" t="inlineStr">
        <is>
          <t>'Rica etsem' diye başladın. Asistan sana dört paragraf cevap verdi. İlk cümlede kayboldun.</t>
        </is>
      </c>
      <c r="H1053" s="6" t="inlineStr"/>
      <c r="I1053" s="6" t="inlineStr"/>
      <c r="J1053" s="6" t="inlineStr"/>
      <c r="K1053" s="6" t="inlineStr"/>
      <c r="L1053" s="6" t="inlineStr"/>
      <c r="M1053" s="5" t="inlineStr"/>
      <c r="N1053" s="5" t="inlineStr"/>
      <c r="O1053" s="6" t="inlineStr"/>
      <c r="P1053" s="6" t="inlineStr"/>
      <c r="Q1053" s="5" t="inlineStr"/>
      <c r="R1053" s="5" t="inlineStr"/>
      <c r="S1053" s="5" t="inlineStr"/>
      <c r="T1053" s="5" t="inlineStr"/>
      <c r="U1053" s="5" t="inlineStr"/>
      <c r="V1053" s="5" t="inlineStr"/>
      <c r="W1053" s="5" t="inlineStr"/>
      <c r="X1053" s="5" t="inlineStr"/>
      <c r="Y1053" s="5" t="inlineStr"/>
      <c r="Z1053" s="6" t="inlineStr"/>
      <c r="AA1053" s="5" t="inlineStr"/>
      <c r="AB1053" s="5" t="inlineStr"/>
      <c r="AC1053" s="5" t="inlineStr"/>
      <c r="AD1053" s="5" t="inlineStr"/>
      <c r="AE1053" s="5" t="inlineStr"/>
      <c r="AF1053" s="5" t="inlineStr"/>
      <c r="AG1053" s="5" t="inlineStr"/>
      <c r="AH1053" s="5" t="inlineStr"/>
      <c r="AI1053" s="5" t="inlineStr"/>
      <c r="AJ1053" s="5" t="inlineStr"/>
    </row>
    <row r="1054">
      <c r="A1054" s="5" t="inlineStr">
        <is>
          <t>b9-yapay-zeka-asistani</t>
        </is>
      </c>
      <c r="B1054" s="5" t="n">
        <v>3</v>
      </c>
      <c r="C1054" s="6" t="inlineStr">
        <is>
          <t>Asistanı kendine göre ayarla</t>
        </is>
      </c>
      <c r="D1054" s="5" t="inlineStr">
        <is>
          <t>Akıl</t>
        </is>
      </c>
      <c r="E1054" s="5" t="inlineStr">
        <is>
          <t>Orta</t>
        </is>
      </c>
      <c r="F1054" s="5" t="inlineStr"/>
      <c r="G1054" s="6" t="inlineStr"/>
      <c r="H1054" s="6" t="inlineStr">
        <is>
          <t>Asistana yavaş konuşmasını, kısa cevap vermesini ve seni 'Efendim' diye çağırmasını öğrettin.</t>
        </is>
      </c>
      <c r="I1054" s="6" t="inlineStr">
        <is>
          <t>Asistanı öyle eğittin ki sabahları seni şöyle uyandırıyor: 'Günaydın, gözlüğün başının üstünde.' Haklı da.</t>
        </is>
      </c>
      <c r="J1054" s="6" t="inlineStr">
        <is>
          <t>Ayarları değiştirdin, asistanın dili değişti. Şimdi bilmediğin bir dilde sana tarif veriyor.</t>
        </is>
      </c>
      <c r="K1054" s="6" t="inlineStr">
        <is>
          <t>Ayarlarda kayboldun. Asistan artık seni 'Kullanıcı 1' diye çağırıyor ve buna itiraz yolu yok.</t>
        </is>
      </c>
      <c r="L1054" s="6" t="inlineStr"/>
      <c r="M1054" s="5" t="inlineStr"/>
      <c r="N1054" s="5" t="inlineStr"/>
      <c r="O1054" s="6" t="inlineStr"/>
      <c r="P1054" s="6" t="inlineStr"/>
      <c r="Q1054" s="5" t="inlineStr">
        <is>
          <t>Şifreyi Bilen</t>
        </is>
      </c>
      <c r="R1054" s="5" t="inlineStr"/>
      <c r="S1054" s="5" t="inlineStr"/>
      <c r="T1054" s="5" t="inlineStr"/>
      <c r="U1054" s="5" t="inlineStr"/>
      <c r="V1054" s="5" t="inlineStr"/>
      <c r="W1054" s="5" t="inlineStr"/>
      <c r="X1054" s="5" t="inlineStr"/>
      <c r="Y1054" s="5" t="inlineStr"/>
      <c r="Z1054" s="6" t="inlineStr"/>
      <c r="AA1054" s="5" t="inlineStr"/>
      <c r="AB1054" s="5" t="inlineStr"/>
      <c r="AC1054" s="5" t="inlineStr"/>
      <c r="AD1054" s="5" t="inlineStr"/>
      <c r="AE1054" s="5" t="inlineStr"/>
      <c r="AF1054" s="5" t="inlineStr"/>
      <c r="AG1054" s="5" t="inlineStr"/>
      <c r="AH1054" s="5" t="inlineStr"/>
      <c r="AI1054" s="5" t="inlineStr"/>
      <c r="AJ1054" s="5" t="inlineStr"/>
    </row>
    <row r="1055">
      <c r="A1055" s="5" t="inlineStr">
        <is>
          <t>b9-torun-nobeti</t>
        </is>
      </c>
      <c r="B1055" s="5" t="n">
        <v>1</v>
      </c>
      <c r="C1055" s="6" t="inlineStr">
        <is>
          <t>Talimatlara harfiyen uy</t>
        </is>
      </c>
      <c r="D1055" s="5" t="inlineStr"/>
      <c r="E1055" s="5" t="inlineStr"/>
      <c r="F1055" s="5" t="inlineStr">
        <is>
          <t>Dayanıklılık +1, Gönül +1</t>
        </is>
      </c>
      <c r="G1055" s="6" t="inlineStr">
        <is>
          <t>Listeye uydun. Torun seni 'en sıkıcı bakıcı' seçti. Çocuğun seni 'en güvenilir' seçti.</t>
        </is>
      </c>
      <c r="H1055" s="6" t="inlineStr"/>
      <c r="I1055" s="6" t="inlineStr"/>
      <c r="J1055" s="6" t="inlineStr"/>
      <c r="K1055" s="6" t="inlineStr"/>
      <c r="L1055" s="6" t="inlineStr"/>
      <c r="M1055" s="5" t="inlineStr"/>
      <c r="N1055" s="5" t="inlineStr"/>
      <c r="O1055" s="6" t="inlineStr"/>
      <c r="P1055" s="6" t="inlineStr"/>
      <c r="Q1055" s="5" t="inlineStr"/>
      <c r="R1055" s="5" t="inlineStr"/>
      <c r="S1055" s="5" t="inlineStr"/>
      <c r="T1055" s="5" t="inlineStr"/>
      <c r="U1055" s="5" t="inlineStr"/>
      <c r="V1055" s="5" t="inlineStr"/>
      <c r="W1055" s="5" t="inlineStr"/>
      <c r="X1055" s="5" t="inlineStr"/>
      <c r="Y1055" s="5" t="inlineStr"/>
      <c r="Z1055" s="6" t="inlineStr"/>
      <c r="AA1055" s="5" t="inlineStr"/>
      <c r="AB1055" s="5" t="inlineStr"/>
      <c r="AC1055" s="5" t="inlineStr"/>
      <c r="AD1055" s="5" t="inlineStr"/>
      <c r="AE1055" s="5" t="inlineStr"/>
      <c r="AF1055" s="5" t="inlineStr"/>
      <c r="AG1055" s="5" t="inlineStr"/>
      <c r="AH1055" s="5" t="inlineStr"/>
      <c r="AI1055" s="5" t="inlineStr"/>
      <c r="AJ1055" s="5" t="inlineStr"/>
    </row>
    <row r="1056">
      <c r="A1056" s="5" t="inlineStr">
        <is>
          <t>b9-torun-nobeti</t>
        </is>
      </c>
      <c r="B1056" s="5" t="n">
        <v>2</v>
      </c>
      <c r="C1056" s="6" t="inlineStr">
        <is>
          <t>Hafıza oyunu oyna</t>
        </is>
      </c>
      <c r="D1056" s="5" t="inlineStr">
        <is>
          <t>Akıl</t>
        </is>
      </c>
      <c r="E1056" s="5" t="inlineStr">
        <is>
          <t>Orta</t>
        </is>
      </c>
      <c r="F1056" s="5" t="inlineStr"/>
      <c r="G1056" s="6" t="inlineStr"/>
      <c r="H1056" s="6" t="inlineStr">
        <is>
          <t>Sırayı hatırladın. Torun gözlerini kocaman açtı, telefonunu kaptı ve annesine sesli mesaj attı: 'Hepsini bildi!'</t>
        </is>
      </c>
      <c r="I1056" s="6" t="inlineStr">
        <is>
          <t>Hiç hata yapmadın. Torun oyunun kurallarını değiştirmeye çalıştı; onu da hatırladın.</t>
        </is>
      </c>
      <c r="J1056" s="6" t="inlineStr">
        <is>
          <t>Sırayı karıştırdın. Torun elini omzuna koydu: 'Olsun, bir daha deneyelim. Bu sefer yavaş göstereceğim.'</t>
        </is>
      </c>
      <c r="K1056" s="6" t="inlineStr">
        <is>
          <t>Oyunu kaybettin ve 'Bu kurallar sonradan değişti' dedin. Torun akşam görüntülü aramada annesine anlattı: 'Hile yaptı.' Ertesi gün talimat listesine beşinci sayfa eklendi.</t>
        </is>
      </c>
      <c r="L1056" s="6" t="inlineStr">
        <is>
          <t>Yarısını hatırladın. Torun kalanını fısıldadı. Takım olarak kazandınız.</t>
        </is>
      </c>
      <c r="M1056" s="5" t="inlineStr">
        <is>
          <t>simon</t>
        </is>
      </c>
      <c r="N1056" s="5" t="inlineStr">
        <is>
          <t>Torunun Oyunu</t>
        </is>
      </c>
      <c r="O1056" s="6" t="inlineStr">
        <is>
          <t>Torunun gösterdiği sırayı tekrarla. Hata yaparsan oyunu açıklamaya başlayacak.</t>
        </is>
      </c>
      <c r="P1056" s="6" t="inlineStr">
        <is>
          <t>{"items": ["🐶", "🐱", "🦆", "🐸"]}</t>
        </is>
      </c>
      <c r="Q1056" s="5" t="inlineStr"/>
      <c r="R1056" s="5" t="inlineStr"/>
      <c r="S1056" s="5" t="inlineStr"/>
      <c r="T1056" s="5" t="inlineStr"/>
      <c r="U1056" s="5" t="inlineStr"/>
      <c r="V1056" s="5" t="inlineStr"/>
      <c r="W1056" s="5" t="inlineStr"/>
      <c r="X1056" s="5" t="inlineStr"/>
      <c r="Y1056" s="5" t="inlineStr"/>
      <c r="Z1056" s="6" t="inlineStr"/>
      <c r="AA1056" s="5" t="inlineStr"/>
      <c r="AB1056" s="5" t="inlineStr"/>
      <c r="AC1056" s="5" t="inlineStr"/>
      <c r="AD1056" s="5" t="inlineStr"/>
      <c r="AE1056" s="5" t="inlineStr"/>
      <c r="AF1056" s="5" t="inlineStr"/>
      <c r="AG1056" s="5" t="inlineStr"/>
      <c r="AH1056" s="5" t="inlineStr"/>
      <c r="AI1056" s="5" t="inlineStr"/>
      <c r="AJ1056" s="5" t="inlineStr"/>
    </row>
    <row r="1057">
      <c r="A1057" s="5" t="inlineStr">
        <is>
          <t>b9-torun-nobeti</t>
        </is>
      </c>
      <c r="B1057" s="5" t="n">
        <v>3</v>
      </c>
      <c r="C1057" s="6" t="inlineStr">
        <is>
          <t>Dondurmayla rüşvet ver</t>
        </is>
      </c>
      <c r="D1057" s="5" t="inlineStr">
        <is>
          <t>Kurnazlık</t>
        </is>
      </c>
      <c r="E1057" s="5" t="inlineStr">
        <is>
          <t>Kolay</t>
        </is>
      </c>
      <c r="F1057" s="5" t="inlineStr"/>
      <c r="G1057" s="6" t="inlineStr"/>
      <c r="H1057" s="6" t="inlineStr">
        <is>
          <t>Talimat listesinde 'dondurma yok' yazmıyordu; 'şeker yok' yazıyordu. Torun külahı bitirirken 'Bu şeker değil, değil mi?' diye sordu. 'Değil' dedin.</t>
        </is>
      </c>
      <c r="I1057" s="6" t="inlineStr">
        <is>
          <t>Dondurmayı verdin, torun her şeye uydu. Serçe parmağını uzattı: 'Kimseye söylemiyoruz.' Söylemedi.</t>
        </is>
      </c>
      <c r="J1057" s="6" t="inlineStr">
        <is>
          <t>Dondurmayı verdin, torun ailesine görüntülü aramada dondurmalı yüzle göründü.</t>
        </is>
      </c>
      <c r="K1057" s="6" t="inlineStr">
        <is>
          <t>Dondurmayı verdin; torun ikinciyi istedi, üçüncüyü kendi aldı. Gece üçte hâlâ salonda dans ediyordu. Sabah alt komşu kapıyı çaldı: 'Gece düğün mü vardı?'</t>
        </is>
      </c>
      <c r="L1057" s="6" t="inlineStr"/>
      <c r="M1057" s="5" t="inlineStr"/>
      <c r="N1057" s="5" t="inlineStr"/>
      <c r="O1057" s="6" t="inlineStr"/>
      <c r="P1057" s="6" t="inlineStr"/>
      <c r="Q1057" s="5" t="inlineStr"/>
      <c r="R1057" s="5" t="inlineStr"/>
      <c r="S1057" s="5" t="inlineStr"/>
      <c r="T1057" s="5" t="inlineStr"/>
      <c r="U1057" s="5" t="inlineStr"/>
      <c r="V1057" s="5" t="inlineStr"/>
      <c r="W1057" s="5" t="inlineStr"/>
      <c r="X1057" s="5" t="inlineStr"/>
      <c r="Y1057" s="5" t="inlineStr"/>
      <c r="Z1057" s="6" t="inlineStr"/>
      <c r="AA1057" s="5" t="inlineStr"/>
      <c r="AB1057" s="5" t="inlineStr"/>
      <c r="AC1057" s="5" t="inlineStr"/>
      <c r="AD1057" s="5" t="inlineStr"/>
      <c r="AE1057" s="5" t="inlineStr"/>
      <c r="AF1057" s="5" t="inlineStr"/>
      <c r="AG1057" s="5" t="inlineStr"/>
      <c r="AH1057" s="5" t="inlineStr"/>
      <c r="AI1057" s="5" t="inlineStr"/>
      <c r="AJ1057" s="5" t="inlineStr"/>
    </row>
    <row r="1058">
      <c r="A1058" s="5" t="inlineStr">
        <is>
          <t>mb-devir-teslim</t>
        </is>
      </c>
      <c r="B1058" s="5" t="n">
        <v>1</v>
      </c>
      <c r="C1058" s="6" t="inlineStr">
        <is>
          <t>Yerine geleni kahveye götür</t>
        </is>
      </c>
      <c r="D1058" s="5" t="inlineStr"/>
      <c r="E1058" s="5" t="inlineStr"/>
      <c r="F1058" s="5" t="inlineStr">
        <is>
          <t>İtibar +1</t>
        </is>
      </c>
      <c r="G1058" s="6" t="inlineStr">
        <is>
          <t>Kahve ısmarladın, her şeyi anlattın. Not almadı; yalnızca masandaki bitkiyi sordu. Bir yıl sonra haber geldi: bitki yaşıyor, şifreleri kimse bilmiyor.</t>
        </is>
      </c>
      <c r="H1058" s="6" t="inlineStr"/>
      <c r="I1058" s="6" t="inlineStr"/>
      <c r="J1058" s="6" t="inlineStr"/>
      <c r="K1058" s="6" t="inlineStr"/>
      <c r="L1058" s="6" t="inlineStr"/>
      <c r="M1058" s="5" t="inlineStr"/>
      <c r="N1058" s="5" t="inlineStr"/>
      <c r="O1058" s="6" t="inlineStr"/>
      <c r="P1058" s="6" t="inlineStr"/>
      <c r="Q1058" s="5" t="inlineStr"/>
      <c r="R1058" s="5" t="inlineStr"/>
      <c r="S1058" s="5" t="inlineStr"/>
      <c r="T1058" s="5" t="inlineStr"/>
      <c r="U1058" s="5" t="inlineStr"/>
      <c r="V1058" s="5" t="inlineStr"/>
      <c r="W1058" s="5" t="inlineStr"/>
      <c r="X1058" s="5" t="inlineStr"/>
      <c r="Y1058" s="5" t="inlineStr"/>
      <c r="Z1058" s="6" t="inlineStr"/>
      <c r="AA1058" s="5" t="inlineStr"/>
      <c r="AB1058" s="5" t="inlineStr"/>
      <c r="AC1058" s="5" t="inlineStr"/>
      <c r="AD1058" s="5" t="inlineStr"/>
      <c r="AE1058" s="5" t="inlineStr"/>
      <c r="AF1058" s="5" t="inlineStr"/>
      <c r="AG1058" s="5" t="inlineStr"/>
      <c r="AH1058" s="5" t="inlineStr"/>
      <c r="AI1058" s="5" t="inlineStr"/>
      <c r="AJ1058" s="5" t="inlineStr"/>
    </row>
    <row r="1059">
      <c r="A1059" s="5" t="inlineStr">
        <is>
          <t>mb-devir-teslim</t>
        </is>
      </c>
      <c r="B1059" s="5" t="n">
        <v>2</v>
      </c>
      <c r="C1059" s="6" t="inlineStr">
        <is>
          <t>Her şeyi yaz</t>
        </is>
      </c>
      <c r="D1059" s="5" t="inlineStr">
        <is>
          <t>Akıl</t>
        </is>
      </c>
      <c r="E1059" s="5" t="inlineStr">
        <is>
          <t>Orta</t>
        </is>
      </c>
      <c r="F1059" s="5" t="inlineStr"/>
      <c r="G1059" s="6" t="inlineStr"/>
      <c r="H1059" s="6" t="inlineStr">
        <is>
          <t>Yüz iki sayfalık devir belgesi hazırladın. Yerine gelen teşekkür etti, belgeyi sallanan masasının ayağının altına koydu. Masa artık sallanmıyor.</t>
        </is>
      </c>
      <c r="I1059" s="6" t="inlineStr">
        <is>
          <t>Belgen şirketin resmî eğitim kitabı oldu. Kapağında adın var, doğru yazılmış.</t>
        </is>
      </c>
      <c r="J1059" s="6" t="inlineStr">
        <is>
          <t>Yazdın; belge 'çok uzun' bulundu ve bir özet istendi. Özet kırk sayfa.</t>
        </is>
      </c>
      <c r="K1059" s="6" t="inlineStr">
        <is>
          <t>Yazdığın belge, yapay zekâya özetletildi. Özette senin adın 'eski sistem' olarak geçiyor.</t>
        </is>
      </c>
      <c r="L1059" s="6" t="inlineStr"/>
      <c r="M1059" s="5" t="inlineStr"/>
      <c r="N1059" s="5" t="inlineStr"/>
      <c r="O1059" s="6" t="inlineStr"/>
      <c r="P1059" s="6" t="inlineStr"/>
      <c r="Q1059" s="5" t="inlineStr"/>
      <c r="R1059" s="5" t="inlineStr"/>
      <c r="S1059" s="5" t="inlineStr"/>
      <c r="T1059" s="5" t="inlineStr"/>
      <c r="U1059" s="5" t="inlineStr"/>
      <c r="V1059" s="5" t="inlineStr"/>
      <c r="W1059" s="5" t="inlineStr"/>
      <c r="X1059" s="5" t="inlineStr"/>
      <c r="Y1059" s="5" t="inlineStr"/>
      <c r="Z1059" s="6" t="inlineStr"/>
      <c r="AA1059" s="5" t="inlineStr"/>
      <c r="AB1059" s="5" t="inlineStr"/>
      <c r="AC1059" s="5" t="inlineStr"/>
      <c r="AD1059" s="5" t="inlineStr"/>
      <c r="AE1059" s="5" t="inlineStr"/>
      <c r="AF1059" s="5" t="inlineStr"/>
      <c r="AG1059" s="5" t="inlineStr"/>
      <c r="AH1059" s="5" t="inlineStr"/>
      <c r="AI1059" s="5" t="inlineStr"/>
      <c r="AJ1059" s="5" t="inlineStr"/>
    </row>
    <row r="1060">
      <c r="A1060" s="5" t="inlineStr">
        <is>
          <t>mb-devir-teslim</t>
        </is>
      </c>
      <c r="B1060" s="5" t="n">
        <v>3</v>
      </c>
      <c r="C1060" s="6" t="inlineStr">
        <is>
          <t>Önemli kısmı kendine sakla</t>
        </is>
      </c>
      <c r="D1060" s="5" t="inlineStr">
        <is>
          <t>Kurnazlık</t>
        </is>
      </c>
      <c r="E1060" s="5" t="inlineStr">
        <is>
          <t>Orta</t>
        </is>
      </c>
      <c r="F1060" s="5" t="inlineStr"/>
      <c r="G1060" s="6" t="inlineStr"/>
      <c r="H1060" s="6" t="inlineStr">
        <is>
          <t>Emekliliğinden iki ay sonra seni geri çağırdılar. Saat ücretiyle.</t>
        </is>
      </c>
      <c r="I1060" s="6" t="inlineStr">
        <is>
          <t>Saklanan şifre için şirket sana özel bir danışmanlık sözleşmesi yaptı. Uzaktan, pijamayla.</t>
        </is>
      </c>
      <c r="J1060" s="6" t="inlineStr">
        <is>
          <t>Yerine gelen, sakladığını iki günde buldu. Senin otuz yılını iki gün.</t>
        </is>
      </c>
      <c r="K1060" s="6" t="inlineStr">
        <is>
          <t>Sakladığın şifreyi sen de unuttun. Arşiv kilitli kaldı. Emekliliğinin üçüncü günü telefonun çaldı; hoparlörden yirmi kişi aynı anda 'Hatırla!' diye bağırıyordu.</t>
        </is>
      </c>
      <c r="L1060" s="6" t="inlineStr"/>
      <c r="M1060" s="5" t="inlineStr"/>
      <c r="N1060" s="5" t="inlineStr"/>
      <c r="O1060" s="6" t="inlineStr"/>
      <c r="P1060" s="6" t="inlineStr"/>
      <c r="Q1060" s="5" t="inlineStr"/>
      <c r="R1060" s="5" t="inlineStr"/>
      <c r="S1060" s="5" t="inlineStr"/>
      <c r="T1060" s="5" t="inlineStr"/>
      <c r="U1060" s="5" t="inlineStr"/>
      <c r="V1060" s="5" t="inlineStr"/>
      <c r="W1060" s="5" t="inlineStr"/>
      <c r="X1060" s="5" t="inlineStr"/>
      <c r="Y1060" s="5" t="inlineStr"/>
      <c r="Z1060" s="6" t="inlineStr"/>
      <c r="AA1060" s="5" t="inlineStr"/>
      <c r="AB1060" s="5" t="inlineStr"/>
      <c r="AC1060" s="5" t="inlineStr"/>
      <c r="AD1060" s="5" t="inlineStr"/>
      <c r="AE1060" s="5" t="inlineStr"/>
      <c r="AF1060" s="5" t="inlineStr"/>
      <c r="AG1060" s="5" t="inlineStr"/>
      <c r="AH1060" s="5" t="inlineStr"/>
      <c r="AI1060" s="5" t="inlineStr"/>
      <c r="AJ1060" s="5" t="inlineStr"/>
    </row>
    <row r="1061">
      <c r="A1061" s="5" t="inlineStr">
        <is>
          <t>me-mudavim</t>
        </is>
      </c>
      <c r="B1061" s="5" t="n">
        <v>1</v>
      </c>
      <c r="C1061" s="6" t="inlineStr">
        <is>
          <t>Her zamankini hazırla</t>
        </is>
      </c>
      <c r="D1061" s="5" t="inlineStr"/>
      <c r="E1061" s="5" t="inlineStr"/>
      <c r="F1061" s="5" t="inlineStr">
        <is>
          <t>İtibar +1, Sosyal Radar +1</t>
        </is>
      </c>
      <c r="G1061" s="6" t="inlineStr">
        <is>
          <t>Tek kelime konuşmadınız: ekmek, gazete, bozuk para. Çıkarken kapıda durdu, 'Torun' dedi. Yirmi yılın en uzun cümlesiydi.</t>
        </is>
      </c>
      <c r="H1061" s="6" t="inlineStr"/>
      <c r="I1061" s="6" t="inlineStr"/>
      <c r="J1061" s="6" t="inlineStr"/>
      <c r="K1061" s="6" t="inlineStr"/>
      <c r="L1061" s="6" t="inlineStr"/>
      <c r="M1061" s="5" t="inlineStr"/>
      <c r="N1061" s="5" t="inlineStr"/>
      <c r="O1061" s="6" t="inlineStr"/>
      <c r="P1061" s="6" t="inlineStr"/>
      <c r="Q1061" s="5" t="inlineStr"/>
      <c r="R1061" s="5" t="inlineStr"/>
      <c r="S1061" s="5" t="inlineStr"/>
      <c r="T1061" s="5" t="inlineStr"/>
      <c r="U1061" s="5" t="inlineStr"/>
      <c r="V1061" s="5" t="inlineStr"/>
      <c r="W1061" s="5" t="inlineStr"/>
      <c r="X1061" s="5" t="inlineStr"/>
      <c r="Y1061" s="5" t="inlineStr"/>
      <c r="Z1061" s="6" t="inlineStr"/>
      <c r="AA1061" s="5" t="inlineStr"/>
      <c r="AB1061" s="5" t="inlineStr"/>
      <c r="AC1061" s="5" t="inlineStr"/>
      <c r="AD1061" s="5" t="inlineStr"/>
      <c r="AE1061" s="5" t="inlineStr"/>
      <c r="AF1061" s="5" t="inlineStr"/>
      <c r="AG1061" s="5" t="inlineStr"/>
      <c r="AH1061" s="5" t="inlineStr"/>
      <c r="AI1061" s="5" t="inlineStr"/>
      <c r="AJ1061" s="5" t="inlineStr"/>
    </row>
    <row r="1062">
      <c r="A1062" s="5" t="inlineStr">
        <is>
          <t>me-mudavim</t>
        </is>
      </c>
      <c r="B1062" s="5" t="n">
        <v>2</v>
      </c>
      <c r="C1062" s="6" t="inlineStr">
        <is>
          <t>'Nerede kaldın?' diye sitem et</t>
        </is>
      </c>
      <c r="D1062" s="5" t="inlineStr">
        <is>
          <t>Çene</t>
        </is>
      </c>
      <c r="E1062" s="5" t="inlineStr">
        <is>
          <t>Kolay</t>
        </is>
      </c>
      <c r="F1062" s="5" t="inlineStr"/>
      <c r="G1062" s="6" t="inlineStr"/>
      <c r="H1062" s="6" t="inlineStr">
        <is>
          <t>Sitem ettin, güldü, torununu anlattı. Artık sabahları iki kişi geliyor.</t>
        </is>
      </c>
      <c r="I1062" s="6" t="inlineStr">
        <is>
          <t>Torun da müdavim oldu. Artık her sabah iki ekmek, bir simit; küçüğü tezgâha yetişemiyor, parayı zıplayarak bırakıyor.</t>
        </is>
      </c>
      <c r="J1062" s="6" t="inlineStr">
        <is>
          <t>'Sana mı soracağım?' dedi. Yirmi yıldır bu kadar uzun konuşmamıştınız.</t>
        </is>
      </c>
      <c r="K1062" s="6" t="inlineStr">
        <is>
          <t>Sitemin fazla sert çıktı. Ertesi sabah 08.10'da karşı dükkândaydı. 08.12'de pişman döndü.</t>
        </is>
      </c>
      <c r="L1062" s="6" t="inlineStr"/>
      <c r="M1062" s="5" t="inlineStr"/>
      <c r="N1062" s="5" t="inlineStr"/>
      <c r="O1062" s="6" t="inlineStr"/>
      <c r="P1062" s="6" t="inlineStr"/>
      <c r="Q1062" s="5" t="inlineStr"/>
      <c r="R1062" s="5" t="inlineStr"/>
      <c r="S1062" s="5" t="inlineStr"/>
      <c r="T1062" s="5" t="inlineStr"/>
      <c r="U1062" s="5" t="inlineStr"/>
      <c r="V1062" s="5" t="inlineStr"/>
      <c r="W1062" s="5" t="inlineStr"/>
      <c r="X1062" s="5" t="inlineStr"/>
      <c r="Y1062" s="5" t="inlineStr"/>
      <c r="Z1062" s="6" t="inlineStr"/>
      <c r="AA1062" s="5" t="inlineStr"/>
      <c r="AB1062" s="5" t="inlineStr"/>
      <c r="AC1062" s="5" t="inlineStr"/>
      <c r="AD1062" s="5" t="inlineStr"/>
      <c r="AE1062" s="5" t="inlineStr"/>
      <c r="AF1062" s="5" t="inlineStr"/>
      <c r="AG1062" s="5" t="inlineStr"/>
      <c r="AH1062" s="5" t="inlineStr"/>
      <c r="AI1062" s="5" t="inlineStr"/>
      <c r="AJ1062" s="5" t="inlineStr"/>
    </row>
    <row r="1063">
      <c r="A1063" s="5" t="inlineStr">
        <is>
          <t>me-mudavim</t>
        </is>
      </c>
      <c r="B1063" s="5" t="n">
        <v>3</v>
      </c>
      <c r="C1063" s="6" t="inlineStr">
        <is>
          <t>Yeni bir ürün öner</t>
        </is>
      </c>
      <c r="D1063" s="5" t="inlineStr">
        <is>
          <t>Pişkinlik</t>
        </is>
      </c>
      <c r="E1063" s="5" t="inlineStr">
        <is>
          <t>Orta</t>
        </is>
      </c>
      <c r="F1063" s="5" t="inlineStr"/>
      <c r="G1063" s="6" t="inlineStr"/>
      <c r="H1063" s="6" t="inlineStr">
        <is>
          <t>Yirmi yılın ardından ilk kez başka bir şey aldı. Mahalle bunu tarihî bir gün olarak kaydetti.</t>
        </is>
      </c>
      <c r="I1063" s="6" t="inlineStr">
        <is>
          <t>Artık iki şey alıyor: ekmek ve senin önerdiğin peynir. Kahvede 'Adam yirmi yıl sonra fikir değiştirdi' diye konuşuluyor.</t>
        </is>
      </c>
      <c r="J1063" s="6" t="inlineStr">
        <is>
          <t>'Her zamankini' dedi. Yirmi yıldır aynı cevap.</t>
        </is>
      </c>
      <c r="K1063" s="6" t="inlineStr">
        <is>
          <t>Önerdiğin yeni peynir midesine dokundu. Bütün mahalleye 'Ondan alma, bozuk' dedi. Ertesi sabah 08.10'da yine kapındaydı, peynirsiz.</t>
        </is>
      </c>
      <c r="L1063" s="6" t="inlineStr"/>
      <c r="M1063" s="5" t="inlineStr"/>
      <c r="N1063" s="5" t="inlineStr"/>
      <c r="O1063" s="6" t="inlineStr"/>
      <c r="P1063" s="6" t="inlineStr"/>
      <c r="Q1063" s="5" t="inlineStr"/>
      <c r="R1063" s="5" t="inlineStr"/>
      <c r="S1063" s="5" t="inlineStr"/>
      <c r="T1063" s="5" t="inlineStr"/>
      <c r="U1063" s="5" t="inlineStr"/>
      <c r="V1063" s="5" t="inlineStr"/>
      <c r="W1063" s="5" t="inlineStr"/>
      <c r="X1063" s="5" t="inlineStr"/>
      <c r="Y1063" s="5" t="inlineStr"/>
      <c r="Z1063" s="6" t="inlineStr"/>
      <c r="AA1063" s="5" t="inlineStr"/>
      <c r="AB1063" s="5" t="inlineStr"/>
      <c r="AC1063" s="5" t="inlineStr"/>
      <c r="AD1063" s="5" t="inlineStr"/>
      <c r="AE1063" s="5" t="inlineStr"/>
      <c r="AF1063" s="5" t="inlineStr"/>
      <c r="AG1063" s="5" t="inlineStr"/>
      <c r="AH1063" s="5" t="inlineStr"/>
      <c r="AI1063" s="5" t="inlineStr"/>
      <c r="AJ1063" s="5" t="inlineStr"/>
    </row>
    <row r="1064">
      <c r="A1064" s="5" t="inlineStr">
        <is>
          <t>me-mudavim</t>
        </is>
      </c>
      <c r="B1064" s="5" t="n">
        <v>4</v>
      </c>
      <c r="C1064" s="6" t="inlineStr">
        <is>
          <t>Sormadan anla</t>
        </is>
      </c>
      <c r="D1064" s="5" t="inlineStr">
        <is>
          <t>Sosyal Radar</t>
        </is>
      </c>
      <c r="E1064" s="5" t="inlineStr">
        <is>
          <t>Kolay</t>
        </is>
      </c>
      <c r="F1064" s="5" t="inlineStr"/>
      <c r="G1064" s="6" t="inlineStr"/>
      <c r="H1064" s="6" t="inlineStr">
        <is>
          <t>Ekmeğin yanına bir de çocuk bisküvisi koydun. Başıyla teşekkür etti.</t>
        </is>
      </c>
      <c r="I1064" s="6" t="inlineStr">
        <is>
          <t>Ertesi sabah 08.40'ta poşet hazırdı: ekmek, gazete, torun için bisküvi. Tek bir kelime edilmedi.</t>
        </is>
      </c>
      <c r="J1064" s="6" t="inlineStr">
        <is>
          <t>Anladığını sandın. Gecikmenin sebebi saatinin pili bitmesiymiş.</t>
        </is>
      </c>
      <c r="K1064" s="6" t="inlineStr">
        <is>
          <t>Bisküvi koydun. Torun yokmuş; müdavim kendisi için sandı ve öfkelendi: 'Ben çocuk muyum?'</t>
        </is>
      </c>
      <c r="L1064" s="6" t="inlineStr"/>
      <c r="M1064" s="5" t="inlineStr"/>
      <c r="N1064" s="5" t="inlineStr"/>
      <c r="O1064" s="6" t="inlineStr"/>
      <c r="P1064" s="6" t="inlineStr"/>
      <c r="Q1064" s="5" t="inlineStr">
        <is>
          <t>Sessiz Gözlemci</t>
        </is>
      </c>
      <c r="R1064" s="5" t="inlineStr"/>
      <c r="S1064" s="5" t="inlineStr"/>
      <c r="T1064" s="5" t="inlineStr"/>
      <c r="U1064" s="5" t="inlineStr"/>
      <c r="V1064" s="5" t="inlineStr"/>
      <c r="W1064" s="5" t="inlineStr"/>
      <c r="X1064" s="5" t="inlineStr"/>
      <c r="Y1064" s="5" t="inlineStr"/>
      <c r="Z1064" s="6" t="inlineStr"/>
      <c r="AA1064" s="5" t="inlineStr"/>
      <c r="AB1064" s="5" t="inlineStr"/>
      <c r="AC1064" s="5" t="inlineStr"/>
      <c r="AD1064" s="5" t="inlineStr"/>
      <c r="AE1064" s="5" t="inlineStr"/>
      <c r="AF1064" s="5" t="inlineStr"/>
      <c r="AG1064" s="5" t="inlineStr"/>
      <c r="AH1064" s="5" t="inlineStr"/>
      <c r="AI1064" s="5" t="inlineStr"/>
      <c r="AJ1064" s="5" t="inlineStr"/>
    </row>
    <row r="1065">
      <c r="A1065" s="5" t="inlineStr">
        <is>
          <t>b9-kahvehane-tavla</t>
        </is>
      </c>
      <c r="B1065" s="5" t="n">
        <v>1</v>
      </c>
      <c r="C1065" s="6" t="inlineStr">
        <is>
          <t>Seyirci ol, çay iç</t>
        </is>
      </c>
      <c r="D1065" s="5" t="inlineStr"/>
      <c r="E1065" s="5" t="inlineStr"/>
      <c r="F1065" s="5" t="inlineStr">
        <is>
          <t>Sosyal Radar +1</t>
        </is>
      </c>
      <c r="G1065" s="6" t="inlineStr">
        <is>
          <t>Seyrettin. Masadakiler oyunu, seyirciler ise masadakileri tartıştı. İkinci lig daha heyecanlıydı.</t>
        </is>
      </c>
      <c r="H1065" s="6" t="inlineStr"/>
      <c r="I1065" s="6" t="inlineStr"/>
      <c r="J1065" s="6" t="inlineStr"/>
      <c r="K1065" s="6" t="inlineStr"/>
      <c r="L1065" s="6" t="inlineStr"/>
      <c r="M1065" s="5" t="inlineStr"/>
      <c r="N1065" s="5" t="inlineStr"/>
      <c r="O1065" s="6" t="inlineStr"/>
      <c r="P1065" s="6" t="inlineStr"/>
      <c r="Q1065" s="5" t="inlineStr"/>
      <c r="R1065" s="5" t="inlineStr"/>
      <c r="S1065" s="5" t="inlineStr"/>
      <c r="T1065" s="5" t="inlineStr"/>
      <c r="U1065" s="5" t="inlineStr"/>
      <c r="V1065" s="5" t="inlineStr"/>
      <c r="W1065" s="5" t="inlineStr"/>
      <c r="X1065" s="5" t="inlineStr"/>
      <c r="Y1065" s="5" t="inlineStr"/>
      <c r="Z1065" s="6" t="inlineStr"/>
      <c r="AA1065" s="5" t="inlineStr"/>
      <c r="AB1065" s="5" t="inlineStr"/>
      <c r="AC1065" s="5" t="inlineStr"/>
      <c r="AD1065" s="5" t="inlineStr"/>
      <c r="AE1065" s="5" t="inlineStr"/>
      <c r="AF1065" s="5" t="inlineStr"/>
      <c r="AG1065" s="5" t="inlineStr"/>
      <c r="AH1065" s="5" t="inlineStr"/>
      <c r="AI1065" s="5" t="inlineStr"/>
      <c r="AJ1065" s="5" t="inlineStr"/>
    </row>
    <row r="1066">
      <c r="A1066" s="5" t="inlineStr">
        <is>
          <t>b9-kahvehane-tavla</t>
        </is>
      </c>
      <c r="B1066" s="5" t="n">
        <v>2</v>
      </c>
      <c r="C1066" s="6" t="inlineStr">
        <is>
          <t>Lige katıl</t>
        </is>
      </c>
      <c r="D1066" s="5" t="inlineStr">
        <is>
          <t>Kurnazlık</t>
        </is>
      </c>
      <c r="E1066" s="5" t="inlineStr">
        <is>
          <t>Zor</t>
        </is>
      </c>
      <c r="F1066" s="5" t="inlineStr"/>
      <c r="G1066" s="6" t="inlineStr"/>
      <c r="H1066" s="6" t="inlineStr">
        <is>
          <t>İlk hafta dört maç kazandın. Duvardaki tebeşir listede adın yazıldı. Yanlış yazıldı ama yazıldı.</t>
        </is>
      </c>
      <c r="I1066" s="6" t="inlineStr">
        <is>
          <t>Ligi namağlup bitirdin. Tebeşir adın silinmesin diye üstüne bant yapıştırıldı.</t>
        </is>
      </c>
      <c r="J1066" s="6" t="inlineStr">
        <is>
          <t>İlk maçta mars oldun. Adın tebeşir listeye yazıldı; yanına küçük bir sıfır.</t>
        </is>
      </c>
      <c r="K1066" s="6" t="inlineStr">
        <is>
          <t>İlk maçta heyecandan pulları ters dizdin; rakip üç el boyunca hiçbir şey demedi. Bitince kahvehane gülmekten masaları salladı. Duvardaki listede adının yanına tebeşirle ters bir ok çizildi.</t>
        </is>
      </c>
      <c r="L1066" s="6" t="inlineStr"/>
      <c r="M1066" s="5" t="inlineStr"/>
      <c r="N1066" s="5" t="inlineStr"/>
      <c r="O1066" s="6" t="inlineStr"/>
      <c r="P1066" s="6" t="inlineStr"/>
      <c r="Q1066" s="5" t="inlineStr"/>
      <c r="R1066" s="5" t="inlineStr"/>
      <c r="S1066" s="5" t="inlineStr"/>
      <c r="T1066" s="5" t="inlineStr">
        <is>
          <t>Tavla Kurdu</t>
        </is>
      </c>
      <c r="U1066" s="5" t="inlineStr"/>
      <c r="V1066" s="5" t="inlineStr">
        <is>
          <t>tavla-sampiyonu</t>
        </is>
      </c>
      <c r="W1066" s="5" t="inlineStr"/>
      <c r="X1066" s="5" t="inlineStr"/>
      <c r="Y1066" s="5" t="inlineStr"/>
      <c r="Z1066" s="6" t="inlineStr"/>
      <c r="AA1066" s="5" t="inlineStr"/>
      <c r="AB1066" s="5" t="inlineStr"/>
      <c r="AC1066" s="5" t="inlineStr"/>
      <c r="AD1066" s="5" t="inlineStr"/>
      <c r="AE1066" s="5" t="inlineStr"/>
      <c r="AF1066" s="5" t="inlineStr"/>
      <c r="AG1066" s="5" t="inlineStr"/>
      <c r="AH1066" s="5" t="inlineStr"/>
      <c r="AI1066" s="5" t="inlineStr">
        <is>
          <t>Ters Pul</t>
        </is>
      </c>
      <c r="AJ1066" s="5" t="inlineStr"/>
    </row>
    <row r="1067">
      <c r="A1067" s="5" t="inlineStr">
        <is>
          <t>b9-kahvehane-tavla</t>
        </is>
      </c>
      <c r="B1067" s="5" t="n">
        <v>3</v>
      </c>
      <c r="C1067" s="6" t="inlineStr">
        <is>
          <t>Rakibi laf ile sars</t>
        </is>
      </c>
      <c r="D1067" s="5" t="inlineStr">
        <is>
          <t>Pişkinlik</t>
        </is>
      </c>
      <c r="E1067" s="5" t="inlineStr">
        <is>
          <t>Zor</t>
        </is>
      </c>
      <c r="F1067" s="5" t="inlineStr"/>
      <c r="G1067" s="6" t="inlineStr"/>
      <c r="H1067" s="6" t="inlineStr">
        <is>
          <t>'Bu zarlar sana küs' dedin. Rakip zarları üç kere değiştirdi ve kaybetti.</t>
        </is>
      </c>
      <c r="I1067" s="6" t="inlineStr">
        <is>
          <t>Rakip o kadar sarsıldı ki pullarını ters dizdi. Kahvehane bu maçı 'Psikolojik Mars' olarak kayda geçti.</t>
        </is>
      </c>
      <c r="J1067" s="6" t="inlineStr">
        <is>
          <t>Laf attın; rakip cevap vermedi. Sessizce kazandı, çayını bitirdi, giderken tek kelime etti: 'Eyvallah.' O 'eyvallah' bir hafta kulağında çınladı.</t>
        </is>
      </c>
      <c r="K1067" s="6" t="inlineStr">
        <is>
          <t>Laf attın. Rakip gülümsedi, cüzdanından sararmış bir kâğıt çıkardı: yirmi yıl önce sana attığı marsın skoru. Kâğıdı duvara, tebeşir listenin yanına astı; kahvehane alkışladı.</t>
        </is>
      </c>
      <c r="L1067" s="6" t="inlineStr"/>
      <c r="M1067" s="5" t="inlineStr"/>
      <c r="N1067" s="5" t="inlineStr"/>
      <c r="O1067" s="6" t="inlineStr"/>
      <c r="P1067" s="6" t="inlineStr"/>
      <c r="Q1067" s="5" t="inlineStr">
        <is>
          <t>Yüzü Kızarmaz</t>
        </is>
      </c>
      <c r="R1067" s="5" t="inlineStr"/>
      <c r="S1067" s="5" t="inlineStr"/>
      <c r="T1067" s="5" t="inlineStr"/>
      <c r="U1067" s="5" t="inlineStr"/>
      <c r="V1067" s="5" t="inlineStr"/>
      <c r="W1067" s="5" t="inlineStr"/>
      <c r="X1067" s="5" t="inlineStr"/>
      <c r="Y1067" s="5" t="inlineStr"/>
      <c r="Z1067" s="6" t="inlineStr"/>
      <c r="AA1067" s="5" t="inlineStr"/>
      <c r="AB1067" s="5" t="inlineStr"/>
      <c r="AC1067" s="5" t="inlineStr"/>
      <c r="AD1067" s="5" t="inlineStr"/>
      <c r="AE1067" s="5" t="inlineStr"/>
      <c r="AF1067" s="5" t="inlineStr"/>
      <c r="AG1067" s="5" t="inlineStr"/>
      <c r="AH1067" s="5" t="inlineStr"/>
      <c r="AI1067" s="5" t="inlineStr"/>
      <c r="AJ1067" s="5" t="inlineStr"/>
    </row>
    <row r="1068">
      <c r="A1068" s="5" t="inlineStr">
        <is>
          <t>b9-emeklilik</t>
        </is>
      </c>
      <c r="B1068" s="5" t="n">
        <v>1</v>
      </c>
      <c r="C1068" s="6" t="inlineStr">
        <is>
          <t>Veda konuşması yap</t>
        </is>
      </c>
      <c r="D1068" s="5" t="inlineStr">
        <is>
          <t>Çene</t>
        </is>
      </c>
      <c r="E1068" s="5" t="inlineStr">
        <is>
          <t>Orta</t>
        </is>
      </c>
      <c r="F1068" s="5" t="inlineStr"/>
      <c r="G1068" s="6" t="inlineStr"/>
      <c r="H1068" s="6" t="inlineStr">
        <is>
          <t>Konuştun, üç kişi ağladı, biri alkışladı. Yöneticin konuşmanı bir sonraki emeklilikte kullanmak için istedi.</t>
        </is>
      </c>
      <c r="I1068" s="6" t="inlineStr">
        <is>
          <t>Konuşman öyle etkiliydi ki iki genç ertesi gün izin dilekçesi verdi: 'Hayatımı düşüneceğim.' Müdür seni kapıda yakaladı: 'Bir dahaki vedada sen konuşma.'</t>
        </is>
      </c>
      <c r="J1068" s="6" t="inlineStr">
        <is>
          <t>Konuşmaya başladın, mikrofon açılmadı. Açıldığında konuşma bitmişti. Alkış teknik ekibe gitti.</t>
        </is>
      </c>
      <c r="K1068" s="6" t="inlineStr">
        <is>
          <t>Teşekkür ettiğin yirmi iki kişinin arasında yöneticin yoktu. Pastayı o kesti. Senin dilimini en sona bıraktı: kenarı, kremasız.</t>
        </is>
      </c>
      <c r="L1068" s="6" t="inlineStr"/>
      <c r="M1068" s="5" t="inlineStr"/>
      <c r="N1068" s="5" t="inlineStr"/>
      <c r="O1068" s="6" t="inlineStr"/>
      <c r="P1068" s="6" t="inlineStr"/>
      <c r="Q1068" s="5" t="inlineStr"/>
      <c r="R1068" s="5" t="inlineStr"/>
      <c r="S1068" s="5" t="inlineStr"/>
      <c r="T1068" s="5" t="inlineStr"/>
      <c r="U1068" s="5" t="inlineStr">
        <is>
          <t>emekli</t>
        </is>
      </c>
      <c r="V1068" s="5" t="inlineStr"/>
      <c r="W1068" s="5" t="inlineStr"/>
      <c r="X1068" s="5" t="inlineStr"/>
      <c r="Y1068" s="5" t="inlineStr"/>
      <c r="Z1068" s="6" t="inlineStr"/>
      <c r="AA1068" s="5" t="inlineStr"/>
      <c r="AB1068" s="5" t="inlineStr"/>
      <c r="AC1068" s="5" t="inlineStr"/>
      <c r="AD1068" s="5" t="inlineStr"/>
      <c r="AE1068" s="5" t="inlineStr"/>
      <c r="AF1068" s="5" t="inlineStr"/>
      <c r="AG1068" s="5" t="inlineStr"/>
      <c r="AH1068" s="5" t="inlineStr"/>
      <c r="AI1068" s="5" t="inlineStr"/>
      <c r="AJ1068" s="5" t="inlineStr"/>
    </row>
    <row r="1069">
      <c r="A1069" s="5" t="inlineStr">
        <is>
          <t>b9-emeklilik</t>
        </is>
      </c>
      <c r="B1069" s="5" t="n">
        <v>2</v>
      </c>
      <c r="C1069" s="6" t="inlineStr">
        <is>
          <t>Pastadan al, sessizce çık</t>
        </is>
      </c>
      <c r="D1069" s="5" t="inlineStr"/>
      <c r="E1069" s="5" t="inlineStr"/>
      <c r="F1069" s="5" t="inlineStr">
        <is>
          <t>Dayanıklılık +1</t>
        </is>
      </c>
      <c r="G1069" s="6" t="inlineStr">
        <is>
          <t>Pastanı aldın ve sessizce çıktın. Otuz beş yılın özeti: bir plaket, bir tabak ve iki mum.</t>
        </is>
      </c>
      <c r="H1069" s="6" t="inlineStr"/>
      <c r="I1069" s="6" t="inlineStr"/>
      <c r="J1069" s="6" t="inlineStr"/>
      <c r="K1069" s="6" t="inlineStr"/>
      <c r="L1069" s="6" t="inlineStr"/>
      <c r="M1069" s="5" t="inlineStr"/>
      <c r="N1069" s="5" t="inlineStr"/>
      <c r="O1069" s="6" t="inlineStr"/>
      <c r="P1069" s="6" t="inlineStr"/>
      <c r="Q1069" s="5" t="inlineStr"/>
      <c r="R1069" s="5" t="inlineStr"/>
      <c r="S1069" s="5" t="inlineStr"/>
      <c r="T1069" s="5" t="inlineStr"/>
      <c r="U1069" s="5" t="inlineStr">
        <is>
          <t>emekli</t>
        </is>
      </c>
      <c r="V1069" s="5" t="inlineStr"/>
      <c r="W1069" s="5" t="inlineStr"/>
      <c r="X1069" s="5" t="inlineStr"/>
      <c r="Y1069" s="5" t="inlineStr"/>
      <c r="Z1069" s="6" t="inlineStr"/>
      <c r="AA1069" s="5" t="inlineStr"/>
      <c r="AB1069" s="5" t="inlineStr"/>
      <c r="AC1069" s="5" t="inlineStr"/>
      <c r="AD1069" s="5" t="inlineStr"/>
      <c r="AE1069" s="5" t="inlineStr"/>
      <c r="AF1069" s="5" t="inlineStr"/>
      <c r="AG1069" s="5" t="inlineStr"/>
      <c r="AH1069" s="5" t="inlineStr"/>
      <c r="AI1069" s="5" t="inlineStr"/>
      <c r="AJ1069" s="5" t="inlineStr"/>
    </row>
    <row r="1070">
      <c r="A1070" s="5" t="inlineStr">
        <is>
          <t>b9-emeklilik</t>
        </is>
      </c>
      <c r="B1070" s="5" t="n">
        <v>3</v>
      </c>
      <c r="C1070" s="6" t="inlineStr">
        <is>
          <t>Yerine gelene devir teslim yap</t>
        </is>
      </c>
      <c r="D1070" s="5" t="inlineStr"/>
      <c r="E1070" s="5" t="inlineStr"/>
      <c r="F1070" s="5" t="inlineStr">
        <is>
          <t>İtibar +1</t>
        </is>
      </c>
      <c r="G1070" s="6" t="inlineStr">
        <is>
          <t>Devir teslimi yaptın. Otuz beş yılın bilgisi kırk dakikaya sığdı. Yeni gelen iki soru sordu, ikisini de telefonuna not etti.</t>
        </is>
      </c>
      <c r="H1070" s="6" t="inlineStr"/>
      <c r="I1070" s="6" t="inlineStr"/>
      <c r="J1070" s="6" t="inlineStr"/>
      <c r="K1070" s="6" t="inlineStr"/>
      <c r="L1070" s="6" t="inlineStr"/>
      <c r="M1070" s="5" t="inlineStr"/>
      <c r="N1070" s="5" t="inlineStr"/>
      <c r="O1070" s="6" t="inlineStr"/>
      <c r="P1070" s="6" t="inlineStr"/>
      <c r="Q1070" s="5" t="inlineStr"/>
      <c r="R1070" s="5" t="inlineStr"/>
      <c r="S1070" s="5" t="inlineStr"/>
      <c r="T1070" s="5" t="inlineStr"/>
      <c r="U1070" s="5" t="inlineStr">
        <is>
          <t>emekli</t>
        </is>
      </c>
      <c r="V1070" s="5" t="inlineStr"/>
      <c r="W1070" s="5" t="inlineStr"/>
      <c r="X1070" s="5" t="inlineStr"/>
      <c r="Y1070" s="5" t="inlineStr"/>
      <c r="Z1070" s="6" t="inlineStr"/>
      <c r="AA1070" s="5" t="inlineStr"/>
      <c r="AB1070" s="5" t="inlineStr"/>
      <c r="AC1070" s="5" t="inlineStr"/>
      <c r="AD1070" s="5" t="inlineStr"/>
      <c r="AE1070" s="5" t="inlineStr"/>
      <c r="AF1070" s="5" t="inlineStr"/>
      <c r="AG1070" s="5" t="inlineStr"/>
      <c r="AH1070" s="5" t="inlineStr"/>
      <c r="AI1070" s="5" t="inlineStr"/>
      <c r="AJ1070" s="5" t="inlineStr"/>
    </row>
    <row r="1071">
      <c r="A1071" s="5" t="inlineStr">
        <is>
          <t>b9-emeklilik</t>
        </is>
      </c>
      <c r="B1071" s="5" t="n">
        <v>4</v>
      </c>
      <c r="C1071" s="6" t="inlineStr">
        <is>
          <t>Sitede güvenlik görevlisi ol</t>
        </is>
      </c>
      <c r="D1071" s="5" t="inlineStr"/>
      <c r="E1071" s="5" t="inlineStr"/>
      <c r="F1071" s="5" t="inlineStr">
        <is>
          <t>Sosyal Radar +1, Dayanıklılık +1</t>
        </is>
      </c>
      <c r="G1071" s="6" t="inlineStr">
        <is>
          <t>Polis emeklisi olarak sitenin güvenlik kulübesine geçtin. Kapıdan geçen herkesi hâlâ sorguluyorsun; kurye bile artık kimlik gösteriyor.</t>
        </is>
      </c>
      <c r="H1071" s="6" t="inlineStr"/>
      <c r="I1071" s="6" t="inlineStr"/>
      <c r="J1071" s="6" t="inlineStr"/>
      <c r="K1071" s="6" t="inlineStr"/>
      <c r="L1071" s="6" t="inlineStr"/>
      <c r="M1071" s="5" t="inlineStr"/>
      <c r="N1071" s="5" t="inlineStr"/>
      <c r="O1071" s="6" t="inlineStr"/>
      <c r="P1071" s="6" t="inlineStr"/>
      <c r="Q1071" s="5" t="inlineStr"/>
      <c r="R1071" s="5" t="inlineStr">
        <is>
          <t>hat-polis</t>
        </is>
      </c>
      <c r="S1071" s="5" t="inlineStr"/>
      <c r="T1071" s="5" t="inlineStr"/>
      <c r="U1071" s="5" t="inlineStr">
        <is>
          <t>emekli</t>
        </is>
      </c>
      <c r="V1071" s="5" t="inlineStr"/>
      <c r="W1071" s="5" t="inlineStr"/>
      <c r="X1071" s="5" t="inlineStr"/>
      <c r="Y1071" s="5" t="inlineStr"/>
      <c r="Z1071" s="6" t="inlineStr"/>
      <c r="AA1071" s="5" t="inlineStr"/>
      <c r="AB1071" s="5" t="inlineStr"/>
      <c r="AC1071" s="5" t="inlineStr"/>
      <c r="AD1071" s="5" t="inlineStr"/>
      <c r="AE1071" s="5" t="inlineStr"/>
      <c r="AF1071" s="5" t="inlineStr"/>
      <c r="AG1071" s="5" t="inlineStr"/>
      <c r="AH1071" s="5" t="inlineStr"/>
      <c r="AI1071" s="5" t="inlineStr"/>
      <c r="AJ1071" s="5" t="inlineStr"/>
    </row>
    <row r="1072">
      <c r="A1072" s="5" t="inlineStr">
        <is>
          <t>b9-emeklilik</t>
        </is>
      </c>
      <c r="B1072" s="5" t="n">
        <v>5</v>
      </c>
      <c r="C1072" s="6" t="inlineStr">
        <is>
          <t>Apartmanın hakemi ol</t>
        </is>
      </c>
      <c r="D1072" s="5" t="inlineStr"/>
      <c r="E1072" s="5" t="inlineStr"/>
      <c r="F1072" s="5" t="inlineStr">
        <is>
          <t>Akıl +1, İtibar +1</t>
        </is>
      </c>
      <c r="G1072" s="6" t="inlineStr">
        <is>
          <t>Emekli hâkim olarak apartmanın gayriresmî mahkemesi oldun. Dördüncü kattaki ayakkabı dolabı davası üç yıldır sürüyor.</t>
        </is>
      </c>
      <c r="H1072" s="6" t="inlineStr"/>
      <c r="I1072" s="6" t="inlineStr"/>
      <c r="J1072" s="6" t="inlineStr"/>
      <c r="K1072" s="6" t="inlineStr"/>
      <c r="L1072" s="6" t="inlineStr"/>
      <c r="M1072" s="5" t="inlineStr"/>
      <c r="N1072" s="5" t="inlineStr"/>
      <c r="O1072" s="6" t="inlineStr"/>
      <c r="P1072" s="6" t="inlineStr"/>
      <c r="Q1072" s="5" t="inlineStr"/>
      <c r="R1072" s="5" t="inlineStr">
        <is>
          <t>hat-yargi</t>
        </is>
      </c>
      <c r="S1072" s="5" t="inlineStr"/>
      <c r="T1072" s="5" t="inlineStr"/>
      <c r="U1072" s="5" t="inlineStr">
        <is>
          <t>emekli</t>
        </is>
      </c>
      <c r="V1072" s="5" t="inlineStr"/>
      <c r="W1072" s="5" t="inlineStr"/>
      <c r="X1072" s="5" t="inlineStr"/>
      <c r="Y1072" s="5" t="inlineStr"/>
      <c r="Z1072" s="6" t="inlineStr"/>
      <c r="AA1072" s="5" t="inlineStr"/>
      <c r="AB1072" s="5" t="inlineStr"/>
      <c r="AC1072" s="5" t="inlineStr"/>
      <c r="AD1072" s="5" t="inlineStr"/>
      <c r="AE1072" s="5" t="inlineStr"/>
      <c r="AF1072" s="5" t="inlineStr"/>
      <c r="AG1072" s="5" t="inlineStr"/>
      <c r="AH1072" s="5" t="inlineStr"/>
      <c r="AI1072" s="5" t="inlineStr"/>
      <c r="AJ1072" s="5" t="inlineStr"/>
    </row>
    <row r="1073">
      <c r="A1073" s="5" t="inlineStr">
        <is>
          <t>b9-emeklilik</t>
        </is>
      </c>
      <c r="B1073" s="5" t="n">
        <v>6</v>
      </c>
      <c r="C1073" s="6" t="inlineStr">
        <is>
          <t>Mahalleye ücretsiz muayene ver</t>
        </is>
      </c>
      <c r="D1073" s="5" t="inlineStr"/>
      <c r="E1073" s="5" t="inlineStr"/>
      <c r="F1073" s="5" t="inlineStr">
        <is>
          <t>İtibar +1</t>
        </is>
      </c>
      <c r="G1073" s="6" t="inlineStr">
        <is>
          <t>Emekli oldun ama tansiyon aletin hâlâ çantanda. Pazarda sıra, seninle tansiyonun arasında bölünüyor.</t>
        </is>
      </c>
      <c r="H1073" s="6" t="inlineStr"/>
      <c r="I1073" s="6" t="inlineStr"/>
      <c r="J1073" s="6" t="inlineStr"/>
      <c r="K1073" s="6" t="inlineStr"/>
      <c r="L1073" s="6" t="inlineStr"/>
      <c r="M1073" s="5" t="inlineStr"/>
      <c r="N1073" s="5" t="inlineStr"/>
      <c r="O1073" s="6" t="inlineStr"/>
      <c r="P1073" s="6" t="inlineStr"/>
      <c r="Q1073" s="5" t="inlineStr"/>
      <c r="R1073" s="5" t="inlineStr">
        <is>
          <t>hat-hekim</t>
        </is>
      </c>
      <c r="S1073" s="5" t="inlineStr"/>
      <c r="T1073" s="5" t="inlineStr"/>
      <c r="U1073" s="5" t="inlineStr">
        <is>
          <t>emekli</t>
        </is>
      </c>
      <c r="V1073" s="5" t="inlineStr"/>
      <c r="W1073" s="5" t="inlineStr"/>
      <c r="X1073" s="5" t="inlineStr"/>
      <c r="Y1073" s="5" t="inlineStr"/>
      <c r="Z1073" s="6" t="inlineStr"/>
      <c r="AA1073" s="5" t="inlineStr"/>
      <c r="AB1073" s="5" t="inlineStr"/>
      <c r="AC1073" s="5" t="inlineStr"/>
      <c r="AD1073" s="5" t="inlineStr"/>
      <c r="AE1073" s="5" t="inlineStr"/>
      <c r="AF1073" s="5" t="inlineStr"/>
      <c r="AG1073" s="5" t="inlineStr"/>
      <c r="AH1073" s="5" t="inlineStr"/>
      <c r="AI1073" s="5" t="inlineStr"/>
      <c r="AJ1073" s="5" t="inlineStr"/>
    </row>
    <row r="1074">
      <c r="A1074" s="5" t="inlineStr">
        <is>
          <t>b9-emeklilik</t>
        </is>
      </c>
      <c r="B1074" s="5" t="n">
        <v>7</v>
      </c>
      <c r="C1074" s="6" t="inlineStr">
        <is>
          <t>Gençlik kollarına akıl hocası ol</t>
        </is>
      </c>
      <c r="D1074" s="5" t="inlineStr"/>
      <c r="E1074" s="5" t="inlineStr"/>
      <c r="F1074" s="5" t="inlineStr">
        <is>
          <t>Çene +1, Pişkinlik +1</t>
        </is>
      </c>
      <c r="G1074" s="6" t="inlineStr">
        <is>
          <t>Gençlik kollarının akıl hocası oldun. Her toplantı 'Bizim zamanımızda miting çayı…' diye başlıyor. Çayı hâlâ sen demliyorsun.</t>
        </is>
      </c>
      <c r="H1074" s="6" t="inlineStr"/>
      <c r="I1074" s="6" t="inlineStr"/>
      <c r="J1074" s="6" t="inlineStr"/>
      <c r="K1074" s="6" t="inlineStr"/>
      <c r="L1074" s="6" t="inlineStr"/>
      <c r="M1074" s="5" t="inlineStr"/>
      <c r="N1074" s="5" t="inlineStr"/>
      <c r="O1074" s="6" t="inlineStr"/>
      <c r="P1074" s="6" t="inlineStr"/>
      <c r="Q1074" s="5" t="inlineStr"/>
      <c r="R1074" s="5" t="inlineStr">
        <is>
          <t>hat-politika</t>
        </is>
      </c>
      <c r="S1074" s="5" t="inlineStr"/>
      <c r="T1074" s="5" t="inlineStr"/>
      <c r="U1074" s="5" t="inlineStr">
        <is>
          <t>emekli</t>
        </is>
      </c>
      <c r="V1074" s="5" t="inlineStr"/>
      <c r="W1074" s="5" t="inlineStr"/>
      <c r="X1074" s="5" t="inlineStr"/>
      <c r="Y1074" s="5" t="inlineStr"/>
      <c r="Z1074" s="6" t="inlineStr"/>
      <c r="AA1074" s="5" t="inlineStr"/>
      <c r="AB1074" s="5" t="inlineStr"/>
      <c r="AC1074" s="5" t="inlineStr"/>
      <c r="AD1074" s="5" t="inlineStr"/>
      <c r="AE1074" s="5" t="inlineStr"/>
      <c r="AF1074" s="5" t="inlineStr"/>
      <c r="AG1074" s="5" t="inlineStr"/>
      <c r="AH1074" s="5" t="inlineStr"/>
      <c r="AI1074" s="5" t="inlineStr"/>
      <c r="AJ1074" s="5" t="inlineStr"/>
    </row>
    <row r="1075">
      <c r="A1075" s="5" t="inlineStr">
        <is>
          <t>b9-emeklilik</t>
        </is>
      </c>
      <c r="B1075" s="5" t="n">
        <v>8</v>
      </c>
      <c r="C1075" s="6" t="inlineStr">
        <is>
          <t>Kahvehanenin efsanesi ol</t>
        </is>
      </c>
      <c r="D1075" s="5" t="inlineStr"/>
      <c r="E1075" s="5" t="inlineStr"/>
      <c r="F1075" s="5" t="inlineStr">
        <is>
          <t>Pişkinlik +1, Sosyal Radar +1</t>
        </is>
      </c>
      <c r="G1075" s="6" t="inlineStr">
        <is>
          <t>Kahvehanenin köşe masası artık senin. Gençler sen girince hâlâ ayağa kalkıyor, çayını sormadan getiriyor. Sen tavlada bile hile yapmıyorsun. Çoğunlukla.</t>
        </is>
      </c>
      <c r="H1075" s="6" t="inlineStr"/>
      <c r="I1075" s="6" t="inlineStr"/>
      <c r="J1075" s="6" t="inlineStr"/>
      <c r="K1075" s="6" t="inlineStr"/>
      <c r="L1075" s="6" t="inlineStr"/>
      <c r="M1075" s="5" t="inlineStr"/>
      <c r="N1075" s="5" t="inlineStr"/>
      <c r="O1075" s="6" t="inlineStr"/>
      <c r="P1075" s="6" t="inlineStr"/>
      <c r="Q1075" s="5" t="inlineStr"/>
      <c r="R1075" s="5" t="inlineStr">
        <is>
          <t>hat-cete</t>
        </is>
      </c>
      <c r="S1075" s="5" t="inlineStr"/>
      <c r="T1075" s="5" t="inlineStr"/>
      <c r="U1075" s="5" t="inlineStr">
        <is>
          <t>emekli</t>
        </is>
      </c>
      <c r="V1075" s="5" t="inlineStr"/>
      <c r="W1075" s="5" t="inlineStr"/>
      <c r="X1075" s="5" t="inlineStr"/>
      <c r="Y1075" s="5" t="inlineStr"/>
      <c r="Z1075" s="6" t="inlineStr"/>
      <c r="AA1075" s="5" t="inlineStr"/>
      <c r="AB1075" s="5" t="inlineStr"/>
      <c r="AC1075" s="5" t="inlineStr"/>
      <c r="AD1075" s="5" t="inlineStr"/>
      <c r="AE1075" s="5" t="inlineStr"/>
      <c r="AF1075" s="5" t="inlineStr"/>
      <c r="AG1075" s="5" t="inlineStr"/>
      <c r="AH1075" s="5" t="inlineStr"/>
      <c r="AI1075" s="5" t="inlineStr"/>
      <c r="AJ1075" s="5" t="inlineStr"/>
    </row>
    <row r="1076">
      <c r="A1076" s="5" t="inlineStr">
        <is>
          <t>b9-emeklilik</t>
        </is>
      </c>
      <c r="B1076" s="5" t="n">
        <v>9</v>
      </c>
      <c r="C1076" s="6" t="inlineStr">
        <is>
          <t>Mahallenin gençlerine “Kolay para yoktur” de</t>
        </is>
      </c>
      <c r="D1076" s="5" t="inlineStr"/>
      <c r="E1076" s="5" t="inlineStr"/>
      <c r="F1076" s="5" t="inlineStr">
        <is>
          <t>Kurnazlık +1, Çene +1</t>
        </is>
      </c>
      <c r="G1076" s="6" t="inlineStr">
        <is>
          <t>Mahallenin gençlerine kolay para olmadığını anlattın. Nasihat ücretliydi; taksit de yapıyorsun.</t>
        </is>
      </c>
      <c r="H1076" s="6" t="inlineStr"/>
      <c r="I1076" s="6" t="inlineStr"/>
      <c r="J1076" s="6" t="inlineStr"/>
      <c r="K1076" s="6" t="inlineStr"/>
      <c r="L1076" s="6" t="inlineStr"/>
      <c r="M1076" s="5" t="inlineStr"/>
      <c r="N1076" s="5" t="inlineStr"/>
      <c r="O1076" s="6" t="inlineStr"/>
      <c r="P1076" s="6" t="inlineStr"/>
      <c r="Q1076" s="5" t="inlineStr"/>
      <c r="R1076" s="5" t="inlineStr">
        <is>
          <t>hat-dolandirici</t>
        </is>
      </c>
      <c r="S1076" s="5" t="inlineStr"/>
      <c r="T1076" s="5" t="inlineStr"/>
      <c r="U1076" s="5" t="inlineStr">
        <is>
          <t>emekli</t>
        </is>
      </c>
      <c r="V1076" s="5" t="inlineStr"/>
      <c r="W1076" s="5" t="inlineStr"/>
      <c r="X1076" s="5" t="inlineStr"/>
      <c r="Y1076" s="5" t="inlineStr"/>
      <c r="Z1076" s="6" t="inlineStr"/>
      <c r="AA1076" s="5" t="inlineStr"/>
      <c r="AB1076" s="5" t="inlineStr"/>
      <c r="AC1076" s="5" t="inlineStr"/>
      <c r="AD1076" s="5" t="inlineStr"/>
      <c r="AE1076" s="5" t="inlineStr"/>
      <c r="AF1076" s="5" t="inlineStr"/>
      <c r="AG1076" s="5" t="inlineStr"/>
      <c r="AH1076" s="5" t="inlineStr"/>
      <c r="AI1076" s="5" t="inlineStr"/>
      <c r="AJ1076" s="5" t="inlineStr"/>
    </row>
    <row r="1077">
      <c r="A1077" s="5" t="inlineStr">
        <is>
          <t>b9-emeklilik</t>
        </is>
      </c>
      <c r="B1077" s="5" t="n">
        <v>10</v>
      </c>
      <c r="C1077" s="6" t="inlineStr">
        <is>
          <t>Jüri koltuğunda kal</t>
        </is>
      </c>
      <c r="D1077" s="5" t="inlineStr"/>
      <c r="E1077" s="5" t="inlineStr"/>
      <c r="F1077" s="5" t="inlineStr">
        <is>
          <t>Pişkinlik +1</t>
        </is>
      </c>
      <c r="G1077" s="6" t="inlineStr">
        <is>
          <t>Emekli oldun ama jüri koltuğunu bırakmadın. En sevdiğin kelime “Hayır”; en çok alkışlanan kelime de o.</t>
        </is>
      </c>
      <c r="H1077" s="6" t="inlineStr"/>
      <c r="I1077" s="6" t="inlineStr"/>
      <c r="J1077" s="6" t="inlineStr"/>
      <c r="K1077" s="6" t="inlineStr"/>
      <c r="L1077" s="6" t="inlineStr"/>
      <c r="M1077" s="5" t="inlineStr"/>
      <c r="N1077" s="5" t="inlineStr"/>
      <c r="O1077" s="6" t="inlineStr"/>
      <c r="P1077" s="6" t="inlineStr"/>
      <c r="Q1077" s="5" t="inlineStr"/>
      <c r="R1077" s="5" t="inlineStr">
        <is>
          <t>hat-sohret</t>
        </is>
      </c>
      <c r="S1077" s="5" t="inlineStr"/>
      <c r="T1077" s="5" t="inlineStr"/>
      <c r="U1077" s="5" t="inlineStr">
        <is>
          <t>emekli</t>
        </is>
      </c>
      <c r="V1077" s="5" t="inlineStr"/>
      <c r="W1077" s="5" t="inlineStr"/>
      <c r="X1077" s="5" t="inlineStr"/>
      <c r="Y1077" s="5" t="inlineStr"/>
      <c r="Z1077" s="6" t="inlineStr"/>
      <c r="AA1077" s="5" t="inlineStr"/>
      <c r="AB1077" s="5" t="inlineStr"/>
      <c r="AC1077" s="5" t="inlineStr"/>
      <c r="AD1077" s="5" t="inlineStr"/>
      <c r="AE1077" s="5" t="inlineStr"/>
      <c r="AF1077" s="5" t="inlineStr"/>
      <c r="AG1077" s="5" t="inlineStr"/>
      <c r="AH1077" s="5" t="inlineStr"/>
      <c r="AI1077" s="5" t="inlineStr"/>
      <c r="AJ1077" s="5" t="inlineStr"/>
    </row>
    <row r="1078">
      <c r="A1078" s="5" t="inlineStr">
        <is>
          <t>b9-emeklilik</t>
        </is>
      </c>
      <c r="B1078" s="5" t="n">
        <v>11</v>
      </c>
      <c r="C1078" s="6" t="inlineStr">
        <is>
          <t>Genç girişimcilere mentorluk yap</t>
        </is>
      </c>
      <c r="D1078" s="5" t="inlineStr"/>
      <c r="E1078" s="5" t="inlineStr"/>
      <c r="F1078" s="5" t="inlineStr">
        <is>
          <t>Akıl +1, Çene +1</t>
        </is>
      </c>
      <c r="G1078" s="6" t="inlineStr">
        <is>
          <t>Genç girişimcilere mentorluk yapıyorsun. Hepsine aynı hikâyeyi anlatıyorsun; her seferinde şirket biraz daha büyüyor.</t>
        </is>
      </c>
      <c r="H1078" s="6" t="inlineStr"/>
      <c r="I1078" s="6" t="inlineStr"/>
      <c r="J1078" s="6" t="inlineStr"/>
      <c r="K1078" s="6" t="inlineStr"/>
      <c r="L1078" s="6" t="inlineStr"/>
      <c r="M1078" s="5" t="inlineStr"/>
      <c r="N1078" s="5" t="inlineStr"/>
      <c r="O1078" s="6" t="inlineStr"/>
      <c r="P1078" s="6" t="inlineStr"/>
      <c r="Q1078" s="5" t="inlineStr"/>
      <c r="R1078" s="5" t="inlineStr">
        <is>
          <t>hat-girisimci</t>
        </is>
      </c>
      <c r="S1078" s="5" t="inlineStr"/>
      <c r="T1078" s="5" t="inlineStr"/>
      <c r="U1078" s="5" t="inlineStr">
        <is>
          <t>emekli</t>
        </is>
      </c>
      <c r="V1078" s="5" t="inlineStr"/>
      <c r="W1078" s="5" t="inlineStr"/>
      <c r="X1078" s="5" t="inlineStr"/>
      <c r="Y1078" s="5" t="inlineStr"/>
      <c r="Z1078" s="6" t="inlineStr"/>
      <c r="AA1078" s="5" t="inlineStr"/>
      <c r="AB1078" s="5" t="inlineStr"/>
      <c r="AC1078" s="5" t="inlineStr"/>
      <c r="AD1078" s="5" t="inlineStr"/>
      <c r="AE1078" s="5" t="inlineStr"/>
      <c r="AF1078" s="5" t="inlineStr"/>
      <c r="AG1078" s="5" t="inlineStr"/>
      <c r="AH1078" s="5" t="inlineStr"/>
      <c r="AI1078" s="5" t="inlineStr"/>
      <c r="AJ1078" s="5" t="inlineStr"/>
    </row>
    <row r="1079">
      <c r="A1079" s="5" t="inlineStr">
        <is>
          <t>b9-emeklilik</t>
        </is>
      </c>
      <c r="B1079" s="5" t="n">
        <v>12</v>
      </c>
      <c r="C1079" s="6" t="inlineStr">
        <is>
          <t>Gurbetten dön, yazlığa yerleş</t>
        </is>
      </c>
      <c r="D1079" s="5" t="inlineStr"/>
      <c r="E1079" s="5" t="inlineStr"/>
      <c r="F1079" s="5" t="inlineStr">
        <is>
          <t>Dayanıklılık +1, İtibar +1</t>
        </is>
      </c>
      <c r="G1079" s="6" t="inlineStr">
        <is>
          <t>Otuz yıl sonra döndün ve yazlığa yerleştin. Komşular aksanını hâlâ yadırgıyor; sen de onların çay saatini.</t>
        </is>
      </c>
      <c r="H1079" s="6" t="inlineStr"/>
      <c r="I1079" s="6" t="inlineStr"/>
      <c r="J1079" s="6" t="inlineStr"/>
      <c r="K1079" s="6" t="inlineStr"/>
      <c r="L1079" s="6" t="inlineStr"/>
      <c r="M1079" s="5" t="inlineStr"/>
      <c r="N1079" s="5" t="inlineStr"/>
      <c r="O1079" s="6" t="inlineStr"/>
      <c r="P1079" s="6" t="inlineStr"/>
      <c r="Q1079" s="5" t="inlineStr"/>
      <c r="R1079" s="5" t="inlineStr">
        <is>
          <t>hat-goc</t>
        </is>
      </c>
      <c r="S1079" s="5" t="inlineStr"/>
      <c r="T1079" s="5" t="inlineStr"/>
      <c r="U1079" s="5" t="inlineStr">
        <is>
          <t>emekli</t>
        </is>
      </c>
      <c r="V1079" s="5" t="inlineStr"/>
      <c r="W1079" s="5" t="inlineStr"/>
      <c r="X1079" s="5" t="inlineStr"/>
      <c r="Y1079" s="5" t="inlineStr"/>
      <c r="Z1079" s="6" t="inlineStr"/>
      <c r="AA1079" s="5" t="inlineStr"/>
      <c r="AB1079" s="5" t="inlineStr"/>
      <c r="AC1079" s="5" t="inlineStr"/>
      <c r="AD1079" s="5" t="inlineStr"/>
      <c r="AE1079" s="5" t="inlineStr"/>
      <c r="AF1079" s="5" t="inlineStr"/>
      <c r="AG1079" s="5" t="inlineStr"/>
      <c r="AH1079" s="5" t="inlineStr"/>
      <c r="AI1079" s="5" t="inlineStr"/>
      <c r="AJ1079" s="5" t="inlineStr"/>
    </row>
    <row r="1080">
      <c r="A1080" s="5" t="inlineStr">
        <is>
          <t>b9-emeklilik</t>
        </is>
      </c>
      <c r="B1080" s="5" t="n">
        <v>13</v>
      </c>
      <c r="C1080" s="6" t="inlineStr">
        <is>
          <t>Kooperatifin başına geç</t>
        </is>
      </c>
      <c r="D1080" s="5" t="inlineStr"/>
      <c r="E1080" s="5" t="inlineStr"/>
      <c r="F1080" s="5" t="inlineStr">
        <is>
          <t>İtibar +1, Sosyal Radar +1</t>
        </is>
      </c>
      <c r="G1080" s="6" t="inlineStr">
        <is>
          <t>Kooperatif başkanı oldun. Artık her yağmurda telefonun çalıyor; her güneşte de.</t>
        </is>
      </c>
      <c r="H1080" s="6" t="inlineStr"/>
      <c r="I1080" s="6" t="inlineStr"/>
      <c r="J1080" s="6" t="inlineStr"/>
      <c r="K1080" s="6" t="inlineStr"/>
      <c r="L1080" s="6" t="inlineStr"/>
      <c r="M1080" s="5" t="inlineStr"/>
      <c r="N1080" s="5" t="inlineStr"/>
      <c r="O1080" s="6" t="inlineStr"/>
      <c r="P1080" s="6" t="inlineStr"/>
      <c r="Q1080" s="5" t="inlineStr"/>
      <c r="R1080" s="5" t="inlineStr">
        <is>
          <t>hat-koy</t>
        </is>
      </c>
      <c r="S1080" s="5" t="inlineStr"/>
      <c r="T1080" s="5" t="inlineStr"/>
      <c r="U1080" s="5" t="inlineStr">
        <is>
          <t>emekli</t>
        </is>
      </c>
      <c r="V1080" s="5" t="inlineStr"/>
      <c r="W1080" s="5" t="inlineStr"/>
      <c r="X1080" s="5" t="inlineStr"/>
      <c r="Y1080" s="5" t="inlineStr"/>
      <c r="Z1080" s="6" t="inlineStr"/>
      <c r="AA1080" s="5" t="inlineStr"/>
      <c r="AB1080" s="5" t="inlineStr"/>
      <c r="AC1080" s="5" t="inlineStr"/>
      <c r="AD1080" s="5" t="inlineStr"/>
      <c r="AE1080" s="5" t="inlineStr"/>
      <c r="AF1080" s="5" t="inlineStr"/>
      <c r="AG1080" s="5" t="inlineStr"/>
      <c r="AH1080" s="5" t="inlineStr"/>
      <c r="AI1080" s="5" t="inlineStr"/>
      <c r="AJ1080" s="5" t="inlineStr"/>
    </row>
    <row r="1081">
      <c r="A1081" s="5" t="inlineStr">
        <is>
          <t>b9-emeklilik</t>
        </is>
      </c>
      <c r="B1081" s="5" t="n">
        <v>14</v>
      </c>
      <c r="C1081" s="6" t="inlineStr">
        <is>
          <t>Dükkânın kapısında teşhis koy</t>
        </is>
      </c>
      <c r="D1081" s="5" t="inlineStr"/>
      <c r="E1081" s="5" t="inlineStr"/>
      <c r="F1081" s="5" t="inlineStr">
        <is>
          <t>Akıl +1, Dayanıklılık +1</t>
        </is>
      </c>
      <c r="G1081" s="6" t="inlineStr">
        <is>
          <t>Dükkân artık çırağın; sen kapıdaki taburedesin. Her sabah arızaları dinliyorsun: teşhis senin, tamir onun.</t>
        </is>
      </c>
      <c r="H1081" s="6" t="inlineStr"/>
      <c r="I1081" s="6" t="inlineStr"/>
      <c r="J1081" s="6" t="inlineStr"/>
      <c r="K1081" s="6" t="inlineStr"/>
      <c r="L1081" s="6" t="inlineStr"/>
      <c r="M1081" s="5" t="inlineStr"/>
      <c r="N1081" s="5" t="inlineStr"/>
      <c r="O1081" s="6" t="inlineStr"/>
      <c r="P1081" s="6" t="inlineStr"/>
      <c r="Q1081" s="5" t="inlineStr"/>
      <c r="R1081" s="5" t="inlineStr">
        <is>
          <t>hat-usta</t>
        </is>
      </c>
      <c r="S1081" s="5" t="inlineStr"/>
      <c r="T1081" s="5" t="inlineStr"/>
      <c r="U1081" s="5" t="inlineStr">
        <is>
          <t>emekli</t>
        </is>
      </c>
      <c r="V1081" s="5" t="inlineStr"/>
      <c r="W1081" s="5" t="inlineStr"/>
      <c r="X1081" s="5" t="inlineStr"/>
      <c r="Y1081" s="5" t="inlineStr"/>
      <c r="Z1081" s="6" t="inlineStr"/>
      <c r="AA1081" s="5" t="inlineStr"/>
      <c r="AB1081" s="5" t="inlineStr"/>
      <c r="AC1081" s="5" t="inlineStr"/>
      <c r="AD1081" s="5" t="inlineStr"/>
      <c r="AE1081" s="5" t="inlineStr"/>
      <c r="AF1081" s="5" t="inlineStr"/>
      <c r="AG1081" s="5" t="inlineStr"/>
      <c r="AH1081" s="5" t="inlineStr"/>
      <c r="AI1081" s="5" t="inlineStr"/>
      <c r="AJ1081" s="5" t="inlineStr"/>
    </row>
    <row r="1082">
      <c r="A1082" s="5" t="inlineStr">
        <is>
          <t>b9-emeklilik</t>
        </is>
      </c>
      <c r="B1082" s="5" t="n">
        <v>15</v>
      </c>
      <c r="C1082" s="6" t="inlineStr">
        <is>
          <t>Emekli olmayı reddet</t>
        </is>
      </c>
      <c r="D1082" s="5" t="inlineStr">
        <is>
          <t>Cesaret</t>
        </is>
      </c>
      <c r="E1082" s="5" t="inlineStr">
        <is>
          <t>Orta</t>
        </is>
      </c>
      <c r="F1082" s="5" t="inlineStr"/>
      <c r="G1082" s="6" t="inlineStr"/>
      <c r="H1082" s="6" t="inlineStr">
        <is>
          <t>Pastayı yedin, plaketi masana koydun ve ertesi sabah yine işe geldin. Masan artık bir müze parçası; sen de rehberi.</t>
        </is>
      </c>
      <c r="I1082" s="6" t="inlineStr">
        <is>
          <t>Emekli olmayı reddettin. Ertesi sabah masandaydın; müdür bir şey diyemedi, ay sonunda maaş bordrona bir kalem eklendi: 'Tecrübe.'</t>
        </is>
      </c>
      <c r="J1082" s="6" t="inlineStr">
        <is>
          <t>Ertesi sabah geldin; kartın kapıyı açmadı. Güvenlik sana bir çay ısmarlayıp eve yolladı. Emeklisin, istesen de istemesen de.</t>
        </is>
      </c>
      <c r="K1082" s="6" t="inlineStr">
        <is>
          <t>Ertesi sabah geldin; masan çoktan yenisine verilmiş. Bütün gün koridorda ayakta çalıştın, akşam plaketi de geri istediler.</t>
        </is>
      </c>
      <c r="L1082" s="6" t="inlineStr"/>
      <c r="M1082" s="5" t="inlineStr"/>
      <c r="N1082" s="5" t="inlineStr"/>
      <c r="O1082" s="6" t="inlineStr"/>
      <c r="P1082" s="6" t="inlineStr"/>
      <c r="Q1082" s="5" t="inlineStr"/>
      <c r="R1082" s="5" t="inlineStr"/>
      <c r="S1082" s="5" t="inlineStr"/>
      <c r="T1082" s="5" t="inlineStr"/>
      <c r="U1082" s="5" t="inlineStr"/>
      <c r="V1082" s="5" t="inlineStr">
        <is>
          <t>emekliligi-reddetti</t>
        </is>
      </c>
      <c r="W1082" s="5" t="inlineStr">
        <is>
          <t>emekli</t>
        </is>
      </c>
      <c r="X1082" s="5" t="inlineStr"/>
      <c r="Y1082" s="5" t="inlineStr"/>
      <c r="Z1082" s="6" t="inlineStr"/>
      <c r="AA1082" s="5" t="inlineStr"/>
      <c r="AB1082" s="5" t="inlineStr">
        <is>
          <t>emekli</t>
        </is>
      </c>
      <c r="AC1082" s="5" t="inlineStr"/>
      <c r="AD1082" s="5" t="inlineStr"/>
      <c r="AE1082" s="5" t="inlineStr"/>
      <c r="AF1082" s="5" t="inlineStr"/>
      <c r="AG1082" s="5" t="inlineStr"/>
      <c r="AH1082" s="5" t="inlineStr"/>
      <c r="AI1082" s="5" t="inlineStr"/>
      <c r="AJ1082" s="5" t="inlineStr"/>
    </row>
    <row r="1083">
      <c r="A1083" s="5" t="inlineStr">
        <is>
          <t>ms-retrospektif</t>
        </is>
      </c>
      <c r="B1083" s="5" t="n">
        <v>1</v>
      </c>
      <c r="C1083" s="6" t="inlineStr">
        <is>
          <t>Eski eserlerin arasında dolaş</t>
        </is>
      </c>
      <c r="D1083" s="5" t="inlineStr"/>
      <c r="E1083" s="5" t="inlineStr"/>
      <c r="F1083" s="5" t="inlineStr">
        <is>
          <t>İtibar +1</t>
        </is>
      </c>
      <c r="G1083" s="6" t="inlineStr">
        <is>
          <t>Bir tablonun arkasında kırk yıllık bir not buldun: 'Fatura no: 17. Ödenmedi.' Eser değerlendi, fatura değil.</t>
        </is>
      </c>
      <c r="H1083" s="6" t="inlineStr"/>
      <c r="I1083" s="6" t="inlineStr"/>
      <c r="J1083" s="6" t="inlineStr"/>
      <c r="K1083" s="6" t="inlineStr"/>
      <c r="L1083" s="6" t="inlineStr"/>
      <c r="M1083" s="5" t="inlineStr"/>
      <c r="N1083" s="5" t="inlineStr"/>
      <c r="O1083" s="6" t="inlineStr"/>
      <c r="P1083" s="6" t="inlineStr"/>
      <c r="Q1083" s="5" t="inlineStr"/>
      <c r="R1083" s="5" t="inlineStr"/>
      <c r="S1083" s="5" t="inlineStr"/>
      <c r="T1083" s="5" t="inlineStr"/>
      <c r="U1083" s="5" t="inlineStr"/>
      <c r="V1083" s="5" t="inlineStr"/>
      <c r="W1083" s="5" t="inlineStr"/>
      <c r="X1083" s="5" t="inlineStr"/>
      <c r="Y1083" s="5" t="inlineStr"/>
      <c r="Z1083" s="6" t="inlineStr"/>
      <c r="AA1083" s="5" t="inlineStr"/>
      <c r="AB1083" s="5" t="inlineStr"/>
      <c r="AC1083" s="5" t="inlineStr"/>
      <c r="AD1083" s="5" t="inlineStr"/>
      <c r="AE1083" s="5" t="inlineStr"/>
      <c r="AF1083" s="5" t="inlineStr"/>
      <c r="AG1083" s="5" t="inlineStr"/>
      <c r="AH1083" s="5" t="inlineStr"/>
      <c r="AI1083" s="5" t="inlineStr"/>
      <c r="AJ1083" s="5" t="inlineStr"/>
    </row>
    <row r="1084">
      <c r="A1084" s="5" t="inlineStr">
        <is>
          <t>ms-retrospektif</t>
        </is>
      </c>
      <c r="B1084" s="5" t="n">
        <v>2</v>
      </c>
      <c r="C1084" s="6" t="inlineStr">
        <is>
          <t>Merdivene çık, son tabloyu kendin as</t>
        </is>
      </c>
      <c r="D1084" s="5" t="inlineStr">
        <is>
          <t>Cesaret</t>
        </is>
      </c>
      <c r="E1084" s="5" t="inlineStr">
        <is>
          <t>Orta</t>
        </is>
      </c>
      <c r="F1084" s="5" t="inlineStr"/>
      <c r="G1084" s="6" t="inlineStr"/>
      <c r="H1084" s="6" t="inlineStr">
        <is>
          <t>Tabloyu astın. Düz duruyor. Kırk yıldır ilk kez bir şey tam istediğin gibi.</t>
        </is>
      </c>
      <c r="I1084" s="6" t="inlineStr">
        <is>
          <t>Tabloyu astın, galerici 'Sergiye bir de performans ekleyelim' dedi. Merdivenin artık eser.</t>
        </is>
      </c>
      <c r="J1084" s="6" t="inlineStr">
        <is>
          <t>Tablo biraz eğri kaldı. Eleştirmenler bunu bilinçli bir tercih olarak yorumladı.</t>
        </is>
      </c>
      <c r="K1084" s="6" t="inlineStr">
        <is>
          <t>Merdivenden inerken son basamağı unuttun; üç eseri devirerek indin. Galerici kataloğa 'etkileşimli bölüm' yazdı. Sigortacı yazmadı.</t>
        </is>
      </c>
      <c r="L1084" s="6" t="inlineStr"/>
      <c r="M1084" s="5" t="inlineStr"/>
      <c r="N1084" s="5" t="inlineStr"/>
      <c r="O1084" s="6" t="inlineStr"/>
      <c r="P1084" s="6" t="inlineStr"/>
      <c r="Q1084" s="5" t="inlineStr"/>
      <c r="R1084" s="5" t="inlineStr"/>
      <c r="S1084" s="5" t="inlineStr"/>
      <c r="T1084" s="5" t="inlineStr"/>
      <c r="U1084" s="5" t="inlineStr"/>
      <c r="V1084" s="5" t="inlineStr"/>
      <c r="W1084" s="5" t="inlineStr"/>
      <c r="X1084" s="5" t="inlineStr"/>
      <c r="Y1084" s="5" t="n">
        <v>2</v>
      </c>
      <c r="Z1084" s="6" t="inlineStr">
        <is>
          <t>Kendi retrospektif sergisinin son tablosunu merdivenle asarken. Tablo düz duruyor.</t>
        </is>
      </c>
      <c r="AA1084" s="5" t="inlineStr"/>
      <c r="AB1084" s="5" t="inlineStr"/>
      <c r="AC1084" s="5" t="inlineStr"/>
      <c r="AD1084" s="5" t="inlineStr"/>
      <c r="AE1084" s="5" t="inlineStr"/>
      <c r="AF1084" s="5" t="inlineStr"/>
      <c r="AG1084" s="5" t="inlineStr"/>
      <c r="AH1084" s="5" t="inlineStr"/>
      <c r="AI1084" s="5" t="inlineStr"/>
      <c r="AJ1084" s="5" t="inlineStr"/>
    </row>
    <row r="1085">
      <c r="A1085" s="5" t="inlineStr">
        <is>
          <t>ms-retrospektif</t>
        </is>
      </c>
      <c r="B1085" s="5" t="n">
        <v>3</v>
      </c>
      <c r="C1085" s="6" t="inlineStr">
        <is>
          <t>Açılışı bir performansa çevir</t>
        </is>
      </c>
      <c r="D1085" s="5" t="inlineStr">
        <is>
          <t>Pişkinlik</t>
        </is>
      </c>
      <c r="E1085" s="5" t="inlineStr">
        <is>
          <t>Kolay</t>
        </is>
      </c>
      <c r="F1085" s="5" t="inlineStr"/>
      <c r="G1085" s="6" t="inlineStr"/>
      <c r="H1085" s="6" t="inlineStr">
        <is>
          <t>Açılışı kırk yıllık hayatının kısa bir gösterisine çevirdin. Kimse ikramlara dokunmadı.</t>
        </is>
      </c>
      <c r="I1085" s="6" t="inlineStr">
        <is>
          <t>Performansın sergiden fazla konuşuldu. Galeri bir yıl uzatma kararı aldı.</t>
        </is>
      </c>
      <c r="J1085" s="6" t="inlineStr">
        <is>
          <t>Performans uzadı. Galeri kapanış saatinde ışıkları kapattı. Sen hâlâ konuşuyordun.</t>
        </is>
      </c>
      <c r="K1085" s="6" t="inlineStr">
        <is>
          <t>Performansın ortasında garson en sevdiğin eseri duvardan indirdi, üstüne börek dizip dolaştırdı. Eser ilk kez bu kadar ilgi gördü. Tepsi boşalınca garson onu mutfağa götürüp yıkadı.</t>
        </is>
      </c>
      <c r="L1085" s="6" t="inlineStr"/>
      <c r="M1085" s="5" t="inlineStr"/>
      <c r="N1085" s="5" t="inlineStr"/>
      <c r="O1085" s="6" t="inlineStr"/>
      <c r="P1085" s="6" t="inlineStr"/>
      <c r="Q1085" s="5" t="inlineStr">
        <is>
          <t>Sahne Sever</t>
        </is>
      </c>
      <c r="R1085" s="5" t="inlineStr"/>
      <c r="S1085" s="5" t="inlineStr"/>
      <c r="T1085" s="5" t="inlineStr"/>
      <c r="U1085" s="5" t="inlineStr"/>
      <c r="V1085" s="5" t="inlineStr"/>
      <c r="W1085" s="5" t="inlineStr"/>
      <c r="X1085" s="5" t="inlineStr"/>
      <c r="Y1085" s="5" t="inlineStr"/>
      <c r="Z1085" s="6" t="inlineStr"/>
      <c r="AA1085" s="5" t="inlineStr"/>
      <c r="AB1085" s="5" t="inlineStr"/>
      <c r="AC1085" s="5" t="inlineStr"/>
      <c r="AD1085" s="5" t="inlineStr"/>
      <c r="AE1085" s="5" t="inlineStr"/>
      <c r="AF1085" s="5" t="inlineStr"/>
      <c r="AG1085" s="5" t="inlineStr"/>
      <c r="AH1085" s="5" t="inlineStr"/>
      <c r="AI1085" s="5" t="inlineStr"/>
      <c r="AJ1085" s="5" t="inlineStr"/>
    </row>
    <row r="1086">
      <c r="A1086" s="5" t="inlineStr">
        <is>
          <t>ms-retrospektif</t>
        </is>
      </c>
      <c r="B1086" s="5" t="n">
        <v>4</v>
      </c>
      <c r="C1086" s="6" t="inlineStr">
        <is>
          <t>Eserlere ilk kez gerçek fiyat biç</t>
        </is>
      </c>
      <c r="D1086" s="5" t="inlineStr">
        <is>
          <t>Kurnazlık</t>
        </is>
      </c>
      <c r="E1086" s="5" t="inlineStr">
        <is>
          <t>Orta</t>
        </is>
      </c>
      <c r="F1086" s="5" t="inlineStr"/>
      <c r="G1086" s="6" t="inlineStr"/>
      <c r="H1086" s="6" t="inlineStr">
        <is>
          <t>Etiketlere gerçek fiyat yazdın. İkisi açılış gecesi satıldı.</t>
        </is>
      </c>
      <c r="I1086" s="6" t="inlineStr">
        <is>
          <t>Bütün eserler satıldı. Galerici komisyonunu alınca ağladı. Sevinçten.</t>
        </is>
      </c>
      <c r="J1086" s="6" t="inlineStr">
        <is>
          <t>Fiyatları yazdın; ziyaretçiler etiketlerin fotoğrafını çekti, eserlerin değil.</t>
        </is>
      </c>
      <c r="K1086" s="6" t="inlineStr">
        <is>
          <t>Fiyat yazarken bir sıfır eksik yazdın. İlk müşteri hepsini aldı. Hızla.</t>
        </is>
      </c>
      <c r="L1086" s="6" t="inlineStr"/>
      <c r="M1086" s="5" t="inlineStr"/>
      <c r="N1086" s="5" t="inlineStr"/>
      <c r="O1086" s="6" t="inlineStr"/>
      <c r="P1086" s="6" t="inlineStr"/>
      <c r="Q1086" s="5" t="inlineStr"/>
      <c r="R1086" s="5" t="inlineStr"/>
      <c r="S1086" s="5" t="inlineStr"/>
      <c r="T1086" s="5" t="inlineStr"/>
      <c r="U1086" s="5" t="inlineStr"/>
      <c r="V1086" s="5" t="inlineStr"/>
      <c r="W1086" s="5" t="inlineStr"/>
      <c r="X1086" s="5" t="inlineStr"/>
      <c r="Y1086" s="5" t="inlineStr"/>
      <c r="Z1086" s="6" t="inlineStr"/>
      <c r="AA1086" s="5" t="inlineStr"/>
      <c r="AB1086" s="5" t="inlineStr"/>
      <c r="AC1086" s="5" t="inlineStr"/>
      <c r="AD1086" s="5" t="inlineStr"/>
      <c r="AE1086" s="5" t="inlineStr"/>
      <c r="AF1086" s="5" t="inlineStr"/>
      <c r="AG1086" s="5" t="inlineStr"/>
      <c r="AH1086" s="5" t="inlineStr"/>
      <c r="AI1086" s="5" t="inlineStr"/>
      <c r="AJ1086" s="5" t="inlineStr"/>
    </row>
    <row r="1087">
      <c r="A1087" s="5" t="inlineStr">
        <is>
          <t>b9-pazar-arabasi</t>
        </is>
      </c>
      <c r="B1087" s="5" t="n">
        <v>1</v>
      </c>
      <c r="C1087" s="6" t="inlineStr">
        <is>
          <t>Sabah erkenden git</t>
        </is>
      </c>
      <c r="D1087" s="5" t="inlineStr"/>
      <c r="E1087" s="5" t="inlineStr"/>
      <c r="F1087" s="5" t="inlineStr">
        <is>
          <t>Dayanıklılık +1</t>
        </is>
      </c>
      <c r="G1087" s="6" t="inlineStr">
        <is>
          <t>Sabah yedide pazardaydın. En taze domates, en yüksek fiyat. Pazarcı 'Siftah senden' dedi, fiyatı da ona göre söyledi.</t>
        </is>
      </c>
      <c r="H1087" s="6" t="inlineStr"/>
      <c r="I1087" s="6" t="inlineStr"/>
      <c r="J1087" s="6" t="inlineStr"/>
      <c r="K1087" s="6" t="inlineStr"/>
      <c r="L1087" s="6" t="inlineStr"/>
      <c r="M1087" s="5" t="inlineStr"/>
      <c r="N1087" s="5" t="inlineStr"/>
      <c r="O1087" s="6" t="inlineStr"/>
      <c r="P1087" s="6" t="inlineStr"/>
      <c r="Q1087" s="5" t="inlineStr"/>
      <c r="R1087" s="5" t="inlineStr"/>
      <c r="S1087" s="5" t="inlineStr"/>
      <c r="T1087" s="5" t="inlineStr"/>
      <c r="U1087" s="5" t="inlineStr"/>
      <c r="V1087" s="5" t="inlineStr"/>
      <c r="W1087" s="5" t="inlineStr"/>
      <c r="X1087" s="5" t="inlineStr"/>
      <c r="Y1087" s="5" t="inlineStr"/>
      <c r="Z1087" s="6" t="inlineStr"/>
      <c r="AA1087" s="5" t="inlineStr"/>
      <c r="AB1087" s="5" t="inlineStr"/>
      <c r="AC1087" s="5" t="inlineStr"/>
      <c r="AD1087" s="5" t="inlineStr"/>
      <c r="AE1087" s="5" t="inlineStr"/>
      <c r="AF1087" s="5" t="inlineStr"/>
      <c r="AG1087" s="5" t="inlineStr"/>
      <c r="AH1087" s="5" t="inlineStr"/>
      <c r="AI1087" s="5" t="inlineStr"/>
      <c r="AJ1087" s="5" t="inlineStr"/>
    </row>
    <row r="1088">
      <c r="A1088" s="5" t="inlineStr">
        <is>
          <t>b9-pazar-arabasi</t>
        </is>
      </c>
      <c r="B1088" s="5" t="n">
        <v>2</v>
      </c>
      <c r="C1088" s="6" t="inlineStr">
        <is>
          <t>Kapanışta git, pazarlık et</t>
        </is>
      </c>
      <c r="D1088" s="5" t="inlineStr">
        <is>
          <t>Çene</t>
        </is>
      </c>
      <c r="E1088" s="5" t="inlineStr">
        <is>
          <t>Orta</t>
        </is>
      </c>
      <c r="F1088" s="5" t="inlineStr"/>
      <c r="G1088" s="6" t="inlineStr"/>
      <c r="H1088" s="6" t="inlineStr">
        <is>
          <t>Kapanışta gittin; bir kasa domatesi yarı fiyatına aldın. Eve gelince fark ettin: evde kırk domates, sofrada tek tabak. Yarısını komşu teyzeye verdin; o da sana yarım kasa biber verdi.</t>
        </is>
      </c>
      <c r="I1088" s="6" t="inlineStr">
        <is>
          <t>Pazarcı sana bir kasa daha hediye etti: 'Emeklimizsin.' Evde üç gün salça yapıldı.</t>
        </is>
      </c>
      <c r="J1088" s="6" t="inlineStr">
        <is>
          <t>Kapanışta gittin; pazar kapanmıştı. Tezgâhlar gitmiş, fiyat tartışması tek taraflı kaldı.</t>
        </is>
      </c>
      <c r="K1088" s="6" t="inlineStr">
        <is>
          <t>Pazarlıkta fazla ısrar ettin. Pazarcı kasayı geri çekip bağırdı: 'Arkadaşlar, bedavaya domates isteyen bu!' O gün hiçbir tezgâh sana indirim yapmadı.</t>
        </is>
      </c>
      <c r="L1088" s="6" t="inlineStr">
        <is>
          <t>Domatesi yarı fiyatına değil, üçte iki fiyatına aldın. Pazarcı 'Emekliye bu kadar' dedi, maydanozu sen istemeden poşete attı.</t>
        </is>
      </c>
      <c r="M1088" s="5" t="inlineStr">
        <is>
          <t>duel</t>
        </is>
      </c>
      <c r="N1088" s="5" t="inlineStr">
        <is>
          <t>Kapanış Pazarlığı</t>
        </is>
      </c>
      <c r="O1088" s="6" t="inlineStr">
        <is>
          <t>Karşındakinin sabrı bitmeden en iyi cevabı seç.</t>
        </is>
      </c>
      <c r="P1088" s="6" t="inlineStr">
        <is>
          <t>{"who": "Pazarcı", "item": "bir kasa domates", "mode": "buy"}</t>
        </is>
      </c>
      <c r="Q1088" s="5" t="inlineStr"/>
      <c r="R1088" s="5" t="inlineStr"/>
      <c r="S1088" s="5" t="inlineStr"/>
      <c r="T1088" s="5" t="inlineStr"/>
      <c r="U1088" s="5" t="inlineStr"/>
      <c r="V1088" s="5" t="inlineStr"/>
      <c r="W1088" s="5" t="inlineStr"/>
      <c r="X1088" s="5" t="inlineStr"/>
      <c r="Y1088" s="5" t="inlineStr"/>
      <c r="Z1088" s="6" t="inlineStr"/>
      <c r="AA1088" s="5" t="inlineStr"/>
      <c r="AB1088" s="5" t="inlineStr"/>
      <c r="AC1088" s="5" t="inlineStr"/>
      <c r="AD1088" s="5" t="inlineStr"/>
      <c r="AE1088" s="5" t="inlineStr"/>
      <c r="AF1088" s="5" t="inlineStr"/>
      <c r="AG1088" s="5" t="inlineStr"/>
      <c r="AH1088" s="5" t="inlineStr"/>
      <c r="AI1088" s="5" t="inlineStr"/>
      <c r="AJ1088" s="5" t="inlineStr"/>
    </row>
    <row r="1089">
      <c r="A1089" s="5" t="inlineStr">
        <is>
          <t>b9-pazar-arabasi</t>
        </is>
      </c>
      <c r="B1089" s="5" t="n">
        <v>3</v>
      </c>
      <c r="C1089" s="6" t="inlineStr">
        <is>
          <t>Pazarcıya ödeme uygulaması kurdur</t>
        </is>
      </c>
      <c r="D1089" s="5" t="inlineStr">
        <is>
          <t>Akıl</t>
        </is>
      </c>
      <c r="E1089" s="5" t="inlineStr">
        <is>
          <t>Kolay</t>
        </is>
      </c>
      <c r="F1089" s="5" t="inlineStr"/>
      <c r="G1089" s="6" t="inlineStr"/>
      <c r="H1089" s="6" t="inlineStr">
        <is>
          <t>Pazarcıya ödeme uygulamasını öğrettin. Artık sana indirim yapıyor, çünkü 'hocam' oldun.</t>
        </is>
      </c>
      <c r="I1089" s="6" t="inlineStr">
        <is>
          <t>Bütün pazar sana geldi. Artık çarşamba sabahları tezgâh tezgâh dolaşıp telefon kuruyorsun. File her hafta bedava maydanozla dolu dönüyor.</t>
        </is>
      </c>
      <c r="J1089" s="6" t="inlineStr">
        <is>
          <t>Uygulamayı kurdun, pazarcı ödemeyi yanlış hesaba yaptı. Paran komşu tezgâhın maydanozuna gitti.</t>
        </is>
      </c>
      <c r="K1089" s="6" t="inlineStr">
        <is>
          <t>Uygulamayı kurarken pazarcının telefonunu kilitledin. Pazarcı o gün sadece nakit çalıştı ve bunu senin adınla anons etti.</t>
        </is>
      </c>
      <c r="L1089" s="6" t="inlineStr"/>
      <c r="M1089" s="5" t="inlineStr"/>
      <c r="N1089" s="5" t="inlineStr"/>
      <c r="O1089" s="6" t="inlineStr"/>
      <c r="P1089" s="6" t="inlineStr"/>
      <c r="Q1089" s="5" t="inlineStr">
        <is>
          <t>Şifreyi Bilen</t>
        </is>
      </c>
      <c r="R1089" s="5" t="inlineStr"/>
      <c r="S1089" s="5" t="inlineStr"/>
      <c r="T1089" s="5" t="inlineStr"/>
      <c r="U1089" s="5" t="inlineStr"/>
      <c r="V1089" s="5" t="inlineStr"/>
      <c r="W1089" s="5" t="inlineStr"/>
      <c r="X1089" s="5" t="inlineStr"/>
      <c r="Y1089" s="5" t="inlineStr"/>
      <c r="Z1089" s="6" t="inlineStr"/>
      <c r="AA1089" s="5" t="inlineStr"/>
      <c r="AB1089" s="5" t="inlineStr"/>
      <c r="AC1089" s="5" t="inlineStr"/>
      <c r="AD1089" s="5" t="inlineStr"/>
      <c r="AE1089" s="5" t="inlineStr"/>
      <c r="AF1089" s="5" t="inlineStr"/>
      <c r="AG1089" s="5" t="inlineStr"/>
      <c r="AH1089" s="5" t="inlineStr"/>
      <c r="AI1089" s="5" t="inlineStr"/>
      <c r="AJ1089" s="5" t="inlineStr"/>
    </row>
    <row r="1090">
      <c r="A1090" s="5" t="inlineStr">
        <is>
          <t>b9-ikramiye</t>
        </is>
      </c>
      <c r="B1090" s="5" t="n">
        <v>1</v>
      </c>
      <c r="C1090" s="6" t="inlineStr">
        <is>
          <t>Motosiklet al</t>
        </is>
      </c>
      <c r="D1090" s="5" t="inlineStr">
        <is>
          <t>Cesaret</t>
        </is>
      </c>
      <c r="E1090" s="5" t="inlineStr">
        <is>
          <t>Zor</t>
        </is>
      </c>
      <c r="F1090" s="5" t="inlineStr"/>
      <c r="G1090" s="6" t="inlineStr"/>
      <c r="H1090" s="6" t="inlineStr">
        <is>
          <t>Motosikleti aldın. Mahallede bir tur attın. Kahvehanedeki herkes ayağa kalktı; bazıları seni tanıyamadı.</t>
        </is>
      </c>
      <c r="I1090" s="6" t="inlineStr">
        <is>
          <t>Motosikletle sahil yoluna çıktın. Dönüşte kahvehanenin önünden iki kez geçtin; ikincisinde herkes kapıya çıkmıştı.</t>
        </is>
      </c>
      <c r="J1090" s="6" t="inlineStr">
        <is>
          <t>Motosikleti aldın. Garajdan çıkarmak için üç gün kurs gerekiyormuş. Kurs, motosikletten pahalı.</t>
        </is>
      </c>
      <c r="K1090" s="6" t="inlineStr">
        <is>
          <t>İlk kırmızı ışıkta ayağını yere koymayı unuttun; yavaşça devrildin. Bütün kavşak izledi. Tamir ikramiyenin kalanını, kalçan bir ayını aldı.</t>
        </is>
      </c>
      <c r="L1090" s="6" t="inlineStr"/>
      <c r="M1090" s="5" t="inlineStr"/>
      <c r="N1090" s="5" t="inlineStr"/>
      <c r="O1090" s="6" t="inlineStr"/>
      <c r="P1090" s="6" t="inlineStr"/>
      <c r="Q1090" s="5" t="inlineStr"/>
      <c r="R1090" s="5" t="inlineStr"/>
      <c r="S1090" s="5" t="inlineStr"/>
      <c r="T1090" s="5" t="inlineStr"/>
      <c r="U1090" s="5" t="inlineStr"/>
      <c r="V1090" s="5" t="inlineStr">
        <is>
          <t>motosikletli</t>
        </is>
      </c>
      <c r="W1090" s="5" t="inlineStr"/>
      <c r="X1090" s="5" t="inlineStr"/>
      <c r="Y1090" s="5" t="n">
        <v>5</v>
      </c>
      <c r="Z1090" s="6" t="inlineStr">
        <is>
          <t>Emekli ikramiyesiyle aldığı motosikletle ilk virajda. Kask hâlâ jelatinliydi.</t>
        </is>
      </c>
      <c r="AA1090" s="5" t="inlineStr"/>
      <c r="AB1090" s="5" t="inlineStr"/>
      <c r="AC1090" s="5" t="inlineStr"/>
      <c r="AD1090" s="5" t="inlineStr"/>
      <c r="AE1090" s="5" t="inlineStr"/>
      <c r="AF1090" s="5" t="inlineStr"/>
      <c r="AG1090" s="5" t="inlineStr"/>
      <c r="AH1090" s="5" t="inlineStr"/>
      <c r="AI1090" s="5" t="inlineStr"/>
      <c r="AJ1090" s="5" t="inlineStr"/>
    </row>
    <row r="1091">
      <c r="A1091" s="5" t="inlineStr">
        <is>
          <t>b9-ikramiye</t>
        </is>
      </c>
      <c r="B1091" s="5" t="n">
        <v>2</v>
      </c>
      <c r="C1091" s="6" t="inlineStr">
        <is>
          <t>Yazlık al</t>
        </is>
      </c>
      <c r="D1091" s="5" t="inlineStr">
        <is>
          <t>Kurnazlık</t>
        </is>
      </c>
      <c r="E1091" s="5" t="inlineStr">
        <is>
          <t>Orta</t>
        </is>
      </c>
      <c r="F1091" s="5" t="inlineStr"/>
      <c r="G1091" s="6" t="inlineStr"/>
      <c r="H1091" s="6" t="inlineStr">
        <is>
          <t>Sahile yürüme mesafesinde küçük bir yazlık aldın. Denize yürüme mesafesi ilanda yazılandan sadece iki kilometre fazla.</t>
        </is>
      </c>
      <c r="I1091" s="6" t="inlineStr">
        <is>
          <t>Yazlığı pazarlıkla aldın; satıcı mobilyaları da bıraktı. Mobilyaların arasında bir de kedi vardı.</t>
        </is>
      </c>
      <c r="J1091" s="6" t="inlineStr">
        <is>
          <t>Yazlığı aldın. Site aidatı, senin emekli maaşının yarısı.</t>
        </is>
      </c>
      <c r="K1091" s="6" t="inlineStr">
        <is>
          <t>Yazlığı fotoğraflardan aldın. Fotoğraflar on yıl önce çekilmiş. Deniz görmüyor; deniz gören bir binayı görüyor.</t>
        </is>
      </c>
      <c r="L1091" s="6" t="inlineStr"/>
      <c r="M1091" s="5" t="inlineStr"/>
      <c r="N1091" s="5" t="inlineStr"/>
      <c r="O1091" s="6" t="inlineStr"/>
      <c r="P1091" s="6" t="inlineStr"/>
      <c r="Q1091" s="5" t="inlineStr"/>
      <c r="R1091" s="5" t="inlineStr"/>
      <c r="S1091" s="5" t="inlineStr"/>
      <c r="T1091" s="5" t="inlineStr"/>
      <c r="U1091" s="5" t="inlineStr"/>
      <c r="V1091" s="5" t="inlineStr">
        <is>
          <t>yazlikci</t>
        </is>
      </c>
      <c r="W1091" s="5" t="inlineStr"/>
      <c r="X1091" s="5" t="inlineStr"/>
      <c r="Y1091" s="5" t="inlineStr"/>
      <c r="Z1091" s="6" t="inlineStr"/>
      <c r="AA1091" s="5" t="inlineStr"/>
      <c r="AB1091" s="5" t="inlineStr"/>
      <c r="AC1091" s="5" t="inlineStr"/>
      <c r="AD1091" s="5" t="inlineStr"/>
      <c r="AE1091" s="5" t="inlineStr"/>
      <c r="AF1091" s="5" t="inlineStr"/>
      <c r="AG1091" s="5" t="inlineStr"/>
      <c r="AH1091" s="5" t="inlineStr"/>
      <c r="AI1091" s="5" t="inlineStr"/>
      <c r="AJ1091" s="5" t="inlineStr"/>
    </row>
    <row r="1092">
      <c r="A1092" s="5" t="inlineStr">
        <is>
          <t>b9-ikramiye</t>
        </is>
      </c>
      <c r="B1092" s="5" t="n">
        <v>3</v>
      </c>
      <c r="C1092" s="6" t="inlineStr">
        <is>
          <t>Çocuğa ev peşinatı ver</t>
        </is>
      </c>
      <c r="D1092" s="5" t="inlineStr"/>
      <c r="E1092" s="5" t="inlineStr"/>
      <c r="F1092" s="5" t="inlineStr">
        <is>
          <t>Gönül +2</t>
        </is>
      </c>
      <c r="G1092" s="6" t="inlineStr">
        <is>
          <t>Peşinatı verdin. Çocuğun ev sahibi oldu. Sen de pazar kahvaltılarının kalıcı misafiri.</t>
        </is>
      </c>
      <c r="H1092" s="6" t="inlineStr"/>
      <c r="I1092" s="6" t="inlineStr"/>
      <c r="J1092" s="6" t="inlineStr"/>
      <c r="K1092" s="6" t="inlineStr"/>
      <c r="L1092" s="6" t="inlineStr"/>
      <c r="M1092" s="5" t="inlineStr"/>
      <c r="N1092" s="5" t="inlineStr"/>
      <c r="O1092" s="6" t="inlineStr"/>
      <c r="P1092" s="6" t="inlineStr"/>
      <c r="Q1092" s="5" t="inlineStr"/>
      <c r="R1092" s="5" t="inlineStr">
        <is>
          <t>cocuklu</t>
        </is>
      </c>
      <c r="S1092" s="5" t="inlineStr"/>
      <c r="T1092" s="5" t="inlineStr"/>
      <c r="U1092" s="5" t="inlineStr"/>
      <c r="V1092" s="5" t="inlineStr"/>
      <c r="W1092" s="5" t="inlineStr"/>
      <c r="X1092" s="5" t="inlineStr"/>
      <c r="Y1092" s="5" t="inlineStr"/>
      <c r="Z1092" s="6" t="inlineStr"/>
      <c r="AA1092" s="5" t="inlineStr"/>
      <c r="AB1092" s="5" t="inlineStr"/>
      <c r="AC1092" s="5" t="inlineStr"/>
      <c r="AD1092" s="5" t="inlineStr"/>
      <c r="AE1092" s="5" t="inlineStr"/>
      <c r="AF1092" s="5" t="inlineStr"/>
      <c r="AG1092" s="5" t="inlineStr"/>
      <c r="AH1092" s="5" t="inlineStr"/>
      <c r="AI1092" s="5" t="inlineStr"/>
      <c r="AJ1092" s="5" t="inlineStr"/>
    </row>
    <row r="1093">
      <c r="A1093" s="5" t="inlineStr">
        <is>
          <t>b9-ikramiye</t>
        </is>
      </c>
      <c r="B1093" s="5" t="n">
        <v>4</v>
      </c>
      <c r="C1093" s="6" t="inlineStr">
        <is>
          <t>Dijital paraya yatır</t>
        </is>
      </c>
      <c r="D1093" s="5" t="inlineStr">
        <is>
          <t>Akıl</t>
        </is>
      </c>
      <c r="E1093" s="5" t="inlineStr">
        <is>
          <t>Zor</t>
        </is>
      </c>
      <c r="F1093" s="5" t="inlineStr"/>
      <c r="G1093" s="6" t="inlineStr"/>
      <c r="H1093" s="6" t="inlineStr">
        <is>
          <t>Dijital para iki katına çıktı. Aile grubuna ne olduğunu anlatmaya çalıştın; sen de tam anlamadın.</t>
        </is>
      </c>
      <c r="I1093" s="6" t="inlineStr">
        <is>
          <t>Dijital para dört katına çıktı, tam tepesinde sattın. Bayramda yeğenler elini öpüp harçlık beklemedi; 'Hangisini alayım?' diye sordular.</t>
        </is>
      </c>
      <c r="J1093" s="6" t="inlineStr">
        <is>
          <t>Dijital para yarıya düştü. Ekran kırmızı. Sen de kırmızı.</t>
        </is>
      </c>
      <c r="K1093" s="6" t="inlineStr">
        <is>
          <t>Dijital paranın şifresini bir kâğıda yazdın. Kâğıt çamaşır makinesinde yıkandı. Servet şimdi bir cebin içinde, kurumaya bırakıldı.</t>
        </is>
      </c>
      <c r="L1093" s="6" t="inlineStr"/>
      <c r="M1093" s="5" t="inlineStr"/>
      <c r="N1093" s="5" t="inlineStr"/>
      <c r="O1093" s="6" t="inlineStr"/>
      <c r="P1093" s="6" t="inlineStr"/>
      <c r="Q1093" s="5" t="inlineStr">
        <is>
          <t>Şifreyi Bilen</t>
        </is>
      </c>
      <c r="R1093" s="5" t="inlineStr"/>
      <c r="S1093" s="5" t="inlineStr"/>
      <c r="T1093" s="5" t="inlineStr"/>
      <c r="U1093" s="5" t="inlineStr"/>
      <c r="V1093" s="5" t="inlineStr"/>
      <c r="W1093" s="5" t="inlineStr">
        <is>
          <t>borclu</t>
        </is>
      </c>
      <c r="X1093" s="5" t="inlineStr"/>
      <c r="Y1093" s="5" t="inlineStr"/>
      <c r="Z1093" s="6" t="inlineStr"/>
      <c r="AA1093" s="5" t="inlineStr"/>
      <c r="AB1093" s="5" t="inlineStr"/>
      <c r="AC1093" s="5" t="inlineStr"/>
      <c r="AD1093" s="5" t="inlineStr"/>
      <c r="AE1093" s="5" t="inlineStr"/>
      <c r="AF1093" s="5" t="inlineStr"/>
      <c r="AG1093" s="5" t="inlineStr"/>
      <c r="AH1093" s="5" t="inlineStr"/>
      <c r="AI1093" s="5" t="inlineStr"/>
      <c r="AJ1093" s="5" t="inlineStr"/>
    </row>
    <row r="1094">
      <c r="A1094" s="5" t="inlineStr">
        <is>
          <t>b9-ikramiye</t>
        </is>
      </c>
      <c r="B1094" s="5" t="n">
        <v>5</v>
      </c>
      <c r="C1094" s="6" t="inlineStr">
        <is>
          <t>Bankada dursun</t>
        </is>
      </c>
      <c r="D1094" s="5" t="inlineStr"/>
      <c r="E1094" s="5" t="inlineStr"/>
      <c r="F1094" s="5" t="inlineStr">
        <is>
          <t>Dayanıklılık +1</t>
        </is>
      </c>
      <c r="G1094" s="6" t="inlineStr">
        <is>
          <t>Para bankada durdu. Durdukça küçüldü. Banka buna 'mevduat faizi' dedi.</t>
        </is>
      </c>
      <c r="H1094" s="6" t="inlineStr"/>
      <c r="I1094" s="6" t="inlineStr"/>
      <c r="J1094" s="6" t="inlineStr"/>
      <c r="K1094" s="6" t="inlineStr"/>
      <c r="L1094" s="6" t="inlineStr"/>
      <c r="M1094" s="5" t="inlineStr"/>
      <c r="N1094" s="5" t="inlineStr"/>
      <c r="O1094" s="6" t="inlineStr"/>
      <c r="P1094" s="6" t="inlineStr"/>
      <c r="Q1094" s="5" t="inlineStr"/>
      <c r="R1094" s="5" t="inlineStr"/>
      <c r="S1094" s="5" t="inlineStr"/>
      <c r="T1094" s="5" t="inlineStr"/>
      <c r="U1094" s="5" t="inlineStr"/>
      <c r="V1094" s="5" t="inlineStr"/>
      <c r="W1094" s="5" t="inlineStr"/>
      <c r="X1094" s="5" t="inlineStr"/>
      <c r="Y1094" s="5" t="inlineStr"/>
      <c r="Z1094" s="6" t="inlineStr"/>
      <c r="AA1094" s="5" t="inlineStr"/>
      <c r="AB1094" s="5" t="inlineStr"/>
      <c r="AC1094" s="5" t="inlineStr"/>
      <c r="AD1094" s="5" t="inlineStr"/>
      <c r="AE1094" s="5" t="inlineStr"/>
      <c r="AF1094" s="5" t="inlineStr"/>
      <c r="AG1094" s="5" t="inlineStr"/>
      <c r="AH1094" s="5" t="inlineStr"/>
      <c r="AI1094" s="5" t="inlineStr"/>
      <c r="AJ1094" s="5" t="inlineStr"/>
    </row>
    <row r="1095">
      <c r="A1095" s="5" t="inlineStr">
        <is>
          <t>b9-ikramiye</t>
        </is>
      </c>
      <c r="B1095" s="5" t="n">
        <v>6</v>
      </c>
      <c r="C1095" s="6" t="inlineStr">
        <is>
          <t>Altın al, yastık altına koy</t>
        </is>
      </c>
      <c r="D1095" s="5" t="inlineStr">
        <is>
          <t>Kurnazlık</t>
        </is>
      </c>
      <c r="E1095" s="5" t="inlineStr">
        <is>
          <t>Orta</t>
        </is>
      </c>
      <c r="F1095" s="5" t="inlineStr"/>
      <c r="G1095" s="6" t="inlineStr"/>
      <c r="H1095" s="6" t="inlineStr">
        <is>
          <t>İkramiyenin bir kısmını bileziğe, kalanını çeyreğe çevirdin. Hepsi yatak odasındaki dolabın en arka çekmecesinde, çorapların arasında.</t>
        </is>
      </c>
      <c r="I1095" s="6" t="inlineStr">
        <is>
          <t>Kuyumcuyla bir saat pazarlık edip işçilikten kırptın. İki yıl sonra altın ikiye katlandı. Aile düğünlerine kadar takı derdin yok.</t>
        </is>
      </c>
      <c r="J1095" s="6" t="inlineStr">
        <is>
          <t>Altını aldığın gün fiyat tepedeydi, ertesi gün düştü. Kuyumcu 'Altın zarar ettirmez, bekle' dedi; bekliyorsun.</t>
        </is>
      </c>
      <c r="K1095" s="6" t="inlineStr">
        <is>
          <t>Altınları öyle iyi sakladın ki nereye sakladığını unuttun. Üç yıldır her bayram temizliği bir hazine avı.</t>
        </is>
      </c>
      <c r="L1095" s="6" t="inlineStr"/>
      <c r="M1095" s="5" t="inlineStr"/>
      <c r="N1095" s="5" t="inlineStr"/>
      <c r="O1095" s="6" t="inlineStr"/>
      <c r="P1095" s="6" t="inlineStr"/>
      <c r="Q1095" s="5" t="inlineStr"/>
      <c r="R1095" s="5" t="inlineStr"/>
      <c r="S1095" s="5" t="inlineStr"/>
      <c r="T1095" s="5" t="inlineStr"/>
      <c r="U1095" s="5" t="inlineStr"/>
      <c r="V1095" s="5" t="inlineStr"/>
      <c r="W1095" s="5" t="inlineStr"/>
      <c r="X1095" s="5" t="inlineStr"/>
      <c r="Y1095" s="5" t="inlineStr"/>
      <c r="Z1095" s="6" t="inlineStr"/>
      <c r="AA1095" s="5" t="inlineStr"/>
      <c r="AB1095" s="5" t="inlineStr"/>
      <c r="AC1095" s="5" t="inlineStr"/>
      <c r="AD1095" s="5" t="inlineStr"/>
      <c r="AE1095" s="5" t="inlineStr"/>
      <c r="AF1095" s="5" t="inlineStr"/>
      <c r="AG1095" s="5" t="inlineStr"/>
      <c r="AH1095" s="5" t="inlineStr"/>
      <c r="AI1095" s="5" t="inlineStr"/>
      <c r="AJ1095" s="5" t="inlineStr"/>
    </row>
    <row r="1096">
      <c r="A1096" s="5" t="inlineStr">
        <is>
          <t>mm-son-is-gunu</t>
        </is>
      </c>
      <c r="B1096" s="5" t="n">
        <v>1</v>
      </c>
      <c r="C1096" s="6" t="inlineStr">
        <is>
          <t>Kısa bir teşekkür et</t>
        </is>
      </c>
      <c r="D1096" s="5" t="inlineStr"/>
      <c r="E1096" s="5" t="inlineStr"/>
      <c r="F1096" s="5" t="inlineStr">
        <is>
          <t>İtibar +1</t>
        </is>
      </c>
      <c r="G1096" s="6" t="inlineStr">
        <is>
          <t>'Teşekkürler' dedin ve oturdun. Kurumun en kısa veda konuşması tutanağa geçti: tek satır, ıslak imzalı.</t>
        </is>
      </c>
      <c r="H1096" s="6" t="inlineStr"/>
      <c r="I1096" s="6" t="inlineStr"/>
      <c r="J1096" s="6" t="inlineStr"/>
      <c r="K1096" s="6" t="inlineStr"/>
      <c r="L1096" s="6" t="inlineStr"/>
      <c r="M1096" s="5" t="inlineStr"/>
      <c r="N1096" s="5" t="inlineStr"/>
      <c r="O1096" s="6" t="inlineStr"/>
      <c r="P1096" s="6" t="inlineStr"/>
      <c r="Q1096" s="5" t="inlineStr"/>
      <c r="R1096" s="5" t="inlineStr"/>
      <c r="S1096" s="5" t="inlineStr"/>
      <c r="T1096" s="5" t="inlineStr"/>
      <c r="U1096" s="5" t="inlineStr">
        <is>
          <t>emekli</t>
        </is>
      </c>
      <c r="V1096" s="5" t="inlineStr"/>
      <c r="W1096" s="5" t="inlineStr"/>
      <c r="X1096" s="5" t="inlineStr"/>
      <c r="Y1096" s="5" t="inlineStr"/>
      <c r="Z1096" s="6" t="inlineStr"/>
      <c r="AA1096" s="5" t="inlineStr"/>
      <c r="AB1096" s="5" t="inlineStr"/>
      <c r="AC1096" s="5" t="inlineStr"/>
      <c r="AD1096" s="5" t="inlineStr"/>
      <c r="AE1096" s="5" t="inlineStr"/>
      <c r="AF1096" s="5" t="inlineStr"/>
      <c r="AG1096" s="5" t="inlineStr"/>
      <c r="AH1096" s="5" t="inlineStr"/>
      <c r="AI1096" s="5" t="inlineStr"/>
      <c r="AJ1096" s="5" t="inlineStr"/>
    </row>
    <row r="1097">
      <c r="A1097" s="5" t="inlineStr">
        <is>
          <t>mm-son-is-gunu</t>
        </is>
      </c>
      <c r="B1097" s="5" t="n">
        <v>2</v>
      </c>
      <c r="C1097" s="6" t="inlineStr">
        <is>
          <t>Uzun bir veda konuşması yap</t>
        </is>
      </c>
      <c r="D1097" s="5" t="inlineStr">
        <is>
          <t>Çene</t>
        </is>
      </c>
      <c r="E1097" s="5" t="inlineStr">
        <is>
          <t>Zor</t>
        </is>
      </c>
      <c r="F1097" s="5" t="inlineStr"/>
      <c r="G1097" s="6" t="inlineStr"/>
      <c r="H1097" s="6" t="inlineStr">
        <is>
          <t>Otuz yılı anlattın. Çaylar soğudu, börekler bitti, kimse salondan çıkmadı. Çaycı en arkada gözlerini sildi.</t>
        </is>
      </c>
      <c r="I1097" s="6" t="inlineStr">
        <is>
          <t>Konuşmanın sonunda çaycı tepsiyi bıraktı, alkışa ilk o başladı. Gelecek ay emekli olacak şube müdürü konuşmanın bir kopyasını istedi; adları değiştirip okudu, onunki de ağlattı.</t>
        </is>
      </c>
      <c r="J1097" s="6" t="inlineStr">
        <is>
          <t>Slayt açmaya çalıştın. Sistem çöktü. Otuz yıldır olduğu gibi.</t>
        </is>
      </c>
      <c r="K1097" s="6" t="inlineStr">
        <is>
          <t>Otuz yılın bütün müdürlerini tek tek andın. Adını unuttuğun tek müdür, karşında börek dağıtıyordu.</t>
        </is>
      </c>
      <c r="L1097" s="6" t="inlineStr"/>
      <c r="M1097" s="5" t="inlineStr"/>
      <c r="N1097" s="5" t="inlineStr"/>
      <c r="O1097" s="6" t="inlineStr"/>
      <c r="P1097" s="6" t="inlineStr"/>
      <c r="Q1097" s="5" t="inlineStr"/>
      <c r="R1097" s="5" t="inlineStr"/>
      <c r="S1097" s="5" t="inlineStr"/>
      <c r="T1097" s="5" t="inlineStr"/>
      <c r="U1097" s="5" t="inlineStr">
        <is>
          <t>emekli</t>
        </is>
      </c>
      <c r="V1097" s="5" t="inlineStr"/>
      <c r="W1097" s="5" t="inlineStr"/>
      <c r="X1097" s="5" t="inlineStr"/>
      <c r="Y1097" s="5" t="inlineStr"/>
      <c r="Z1097" s="6" t="inlineStr"/>
      <c r="AA1097" s="5" t="inlineStr"/>
      <c r="AB1097" s="5" t="inlineStr"/>
      <c r="AC1097" s="5" t="inlineStr"/>
      <c r="AD1097" s="5" t="inlineStr"/>
      <c r="AE1097" s="5" t="inlineStr"/>
      <c r="AF1097" s="5" t="inlineStr"/>
      <c r="AG1097" s="5" t="inlineStr"/>
      <c r="AH1097" s="5" t="inlineStr"/>
      <c r="AI1097" s="5" t="inlineStr"/>
      <c r="AJ1097" s="5" t="inlineStr"/>
    </row>
    <row r="1098">
      <c r="A1098" s="5" t="inlineStr">
        <is>
          <t>mm-son-is-gunu</t>
        </is>
      </c>
      <c r="B1098" s="5" t="n">
        <v>3</v>
      </c>
      <c r="C1098" s="6" t="inlineStr">
        <is>
          <t>Son bir evrak imzala</t>
        </is>
      </c>
      <c r="D1098" s="5" t="inlineStr">
        <is>
          <t>Dayanıklılık</t>
        </is>
      </c>
      <c r="E1098" s="5" t="inlineStr">
        <is>
          <t>Kolay</t>
        </is>
      </c>
      <c r="F1098" s="5" t="inlineStr"/>
      <c r="G1098" s="6" t="inlineStr"/>
      <c r="H1098" s="6" t="inlineStr">
        <is>
          <t>Son imza, ilk imzayla aynı: biraz yamuk, çok tutarlı.</t>
        </is>
      </c>
      <c r="I1098" s="6" t="inlineStr">
        <is>
          <t>Son imzan ilk günkünden bir milim bile sapmadı. Kalem de seninle birlikte emekli oldu.</t>
        </is>
      </c>
      <c r="J1098" s="6" t="inlineStr">
        <is>
          <t>Son evrak eksik fotokopiliydi. İade ettin. Otuz yıllık refleks son dakikada da çalıştı.</t>
        </is>
      </c>
      <c r="K1098" s="6" t="inlineStr">
        <is>
          <t>Kendi emeklilik dilekçenin ikinci nüshasını imzalamışsın. Artık iki kez emeklisin; ikincisi için ikramiye yok.</t>
        </is>
      </c>
      <c r="L1098" s="6" t="inlineStr"/>
      <c r="M1098" s="5" t="inlineStr"/>
      <c r="N1098" s="5" t="inlineStr"/>
      <c r="O1098" s="6" t="inlineStr"/>
      <c r="P1098" s="6" t="inlineStr"/>
      <c r="Q1098" s="5" t="inlineStr"/>
      <c r="R1098" s="5" t="inlineStr"/>
      <c r="S1098" s="5" t="inlineStr"/>
      <c r="T1098" s="5" t="inlineStr"/>
      <c r="U1098" s="5" t="inlineStr">
        <is>
          <t>emekli</t>
        </is>
      </c>
      <c r="V1098" s="5" t="inlineStr"/>
      <c r="W1098" s="5" t="inlineStr"/>
      <c r="X1098" s="5" t="inlineStr"/>
      <c r="Y1098" s="5" t="inlineStr"/>
      <c r="Z1098" s="6" t="inlineStr"/>
      <c r="AA1098" s="5" t="inlineStr"/>
      <c r="AB1098" s="5" t="inlineStr"/>
      <c r="AC1098" s="5" t="inlineStr"/>
      <c r="AD1098" s="5" t="inlineStr"/>
      <c r="AE1098" s="5" t="inlineStr"/>
      <c r="AF1098" s="5" t="inlineStr"/>
      <c r="AG1098" s="5" t="inlineStr"/>
      <c r="AH1098" s="5" t="inlineStr"/>
      <c r="AI1098" s="5" t="inlineStr"/>
      <c r="AJ1098" s="5" t="inlineStr"/>
    </row>
    <row r="1099">
      <c r="A1099" s="5" t="inlineStr">
        <is>
          <t>mm-son-is-gunu</t>
        </is>
      </c>
      <c r="B1099" s="5" t="n">
        <v>4</v>
      </c>
      <c r="C1099" s="6" t="inlineStr">
        <is>
          <t>Müdüre son sözünü söyle</t>
        </is>
      </c>
      <c r="D1099" s="5" t="inlineStr">
        <is>
          <t>Cesaret</t>
        </is>
      </c>
      <c r="E1099" s="5" t="inlineStr">
        <is>
          <t>Orta</t>
        </is>
      </c>
      <c r="F1099" s="5" t="inlineStr"/>
      <c r="G1099" s="6" t="inlineStr"/>
      <c r="H1099" s="6" t="inlineStr">
        <is>
          <t>Otuz yılı tek cümlede söyledin. Müdür kızardı, güldü, sonra tepsideki en büyük böreği sana uzattı.</t>
        </is>
      </c>
      <c r="I1099" s="6" t="inlineStr">
        <is>
          <t>Sen söyledin, o da söyledi. Sarıldınız. Kurum panosundaki fotoğrafın altında tek kelime: 'Sonunda.'</t>
        </is>
      </c>
      <c r="J1099" s="6" t="inlineStr">
        <is>
          <t>Müdür o gün izinliymiş. Cümleni yardımcısına söyledin; o da not aldı.</t>
        </is>
      </c>
      <c r="K1099" s="6" t="inlineStr">
        <is>
          <t>Müdür gülümsedi: 'Emeklilik işlemlerinin imzası bende.' İkramiyen üç hafta gecikti.</t>
        </is>
      </c>
      <c r="L1099" s="6" t="inlineStr"/>
      <c r="M1099" s="5" t="inlineStr"/>
      <c r="N1099" s="5" t="inlineStr"/>
      <c r="O1099" s="6" t="inlineStr"/>
      <c r="P1099" s="6" t="inlineStr"/>
      <c r="Q1099" s="5" t="inlineStr"/>
      <c r="R1099" s="5" t="inlineStr">
        <is>
          <t>memur-mudur-dusmani</t>
        </is>
      </c>
      <c r="S1099" s="5" t="inlineStr"/>
      <c r="T1099" s="5" t="inlineStr"/>
      <c r="U1099" s="5" t="inlineStr">
        <is>
          <t>emekli</t>
        </is>
      </c>
      <c r="V1099" s="5" t="inlineStr"/>
      <c r="W1099" s="5" t="inlineStr"/>
      <c r="X1099" s="5" t="inlineStr"/>
      <c r="Y1099" s="5" t="inlineStr"/>
      <c r="Z1099" s="6" t="inlineStr"/>
      <c r="AA1099" s="5" t="inlineStr"/>
      <c r="AB1099" s="5" t="inlineStr"/>
      <c r="AC1099" s="5" t="inlineStr"/>
      <c r="AD1099" s="5" t="inlineStr"/>
      <c r="AE1099" s="5" t="inlineStr"/>
      <c r="AF1099" s="5" t="inlineStr"/>
      <c r="AG1099" s="5" t="inlineStr"/>
      <c r="AH1099" s="5" t="inlineStr"/>
      <c r="AI1099" s="5" t="inlineStr"/>
      <c r="AJ1099" s="5" t="inlineStr"/>
    </row>
    <row r="1100">
      <c r="A1100" s="5" t="inlineStr">
        <is>
          <t>b9-es-7-24</t>
        </is>
      </c>
      <c r="B1100" s="5" t="n">
        <v>1</v>
      </c>
      <c r="C1100" s="6" t="inlineStr">
        <is>
          <t>Kumandayı teslim et</t>
        </is>
      </c>
      <c r="D1100" s="5" t="inlineStr"/>
      <c r="E1100" s="5" t="inlineStr"/>
      <c r="F1100" s="5" t="inlineStr">
        <is>
          <t>Dayanıklılık +1, Gönül +1</t>
        </is>
      </c>
      <c r="G1100" s="6" t="inlineStr">
        <is>
          <t>Kumandayı teslim ettin. Akşam dizisini ilk bölümünden izlemeye başladınız. Bölüm sayısı dört yüz on iki.</t>
        </is>
      </c>
      <c r="H1100" s="6" t="inlineStr"/>
      <c r="I1100" s="6" t="inlineStr"/>
      <c r="J1100" s="6" t="inlineStr"/>
      <c r="K1100" s="6" t="inlineStr"/>
      <c r="L1100" s="6" t="inlineStr"/>
      <c r="M1100" s="5" t="inlineStr"/>
      <c r="N1100" s="5" t="inlineStr"/>
      <c r="O1100" s="6" t="inlineStr"/>
      <c r="P1100" s="6" t="inlineStr"/>
      <c r="Q1100" s="5" t="inlineStr"/>
      <c r="R1100" s="5" t="inlineStr"/>
      <c r="S1100" s="5" t="inlineStr"/>
      <c r="T1100" s="5" t="inlineStr"/>
      <c r="U1100" s="5" t="inlineStr"/>
      <c r="V1100" s="5" t="inlineStr"/>
      <c r="W1100" s="5" t="inlineStr"/>
      <c r="X1100" s="5" t="inlineStr"/>
      <c r="Y1100" s="5" t="inlineStr"/>
      <c r="Z1100" s="6" t="inlineStr"/>
      <c r="AA1100" s="5" t="inlineStr"/>
      <c r="AB1100" s="5" t="inlineStr"/>
      <c r="AC1100" s="5" t="inlineStr"/>
      <c r="AD1100" s="5" t="inlineStr"/>
      <c r="AE1100" s="5" t="inlineStr"/>
      <c r="AF1100" s="5" t="inlineStr"/>
      <c r="AG1100" s="5" t="inlineStr"/>
      <c r="AH1100" s="5" t="inlineStr"/>
      <c r="AI1100" s="5" t="inlineStr"/>
      <c r="AJ1100" s="5" t="inlineStr"/>
    </row>
    <row r="1101">
      <c r="A1101" s="5" t="inlineStr">
        <is>
          <t>b9-es-7-24</t>
        </is>
      </c>
      <c r="B1101" s="5" t="n">
        <v>2</v>
      </c>
      <c r="C1101" s="6" t="inlineStr">
        <is>
          <t>Oda paylaşım planı yap</t>
        </is>
      </c>
      <c r="D1101" s="5" t="inlineStr">
        <is>
          <t>Akıl</t>
        </is>
      </c>
      <c r="E1101" s="5" t="inlineStr">
        <is>
          <t>Orta</t>
        </is>
      </c>
      <c r="F1101" s="5" t="inlineStr"/>
      <c r="G1101" s="6" t="inlineStr"/>
      <c r="H1101" s="6" t="inlineStr">
        <is>
          <t>Salon sabah senin, öğleden sonra eşinin. Mutfak eşinin; sen kapıdan bakıp 'Tuzu az' diyorsun, içeri girmeden.</t>
        </is>
      </c>
      <c r="I1101" s="6" t="inlineStr">
        <is>
          <t>Planı öyle iyi yaptın ki eşin sana bir hobi odası ayırdı. Orada ne yaptığını bilmiyorsun ama odan var.</t>
        </is>
      </c>
      <c r="J1101" s="6" t="inlineStr">
        <is>
          <t>Planı yaptın, buzdolabına astın. Eşin okumadı; okumadan üstüne pazar listesini mıknatısla tutturdu. Kumanda yine onda.</t>
        </is>
      </c>
      <c r="K1101" s="6" t="inlineStr">
        <is>
          <t>Planı yaptın; eşin onu buzdolabından indirip yerine kendi listesini astı: 'Pazar senin, bulaşık senin, kumanda benim.' Altında senin imzan var; ne zaman attığını hatırlamıyorsun.</t>
        </is>
      </c>
      <c r="L1101" s="6" t="inlineStr"/>
      <c r="M1101" s="5" t="inlineStr"/>
      <c r="N1101" s="5" t="inlineStr"/>
      <c r="O1101" s="6" t="inlineStr"/>
      <c r="P1101" s="6" t="inlineStr"/>
      <c r="Q1101" s="5" t="inlineStr">
        <is>
          <t>Kuralı Koyan</t>
        </is>
      </c>
      <c r="R1101" s="5" t="inlineStr"/>
      <c r="S1101" s="5" t="inlineStr"/>
      <c r="T1101" s="5" t="inlineStr"/>
      <c r="U1101" s="5" t="inlineStr"/>
      <c r="V1101" s="5" t="inlineStr"/>
      <c r="W1101" s="5" t="inlineStr"/>
      <c r="X1101" s="5" t="inlineStr"/>
      <c r="Y1101" s="5" t="inlineStr"/>
      <c r="Z1101" s="6" t="inlineStr"/>
      <c r="AA1101" s="5" t="inlineStr"/>
      <c r="AB1101" s="5" t="inlineStr"/>
      <c r="AC1101" s="5" t="inlineStr"/>
      <c r="AD1101" s="5" t="inlineStr"/>
      <c r="AE1101" s="5" t="inlineStr"/>
      <c r="AF1101" s="5" t="inlineStr"/>
      <c r="AG1101" s="5" t="inlineStr"/>
      <c r="AH1101" s="5" t="inlineStr"/>
      <c r="AI1101" s="5" t="inlineStr"/>
      <c r="AJ1101" s="5" t="inlineStr"/>
    </row>
    <row r="1102">
      <c r="A1102" s="5" t="inlineStr">
        <is>
          <t>b9-es-7-24</t>
        </is>
      </c>
      <c r="B1102" s="5" t="n">
        <v>3</v>
      </c>
      <c r="C1102" s="6" t="inlineStr">
        <is>
          <t>'Bugün dışarı çıkıyorum' de</t>
        </is>
      </c>
      <c r="D1102" s="5" t="inlineStr">
        <is>
          <t>Sosyal Radar</t>
        </is>
      </c>
      <c r="E1102" s="5" t="inlineStr">
        <is>
          <t>Kolay</t>
        </is>
      </c>
      <c r="F1102" s="5" t="inlineStr"/>
      <c r="G1102" s="6" t="inlineStr"/>
      <c r="H1102" s="6" t="inlineStr">
        <is>
          <t>Dışarı çıktın. Eve döndüğünde eşin sana sarıldı. Sarılmanın anlamı: 'Yarın da çık.'</t>
        </is>
      </c>
      <c r="I1102" s="6" t="inlineStr">
        <is>
          <t>Dışarı çıktın, yürüyüş grubuna katıldın. Eşin de başka bir gruba katıldı. Akşamları gün boyu duyduğunuz dedikoduları birbirinize anlatıyorsunuz; yıllardır bu kadar konuşmamıştınız.</t>
        </is>
      </c>
      <c r="J1102" s="6" t="inlineStr">
        <is>
          <t>Dışarı çıktın. Nereye gideceğini düşünmemiştin. Parkta iki saat oturup eve döndün.</t>
        </is>
      </c>
      <c r="K1102" s="6" t="inlineStr">
        <is>
          <t>'Bugün dışarı çıkıyorum' dedin. Eşin 'Oh, rahat bir gün' dedi; sevinci yüzünden okunuyordu. Kapıdan kırılarak geri döndün. Akşama kadar ikiniz de küs, aynı odada.</t>
        </is>
      </c>
      <c r="L1102" s="6" t="inlineStr"/>
      <c r="M1102" s="5" t="inlineStr"/>
      <c r="N1102" s="5" t="inlineStr"/>
      <c r="O1102" s="6" t="inlineStr"/>
      <c r="P1102" s="6" t="inlineStr"/>
      <c r="Q1102" s="5" t="inlineStr"/>
      <c r="R1102" s="5" t="inlineStr"/>
      <c r="S1102" s="5" t="inlineStr">
        <is>
          <t>Sosyal Radar</t>
        </is>
      </c>
      <c r="T1102" s="5" t="inlineStr"/>
      <c r="U1102" s="5" t="inlineStr"/>
      <c r="V1102" s="5" t="inlineStr"/>
      <c r="W1102" s="5" t="inlineStr"/>
      <c r="X1102" s="5" t="inlineStr"/>
      <c r="Y1102" s="5" t="inlineStr"/>
      <c r="Z1102" s="6" t="inlineStr"/>
      <c r="AA1102" s="5" t="inlineStr"/>
      <c r="AB1102" s="5" t="inlineStr"/>
      <c r="AC1102" s="5" t="inlineStr"/>
      <c r="AD1102" s="5" t="inlineStr"/>
      <c r="AE1102" s="5" t="inlineStr"/>
      <c r="AF1102" s="5" t="inlineStr"/>
      <c r="AG1102" s="5" t="inlineStr"/>
      <c r="AH1102" s="5" t="inlineStr"/>
      <c r="AI1102" s="5" t="inlineStr"/>
      <c r="AJ1102" s="5" t="inlineStr"/>
    </row>
    <row r="1103">
      <c r="A1103" s="5" t="inlineStr">
        <is>
          <t>b9-yalniz-emeklilik</t>
        </is>
      </c>
      <c r="B1103" s="5" t="n">
        <v>1</v>
      </c>
      <c r="C1103" s="6" t="inlineStr">
        <is>
          <t>Bir kedi sahiplen</t>
        </is>
      </c>
      <c r="D1103" s="5" t="inlineStr"/>
      <c r="E1103" s="5" t="inlineStr"/>
      <c r="F1103" s="5" t="inlineStr">
        <is>
          <t>Gönül +1</t>
        </is>
      </c>
      <c r="G1103" s="6" t="inlineStr">
        <is>
          <t>Kediyi sahiplendin. Artık evde biri var. O kişi senin koltuğunda oturuyor.</t>
        </is>
      </c>
      <c r="H1103" s="6" t="inlineStr"/>
      <c r="I1103" s="6" t="inlineStr"/>
      <c r="J1103" s="6" t="inlineStr"/>
      <c r="K1103" s="6" t="inlineStr"/>
      <c r="L1103" s="6" t="inlineStr"/>
      <c r="M1103" s="5" t="inlineStr"/>
      <c r="N1103" s="5" t="inlineStr"/>
      <c r="O1103" s="6" t="inlineStr"/>
      <c r="P1103" s="6" t="inlineStr"/>
      <c r="Q1103" s="5" t="inlineStr"/>
      <c r="R1103" s="5" t="inlineStr"/>
      <c r="S1103" s="5" t="inlineStr"/>
      <c r="T1103" s="5" t="inlineStr"/>
      <c r="U1103" s="5" t="inlineStr"/>
      <c r="V1103" s="5" t="inlineStr"/>
      <c r="W1103" s="5" t="inlineStr"/>
      <c r="X1103" s="5" t="inlineStr"/>
      <c r="Y1103" s="5" t="inlineStr"/>
      <c r="Z1103" s="6" t="inlineStr"/>
      <c r="AA1103" s="5" t="inlineStr"/>
      <c r="AB1103" s="5" t="inlineStr"/>
      <c r="AC1103" s="5" t="inlineStr"/>
      <c r="AD1103" s="5" t="inlineStr"/>
      <c r="AE1103" s="5" t="inlineStr"/>
      <c r="AF1103" s="5" t="inlineStr"/>
      <c r="AG1103" s="5" t="inlineStr"/>
      <c r="AH1103" s="5" t="inlineStr"/>
      <c r="AI1103" s="5" t="inlineStr"/>
      <c r="AJ1103" s="5" t="inlineStr"/>
    </row>
    <row r="1104">
      <c r="A1104" s="5" t="inlineStr">
        <is>
          <t>b9-yalniz-emeklilik</t>
        </is>
      </c>
      <c r="B1104" s="5" t="n">
        <v>2</v>
      </c>
      <c r="C1104" s="6" t="inlineStr">
        <is>
          <t>Karşı komşuya el salla</t>
        </is>
      </c>
      <c r="D1104" s="5" t="inlineStr">
        <is>
          <t>Cesaret</t>
        </is>
      </c>
      <c r="E1104" s="5" t="inlineStr">
        <is>
          <t>Orta</t>
        </is>
      </c>
      <c r="F1104" s="5" t="inlineStr"/>
      <c r="G1104" s="6" t="inlineStr"/>
      <c r="H1104" s="6" t="inlineStr">
        <is>
          <t>El salladın, o da salladı. Ertesi gün kapında bir tabak börek vardı.</t>
        </is>
      </c>
      <c r="I1104" s="6" t="inlineStr">
        <is>
          <t>El salladın; bir hafta sonra birlikte pazara gidiyordunuz. Pazar arabalarınızı birbirine bağladınız.</t>
        </is>
      </c>
      <c r="J1104" s="6" t="inlineStr">
        <is>
          <t>El salladın, perde kapandı. Belki görmedi. Belki gördü.</t>
        </is>
      </c>
      <c r="K1104" s="6" t="inlineStr">
        <is>
          <t>El salladın. Karşı komşu yardım istediğini sandı, ambulans çağırdı. Sağlık ekibi salonunda tansiyonunu ölçerken bütün apartman balkondaydı.</t>
        </is>
      </c>
      <c r="L1104" s="6" t="inlineStr"/>
      <c r="M1104" s="5" t="inlineStr"/>
      <c r="N1104" s="5" t="inlineStr"/>
      <c r="O1104" s="6" t="inlineStr"/>
      <c r="P1104" s="6" t="inlineStr"/>
      <c r="Q1104" s="5" t="inlineStr"/>
      <c r="R1104" s="5" t="inlineStr"/>
      <c r="S1104" s="5" t="inlineStr"/>
      <c r="T1104" s="5" t="inlineStr"/>
      <c r="U1104" s="5" t="inlineStr"/>
      <c r="V1104" s="5" t="inlineStr"/>
      <c r="W1104" s="5" t="inlineStr"/>
      <c r="X1104" s="5" t="inlineStr"/>
      <c r="Y1104" s="5" t="inlineStr"/>
      <c r="Z1104" s="6" t="inlineStr"/>
      <c r="AA1104" s="5" t="inlineStr"/>
      <c r="AB1104" s="5" t="inlineStr"/>
      <c r="AC1104" s="5" t="inlineStr"/>
      <c r="AD1104" s="5" t="inlineStr"/>
      <c r="AE1104" s="5" t="inlineStr"/>
      <c r="AF1104" s="5" t="inlineStr"/>
      <c r="AG1104" s="5" t="inlineStr"/>
      <c r="AH1104" s="5" t="inlineStr"/>
      <c r="AI1104" s="5" t="inlineStr"/>
      <c r="AJ1104" s="5" t="inlineStr"/>
    </row>
    <row r="1105">
      <c r="A1105" s="5" t="inlineStr">
        <is>
          <t>b9-yalniz-emeklilik</t>
        </is>
      </c>
      <c r="B1105" s="5" t="n">
        <v>3</v>
      </c>
      <c r="C1105" s="6" t="inlineStr">
        <is>
          <t>Hobi kursuna yazıl</t>
        </is>
      </c>
      <c r="D1105" s="5" t="inlineStr">
        <is>
          <t>Akıl</t>
        </is>
      </c>
      <c r="E1105" s="5" t="inlineStr">
        <is>
          <t>Kolay</t>
        </is>
      </c>
      <c r="F1105" s="5" t="inlineStr"/>
      <c r="G1105" s="6" t="inlineStr"/>
      <c r="H1105" s="6" t="inlineStr">
        <is>
          <t>Seramik kursuna yazıldın. İlk eserin bir kâse. Kâse mi, bilinmiyor.</t>
        </is>
      </c>
      <c r="I1105" s="6" t="inlineStr">
        <is>
          <t>Kursun en yetenekli öğrencisi oldun. Yıl sonu sergisinde kâsen satıldı; alan, karşı apartmandaki komşuydu. Şimdi pencereden ikiniz de aynı kâseye bakıyorsunuz.</t>
        </is>
      </c>
      <c r="J1105" s="6" t="inlineStr">
        <is>
          <t>Kursa yazıldın, ilk derste kimse gelmedi. Kurs iptal oldu; ücret iade için dört form.</t>
        </is>
      </c>
      <c r="K1105" s="6" t="inlineStr">
        <is>
          <t>Kursa yazıldın. Yanlış kurs. Şu an bir kick boks salonundasın ve eğitmen çok heyecanlı.</t>
        </is>
      </c>
      <c r="L1105" s="6" t="inlineStr"/>
      <c r="M1105" s="5" t="inlineStr"/>
      <c r="N1105" s="5" t="inlineStr"/>
      <c r="O1105" s="6" t="inlineStr"/>
      <c r="P1105" s="6" t="inlineStr"/>
      <c r="Q1105" s="5" t="inlineStr"/>
      <c r="R1105" s="5" t="inlineStr"/>
      <c r="S1105" s="5" t="inlineStr"/>
      <c r="T1105" s="5" t="inlineStr"/>
      <c r="U1105" s="5" t="inlineStr"/>
      <c r="V1105" s="5" t="inlineStr"/>
      <c r="W1105" s="5" t="inlineStr"/>
      <c r="X1105" s="5" t="inlineStr"/>
      <c r="Y1105" s="5" t="inlineStr"/>
      <c r="Z1105" s="6" t="inlineStr"/>
      <c r="AA1105" s="5" t="inlineStr"/>
      <c r="AB1105" s="5" t="inlineStr"/>
      <c r="AC1105" s="5" t="inlineStr"/>
      <c r="AD1105" s="5" t="inlineStr"/>
      <c r="AE1105" s="5" t="inlineStr"/>
      <c r="AF1105" s="5" t="inlineStr"/>
      <c r="AG1105" s="5" t="inlineStr"/>
      <c r="AH1105" s="5" t="inlineStr"/>
      <c r="AI1105" s="5" t="inlineStr"/>
      <c r="AJ1105" s="5" t="inlineStr"/>
    </row>
    <row r="1106">
      <c r="A1106" s="5" t="inlineStr">
        <is>
          <t>mb-veda-plaketi</t>
        </is>
      </c>
      <c r="B1106" s="5" t="n">
        <v>1</v>
      </c>
      <c r="C1106" s="6" t="inlineStr">
        <is>
          <t>Teşekkür et, gülümse</t>
        </is>
      </c>
      <c r="D1106" s="5" t="inlineStr"/>
      <c r="E1106" s="5" t="inlineStr"/>
      <c r="F1106" s="5" t="inlineStr">
        <is>
          <t>İtibar +1</t>
        </is>
      </c>
      <c r="G1106" s="6" t="inlineStr">
        <is>
          <t>Plaketi aldın, yanlış harfi parmağınla kapattın. Fotoğraf kusursuz çıktı.</t>
        </is>
      </c>
      <c r="H1106" s="6" t="inlineStr"/>
      <c r="I1106" s="6" t="inlineStr"/>
      <c r="J1106" s="6" t="inlineStr"/>
      <c r="K1106" s="6" t="inlineStr"/>
      <c r="L1106" s="6" t="inlineStr"/>
      <c r="M1106" s="5" t="inlineStr"/>
      <c r="N1106" s="5" t="inlineStr"/>
      <c r="O1106" s="6" t="inlineStr"/>
      <c r="P1106" s="6" t="inlineStr"/>
      <c r="Q1106" s="5" t="inlineStr"/>
      <c r="R1106" s="5" t="inlineStr"/>
      <c r="S1106" s="5" t="inlineStr"/>
      <c r="T1106" s="5" t="inlineStr"/>
      <c r="U1106" s="5" t="inlineStr">
        <is>
          <t>emekli</t>
        </is>
      </c>
      <c r="V1106" s="5" t="inlineStr"/>
      <c r="W1106" s="5" t="inlineStr"/>
      <c r="X1106" s="5" t="inlineStr"/>
      <c r="Y1106" s="5" t="inlineStr"/>
      <c r="Z1106" s="6" t="inlineStr"/>
      <c r="AA1106" s="5" t="inlineStr"/>
      <c r="AB1106" s="5" t="inlineStr"/>
      <c r="AC1106" s="5" t="inlineStr"/>
      <c r="AD1106" s="5" t="inlineStr"/>
      <c r="AE1106" s="5" t="inlineStr"/>
      <c r="AF1106" s="5" t="inlineStr"/>
      <c r="AG1106" s="5" t="inlineStr"/>
      <c r="AH1106" s="5" t="inlineStr"/>
      <c r="AI1106" s="5" t="inlineStr"/>
      <c r="AJ1106" s="5" t="inlineStr"/>
    </row>
    <row r="1107">
      <c r="A1107" s="5" t="inlineStr">
        <is>
          <t>mb-veda-plaketi</t>
        </is>
      </c>
      <c r="B1107" s="5" t="n">
        <v>2</v>
      </c>
      <c r="C1107" s="6" t="inlineStr">
        <is>
          <t>Veda e-postasını bütün şirkete yaz</t>
        </is>
      </c>
      <c r="D1107" s="5" t="inlineStr">
        <is>
          <t>Pişkinlik</t>
        </is>
      </c>
      <c r="E1107" s="5" t="inlineStr">
        <is>
          <t>Orta</t>
        </is>
      </c>
      <c r="F1107" s="5" t="inlineStr"/>
      <c r="G1107" s="6" t="inlineStr"/>
      <c r="H1107" s="6" t="inlineStr">
        <is>
          <t>Veda e-postan duygusal ve kısaydı. Tarihte ilk kez biri e-postayı sonuna kadar okudu.</t>
        </is>
      </c>
      <c r="I1107" s="6" t="inlineStr">
        <is>
          <t>E-postan şirkette elden ele dolaştı. Genel müdür cevap yazdı; adını doğru yazarak. Ertesi gün plaketin yenisi masandaydı.</t>
        </is>
      </c>
      <c r="J1107" s="6" t="inlineStr">
        <is>
          <t>E-postaya kırk kişi 'Seni çok özleyeceğiz' yazdı. Otuz dokuzunu tanımıyorsun.</t>
        </is>
      </c>
      <c r="K1107" s="6" t="inlineStr">
        <is>
          <t>Herkes 'Herkese Yanıt' ile karşılık verdi. Emekliliğinin ilk haftası gelen kutunda geçti.</t>
        </is>
      </c>
      <c r="L1107" s="6" t="inlineStr"/>
      <c r="M1107" s="5" t="inlineStr"/>
      <c r="N1107" s="5" t="inlineStr"/>
      <c r="O1107" s="6" t="inlineStr"/>
      <c r="P1107" s="6" t="inlineStr"/>
      <c r="Q1107" s="5" t="inlineStr"/>
      <c r="R1107" s="5" t="inlineStr"/>
      <c r="S1107" s="5" t="inlineStr"/>
      <c r="T1107" s="5" t="inlineStr"/>
      <c r="U1107" s="5" t="inlineStr">
        <is>
          <t>emekli</t>
        </is>
      </c>
      <c r="V1107" s="5" t="inlineStr"/>
      <c r="W1107" s="5" t="inlineStr"/>
      <c r="X1107" s="5" t="inlineStr"/>
      <c r="Y1107" s="5" t="inlineStr"/>
      <c r="Z1107" s="6" t="inlineStr"/>
      <c r="AA1107" s="5" t="inlineStr"/>
      <c r="AB1107" s="5" t="inlineStr"/>
      <c r="AC1107" s="5" t="inlineStr"/>
      <c r="AD1107" s="5" t="inlineStr"/>
      <c r="AE1107" s="5" t="inlineStr"/>
      <c r="AF1107" s="5" t="inlineStr"/>
      <c r="AG1107" s="5" t="inlineStr"/>
      <c r="AH1107" s="5" t="inlineStr"/>
      <c r="AI1107" s="5" t="inlineStr"/>
      <c r="AJ1107" s="5" t="inlineStr"/>
    </row>
    <row r="1108">
      <c r="A1108" s="5" t="inlineStr">
        <is>
          <t>mb-veda-plaketi</t>
        </is>
      </c>
      <c r="B1108" s="5" t="n">
        <v>3</v>
      </c>
      <c r="C1108" s="6" t="inlineStr">
        <is>
          <t>Eski ekibini topla</t>
        </is>
      </c>
      <c r="D1108" s="5" t="inlineStr">
        <is>
          <t>Sosyal Radar</t>
        </is>
      </c>
      <c r="E1108" s="5" t="inlineStr">
        <is>
          <t>Kolay</t>
        </is>
      </c>
      <c r="F1108" s="5" t="inlineStr"/>
      <c r="G1108" s="6" t="inlineStr"/>
      <c r="H1108" s="6" t="inlineStr">
        <is>
          <t>Yönettiğin herkes geldi; pasta yetmedi. En genç olan kendi dilimini sana uzattı: 'Siz de beni ilk gün aç bırakmamıştınız.'</t>
        </is>
      </c>
      <c r="I1108" s="6" t="inlineStr">
        <is>
          <t>Eski ekibin sana kendi plaketini yaptırdı. Adın doğru yazılmış.</t>
        </is>
      </c>
      <c r="J1108" s="6" t="inlineStr">
        <is>
          <t>Geldiler; yarısı hâlâ senin onayını bekleyen izin talepleriyle.</t>
        </is>
      </c>
      <c r="K1108" s="6" t="inlineStr">
        <is>
          <t>Ekibini topladın. İkinci dilimde biri zam konusunu açtı, üçüncüde biri izin. Emekliliğine iki hafta var; takvimin 'kısa bir görüşme' isteyenlerle doldu.</t>
        </is>
      </c>
      <c r="L1108" s="6" t="inlineStr"/>
      <c r="M1108" s="5" t="inlineStr"/>
      <c r="N1108" s="5" t="inlineStr"/>
      <c r="O1108" s="6" t="inlineStr"/>
      <c r="P1108" s="6" t="inlineStr"/>
      <c r="Q1108" s="5" t="inlineStr"/>
      <c r="R1108" s="5" t="inlineStr">
        <is>
          <t>beyazyaka-terfi-aldi</t>
        </is>
      </c>
      <c r="S1108" s="5" t="inlineStr"/>
      <c r="T1108" s="5" t="inlineStr"/>
      <c r="U1108" s="5" t="inlineStr">
        <is>
          <t>emekli</t>
        </is>
      </c>
      <c r="V1108" s="5" t="inlineStr"/>
      <c r="W1108" s="5" t="inlineStr"/>
      <c r="X1108" s="5" t="inlineStr"/>
      <c r="Y1108" s="5" t="inlineStr"/>
      <c r="Z1108" s="6" t="inlineStr"/>
      <c r="AA1108" s="5" t="inlineStr"/>
      <c r="AB1108" s="5" t="inlineStr"/>
      <c r="AC1108" s="5" t="inlineStr"/>
      <c r="AD1108" s="5" t="inlineStr"/>
      <c r="AE1108" s="5" t="inlineStr"/>
      <c r="AF1108" s="5" t="inlineStr"/>
      <c r="AG1108" s="5" t="inlineStr"/>
      <c r="AH1108" s="5" t="inlineStr"/>
      <c r="AI1108" s="5" t="inlineStr"/>
      <c r="AJ1108" s="5" t="inlineStr"/>
    </row>
    <row r="1109">
      <c r="A1109" s="5" t="inlineStr">
        <is>
          <t>me-dukkani-devret</t>
        </is>
      </c>
      <c r="B1109" s="5" t="n">
        <v>1</v>
      </c>
      <c r="C1109" s="6" t="inlineStr">
        <is>
          <t>Çırağa devret</t>
        </is>
      </c>
      <c r="D1109" s="5" t="inlineStr"/>
      <c r="E1109" s="5" t="inlineStr"/>
      <c r="F1109" s="5" t="inlineStr">
        <is>
          <t>İtibar +1, Sosyal Radar +1</t>
        </is>
      </c>
      <c r="G1109" s="6" t="inlineStr">
        <is>
          <t>Anahtarı çırağa verdin. Tabela değişmedi; altına küçük harflerle 'Ustasından' yazıldı.</t>
        </is>
      </c>
      <c r="H1109" s="6" t="inlineStr"/>
      <c r="I1109" s="6" t="inlineStr"/>
      <c r="J1109" s="6" t="inlineStr"/>
      <c r="K1109" s="6" t="inlineStr"/>
      <c r="L1109" s="6" t="inlineStr"/>
      <c r="M1109" s="5" t="inlineStr"/>
      <c r="N1109" s="5" t="inlineStr"/>
      <c r="O1109" s="6" t="inlineStr"/>
      <c r="P1109" s="6" t="inlineStr"/>
      <c r="Q1109" s="5" t="inlineStr"/>
      <c r="R1109" s="5" t="inlineStr">
        <is>
          <t>esnaf-cirak</t>
        </is>
      </c>
      <c r="S1109" s="5" t="inlineStr"/>
      <c r="T1109" s="5" t="inlineStr"/>
      <c r="U1109" s="5" t="inlineStr"/>
      <c r="V1109" s="5" t="inlineStr"/>
      <c r="W1109" s="5" t="inlineStr"/>
      <c r="X1109" s="5" t="inlineStr"/>
      <c r="Y1109" s="5" t="inlineStr"/>
      <c r="Z1109" s="6" t="inlineStr"/>
      <c r="AA1109" s="5" t="inlineStr"/>
      <c r="AB1109" s="5" t="inlineStr"/>
      <c r="AC1109" s="5" t="inlineStr"/>
      <c r="AD1109" s="5" t="inlineStr"/>
      <c r="AE1109" s="5" t="inlineStr"/>
      <c r="AF1109" s="5" t="inlineStr"/>
      <c r="AG1109" s="5" t="inlineStr"/>
      <c r="AH1109" s="5" t="inlineStr"/>
      <c r="AI1109" s="5" t="inlineStr"/>
      <c r="AJ1109" s="5" t="inlineStr"/>
    </row>
    <row r="1110">
      <c r="A1110" s="5" t="inlineStr">
        <is>
          <t>me-dukkani-devret</t>
        </is>
      </c>
      <c r="B1110" s="5" t="n">
        <v>2</v>
      </c>
      <c r="C1110" s="6" t="inlineStr">
        <is>
          <t>Devir bedelinde pazarlık et</t>
        </is>
      </c>
      <c r="D1110" s="5" t="inlineStr">
        <is>
          <t>Çene</t>
        </is>
      </c>
      <c r="E1110" s="5" t="inlineStr">
        <is>
          <t>Orta</t>
        </is>
      </c>
      <c r="F1110" s="5" t="inlineStr"/>
      <c r="G1110" s="6" t="inlineStr"/>
      <c r="H1110" s="6" t="inlineStr">
        <is>
          <t>İyi bir bedel aldın. Emeklilik bir ay erken başladı; kafanda.</t>
        </is>
      </c>
      <c r="I1110" s="6" t="inlineStr">
        <is>
          <t>Talipliler birbirini geçti. Dükkânı açık artırmaya çevirmeden en yükseğe verdin.</t>
        </is>
      </c>
      <c r="J1110" s="6" t="inlineStr">
        <is>
          <t>Israr ettin, talipli vazgeçti. Tabela camda bir yıl daha sarardı.</t>
        </is>
      </c>
      <c r="K1110" s="6" t="inlineStr">
        <is>
          <t>Pazarlıkta öyle ısrar ettin ki talipli sonunda 'Peki, ama sen de dükkânla birlikte gelirsin' dedi. Kabul ettin. Şimdi kendi eski dükkânında maaşsız çalışıyorsun; her sabah 08.00'de, çayı da sen demliyorsun.</t>
        </is>
      </c>
      <c r="L1110" s="6" t="inlineStr"/>
      <c r="M1110" s="5" t="inlineStr"/>
      <c r="N1110" s="5" t="inlineStr"/>
      <c r="O1110" s="6" t="inlineStr"/>
      <c r="P1110" s="6" t="inlineStr"/>
      <c r="Q1110" s="5" t="inlineStr"/>
      <c r="R1110" s="5" t="inlineStr"/>
      <c r="S1110" s="5" t="inlineStr"/>
      <c r="T1110" s="5" t="inlineStr"/>
      <c r="U1110" s="5" t="inlineStr"/>
      <c r="V1110" s="5" t="inlineStr"/>
      <c r="W1110" s="5" t="inlineStr"/>
      <c r="X1110" s="5" t="inlineStr"/>
      <c r="Y1110" s="5" t="inlineStr"/>
      <c r="Z1110" s="6" t="inlineStr"/>
      <c r="AA1110" s="5" t="inlineStr"/>
      <c r="AB1110" s="5" t="inlineStr"/>
      <c r="AC1110" s="5" t="inlineStr"/>
      <c r="AD1110" s="5" t="inlineStr"/>
      <c r="AE1110" s="5" t="inlineStr"/>
      <c r="AF1110" s="5" t="inlineStr"/>
      <c r="AG1110" s="5" t="inlineStr"/>
      <c r="AH1110" s="5" t="inlineStr"/>
      <c r="AI1110" s="5" t="inlineStr"/>
      <c r="AJ1110" s="5" t="inlineStr"/>
    </row>
    <row r="1111">
      <c r="A1111" s="5" t="inlineStr">
        <is>
          <t>me-dukkani-devret</t>
        </is>
      </c>
      <c r="B1111" s="5" t="n">
        <v>3</v>
      </c>
      <c r="C1111" s="6" t="inlineStr">
        <is>
          <t>Karşı dükkâna sat</t>
        </is>
      </c>
      <c r="D1111" s="5" t="inlineStr">
        <is>
          <t>Pişkinlik</t>
        </is>
      </c>
      <c r="E1111" s="5" t="inlineStr">
        <is>
          <t>Zor</t>
        </is>
      </c>
      <c r="F1111" s="5" t="inlineStr"/>
      <c r="G1111" s="6" t="inlineStr"/>
      <c r="H1111" s="6" t="inlineStr">
        <is>
          <t>Otuz yıl savaştığın dükkân seni satın aldı. Sokakta artık tek dükkân var; iki kepenkli.</t>
        </is>
      </c>
      <c r="I1111" s="6" t="inlineStr">
        <is>
          <t>Yüksek bedel ödediler ve kendi tabelalarını seninkiyle değiştirdiler. Savaşı kaybederek kazandın.</t>
        </is>
      </c>
      <c r="J1111" s="6" t="inlineStr">
        <is>
          <t>'Biz de devrediyoruz' dediler. Sokakta karşılıklı iki 'Devren kiralık' tabelası.</t>
        </is>
      </c>
      <c r="K1111" s="6" t="inlineStr">
        <is>
          <t>Sattın. Ertesi gün senin eski fiyatlarınla açtılar. Müdavimin 'Hiçbir şey değişmemiş' dedi.</t>
        </is>
      </c>
      <c r="L1111" s="6" t="inlineStr"/>
      <c r="M1111" s="5" t="inlineStr"/>
      <c r="N1111" s="5" t="inlineStr"/>
      <c r="O1111" s="6" t="inlineStr"/>
      <c r="P1111" s="6" t="inlineStr"/>
      <c r="Q1111" s="5" t="inlineStr"/>
      <c r="R1111" s="5" t="inlineStr">
        <is>
          <t>esnaf-komsu-rakip</t>
        </is>
      </c>
      <c r="S1111" s="5" t="inlineStr"/>
      <c r="T1111" s="5" t="inlineStr"/>
      <c r="U1111" s="5" t="inlineStr"/>
      <c r="V1111" s="5" t="inlineStr"/>
      <c r="W1111" s="5" t="inlineStr"/>
      <c r="X1111" s="5" t="inlineStr"/>
      <c r="Y1111" s="5" t="inlineStr"/>
      <c r="Z1111" s="6" t="inlineStr"/>
      <c r="AA1111" s="5" t="inlineStr"/>
      <c r="AB1111" s="5" t="inlineStr"/>
      <c r="AC1111" s="5" t="inlineStr"/>
      <c r="AD1111" s="5" t="inlineStr"/>
      <c r="AE1111" s="5" t="inlineStr"/>
      <c r="AF1111" s="5" t="inlineStr"/>
      <c r="AG1111" s="5" t="inlineStr"/>
      <c r="AH1111" s="5" t="inlineStr"/>
      <c r="AI1111" s="5" t="inlineStr"/>
      <c r="AJ1111" s="5" t="inlineStr"/>
    </row>
    <row r="1112">
      <c r="A1112" s="5" t="inlineStr">
        <is>
          <t>me-dukkani-devret</t>
        </is>
      </c>
      <c r="B1112" s="5" t="n">
        <v>4</v>
      </c>
      <c r="C1112" s="6" t="inlineStr">
        <is>
          <t>Çocuğuna bırak</t>
        </is>
      </c>
      <c r="D1112" s="5" t="inlineStr">
        <is>
          <t>Çene</t>
        </is>
      </c>
      <c r="E1112" s="5" t="inlineStr">
        <is>
          <t>Orta</t>
        </is>
      </c>
      <c r="F1112" s="5" t="inlineStr"/>
      <c r="G1112" s="6" t="inlineStr"/>
      <c r="H1112" s="6" t="inlineStr">
        <is>
          <t>Çocuğun dükkânı devraldı. İlk işi pos cihazını yenilemek oldu, ikincisi senin tabureni kasanın yanından kapının önüne taşımak.</t>
        </is>
      </c>
      <c r="I1112" s="6" t="inlineStr">
        <is>
          <t>Çocuğun dükkânı internete taşıdı, ciroyu ikiye katladı ve eski defterini çerçeveletip duvara astı.</t>
        </is>
      </c>
      <c r="J1112" s="6" t="inlineStr">
        <is>
          <t>'Uzaktan çalışıyorum' dedi. Dükkânı da uzaktan yönetmeyi denedi: görüntülü aramada müşteriye peynir gösterdi. Müşteri sana döndü: “Kokusunu da gönderebiliyor mu?”</t>
        </is>
      </c>
      <c r="K1112" s="6" t="inlineStr">
        <is>
          <t>Kabul etti; ilk hafta ürünlerin yarısını 'minimalizm' diye raftan kaldırdı. Dükkân bir galeriye döndü.</t>
        </is>
      </c>
      <c r="L1112" s="6" t="inlineStr"/>
      <c r="M1112" s="5" t="inlineStr"/>
      <c r="N1112" s="5" t="inlineStr"/>
      <c r="O1112" s="6" t="inlineStr"/>
      <c r="P1112" s="6" t="inlineStr"/>
      <c r="Q1112" s="5" t="inlineStr"/>
      <c r="R1112" s="5" t="inlineStr">
        <is>
          <t>cocuklu</t>
        </is>
      </c>
      <c r="S1112" s="5" t="inlineStr"/>
      <c r="T1112" s="5" t="inlineStr"/>
      <c r="U1112" s="5" t="inlineStr"/>
      <c r="V1112" s="5" t="inlineStr"/>
      <c r="W1112" s="5" t="inlineStr"/>
      <c r="X1112" s="5" t="inlineStr"/>
      <c r="Y1112" s="5" t="inlineStr"/>
      <c r="Z1112" s="6" t="inlineStr"/>
      <c r="AA1112" s="5" t="inlineStr"/>
      <c r="AB1112" s="5" t="inlineStr"/>
      <c r="AC1112" s="5" t="inlineStr"/>
      <c r="AD1112" s="5" t="inlineStr"/>
      <c r="AE1112" s="5" t="inlineStr"/>
      <c r="AF1112" s="5" t="inlineStr"/>
      <c r="AG1112" s="5" t="inlineStr"/>
      <c r="AH1112" s="5" t="inlineStr"/>
      <c r="AI1112" s="5" t="inlineStr"/>
      <c r="AJ1112" s="5" t="inlineStr"/>
    </row>
    <row r="1113">
      <c r="A1113" s="5" t="inlineStr">
        <is>
          <t>b9-tavla-finali</t>
        </is>
      </c>
      <c r="B1113" s="5" t="n">
        <v>1</v>
      </c>
      <c r="C1113" s="6" t="inlineStr">
        <is>
          <t>Zarı at</t>
        </is>
      </c>
      <c r="D1113" s="5" t="inlineStr">
        <is>
          <t>Cesaret</t>
        </is>
      </c>
      <c r="E1113" s="5" t="inlineStr">
        <is>
          <t>Orta</t>
        </is>
      </c>
      <c r="F1113" s="5" t="inlineStr"/>
      <c r="G1113" s="6" t="inlineStr"/>
      <c r="H1113" s="6" t="inlineStr">
        <is>
          <t>Son zarda altı-beş attın; yetti. Kırk çay bardağı aynı anda masaya vuruldu. Adın duvara büyük harfle yazıldı; tebeşir yetmedi, kahveci kömürle tamamladı.</t>
        </is>
      </c>
      <c r="I1113" s="6" t="inlineStr">
        <is>
          <t>Düşeş attın; rakip ayağa kalkıp elini sıktı. Kahvehane sahibi duvardaki çay listesinden adını sildi: “Bu masadan bir daha para alınmaz.”</t>
        </is>
      </c>
      <c r="J1113" s="6" t="inlineStr">
        <is>
          <t>Bir-iki attın. Rakip gülümsedi, pulları topladı. Kahveci tebeşiri sana uzattı: “Adını sen sil, daha az acır.”</t>
        </is>
      </c>
      <c r="K1113" s="6" t="inlineStr">
        <is>
          <t>Zar masadan fırlayıp rakibin çay bardağına düştü. Kahveci 'Bardaktaki zar sayılmaz' dedi, rakip 'Çay da benim' dedi. Kupayı o kaldırdı.</t>
        </is>
      </c>
      <c r="L1113" s="6" t="inlineStr">
        <is>
          <t>Beş-dört attın. Yeterli ama heyecansız. Kahvehane sessizce alkışladı.</t>
        </is>
      </c>
      <c r="M1113" s="5" t="inlineStr">
        <is>
          <t>timing</t>
        </is>
      </c>
      <c r="N1113" s="5" t="inlineStr">
        <is>
          <t>Son Zar</t>
        </is>
      </c>
      <c r="O1113" s="6" t="inlineStr">
        <is>
          <t>Zarı tam doğru anda bırak. Kırk kişi sessiz; senin elin titremiyor, çayın titriyor.</t>
        </is>
      </c>
      <c r="P1113" s="6" t="inlineStr"/>
      <c r="Q1113" s="5" t="inlineStr"/>
      <c r="R1113" s="5" t="inlineStr"/>
      <c r="S1113" s="5" t="inlineStr"/>
      <c r="T1113" s="5" t="inlineStr"/>
      <c r="U1113" s="5" t="inlineStr"/>
      <c r="V1113" s="5" t="inlineStr">
        <is>
          <t>tavla-sampiyonu</t>
        </is>
      </c>
      <c r="W1113" s="5" t="inlineStr"/>
      <c r="X1113" s="5" t="inlineStr"/>
      <c r="Y1113" s="5" t="inlineStr"/>
      <c r="Z1113" s="6" t="inlineStr"/>
      <c r="AA1113" s="5" t="inlineStr"/>
      <c r="AB1113" s="5" t="inlineStr"/>
      <c r="AC1113" s="5" t="inlineStr"/>
      <c r="AD1113" s="5" t="inlineStr"/>
      <c r="AE1113" s="5" t="inlineStr"/>
      <c r="AF1113" s="5" t="inlineStr"/>
      <c r="AG1113" s="5" t="inlineStr"/>
      <c r="AH1113" s="5" t="inlineStr"/>
      <c r="AI1113" s="5" t="inlineStr"/>
      <c r="AJ1113" s="5" t="inlineStr"/>
    </row>
    <row r="1114">
      <c r="A1114" s="5" t="inlineStr">
        <is>
          <t>b9-tavla-finali</t>
        </is>
      </c>
      <c r="B1114" s="5" t="n">
        <v>2</v>
      </c>
      <c r="C1114" s="6" t="inlineStr">
        <is>
          <t>Sessizce hamle yap</t>
        </is>
      </c>
      <c r="D1114" s="5" t="inlineStr"/>
      <c r="E1114" s="5" t="inlineStr"/>
      <c r="F1114" s="5" t="inlineStr">
        <is>
          <t>Dayanıklılık +1</t>
        </is>
      </c>
      <c r="G1114" s="6" t="inlineStr">
        <is>
          <t>Sessizce oynadın, sessizce kaybettin. Rakip elini sıktı; kırk kişi aynı anda 'Centilmen' dedi. Kahveci televizyonu açtı; maç ikinci yarıdaydı.</t>
        </is>
      </c>
      <c r="H1114" s="6" t="inlineStr"/>
      <c r="I1114" s="6" t="inlineStr"/>
      <c r="J1114" s="6" t="inlineStr"/>
      <c r="K1114" s="6" t="inlineStr"/>
      <c r="L1114" s="6" t="inlineStr"/>
      <c r="M1114" s="5" t="inlineStr"/>
      <c r="N1114" s="5" t="inlineStr"/>
      <c r="O1114" s="6" t="inlineStr"/>
      <c r="P1114" s="6" t="inlineStr"/>
      <c r="Q1114" s="5" t="inlineStr"/>
      <c r="R1114" s="5" t="inlineStr"/>
      <c r="S1114" s="5" t="inlineStr"/>
      <c r="T1114" s="5" t="inlineStr"/>
      <c r="U1114" s="5" t="inlineStr"/>
      <c r="V1114" s="5" t="inlineStr"/>
      <c r="W1114" s="5" t="inlineStr"/>
      <c r="X1114" s="5" t="inlineStr"/>
      <c r="Y1114" s="5" t="inlineStr"/>
      <c r="Z1114" s="6" t="inlineStr"/>
      <c r="AA1114" s="5" t="inlineStr"/>
      <c r="AB1114" s="5" t="inlineStr"/>
      <c r="AC1114" s="5" t="inlineStr"/>
      <c r="AD1114" s="5" t="inlineStr"/>
      <c r="AE1114" s="5" t="inlineStr"/>
      <c r="AF1114" s="5" t="inlineStr"/>
      <c r="AG1114" s="5" t="inlineStr"/>
      <c r="AH1114" s="5" t="inlineStr"/>
      <c r="AI1114" s="5" t="inlineStr"/>
      <c r="AJ1114" s="5" t="inlineStr"/>
    </row>
    <row r="1115">
      <c r="A1115" s="5" t="inlineStr">
        <is>
          <t>b9-tavla-finali</t>
        </is>
      </c>
      <c r="B1115" s="5" t="n">
        <v>3</v>
      </c>
      <c r="C1115" s="6" t="inlineStr">
        <is>
          <t>Tavla Kurdu hamlesini yap</t>
        </is>
      </c>
      <c r="D1115" s="5" t="inlineStr">
        <is>
          <t>Kurnazlık</t>
        </is>
      </c>
      <c r="E1115" s="5" t="inlineStr">
        <is>
          <t>Zor</t>
        </is>
      </c>
      <c r="F1115" s="5" t="inlineStr"/>
      <c r="G1115" s="6" t="inlineStr"/>
      <c r="H1115" s="6" t="inlineStr">
        <is>
          <t>Rakibin pullarını üç hamlede bloke ettin. Kahvehane seni 'Kurt' diye çağırmaya başladı.</t>
        </is>
      </c>
      <c r="I1115" s="6" t="inlineStr">
        <is>
          <t>Hamlen öyle ustaydı ki rakip pulları toplayıp tebrik etti. Şampiyonluk kupası bir çay bardağı; altın yaldızlı.</t>
        </is>
      </c>
      <c r="J1115" s="6" t="inlineStr">
        <is>
          <t>Hamleyi yaptın ama bir pul yanlış yerdeydi. Rakip o pulu parmağıyla gösterdi, tek kelime etmedi. Kırk kişi aynı anda “Aaah!” dedi; kahvehane sahibi televizyonu yeniden açtı.</t>
        </is>
      </c>
      <c r="K1115" s="6" t="inlineStr">
        <is>
          <t>Hamleyi yaparken masayı devirdin. Kırk kişi çayını senin yüzünden kaybetti. Kahvehane seni ikinci lige düşürdü.</t>
        </is>
      </c>
      <c r="L1115" s="6" t="inlineStr"/>
      <c r="M1115" s="5" t="inlineStr"/>
      <c r="N1115" s="5" t="inlineStr"/>
      <c r="O1115" s="6" t="inlineStr"/>
      <c r="P1115" s="6" t="inlineStr"/>
      <c r="Q1115" s="5" t="inlineStr">
        <is>
          <t>Tavla Kurdu</t>
        </is>
      </c>
      <c r="R1115" s="5" t="inlineStr"/>
      <c r="S1115" s="5" t="inlineStr"/>
      <c r="T1115" s="5" t="inlineStr"/>
      <c r="U1115" s="5" t="inlineStr"/>
      <c r="V1115" s="5" t="inlineStr">
        <is>
          <t>tavla-sampiyonu</t>
        </is>
      </c>
      <c r="W1115" s="5" t="inlineStr"/>
      <c r="X1115" s="5" t="inlineStr"/>
      <c r="Y1115" s="5" t="inlineStr"/>
      <c r="Z1115" s="6" t="inlineStr"/>
      <c r="AA1115" s="5" t="inlineStr"/>
      <c r="AB1115" s="5" t="inlineStr"/>
      <c r="AC1115" s="5" t="inlineStr"/>
      <c r="AD1115" s="5" t="inlineStr"/>
      <c r="AE1115" s="5" t="inlineStr"/>
      <c r="AF1115" s="5" t="inlineStr"/>
      <c r="AG1115" s="5" t="inlineStr"/>
      <c r="AH1115" s="5" t="inlineStr"/>
      <c r="AI1115" s="5" t="inlineStr"/>
      <c r="AJ1115" s="5" t="inlineStr"/>
    </row>
    <row r="1116">
      <c r="A1116" s="5" t="inlineStr">
        <is>
          <t>b9-torunun-tableti</t>
        </is>
      </c>
      <c r="B1116" s="5" t="n">
        <v>1</v>
      </c>
      <c r="C1116" s="6" t="inlineStr">
        <is>
          <t>Kapat, aç</t>
        </is>
      </c>
      <c r="D1116" s="5" t="inlineStr"/>
      <c r="E1116" s="5" t="inlineStr"/>
      <c r="F1116" s="5" t="inlineStr">
        <is>
          <t>Akıl +1</t>
        </is>
      </c>
      <c r="G1116" s="6" t="inlineStr">
        <is>
          <t>Kapattın, açtın. Tablet çalıştı. Torun seni bilgisayar dahisi sanıyor. Sen de biraz öyle.</t>
        </is>
      </c>
      <c r="H1116" s="6" t="inlineStr"/>
      <c r="I1116" s="6" t="inlineStr"/>
      <c r="J1116" s="6" t="inlineStr"/>
      <c r="K1116" s="6" t="inlineStr"/>
      <c r="L1116" s="6" t="inlineStr"/>
      <c r="M1116" s="5" t="inlineStr"/>
      <c r="N1116" s="5" t="inlineStr"/>
      <c r="O1116" s="6" t="inlineStr"/>
      <c r="P1116" s="6" t="inlineStr"/>
      <c r="Q1116" s="5" t="inlineStr"/>
      <c r="R1116" s="5" t="inlineStr"/>
      <c r="S1116" s="5" t="inlineStr"/>
      <c r="T1116" s="5" t="inlineStr"/>
      <c r="U1116" s="5" t="inlineStr"/>
      <c r="V1116" s="5" t="inlineStr"/>
      <c r="W1116" s="5" t="inlineStr"/>
      <c r="X1116" s="5" t="inlineStr"/>
      <c r="Y1116" s="5" t="inlineStr"/>
      <c r="Z1116" s="6" t="inlineStr"/>
      <c r="AA1116" s="5" t="inlineStr"/>
      <c r="AB1116" s="5" t="inlineStr"/>
      <c r="AC1116" s="5" t="inlineStr"/>
      <c r="AD1116" s="5" t="inlineStr"/>
      <c r="AE1116" s="5" t="inlineStr"/>
      <c r="AF1116" s="5" t="inlineStr"/>
      <c r="AG1116" s="5" t="inlineStr"/>
      <c r="AH1116" s="5" t="inlineStr"/>
      <c r="AI1116" s="5" t="inlineStr"/>
      <c r="AJ1116" s="5" t="inlineStr"/>
    </row>
    <row r="1117">
      <c r="A1117" s="5" t="inlineStr">
        <is>
          <t>b9-torunun-tableti</t>
        </is>
      </c>
      <c r="B1117" s="5" t="n">
        <v>2</v>
      </c>
      <c r="C1117" s="6" t="inlineStr">
        <is>
          <t>Oyunu sen oyna</t>
        </is>
      </c>
      <c r="D1117" s="5" t="inlineStr">
        <is>
          <t>Dayanıklılık</t>
        </is>
      </c>
      <c r="E1117" s="5" t="inlineStr">
        <is>
          <t>Orta</t>
        </is>
      </c>
      <c r="F1117" s="5" t="inlineStr"/>
      <c r="G1117" s="6" t="inlineStr"/>
      <c r="H1117" s="6" t="inlineStr">
        <is>
          <t>Oyunu oynadın ve üçüncü seviyeye geçtin. Torun şifreyi değil, seni istiyor artık.</t>
        </is>
      </c>
      <c r="I1117" s="6" t="inlineStr">
        <is>
          <t>Oyunda torununun rekorunu kırdın. Torun kıskandı. Aile grubunda 'Uzman' unvanı verildi.</t>
        </is>
      </c>
      <c r="J1117" s="6" t="inlineStr">
        <is>
          <t>Oyunu oynadın ve üç saat sonra kafayı kaldırdın. Tablet hâlâ bozuk; sen bağımlı.</t>
        </is>
      </c>
      <c r="K1117" s="6" t="inlineStr">
        <is>
          <t>Oyunu oynarken bir düğmeye bastın; tablet 'Teşekkürler!' dedi. Ay sonunda kart ekstresinde 'Altın Kılıç Paketi' yazıyordu. Torun kılıçla çok mutlu; çocuğun değil.</t>
        </is>
      </c>
      <c r="L1117" s="6" t="inlineStr"/>
      <c r="M1117" s="5" t="inlineStr"/>
      <c r="N1117" s="5" t="inlineStr"/>
      <c r="O1117" s="6" t="inlineStr"/>
      <c r="P1117" s="6" t="inlineStr"/>
      <c r="Q1117" s="5" t="inlineStr">
        <is>
          <t>Şifreyi Bilen</t>
        </is>
      </c>
      <c r="R1117" s="5" t="inlineStr"/>
      <c r="S1117" s="5" t="inlineStr"/>
      <c r="T1117" s="5" t="inlineStr"/>
      <c r="U1117" s="5" t="inlineStr"/>
      <c r="V1117" s="5" t="inlineStr"/>
      <c r="W1117" s="5" t="inlineStr"/>
      <c r="X1117" s="5" t="inlineStr"/>
      <c r="Y1117" s="5" t="inlineStr"/>
      <c r="Z1117" s="6" t="inlineStr"/>
      <c r="AA1117" s="5" t="inlineStr"/>
      <c r="AB1117" s="5" t="inlineStr"/>
      <c r="AC1117" s="5" t="inlineStr"/>
      <c r="AD1117" s="5" t="inlineStr"/>
      <c r="AE1117" s="5" t="inlineStr"/>
      <c r="AF1117" s="5" t="inlineStr"/>
      <c r="AG1117" s="5" t="inlineStr"/>
      <c r="AH1117" s="5" t="inlineStr"/>
      <c r="AI1117" s="5" t="inlineStr"/>
      <c r="AJ1117" s="5" t="inlineStr"/>
    </row>
    <row r="1118">
      <c r="A1118" s="5" t="inlineStr">
        <is>
          <t>b9-torunun-tableti</t>
        </is>
      </c>
      <c r="B1118" s="5" t="n">
        <v>3</v>
      </c>
      <c r="C1118" s="6" t="inlineStr">
        <is>
          <t>Çocuğunu ara</t>
        </is>
      </c>
      <c r="D1118" s="5" t="inlineStr">
        <is>
          <t>Çene</t>
        </is>
      </c>
      <c r="E1118" s="5" t="inlineStr">
        <is>
          <t>Kolay</t>
        </is>
      </c>
      <c r="F1118" s="5" t="inlineStr"/>
      <c r="G1118" s="6" t="inlineStr"/>
      <c r="H1118" s="6" t="inlineStr">
        <is>
          <t>Çocuğun telefonla tamir etti. Sen sadece tuşlara bastın. Torun ise seni hâlâ kahraman sanıyor.</t>
        </is>
      </c>
      <c r="I1118" s="6" t="inlineStr">
        <is>
          <t>Çocuğun uzaktan bağlanıp tableti düzeltti, senin telefonunu da güncelledi. Torun yalnızca seni alkışladı; tuşa sen basmıştın.</t>
        </is>
      </c>
      <c r="J1118" s="6" t="inlineStr">
        <is>
          <t>Çocuğunu aradın; toplantıdaymış. Mesaj attı: 'Kapat, aç.' Zaten bunu denemiştin.</t>
        </is>
      </c>
      <c r="K1118" s="6" t="inlineStr">
        <is>
          <t>Çocuğunu aradın; hoparlör açıktı, torun da kayıttaydı. 'Kapat aç dedim, kapat aç!' diye bağırışın şimdi torunun bütün sınıfının zil sesi.</t>
        </is>
      </c>
      <c r="L1118" s="6" t="inlineStr"/>
      <c r="M1118" s="5" t="inlineStr"/>
      <c r="N1118" s="5" t="inlineStr"/>
      <c r="O1118" s="6" t="inlineStr"/>
      <c r="P1118" s="6" t="inlineStr"/>
      <c r="Q1118" s="5" t="inlineStr"/>
      <c r="R1118" s="5" t="inlineStr"/>
      <c r="S1118" s="5" t="inlineStr"/>
      <c r="T1118" s="5" t="inlineStr"/>
      <c r="U1118" s="5" t="inlineStr"/>
      <c r="V1118" s="5" t="inlineStr"/>
      <c r="W1118" s="5" t="inlineStr"/>
      <c r="X1118" s="5" t="inlineStr"/>
      <c r="Y1118" s="5" t="inlineStr"/>
      <c r="Z1118" s="6" t="inlineStr"/>
      <c r="AA1118" s="5" t="inlineStr"/>
      <c r="AB1118" s="5" t="inlineStr"/>
      <c r="AC1118" s="5" t="inlineStr"/>
      <c r="AD1118" s="5" t="inlineStr"/>
      <c r="AE1118" s="5" t="inlineStr"/>
      <c r="AF1118" s="5" t="inlineStr"/>
      <c r="AG1118" s="5" t="inlineStr"/>
      <c r="AH1118" s="5" t="inlineStr"/>
      <c r="AI1118" s="5" t="inlineStr"/>
      <c r="AJ1118" s="5" t="inlineStr"/>
    </row>
    <row r="1119">
      <c r="A1119" s="5" t="inlineStr">
        <is>
          <t>mm-eski-daire</t>
        </is>
      </c>
      <c r="B1119" s="5" t="n">
        <v>1</v>
      </c>
      <c r="C1119" s="6" t="inlineStr">
        <is>
          <t>Yarın gel</t>
        </is>
      </c>
      <c r="D1119" s="5" t="inlineStr"/>
      <c r="E1119" s="5" t="inlineStr"/>
      <c r="F1119" s="5" t="inlineStr">
        <is>
          <t>Dayanıklılık +1, İtibar +1</t>
        </is>
      </c>
      <c r="G1119" s="6" t="inlineStr">
        <is>
          <t>Ertesi gün geldin, işin bitti. Otuz yıl sistemi savundun; sistem de seni bir gün bekletti. Adil.</t>
        </is>
      </c>
      <c r="H1119" s="6" t="inlineStr"/>
      <c r="I1119" s="6" t="inlineStr"/>
      <c r="J1119" s="6" t="inlineStr"/>
      <c r="K1119" s="6" t="inlineStr"/>
      <c r="L1119" s="6" t="inlineStr"/>
      <c r="M1119" s="5" t="inlineStr"/>
      <c r="N1119" s="5" t="inlineStr"/>
      <c r="O1119" s="6" t="inlineStr"/>
      <c r="P1119" s="6" t="inlineStr"/>
      <c r="Q1119" s="5" t="inlineStr"/>
      <c r="R1119" s="5" t="inlineStr"/>
      <c r="S1119" s="5" t="inlineStr"/>
      <c r="T1119" s="5" t="inlineStr"/>
      <c r="U1119" s="5" t="inlineStr"/>
      <c r="V1119" s="5" t="inlineStr"/>
      <c r="W1119" s="5" t="inlineStr"/>
      <c r="X1119" s="5" t="inlineStr"/>
      <c r="Y1119" s="5" t="inlineStr"/>
      <c r="Z1119" s="6" t="inlineStr"/>
      <c r="AA1119" s="5" t="inlineStr"/>
      <c r="AB1119" s="5" t="inlineStr"/>
      <c r="AC1119" s="5" t="inlineStr"/>
      <c r="AD1119" s="5" t="inlineStr"/>
      <c r="AE1119" s="5" t="inlineStr"/>
      <c r="AF1119" s="5" t="inlineStr"/>
      <c r="AG1119" s="5" t="inlineStr"/>
      <c r="AH1119" s="5" t="inlineStr"/>
      <c r="AI1119" s="5" t="inlineStr"/>
      <c r="AJ1119" s="5" t="inlineStr"/>
    </row>
    <row r="1120">
      <c r="A1120" s="5" t="inlineStr">
        <is>
          <t>mm-eski-daire</t>
        </is>
      </c>
      <c r="B1120" s="5" t="n">
        <v>2</v>
      </c>
      <c r="C1120" s="6" t="inlineStr">
        <is>
          <t>Eski masana geç, işini kendin yap</t>
        </is>
      </c>
      <c r="D1120" s="5" t="inlineStr">
        <is>
          <t>Pişkinlik</t>
        </is>
      </c>
      <c r="E1120" s="5" t="inlineStr">
        <is>
          <t>Zor</t>
        </is>
      </c>
      <c r="F1120" s="5" t="inlineStr"/>
      <c r="G1120" s="6" t="inlineStr"/>
      <c r="H1120" s="6" t="inlineStr">
        <is>
          <t>Kendi dosyanı kendin imzaladın. Kimse itiraz etmedi; herkes hâlâ senden çekiniyor.</t>
        </is>
      </c>
      <c r="I1120" s="6" t="inlineStr">
        <is>
          <t>Kendi işini ve sıradaki üç vatandaşın işini bitirdin. Kuyruktaki teyze elini öpmeye kalktı; müdür kapıdan seslendi: 'Hocam, yarın da gelir misiniz?' Gülümsedin: 'Yarın gelin.'</t>
        </is>
      </c>
      <c r="J1120" s="6" t="inlineStr">
        <is>
          <t>Şifren iptal edilmiş. Sistem seni tanımadı; kahve makinesi tanıdı.</t>
        </is>
      </c>
      <c r="K1120" s="6" t="inlineStr">
        <is>
          <t>Güvenlik seni kolundan tutup nazikçe dışarı çıkardı; o güvenliği işe sen almıştın. Kapıda 'Kusura bakmayın hocam' dedi, tutanağı yine de imzalattı.</t>
        </is>
      </c>
      <c r="L1120" s="6" t="inlineStr"/>
      <c r="M1120" s="5" t="inlineStr"/>
      <c r="N1120" s="5" t="inlineStr"/>
      <c r="O1120" s="6" t="inlineStr"/>
      <c r="P1120" s="6" t="inlineStr"/>
      <c r="Q1120" s="5" t="inlineStr"/>
      <c r="R1120" s="5" t="inlineStr"/>
      <c r="S1120" s="5" t="inlineStr"/>
      <c r="T1120" s="5" t="inlineStr"/>
      <c r="U1120" s="5" t="inlineStr"/>
      <c r="V1120" s="5" t="inlineStr"/>
      <c r="W1120" s="5" t="inlineStr"/>
      <c r="X1120" s="5" t="inlineStr"/>
      <c r="Y1120" s="5" t="inlineStr"/>
      <c r="Z1120" s="6" t="inlineStr"/>
      <c r="AA1120" s="5" t="inlineStr"/>
      <c r="AB1120" s="5" t="inlineStr"/>
      <c r="AC1120" s="5" t="inlineStr"/>
      <c r="AD1120" s="5" t="inlineStr"/>
      <c r="AE1120" s="5" t="inlineStr"/>
      <c r="AF1120" s="5" t="inlineStr"/>
      <c r="AG1120" s="5" t="inlineStr"/>
      <c r="AH1120" s="5" t="inlineStr"/>
      <c r="AI1120" s="5" t="inlineStr"/>
      <c r="AJ1120" s="5" t="inlineStr"/>
    </row>
    <row r="1121">
      <c r="A1121" s="5" t="inlineStr">
        <is>
          <t>mm-eski-daire</t>
        </is>
      </c>
      <c r="B1121" s="5" t="n">
        <v>3</v>
      </c>
      <c r="C1121" s="6" t="inlineStr">
        <is>
          <t>Dairenin karşısına kafeni aç</t>
        </is>
      </c>
      <c r="D1121" s="5" t="inlineStr">
        <is>
          <t>Çene</t>
        </is>
      </c>
      <c r="E1121" s="5" t="inlineStr">
        <is>
          <t>Orta</t>
        </is>
      </c>
      <c r="F1121" s="5" t="inlineStr"/>
      <c r="G1121" s="6" t="inlineStr"/>
      <c r="H1121" s="6" t="inlineStr">
        <is>
          <t>Memurlara indirim var, 'Yarın gelin' diyenlere çay bedava.</t>
        </is>
      </c>
      <c r="I1121" s="6" t="inlineStr">
        <is>
          <t>Kafen dairenin gayriresmî toplantı salonu oldu. Önemli kararlar artık senin masalarında alınıyor.</t>
        </is>
      </c>
      <c r="J1121" s="6" t="inlineStr">
        <is>
          <t>Mesai 17.00'de bitiyor; müşteriler 17.01'de geliyor, 17.30'da gidiyor. Ciron yarım saatlik.</t>
        </is>
      </c>
      <c r="K1121" s="6" t="inlineStr">
        <is>
          <t>İlk müşterin zabıta oldu. Tabelanın boyu, kaldırım ve tentenin gölgesi ölçüldü. Gölge yönetmeliğe uymuyordu.</t>
        </is>
      </c>
      <c r="L1121" s="6" t="inlineStr"/>
      <c r="M1121" s="5" t="inlineStr"/>
      <c r="N1121" s="5" t="inlineStr"/>
      <c r="O1121" s="6" t="inlineStr"/>
      <c r="P1121" s="6" t="inlineStr"/>
      <c r="Q1121" s="5" t="inlineStr"/>
      <c r="R1121" s="5" t="inlineStr">
        <is>
          <t>memur-ikinci-is</t>
        </is>
      </c>
      <c r="S1121" s="5" t="inlineStr"/>
      <c r="T1121" s="5" t="inlineStr"/>
      <c r="U1121" s="5" t="inlineStr"/>
      <c r="V1121" s="5" t="inlineStr"/>
      <c r="W1121" s="5" t="inlineStr"/>
      <c r="X1121" s="5" t="inlineStr"/>
      <c r="Y1121" s="5" t="inlineStr"/>
      <c r="Z1121" s="6" t="inlineStr"/>
      <c r="AA1121" s="5" t="inlineStr"/>
      <c r="AB1121" s="5" t="inlineStr"/>
      <c r="AC1121" s="5" t="inlineStr"/>
      <c r="AD1121" s="5" t="inlineStr"/>
      <c r="AE1121" s="5" t="inlineStr"/>
      <c r="AF1121" s="5" t="inlineStr"/>
      <c r="AG1121" s="5" t="inlineStr"/>
      <c r="AH1121" s="5" t="inlineStr"/>
      <c r="AI1121" s="5" t="inlineStr"/>
      <c r="AJ1121" s="5" t="inlineStr"/>
    </row>
    <row r="1122">
      <c r="A1122" s="5" t="inlineStr">
        <is>
          <t>mm-eski-daire</t>
        </is>
      </c>
      <c r="B1122" s="5" t="n">
        <v>4</v>
      </c>
      <c r="C1122" s="6" t="inlineStr">
        <is>
          <t>Genç memura bir ipucu fısılda</t>
        </is>
      </c>
      <c r="D1122" s="5" t="inlineStr">
        <is>
          <t>Sosyal Radar</t>
        </is>
      </c>
      <c r="E1122" s="5" t="inlineStr">
        <is>
          <t>Kolay</t>
        </is>
      </c>
      <c r="F1122" s="5" t="inlineStr"/>
      <c r="G1122" s="6" t="inlineStr"/>
      <c r="H1122" s="6" t="inlineStr">
        <is>
          <t>'Üçüncü çekmecede kaşe var' dedin. İşin beş dakikada bitti.</t>
        </is>
      </c>
      <c r="I1122" s="6" t="inlineStr">
        <is>
          <t>İpucun o kadar işe yaradı ki genç memur senin telefon numaranı masasına yapıştırdı: 'Acil durumlar için.'</t>
        </is>
      </c>
      <c r="J1122" s="6" t="inlineStr">
        <is>
          <t>Genç memur 'Artık kaşe kullanmıyoruz' dedi. Üçüncü çekmece boştu.</t>
        </is>
      </c>
      <c r="K1122" s="6" t="inlineStr">
        <is>
          <t>Fısıltın yanlış anlaşıldı. Genç memur seni şikâyet etti: 'Görevliyi etkilemeye çalışan vatandaş.'</t>
        </is>
      </c>
      <c r="L1122" s="6" t="inlineStr"/>
      <c r="M1122" s="5" t="inlineStr"/>
      <c r="N1122" s="5" t="inlineStr"/>
      <c r="O1122" s="6" t="inlineStr"/>
      <c r="P1122" s="6" t="inlineStr"/>
      <c r="Q1122" s="5" t="inlineStr"/>
      <c r="R1122" s="5" t="inlineStr"/>
      <c r="S1122" s="5" t="inlineStr"/>
      <c r="T1122" s="5" t="inlineStr"/>
      <c r="U1122" s="5" t="inlineStr"/>
      <c r="V1122" s="5" t="inlineStr"/>
      <c r="W1122" s="5" t="inlineStr"/>
      <c r="X1122" s="5" t="inlineStr"/>
      <c r="Y1122" s="5" t="inlineStr"/>
      <c r="Z1122" s="6" t="inlineStr"/>
      <c r="AA1122" s="5" t="inlineStr"/>
      <c r="AB1122" s="5" t="inlineStr"/>
      <c r="AC1122" s="5" t="inlineStr"/>
      <c r="AD1122" s="5" t="inlineStr"/>
      <c r="AE1122" s="5" t="inlineStr"/>
      <c r="AF1122" s="5" t="inlineStr"/>
      <c r="AG1122" s="5" t="inlineStr"/>
      <c r="AH1122" s="5" t="inlineStr"/>
      <c r="AI1122" s="5" t="inlineStr"/>
      <c r="AJ1122" s="5" t="inlineStr"/>
    </row>
    <row r="1123">
      <c r="A1123" s="5" t="inlineStr">
        <is>
          <t>b9-yazlik-komsulari</t>
        </is>
      </c>
      <c r="B1123" s="5" t="n">
        <v>1</v>
      </c>
      <c r="C1123" s="6" t="inlineStr">
        <is>
          <t>Hortumu kapat</t>
        </is>
      </c>
      <c r="D1123" s="5" t="inlineStr"/>
      <c r="E1123" s="5" t="inlineStr"/>
      <c r="F1123" s="5" t="inlineStr">
        <is>
          <t>İtibar +1</t>
        </is>
      </c>
      <c r="G1123" s="6" t="inlineStr">
        <is>
          <t>Hortumu kapattın. Çiçeklerin kurudu. Komşunun çiçekleri ise senin bahçene sarktı.</t>
        </is>
      </c>
      <c r="H1123" s="6" t="inlineStr"/>
      <c r="I1123" s="6" t="inlineStr"/>
      <c r="J1123" s="6" t="inlineStr"/>
      <c r="K1123" s="6" t="inlineStr"/>
      <c r="L1123" s="6" t="inlineStr"/>
      <c r="M1123" s="5" t="inlineStr"/>
      <c r="N1123" s="5" t="inlineStr"/>
      <c r="O1123" s="6" t="inlineStr"/>
      <c r="P1123" s="6" t="inlineStr"/>
      <c r="Q1123" s="5" t="inlineStr"/>
      <c r="R1123" s="5" t="inlineStr"/>
      <c r="S1123" s="5" t="inlineStr"/>
      <c r="T1123" s="5" t="inlineStr"/>
      <c r="U1123" s="5" t="inlineStr"/>
      <c r="V1123" s="5" t="inlineStr"/>
      <c r="W1123" s="5" t="inlineStr"/>
      <c r="X1123" s="5" t="inlineStr"/>
      <c r="Y1123" s="5" t="inlineStr"/>
      <c r="Z1123" s="6" t="inlineStr"/>
      <c r="AA1123" s="5" t="inlineStr"/>
      <c r="AB1123" s="5" t="inlineStr"/>
      <c r="AC1123" s="5" t="inlineStr"/>
      <c r="AD1123" s="5" t="inlineStr"/>
      <c r="AE1123" s="5" t="inlineStr"/>
      <c r="AF1123" s="5" t="inlineStr"/>
      <c r="AG1123" s="5" t="inlineStr"/>
      <c r="AH1123" s="5" t="inlineStr"/>
      <c r="AI1123" s="5" t="inlineStr"/>
      <c r="AJ1123" s="5" t="inlineStr"/>
    </row>
    <row r="1124">
      <c r="A1124" s="5" t="inlineStr">
        <is>
          <t>b9-yazlik-komsulari</t>
        </is>
      </c>
      <c r="B1124" s="5" t="n">
        <v>2</v>
      </c>
      <c r="C1124" s="6" t="inlineStr">
        <is>
          <t>Tartışmayı akşam yemeğine taşı</t>
        </is>
      </c>
      <c r="D1124" s="5" t="inlineStr">
        <is>
          <t>Çene</t>
        </is>
      </c>
      <c r="E1124" s="5" t="inlineStr">
        <is>
          <t>Orta</t>
        </is>
      </c>
      <c r="F1124" s="5" t="inlineStr"/>
      <c r="G1124" s="6" t="inlineStr"/>
      <c r="H1124" s="6" t="inlineStr">
        <is>
          <t>Mangal yaktın, herkesi davet ettin. Hortum meselesi köfteyle çözüldü.</t>
        </is>
      </c>
      <c r="I1124" s="6" t="inlineStr">
        <is>
          <t>Yemek o kadar güzeldi ki site yöneticisi hortum yönetmeliğini sana yazdırdı. Kanun senin.</t>
        </is>
      </c>
      <c r="J1124" s="6" t="inlineStr">
        <is>
          <t>Herkesi davet ettin; mangal tüttü, duman yan komşunun çamaşırlarına gitti. Konu hortumdan çamaşıra geçti.</t>
        </is>
      </c>
      <c r="K1124" s="6" t="inlineStr">
        <is>
          <t>Yemeğe herkes geldi, tartışma da. Tatlıya geçmeden yan komşu hortumu çekip mangalın üstüne açtı. Köfteler yüzdü.</t>
        </is>
      </c>
      <c r="L1124" s="6" t="inlineStr"/>
      <c r="M1124" s="5" t="inlineStr"/>
      <c r="N1124" s="5" t="inlineStr"/>
      <c r="O1124" s="6" t="inlineStr"/>
      <c r="P1124" s="6" t="inlineStr"/>
      <c r="Q1124" s="5" t="inlineStr"/>
      <c r="R1124" s="5" t="inlineStr"/>
      <c r="S1124" s="5" t="inlineStr"/>
      <c r="T1124" s="5" t="inlineStr"/>
      <c r="U1124" s="5" t="inlineStr"/>
      <c r="V1124" s="5" t="inlineStr"/>
      <c r="W1124" s="5" t="inlineStr"/>
      <c r="X1124" s="5" t="inlineStr"/>
      <c r="Y1124" s="5" t="inlineStr"/>
      <c r="Z1124" s="6" t="inlineStr"/>
      <c r="AA1124" s="5" t="inlineStr"/>
      <c r="AB1124" s="5" t="inlineStr"/>
      <c r="AC1124" s="5" t="inlineStr"/>
      <c r="AD1124" s="5" t="inlineStr"/>
      <c r="AE1124" s="5" t="inlineStr"/>
      <c r="AF1124" s="5" t="inlineStr"/>
      <c r="AG1124" s="5" t="inlineStr"/>
      <c r="AH1124" s="5" t="inlineStr"/>
      <c r="AI1124" s="5" t="inlineStr"/>
      <c r="AJ1124" s="5" t="inlineStr"/>
    </row>
    <row r="1125">
      <c r="A1125" s="5" t="inlineStr">
        <is>
          <t>b9-yazlik-komsulari</t>
        </is>
      </c>
      <c r="B1125" s="5" t="n">
        <v>3</v>
      </c>
      <c r="C1125" s="6" t="inlineStr">
        <is>
          <t>Site yöneticisinin kayınbiraderi olduğunu hatırlat</t>
        </is>
      </c>
      <c r="D1125" s="5" t="inlineStr">
        <is>
          <t>Sosyal Radar</t>
        </is>
      </c>
      <c r="E1125" s="5" t="inlineStr">
        <is>
          <t>Zor</t>
        </is>
      </c>
      <c r="F1125" s="5" t="inlineStr"/>
      <c r="G1125" s="6" t="inlineStr"/>
      <c r="H1125" s="6" t="inlineStr">
        <is>
          <t>Hatırlattın. Yönetici kızardı, komşu sessizleşti. Hortumun serbest bırakıldı.</t>
        </is>
      </c>
      <c r="I1125" s="6" t="inlineStr">
        <is>
          <t>Hatırlattın ve siteye 'akrabalık beyannamesi' zorunluluğu getirildi. Ertesi sezon herkes sana selam veriyor.</t>
        </is>
      </c>
      <c r="J1125" s="6" t="inlineStr">
        <is>
          <t>Hatırlattın; yönetici 'Evet, biliyorsunuz işte' dedi. Bilgi zaten herkesin elindeymiş.</t>
        </is>
      </c>
      <c r="K1125" s="6" t="inlineStr">
        <is>
          <t>Hatırlattın; asıl kayınbiraderin üst komşu olduğu ortaya çıktı. Artık iki komşuyla birden aran bozuk.</t>
        </is>
      </c>
      <c r="L1125" s="6" t="inlineStr"/>
      <c r="M1125" s="5" t="inlineStr"/>
      <c r="N1125" s="5" t="inlineStr"/>
      <c r="O1125" s="6" t="inlineStr"/>
      <c r="P1125" s="6" t="inlineStr"/>
      <c r="Q1125" s="5" t="inlineStr">
        <is>
          <t>Odayı Okur</t>
        </is>
      </c>
      <c r="R1125" s="5" t="inlineStr"/>
      <c r="S1125" s="5" t="inlineStr"/>
      <c r="T1125" s="5" t="inlineStr"/>
      <c r="U1125" s="5" t="inlineStr"/>
      <c r="V1125" s="5" t="inlineStr"/>
      <c r="W1125" s="5" t="inlineStr"/>
      <c r="X1125" s="5" t="inlineStr"/>
      <c r="Y1125" s="5" t="inlineStr"/>
      <c r="Z1125" s="6" t="inlineStr"/>
      <c r="AA1125" s="5" t="inlineStr"/>
      <c r="AB1125" s="5" t="inlineStr"/>
      <c r="AC1125" s="5" t="inlineStr"/>
      <c r="AD1125" s="5" t="inlineStr"/>
      <c r="AE1125" s="5" t="inlineStr"/>
      <c r="AF1125" s="5" t="inlineStr"/>
      <c r="AG1125" s="5" t="inlineStr"/>
      <c r="AH1125" s="5" t="inlineStr"/>
      <c r="AI1125" s="5" t="inlineStr"/>
      <c r="AJ1125" s="5" t="inlineStr"/>
    </row>
    <row r="1126">
      <c r="A1126" s="5" t="inlineStr">
        <is>
          <t>b9-ikinci-kariyer</t>
        </is>
      </c>
      <c r="B1126" s="5" t="n">
        <v>1</v>
      </c>
      <c r="C1126" s="6" t="inlineStr">
        <is>
          <t>Kabul et</t>
        </is>
      </c>
      <c r="D1126" s="5" t="inlineStr"/>
      <c r="E1126" s="5" t="inlineStr"/>
      <c r="F1126" s="5" t="inlineStr">
        <is>
          <t>Dayanıklılık +1</t>
        </is>
      </c>
      <c r="G1126" s="6" t="inlineStr">
        <is>
          <t>Kabul ettin. Sabah yedide yine servis bekliyorsun; yanında senin gibi üç emekli. Hiçbiriniz 'emekli' kelimesini kullanmıyorsunuz.</t>
        </is>
      </c>
      <c r="H1126" s="6" t="inlineStr"/>
      <c r="I1126" s="6" t="inlineStr"/>
      <c r="J1126" s="6" t="inlineStr"/>
      <c r="K1126" s="6" t="inlineStr"/>
      <c r="L1126" s="6" t="inlineStr"/>
      <c r="M1126" s="5" t="inlineStr"/>
      <c r="N1126" s="5" t="inlineStr"/>
      <c r="O1126" s="6" t="inlineStr"/>
      <c r="P1126" s="6" t="inlineStr"/>
      <c r="Q1126" s="5" t="inlineStr"/>
      <c r="R1126" s="5" t="inlineStr"/>
      <c r="S1126" s="5" t="inlineStr"/>
      <c r="T1126" s="5" t="inlineStr"/>
      <c r="U1126" s="5" t="inlineStr"/>
      <c r="V1126" s="5" t="inlineStr"/>
      <c r="W1126" s="5" t="inlineStr"/>
      <c r="X1126" s="5" t="inlineStr"/>
      <c r="Y1126" s="5" t="inlineStr"/>
      <c r="Z1126" s="6" t="inlineStr"/>
      <c r="AA1126" s="5" t="inlineStr"/>
      <c r="AB1126" s="5" t="inlineStr"/>
      <c r="AC1126" s="5" t="inlineStr"/>
      <c r="AD1126" s="5" t="inlineStr"/>
      <c r="AE1126" s="5" t="inlineStr"/>
      <c r="AF1126" s="5" t="inlineStr"/>
      <c r="AG1126" s="5" t="inlineStr"/>
      <c r="AH1126" s="5" t="inlineStr"/>
      <c r="AI1126" s="5" t="inlineStr"/>
      <c r="AJ1126" s="5" t="inlineStr"/>
    </row>
    <row r="1127">
      <c r="A1127" s="5" t="inlineStr">
        <is>
          <t>b9-ikinci-kariyer</t>
        </is>
      </c>
      <c r="B1127" s="5" t="n">
        <v>2</v>
      </c>
      <c r="C1127" s="6" t="inlineStr">
        <is>
          <t>Kendi işini aç</t>
        </is>
      </c>
      <c r="D1127" s="5" t="inlineStr">
        <is>
          <t>Cesaret</t>
        </is>
      </c>
      <c r="E1127" s="5" t="inlineStr">
        <is>
          <t>Zor</t>
        </is>
      </c>
      <c r="F1127" s="5" t="inlineStr"/>
      <c r="G1127" s="6" t="inlineStr"/>
      <c r="H1127" s="6" t="inlineStr">
        <is>
          <t>Kendi dükkânını açtın. Tabelaya 'Tecrübe' yazdın. Tecrübe satılmıyor ama müşteriler oturup konuşuyor.</t>
        </is>
      </c>
      <c r="I1127" s="6" t="inlineStr">
        <is>
          <t>Dükkân tuttu. Gençler sana iş başvurusu yapıyor. İlk sorun: 'Emekli olmayı düşünüyor musunuz?'</t>
        </is>
      </c>
      <c r="J1127" s="6" t="inlineStr">
        <is>
          <t>Dükkânı açtın, ilk ay tek müşteri geldi: eski iş yerindeki yöneticin. O da emekli olmuş.</t>
        </is>
      </c>
      <c r="K1127" s="6" t="inlineStr">
        <is>
          <t>Dükkânı açtın ama belediye ruhsatını unutmuşsun. Kapıda tabela değil, bir tutanak asılı.</t>
        </is>
      </c>
      <c r="L1127" s="6" t="inlineStr"/>
      <c r="M1127" s="5" t="inlineStr"/>
      <c r="N1127" s="5" t="inlineStr"/>
      <c r="O1127" s="6" t="inlineStr"/>
      <c r="P1127" s="6" t="inlineStr"/>
      <c r="Q1127" s="5" t="inlineStr">
        <is>
          <t>Sofra Müteahhidi</t>
        </is>
      </c>
      <c r="R1127" s="5" t="inlineStr"/>
      <c r="S1127" s="5" t="inlineStr"/>
      <c r="T1127" s="5" t="inlineStr"/>
      <c r="U1127" s="5" t="inlineStr"/>
      <c r="V1127" s="5" t="inlineStr"/>
      <c r="W1127" s="5" t="inlineStr"/>
      <c r="X1127" s="5" t="inlineStr"/>
      <c r="Y1127" s="5" t="inlineStr"/>
      <c r="Z1127" s="6" t="inlineStr"/>
      <c r="AA1127" s="5" t="inlineStr"/>
      <c r="AB1127" s="5" t="inlineStr"/>
      <c r="AC1127" s="5" t="inlineStr"/>
      <c r="AD1127" s="5" t="inlineStr"/>
      <c r="AE1127" s="5" t="inlineStr"/>
      <c r="AF1127" s="5" t="inlineStr"/>
      <c r="AG1127" s="5" t="inlineStr"/>
      <c r="AH1127" s="5" t="inlineStr"/>
      <c r="AI1127" s="5" t="inlineStr"/>
      <c r="AJ1127" s="5" t="inlineStr"/>
    </row>
    <row r="1128">
      <c r="A1128" s="5" t="inlineStr">
        <is>
          <t>b9-ikinci-kariyer</t>
        </is>
      </c>
      <c r="B1128" s="5" t="n">
        <v>3</v>
      </c>
      <c r="C1128" s="6" t="inlineStr">
        <is>
          <t>Eski mesleğine dön</t>
        </is>
      </c>
      <c r="D1128" s="5" t="inlineStr">
        <is>
          <t>Kurnazlık</t>
        </is>
      </c>
      <c r="E1128" s="5" t="inlineStr">
        <is>
          <t>Orta</t>
        </is>
      </c>
      <c r="F1128" s="5" t="inlineStr"/>
      <c r="G1128" s="6" t="inlineStr"/>
      <c r="H1128" s="6" t="inlineStr">
        <is>
          <t>Eski dükkânına döndün. Çırak sana 'Usta' dedi. Kendini hiç bu kadar önemli hissetmemiştin.</t>
        </is>
      </c>
      <c r="I1128" s="6" t="inlineStr">
        <is>
          <t>Döndün; ilk hafta ciro arttı. Çırak kasanın yanına senin eski tabureni geri koydu, üstüne bir de minder ekledi.</t>
        </is>
      </c>
      <c r="J1128" s="6" t="inlineStr">
        <is>
          <t>Döndün. Kasa artık dokunmatik. Kasayı çırak açıyor, sen çayı getiriyorsun.</t>
        </is>
      </c>
      <c r="K1128" s="6" t="inlineStr">
        <is>
          <t>Döndün ve eski müşterilerin seni tanımadı. Kendi dükkânında sana 'Buyrun, ne istemiştiniz?' dediler.</t>
        </is>
      </c>
      <c r="L1128" s="6" t="inlineStr"/>
      <c r="M1128" s="5" t="inlineStr"/>
      <c r="N1128" s="5" t="inlineStr"/>
      <c r="O1128" s="6" t="inlineStr"/>
      <c r="P1128" s="6" t="inlineStr"/>
      <c r="Q1128" s="5" t="inlineStr"/>
      <c r="R1128" s="5" t="inlineStr">
        <is>
          <t>meslek-esnaf</t>
        </is>
      </c>
      <c r="S1128" s="5" t="inlineStr"/>
      <c r="T1128" s="5" t="inlineStr"/>
      <c r="U1128" s="5" t="inlineStr"/>
      <c r="V1128" s="5" t="inlineStr"/>
      <c r="W1128" s="5" t="inlineStr"/>
      <c r="X1128" s="5" t="inlineStr"/>
      <c r="Y1128" s="5" t="inlineStr"/>
      <c r="Z1128" s="6" t="inlineStr"/>
      <c r="AA1128" s="5" t="inlineStr"/>
      <c r="AB1128" s="5" t="inlineStr"/>
      <c r="AC1128" s="5" t="inlineStr"/>
      <c r="AD1128" s="5" t="inlineStr"/>
      <c r="AE1128" s="5" t="inlineStr"/>
      <c r="AF1128" s="5" t="inlineStr"/>
      <c r="AG1128" s="5" t="inlineStr"/>
      <c r="AH1128" s="5" t="inlineStr"/>
      <c r="AI1128" s="5" t="inlineStr"/>
      <c r="AJ1128" s="5" t="inlineStr"/>
    </row>
    <row r="1129">
      <c r="A1129" s="5" t="inlineStr">
        <is>
          <t>ms-son-perde</t>
        </is>
      </c>
      <c r="B1129" s="5" t="n">
        <v>1</v>
      </c>
      <c r="C1129" s="6" t="inlineStr">
        <is>
          <t>Sahneye çık, perdeyi tam zamanında indir</t>
        </is>
      </c>
      <c r="D1129" s="5" t="inlineStr">
        <is>
          <t>Dayanıklılık</t>
        </is>
      </c>
      <c r="E1129" s="5" t="inlineStr">
        <is>
          <t>Orta</t>
        </is>
      </c>
      <c r="F1129" s="5" t="inlineStr"/>
      <c r="G1129" s="6" t="inlineStr"/>
      <c r="H1129" s="6" t="inlineStr">
        <is>
          <t>Son perde tam zamanında indi. Salon ayağa kalktı. Kırk yılın ilk ayakta alkışı.</t>
        </is>
      </c>
      <c r="I1129" s="6" t="inlineStr">
        <is>
          <t>Perde indiğinde salon susmadı. Ön sıradaki teyze ayağa kalktı, alkışa ilk o başladı. Kırk yıldır 'Gerçek işin ne?' diye soran oydu; bu kez sormadı.</t>
        </is>
      </c>
      <c r="J1129" s="6" t="inlineStr">
        <is>
          <t>Perde biraz erken indi. Son cümle perde arkasında kaldı. Seyirci yine de alkışladı; sen duymadın.</t>
        </is>
      </c>
      <c r="K1129" s="6" t="inlineStr">
        <is>
          <t>Perde geç indi; seyirci iki kez alkışlayıp bekledi. Üçüncüsünde vestiyere gitti.</t>
        </is>
      </c>
      <c r="L1129" s="6" t="inlineStr">
        <is>
          <t>Perde bir saniye geç indi. Kimse fark etmedi. Sen fark ettin. Kırk yıldır olduğu gibi.</t>
        </is>
      </c>
      <c r="M1129" s="5" t="inlineStr">
        <is>
          <t>timing</t>
        </is>
      </c>
      <c r="N1129" s="5" t="inlineStr">
        <is>
          <t>Son Perde</t>
        </is>
      </c>
      <c r="O1129" s="6" t="inlineStr">
        <is>
          <t>İşareti yeşil alanda durdur. Perde tam o anda inecek.</t>
        </is>
      </c>
      <c r="P1129" s="6" t="inlineStr"/>
      <c r="Q1129" s="5" t="inlineStr"/>
      <c r="R1129" s="5" t="inlineStr"/>
      <c r="S1129" s="5" t="inlineStr"/>
      <c r="T1129" s="5" t="inlineStr"/>
      <c r="U1129" s="5" t="inlineStr"/>
      <c r="V1129" s="5" t="inlineStr"/>
      <c r="W1129" s="5" t="inlineStr"/>
      <c r="X1129" s="5" t="inlineStr"/>
      <c r="Y1129" s="5" t="inlineStr"/>
      <c r="Z1129" s="6" t="inlineStr"/>
      <c r="AA1129" s="5" t="inlineStr"/>
      <c r="AB1129" s="5" t="inlineStr"/>
      <c r="AC1129" s="5" t="inlineStr"/>
      <c r="AD1129" s="5" t="inlineStr"/>
      <c r="AE1129" s="5" t="inlineStr"/>
      <c r="AF1129" s="5" t="inlineStr"/>
      <c r="AG1129" s="5" t="inlineStr"/>
      <c r="AH1129" s="5" t="inlineStr"/>
      <c r="AI1129" s="5" t="inlineStr"/>
      <c r="AJ1129" s="5" t="inlineStr"/>
    </row>
    <row r="1130">
      <c r="A1130" s="5" t="inlineStr">
        <is>
          <t>ms-son-perde</t>
        </is>
      </c>
      <c r="B1130" s="5" t="n">
        <v>2</v>
      </c>
      <c r="C1130" s="6" t="inlineStr">
        <is>
          <t>Sahneyi genç birine bırak</t>
        </is>
      </c>
      <c r="D1130" s="5" t="inlineStr"/>
      <c r="E1130" s="5" t="inlineStr"/>
      <c r="F1130" s="5" t="inlineStr">
        <is>
          <t>İtibar +2</t>
        </is>
      </c>
      <c r="G1130" s="6" t="inlineStr">
        <is>
          <t>Son gösteriyi bir öğrencine bıraktın, seyirciler arasından izledin. Ücretini ona peşin ödedin.</t>
        </is>
      </c>
      <c r="H1130" s="6" t="inlineStr"/>
      <c r="I1130" s="6" t="inlineStr"/>
      <c r="J1130" s="6" t="inlineStr"/>
      <c r="K1130" s="6" t="inlineStr"/>
      <c r="L1130" s="6" t="inlineStr"/>
      <c r="M1130" s="5" t="inlineStr"/>
      <c r="N1130" s="5" t="inlineStr"/>
      <c r="O1130" s="6" t="inlineStr"/>
      <c r="P1130" s="6" t="inlineStr"/>
      <c r="Q1130" s="5" t="inlineStr"/>
      <c r="R1130" s="5" t="inlineStr"/>
      <c r="S1130" s="5" t="inlineStr"/>
      <c r="T1130" s="5" t="inlineStr"/>
      <c r="U1130" s="5" t="inlineStr"/>
      <c r="V1130" s="5" t="inlineStr"/>
      <c r="W1130" s="5" t="inlineStr"/>
      <c r="X1130" s="5" t="inlineStr"/>
      <c r="Y1130" s="5" t="inlineStr"/>
      <c r="Z1130" s="6" t="inlineStr"/>
      <c r="AA1130" s="5" t="inlineStr"/>
      <c r="AB1130" s="5" t="inlineStr"/>
      <c r="AC1130" s="5" t="inlineStr"/>
      <c r="AD1130" s="5" t="inlineStr"/>
      <c r="AE1130" s="5" t="inlineStr"/>
      <c r="AF1130" s="5" t="inlineStr"/>
      <c r="AG1130" s="5" t="inlineStr"/>
      <c r="AH1130" s="5" t="inlineStr"/>
      <c r="AI1130" s="5" t="inlineStr"/>
      <c r="AJ1130" s="5" t="inlineStr"/>
    </row>
    <row r="1131">
      <c r="A1131" s="5" t="inlineStr">
        <is>
          <t>ms-son-perde</t>
        </is>
      </c>
      <c r="B1131" s="5" t="n">
        <v>3</v>
      </c>
      <c r="C1131" s="6" t="inlineStr">
        <is>
          <t>O eski viral performansı yeniden yap</t>
        </is>
      </c>
      <c r="D1131" s="5" t="inlineStr">
        <is>
          <t>Pişkinlik</t>
        </is>
      </c>
      <c r="E1131" s="5" t="inlineStr">
        <is>
          <t>Kolay</t>
        </is>
      </c>
      <c r="F1131" s="5" t="inlineStr"/>
      <c r="G1131" s="6" t="inlineStr"/>
      <c r="H1131" s="6" t="inlineStr">
        <is>
          <t>Salonun yarısı eski videoyu ezbere biliyordu. Birlikte yaptınız.</t>
        </is>
      </c>
      <c r="I1131" s="6" t="inlineStr">
        <is>
          <t>Aynı performansı otuz yıl sonra yaptın. Bu kez de viral oldun. Bu kez ücretliydi.</t>
        </is>
      </c>
      <c r="J1131" s="6" t="inlineStr">
        <is>
          <t>Performansı yaptın; gençler bunun bir akıma gönderme olduğunu sandı. Akım sendin.</t>
        </is>
      </c>
      <c r="K1131" s="6" t="inlineStr">
        <is>
          <t>Aynı yerde, aynı şekilde takıldın, aynı şekilde düştün. Bu kez de iki milyon izlendi. Bu kez de ücret yok.</t>
        </is>
      </c>
      <c r="L1131" s="6" t="inlineStr"/>
      <c r="M1131" s="5" t="inlineStr"/>
      <c r="N1131" s="5" t="inlineStr"/>
      <c r="O1131" s="6" t="inlineStr"/>
      <c r="P1131" s="6" t="inlineStr"/>
      <c r="Q1131" s="5" t="inlineStr"/>
      <c r="R1131" s="5" t="inlineStr">
        <is>
          <t>serbest-viral-oldu</t>
        </is>
      </c>
      <c r="S1131" s="5" t="inlineStr"/>
      <c r="T1131" s="5" t="inlineStr"/>
      <c r="U1131" s="5" t="inlineStr"/>
      <c r="V1131" s="5" t="inlineStr"/>
      <c r="W1131" s="5" t="inlineStr"/>
      <c r="X1131" s="5" t="inlineStr"/>
      <c r="Y1131" s="5" t="inlineStr"/>
      <c r="Z1131" s="6" t="inlineStr"/>
      <c r="AA1131" s="5" t="inlineStr"/>
      <c r="AB1131" s="5" t="inlineStr"/>
      <c r="AC1131" s="5" t="inlineStr"/>
      <c r="AD1131" s="5" t="inlineStr"/>
      <c r="AE1131" s="5" t="inlineStr"/>
      <c r="AF1131" s="5" t="inlineStr"/>
      <c r="AG1131" s="5" t="inlineStr"/>
      <c r="AH1131" s="5" t="inlineStr"/>
      <c r="AI1131" s="5" t="inlineStr"/>
      <c r="AJ1131" s="5" t="inlineStr"/>
    </row>
    <row r="1132">
      <c r="A1132" s="5" t="inlineStr">
        <is>
          <t>b9-noter-miras</t>
        </is>
      </c>
      <c r="B1132" s="5" t="n">
        <v>1</v>
      </c>
      <c r="C1132" s="6" t="inlineStr">
        <is>
          <t>Her şeyi eşit böl</t>
        </is>
      </c>
      <c r="D1132" s="5" t="inlineStr"/>
      <c r="E1132" s="5" t="inlineStr"/>
      <c r="F1132" s="5" t="inlineStr">
        <is>
          <t>İtibar +1</t>
        </is>
      </c>
      <c r="G1132" s="6" t="inlineStr">
        <is>
          <t>Her şeyi eşit böldün; çocukların noterde itiraz etmedi. Asansörde etti: halıyı kimin alacağı üç kat sürdü.</t>
        </is>
      </c>
      <c r="H1132" s="6" t="inlineStr"/>
      <c r="I1132" s="6" t="inlineStr"/>
      <c r="J1132" s="6" t="inlineStr"/>
      <c r="K1132" s="6" t="inlineStr"/>
      <c r="L1132" s="6" t="inlineStr"/>
      <c r="M1132" s="5" t="inlineStr"/>
      <c r="N1132" s="5" t="inlineStr"/>
      <c r="O1132" s="6" t="inlineStr"/>
      <c r="P1132" s="6" t="inlineStr"/>
      <c r="Q1132" s="5" t="inlineStr"/>
      <c r="R1132" s="5" t="inlineStr"/>
      <c r="S1132" s="5" t="inlineStr"/>
      <c r="T1132" s="5" t="inlineStr"/>
      <c r="U1132" s="5" t="inlineStr"/>
      <c r="V1132" s="5" t="inlineStr"/>
      <c r="W1132" s="5" t="inlineStr"/>
      <c r="X1132" s="5" t="inlineStr"/>
      <c r="Y1132" s="5" t="inlineStr"/>
      <c r="Z1132" s="6" t="inlineStr"/>
      <c r="AA1132" s="5" t="inlineStr"/>
      <c r="AB1132" s="5" t="inlineStr"/>
      <c r="AC1132" s="5" t="inlineStr"/>
      <c r="AD1132" s="5" t="inlineStr"/>
      <c r="AE1132" s="5" t="inlineStr"/>
      <c r="AF1132" s="5" t="inlineStr"/>
      <c r="AG1132" s="5" t="inlineStr"/>
      <c r="AH1132" s="5" t="inlineStr"/>
      <c r="AI1132" s="5" t="inlineStr"/>
      <c r="AJ1132" s="5" t="inlineStr"/>
    </row>
    <row r="1133">
      <c r="A1133" s="5" t="inlineStr">
        <is>
          <t>b9-noter-miras</t>
        </is>
      </c>
      <c r="B1133" s="5" t="n">
        <v>2</v>
      </c>
      <c r="C1133" s="6" t="inlineStr">
        <is>
          <t>Evi en çok ziyaret edene bırak</t>
        </is>
      </c>
      <c r="D1133" s="5" t="inlineStr">
        <is>
          <t>Çene</t>
        </is>
      </c>
      <c r="E1133" s="5" t="inlineStr">
        <is>
          <t>Zor</t>
        </is>
      </c>
      <c r="F1133" s="5" t="inlineStr"/>
      <c r="G1133" s="6" t="inlineStr"/>
      <c r="H1133" s="6" t="inlineStr">
        <is>
          <t>Maddeyi ekledin. Ertesi hafta sonu kapında bütün aile vardı. Biri yatılı kaldı; garantiye.</t>
        </is>
      </c>
      <c r="I1133" s="6" t="inlineStr">
        <is>
          <t>Madde işe yaradı. Pazar kahvaltıları yeniden başladı; sofraya üç tabak fazla koyuyorsun. Kimse evi konuşmuyor, herkes böreği konuşuyor.</t>
        </is>
      </c>
      <c r="J1133" s="6" t="inlineStr">
        <is>
          <t>Maddeyi ekledin. Çocukların ziyaret takvimi oluşturdu. Takvim bir elektronik tablo; senin de erişimin yok.</t>
        </is>
      </c>
      <c r="K1133" s="6" t="inlineStr">
        <is>
          <t>Maddeyi ekledin. Pazar sabahları kapını yalnızca komşunun oğlu çaldı; ekmek getirdi, çay içti. Çocukların bunu noterde öğrendi.</t>
        </is>
      </c>
      <c r="L1133" s="6" t="inlineStr"/>
      <c r="M1133" s="5" t="inlineStr"/>
      <c r="N1133" s="5" t="inlineStr"/>
      <c r="O1133" s="6" t="inlineStr"/>
      <c r="P1133" s="6" t="inlineStr"/>
      <c r="Q1133" s="5" t="inlineStr"/>
      <c r="R1133" s="5" t="inlineStr">
        <is>
          <t>ev-sahibi</t>
        </is>
      </c>
      <c r="S1133" s="5" t="inlineStr"/>
      <c r="T1133" s="5" t="inlineStr"/>
      <c r="U1133" s="5" t="inlineStr"/>
      <c r="V1133" s="5" t="inlineStr"/>
      <c r="W1133" s="5" t="inlineStr"/>
      <c r="X1133" s="5" t="inlineStr"/>
      <c r="Y1133" s="5" t="inlineStr"/>
      <c r="Z1133" s="6" t="inlineStr"/>
      <c r="AA1133" s="5" t="inlineStr"/>
      <c r="AB1133" s="5" t="inlineStr"/>
      <c r="AC1133" s="5" t="inlineStr"/>
      <c r="AD1133" s="5" t="inlineStr"/>
      <c r="AE1133" s="5" t="inlineStr"/>
      <c r="AF1133" s="5" t="inlineStr"/>
      <c r="AG1133" s="5" t="inlineStr"/>
      <c r="AH1133" s="5" t="inlineStr"/>
      <c r="AI1133" s="5" t="inlineStr"/>
      <c r="AJ1133" s="5" t="inlineStr"/>
    </row>
    <row r="1134">
      <c r="A1134" s="5" t="inlineStr">
        <is>
          <t>b9-noter-miras</t>
        </is>
      </c>
      <c r="B1134" s="5" t="n">
        <v>3</v>
      </c>
      <c r="C1134" s="6" t="inlineStr">
        <is>
          <t>Gizli bir madde ekle</t>
        </is>
      </c>
      <c r="D1134" s="5" t="inlineStr">
        <is>
          <t>Kurnazlık</t>
        </is>
      </c>
      <c r="E1134" s="5" t="inlineStr">
        <is>
          <t>Orta</t>
        </is>
      </c>
      <c r="F1134" s="5" t="inlineStr"/>
      <c r="G1134" s="6" t="inlineStr"/>
      <c r="H1134" s="6" t="inlineStr">
        <is>
          <t>Gizli madde: 'Bu belgeyi okuyan çocuk, kardeşini aramalı.' Noter de gülümsedi.</t>
        </is>
      </c>
      <c r="I1134" s="6" t="inlineStr">
        <is>
          <t>Gizli maddeye bir bilmece yazdın. Çocukların onu çözmek için her hafta aynı masada toplanıyor. Cevabı sen de unuttun; söylemiyorsun.</t>
        </is>
      </c>
      <c r="J1134" s="6" t="inlineStr">
        <is>
          <t>Gizli maddeyi ekledin ama noter onu gizli tutmadı. Hemen yüksek sesle okudu. Mesleki gereklilik.</t>
        </is>
      </c>
      <c r="K1134" s="6" t="inlineStr">
        <is>
          <t>Gizli madde: 'Evi, kediyi en çok seven alır.' Ertesi pazar kapında mamayla gelen akrabalar sıraya girdi. Kedi iki kilo aldı; akrabalar birbirine küstü.</t>
        </is>
      </c>
      <c r="L1134" s="6" t="inlineStr"/>
      <c r="M1134" s="5" t="inlineStr"/>
      <c r="N1134" s="5" t="inlineStr"/>
      <c r="O1134" s="6" t="inlineStr"/>
      <c r="P1134" s="6" t="inlineStr"/>
      <c r="Q1134" s="5" t="inlineStr"/>
      <c r="R1134" s="5" t="inlineStr"/>
      <c r="S1134" s="5" t="inlineStr">
        <is>
          <t>Kurnazlık</t>
        </is>
      </c>
      <c r="T1134" s="5" t="inlineStr"/>
      <c r="U1134" s="5" t="inlineStr"/>
      <c r="V1134" s="5" t="inlineStr"/>
      <c r="W1134" s="5" t="inlineStr"/>
      <c r="X1134" s="5" t="inlineStr"/>
      <c r="Y1134" s="5" t="inlineStr"/>
      <c r="Z1134" s="6" t="inlineStr"/>
      <c r="AA1134" s="5" t="inlineStr"/>
      <c r="AB1134" s="5" t="inlineStr"/>
      <c r="AC1134" s="5" t="inlineStr"/>
      <c r="AD1134" s="5" t="inlineStr"/>
      <c r="AE1134" s="5" t="inlineStr"/>
      <c r="AF1134" s="5" t="inlineStr"/>
      <c r="AG1134" s="5" t="inlineStr"/>
      <c r="AH1134" s="5" t="inlineStr"/>
      <c r="AI1134" s="5" t="inlineStr"/>
      <c r="AJ1134" s="5" t="inlineStr"/>
    </row>
    <row r="1135">
      <c r="A1135" s="5" t="inlineStr">
        <is>
          <t>b9-dev-kabak</t>
        </is>
      </c>
      <c r="B1135" s="5" t="n">
        <v>1</v>
      </c>
      <c r="C1135" s="6" t="inlineStr">
        <is>
          <t>Kabağı kendin taşı</t>
        </is>
      </c>
      <c r="D1135" s="5" t="inlineStr">
        <is>
          <t>Dayanıklılık</t>
        </is>
      </c>
      <c r="E1135" s="5" t="inlineStr">
        <is>
          <t>Zor</t>
        </is>
      </c>
      <c r="F1135" s="5" t="inlineStr"/>
      <c r="G1135" s="6" t="inlineStr"/>
      <c r="H1135" s="6" t="inlineStr">
        <is>
          <t>Kabağı taşıdın. Yarışmada ikinci oldun. Birinciyi taşıyanın forklifti vardı.</t>
        </is>
      </c>
      <c r="I1135" s="6" t="inlineStr">
        <is>
          <t>Kabağı kaldırdın ve yarışmada birinci oldun. Belediye sana plaket verdi. Plaket kabak şeklinde.</t>
        </is>
      </c>
      <c r="J1135" s="6" t="inlineStr">
        <is>
          <t>Kabağı kaldıramadın. Kabak bahçede kaldı ve kışın çürüdü. Bahar geldiğinde yeni kabaklar filizlendi.</t>
        </is>
      </c>
      <c r="K1135" s="6" t="inlineStr">
        <is>
          <t>Kabağı kaldırmaya çalıştın; kabak yuvarlandı ve komşunun çitini yıktı. Kabak yarışmada, sen tutanakta.</t>
        </is>
      </c>
      <c r="L1135" s="6" t="inlineStr">
        <is>
          <t>Kabağı bahçe kapısına kadar getirdin, orada yere bıraktın. Yarışmaya komşunun traktörüyle gitti; jüri kabul etti, belin etmedi.</t>
        </is>
      </c>
      <c r="M1135" s="5" t="inlineStr">
        <is>
          <t>tower</t>
        </is>
      </c>
      <c r="N1135" s="5" t="inlineStr">
        <is>
          <t>Kabak Arabası</t>
        </is>
      </c>
      <c r="O1135" s="6" t="inlineStr">
        <is>
          <t>Kaymadan üst üste dizmek için doğru anda BIRAK'a bas.</t>
        </is>
      </c>
      <c r="P1135" s="6" t="inlineStr">
        <is>
          <t>{"item": "🎃"}</t>
        </is>
      </c>
      <c r="Q1135" s="5" t="inlineStr"/>
      <c r="R1135" s="5" t="inlineStr"/>
      <c r="S1135" s="5" t="inlineStr"/>
      <c r="T1135" s="5" t="inlineStr"/>
      <c r="U1135" s="5" t="inlineStr"/>
      <c r="V1135" s="5" t="inlineStr"/>
      <c r="W1135" s="5" t="inlineStr"/>
      <c r="X1135" s="5" t="inlineStr"/>
      <c r="Y1135" s="5" t="n">
        <v>1</v>
      </c>
      <c r="Z1135" s="6" t="inlineStr">
        <is>
          <t>Bahçede dev kabak hasadında. Kabak yarışmada birinci oldu.</t>
        </is>
      </c>
      <c r="AA1135" s="5" t="inlineStr"/>
      <c r="AB1135" s="5" t="inlineStr"/>
      <c r="AC1135" s="5" t="inlineStr"/>
      <c r="AD1135" s="5" t="inlineStr"/>
      <c r="AE1135" s="5" t="inlineStr"/>
      <c r="AF1135" s="5" t="inlineStr"/>
      <c r="AG1135" s="5" t="inlineStr"/>
      <c r="AH1135" s="5" t="inlineStr"/>
      <c r="AI1135" s="5" t="inlineStr"/>
      <c r="AJ1135" s="5" t="inlineStr"/>
    </row>
    <row r="1136">
      <c r="A1136" s="5" t="inlineStr">
        <is>
          <t>b9-dev-kabak</t>
        </is>
      </c>
      <c r="B1136" s="5" t="n">
        <v>2</v>
      </c>
      <c r="C1136" s="6" t="inlineStr">
        <is>
          <t>Kabaktan komşulara reçel yap</t>
        </is>
      </c>
      <c r="D1136" s="5" t="inlineStr"/>
      <c r="E1136" s="5" t="inlineStr"/>
      <c r="F1136" s="5" t="inlineStr">
        <is>
          <t>Gönül +1</t>
        </is>
      </c>
      <c r="G1136" s="6" t="inlineStr">
        <is>
          <t>Kabak reçeli yaptın. Otuz kavanoz. Komşular teşekkür etti. Bir yıl boyunca her gün kabak reçeli yedin.</t>
        </is>
      </c>
      <c r="H1136" s="6" t="inlineStr"/>
      <c r="I1136" s="6" t="inlineStr"/>
      <c r="J1136" s="6" t="inlineStr"/>
      <c r="K1136" s="6" t="inlineStr"/>
      <c r="L1136" s="6" t="inlineStr"/>
      <c r="M1136" s="5" t="inlineStr"/>
      <c r="N1136" s="5" t="inlineStr"/>
      <c r="O1136" s="6" t="inlineStr"/>
      <c r="P1136" s="6" t="inlineStr"/>
      <c r="Q1136" s="5" t="inlineStr"/>
      <c r="R1136" s="5" t="inlineStr"/>
      <c r="S1136" s="5" t="inlineStr"/>
      <c r="T1136" s="5" t="inlineStr"/>
      <c r="U1136" s="5" t="inlineStr"/>
      <c r="V1136" s="5" t="inlineStr"/>
      <c r="W1136" s="5" t="inlineStr"/>
      <c r="X1136" s="5" t="inlineStr"/>
      <c r="Y1136" s="5" t="inlineStr"/>
      <c r="Z1136" s="6" t="inlineStr"/>
      <c r="AA1136" s="5" t="inlineStr"/>
      <c r="AB1136" s="5" t="inlineStr"/>
      <c r="AC1136" s="5" t="inlineStr"/>
      <c r="AD1136" s="5" t="inlineStr"/>
      <c r="AE1136" s="5" t="inlineStr"/>
      <c r="AF1136" s="5" t="inlineStr"/>
      <c r="AG1136" s="5" t="inlineStr"/>
      <c r="AH1136" s="5" t="inlineStr"/>
      <c r="AI1136" s="5" t="inlineStr"/>
      <c r="AJ1136" s="5" t="inlineStr"/>
    </row>
    <row r="1137">
      <c r="A1137" s="5" t="inlineStr">
        <is>
          <t>b9-dev-kabak</t>
        </is>
      </c>
      <c r="B1137" s="5" t="n">
        <v>3</v>
      </c>
      <c r="C1137" s="6" t="inlineStr">
        <is>
          <t>Bahçe Filozofu olarak ilan et</t>
        </is>
      </c>
      <c r="D1137" s="5" t="inlineStr">
        <is>
          <t>Çene</t>
        </is>
      </c>
      <c r="E1137" s="5" t="inlineStr">
        <is>
          <t>Orta</t>
        </is>
      </c>
      <c r="F1137" s="5" t="inlineStr"/>
      <c r="G1137" s="6" t="inlineStr"/>
      <c r="H1137" s="6" t="inlineStr">
        <is>
          <t>Kabağın yanında 'Sabır, büyük sonuç verir' tabelası koydun. Mahalle fotoğraf çekmeye geldi.</t>
        </is>
      </c>
      <c r="I1137" s="6" t="inlineStr">
        <is>
          <t>Kabağının fotoğrafı mahalle grubunda viral oldu. Belediye kabağına bir isim vermeni istedi.</t>
        </is>
      </c>
      <c r="J1137" s="6" t="inlineStr">
        <is>
          <t>Tabelayı koydun; kabak tabelanın üstüne yuvarlandı. Felsefe ezildi.</t>
        </is>
      </c>
      <c r="K1137" s="6" t="inlineStr">
        <is>
          <t>Tabelayı koydun. Ertesi sabah kabağın yarısı yoktu; yan komşunun mutfağından kabak tatlısı kokusu geliyordu. Tabela yerinde duruyor: 'Sabır, büyük sonuç verir.'</t>
        </is>
      </c>
      <c r="L1137" s="6" t="inlineStr"/>
      <c r="M1137" s="5" t="inlineStr"/>
      <c r="N1137" s="5" t="inlineStr"/>
      <c r="O1137" s="6" t="inlineStr"/>
      <c r="P1137" s="6" t="inlineStr"/>
      <c r="Q1137" s="5" t="inlineStr">
        <is>
          <t>Bahçe Filozofu</t>
        </is>
      </c>
      <c r="R1137" s="5" t="inlineStr"/>
      <c r="S1137" s="5" t="inlineStr"/>
      <c r="T1137" s="5" t="inlineStr"/>
      <c r="U1137" s="5" t="inlineStr"/>
      <c r="V1137" s="5" t="inlineStr"/>
      <c r="W1137" s="5" t="inlineStr"/>
      <c r="X1137" s="5" t="inlineStr"/>
      <c r="Y1137" s="5" t="inlineStr"/>
      <c r="Z1137" s="6" t="inlineStr"/>
      <c r="AA1137" s="5" t="inlineStr"/>
      <c r="AB1137" s="5" t="inlineStr"/>
      <c r="AC1137" s="5" t="inlineStr"/>
      <c r="AD1137" s="5" t="inlineStr"/>
      <c r="AE1137" s="5" t="inlineStr"/>
      <c r="AF1137" s="5" t="inlineStr"/>
      <c r="AG1137" s="5" t="inlineStr"/>
      <c r="AH1137" s="5" t="inlineStr"/>
      <c r="AI1137" s="5" t="inlineStr"/>
      <c r="AJ1137" s="5" t="inlineStr"/>
    </row>
    <row r="1138">
      <c r="A1138" s="5" t="inlineStr">
        <is>
          <t>me-son-kepenk</t>
        </is>
      </c>
      <c r="B1138" s="5" t="n">
        <v>1</v>
      </c>
      <c r="C1138" s="6" t="inlineStr">
        <is>
          <t>Kepengi son kez indir</t>
        </is>
      </c>
      <c r="D1138" s="5" t="inlineStr"/>
      <c r="E1138" s="5" t="inlineStr"/>
      <c r="F1138" s="5" t="inlineStr">
        <is>
          <t>İtibar +1</t>
        </is>
      </c>
      <c r="G1138" s="6" t="inlineStr">
        <is>
          <t>Kepengi indirdin. Mahalle alkışladı. Kepenk de son kez gıcırdayarak katıldı.</t>
        </is>
      </c>
      <c r="H1138" s="6" t="inlineStr"/>
      <c r="I1138" s="6" t="inlineStr"/>
      <c r="J1138" s="6" t="inlineStr"/>
      <c r="K1138" s="6" t="inlineStr"/>
      <c r="L1138" s="6" t="inlineStr"/>
      <c r="M1138" s="5" t="inlineStr"/>
      <c r="N1138" s="5" t="inlineStr"/>
      <c r="O1138" s="6" t="inlineStr"/>
      <c r="P1138" s="6" t="inlineStr"/>
      <c r="Q1138" s="5" t="inlineStr"/>
      <c r="R1138" s="5" t="inlineStr"/>
      <c r="S1138" s="5" t="inlineStr"/>
      <c r="T1138" s="5" t="inlineStr"/>
      <c r="U1138" s="5" t="inlineStr">
        <is>
          <t>emekli</t>
        </is>
      </c>
      <c r="V1138" s="5" t="inlineStr"/>
      <c r="W1138" s="5" t="inlineStr"/>
      <c r="X1138" s="5" t="inlineStr"/>
      <c r="Y1138" s="5" t="inlineStr"/>
      <c r="Z1138" s="6" t="inlineStr"/>
      <c r="AA1138" s="5" t="inlineStr"/>
      <c r="AB1138" s="5" t="inlineStr"/>
      <c r="AC1138" s="5" t="inlineStr"/>
      <c r="AD1138" s="5" t="inlineStr"/>
      <c r="AE1138" s="5" t="inlineStr"/>
      <c r="AF1138" s="5" t="inlineStr"/>
      <c r="AG1138" s="5" t="inlineStr"/>
      <c r="AH1138" s="5" t="inlineStr"/>
      <c r="AI1138" s="5" t="inlineStr"/>
      <c r="AJ1138" s="5" t="inlineStr"/>
    </row>
    <row r="1139">
      <c r="A1139" s="5" t="inlineStr">
        <is>
          <t>me-son-kepenk</t>
        </is>
      </c>
      <c r="B1139" s="5" t="n">
        <v>2</v>
      </c>
      <c r="C1139" s="6" t="inlineStr">
        <is>
          <t>Kepengi yardım almadan indir</t>
        </is>
      </c>
      <c r="D1139" s="5" t="inlineStr">
        <is>
          <t>Dayanıklılık</t>
        </is>
      </c>
      <c r="E1139" s="5" t="inlineStr">
        <is>
          <t>Orta</t>
        </is>
      </c>
      <c r="F1139" s="5" t="inlineStr"/>
      <c r="G1139" s="6" t="inlineStr"/>
      <c r="H1139" s="6" t="inlineStr">
        <is>
          <t>Kepenk tam ortada, yirmi yıldır takıldığı yerde takıldı. Omzunu verdin, indi. Karşıdaki berber alkışladı.</t>
        </is>
      </c>
      <c r="I1139" s="6" t="inlineStr">
        <is>
          <t>Kepengi indirdin, kilidini taktın, anahtarı mahalleden bir çocuğa uzattın: 'Yarın sen aç.'</t>
        </is>
      </c>
      <c r="J1139" s="6" t="inlineStr">
        <is>
          <t>Kepenk yarıda kaldı, sen altında eğilmiş. Karşıdaki berber koştu, ikiniz asıldınız; kepenk inmedi. Son iş gününü kepengin altından eğilip çıkarak bitirdin.</t>
        </is>
      </c>
      <c r="K1139" s="6" t="inlineStr">
        <is>
          <t>Kepengi indirdin; ceketinin eteği altında kaldı. Kurtarmak için kaldırdın, kepenk ortada takıldı. Mahalle akşama kadar seni yarı içeride, yarı dışarıda izledi; çayını kepengin altından uzattılar.</t>
        </is>
      </c>
      <c r="L1139" s="6" t="inlineStr">
        <is>
          <t>Kepenk ortada takıldı. Karşı dükkânın çırağı koştu, birlikte indirdiniz. Son iş günün yardımla bitti; mahalle bunu da alkışladı.</t>
        </is>
      </c>
      <c r="M1139" s="5" t="inlineStr">
        <is>
          <t>timing</t>
        </is>
      </c>
      <c r="N1139" s="5" t="inlineStr">
        <is>
          <t>Son Kepenk</t>
        </is>
      </c>
      <c r="O1139" s="6" t="inlineStr">
        <is>
          <t>İbre yeşil alandayken DURDUR'a bas. Art arda tutturdukça kombo kazanırsın.</t>
        </is>
      </c>
      <c r="P1139" s="6" t="n"/>
      <c r="Q1139" s="5" t="inlineStr"/>
      <c r="R1139" s="5" t="inlineStr"/>
      <c r="S1139" s="5" t="inlineStr"/>
      <c r="T1139" s="5" t="inlineStr"/>
      <c r="U1139" s="5" t="inlineStr">
        <is>
          <t>emekli</t>
        </is>
      </c>
      <c r="V1139" s="5" t="inlineStr"/>
      <c r="W1139" s="5" t="inlineStr"/>
      <c r="X1139" s="5" t="inlineStr"/>
      <c r="Y1139" s="5" t="n">
        <v>1</v>
      </c>
      <c r="Z1139" s="6" t="inlineStr">
        <is>
          <t>Son iş gününde, kepengi kimseden yardım istemeden indirirken. Kepenk sonunda yerine oturdu.</t>
        </is>
      </c>
      <c r="AA1139" s="5" t="inlineStr"/>
      <c r="AB1139" s="5" t="inlineStr"/>
      <c r="AC1139" s="5" t="inlineStr"/>
      <c r="AD1139" s="5" t="inlineStr"/>
      <c r="AE1139" s="5" t="inlineStr"/>
      <c r="AF1139" s="5" t="inlineStr"/>
      <c r="AG1139" s="5" t="inlineStr"/>
      <c r="AH1139" s="5" t="inlineStr"/>
      <c r="AI1139" s="5" t="inlineStr"/>
      <c r="AJ1139" s="5" t="inlineStr"/>
    </row>
    <row r="1140">
      <c r="A1140" s="5" t="inlineStr">
        <is>
          <t>me-son-kepenk</t>
        </is>
      </c>
      <c r="B1140" s="5" t="n">
        <v>3</v>
      </c>
      <c r="C1140" s="6" t="inlineStr">
        <is>
          <t>Veda indirimi yap</t>
        </is>
      </c>
      <c r="D1140" s="5" t="inlineStr">
        <is>
          <t>Çene</t>
        </is>
      </c>
      <c r="E1140" s="5" t="inlineStr">
        <is>
          <t>Kolay</t>
        </is>
      </c>
      <c r="F1140" s="5" t="inlineStr"/>
      <c r="G1140" s="6" t="inlineStr"/>
      <c r="H1140" s="6" t="inlineStr">
        <is>
          <t>Her şey yarı fiyatına. Raflar üç saatte boşaldı. Otuz yıl bir öğleden sonraya sığdı.</t>
        </is>
      </c>
      <c r="I1140" s="6" t="inlineStr">
        <is>
          <t>Raflar boşaldı, müşteriler dükkânın tabelasını da hatıra olarak satın almak istedi. Sattın.</t>
        </is>
      </c>
      <c r="J1140" s="6" t="inlineStr">
        <is>
          <t>Veda indirimini kimse ciddiye almadı. 'Nasılsa yarın açıksın' dediler.</t>
        </is>
      </c>
      <c r="K1140" s="6" t="inlineStr">
        <is>
          <t>Müşteriler 'Toptan olur mu?' dedi. İndirimin üstüne indirim yaptın. Akşam son müşteriyi gördün: karşı dükkânın sahibi bütün rafını senden alıp kendi vitrinine dizmiş, etiketlerini bile değiştirmemiş.</t>
        </is>
      </c>
      <c r="L1140" s="6" t="inlineStr"/>
      <c r="M1140" s="5" t="inlineStr"/>
      <c r="N1140" s="5" t="inlineStr"/>
      <c r="O1140" s="6" t="inlineStr"/>
      <c r="P1140" s="6" t="inlineStr"/>
      <c r="Q1140" s="5" t="inlineStr"/>
      <c r="R1140" s="5" t="inlineStr"/>
      <c r="S1140" s="5" t="inlineStr"/>
      <c r="T1140" s="5" t="inlineStr"/>
      <c r="U1140" s="5" t="inlineStr">
        <is>
          <t>emekli</t>
        </is>
      </c>
      <c r="V1140" s="5" t="inlineStr"/>
      <c r="W1140" s="5" t="inlineStr"/>
      <c r="X1140" s="5" t="inlineStr"/>
      <c r="Y1140" s="5" t="inlineStr"/>
      <c r="Z1140" s="6" t="inlineStr"/>
      <c r="AA1140" s="5" t="inlineStr"/>
      <c r="AB1140" s="5" t="inlineStr"/>
      <c r="AC1140" s="5" t="inlineStr"/>
      <c r="AD1140" s="5" t="inlineStr"/>
      <c r="AE1140" s="5" t="inlineStr"/>
      <c r="AF1140" s="5" t="inlineStr"/>
      <c r="AG1140" s="5" t="inlineStr"/>
      <c r="AH1140" s="5" t="inlineStr"/>
      <c r="AI1140" s="5" t="inlineStr"/>
      <c r="AJ1140" s="5" t="inlineStr"/>
    </row>
    <row r="1141">
      <c r="A1141" s="5" t="inlineStr">
        <is>
          <t>me-son-kepenk</t>
        </is>
      </c>
      <c r="B1141" s="5" t="n">
        <v>4</v>
      </c>
      <c r="C1141" s="6" t="inlineStr">
        <is>
          <t>'Yarın yine gelirim' de</t>
        </is>
      </c>
      <c r="D1141" s="5" t="inlineStr"/>
      <c r="E1141" s="5" t="inlineStr"/>
      <c r="F1141" s="5" t="inlineStr">
        <is>
          <t>Dayanıklılık +1</t>
        </is>
      </c>
      <c r="G1141" s="6" t="inlineStr">
        <is>
          <t>Kepengi yarıya indirip çay demledin. Emeklilik resmen başladı; fiilen yarın 08.00'de yine buradasın.</t>
        </is>
      </c>
      <c r="H1141" s="6" t="inlineStr"/>
      <c r="I1141" s="6" t="inlineStr"/>
      <c r="J1141" s="6" t="inlineStr"/>
      <c r="K1141" s="6" t="inlineStr"/>
      <c r="L1141" s="6" t="inlineStr"/>
      <c r="M1141" s="5" t="inlineStr"/>
      <c r="N1141" s="5" t="inlineStr"/>
      <c r="O1141" s="6" t="inlineStr"/>
      <c r="P1141" s="6" t="inlineStr"/>
      <c r="Q1141" s="5" t="inlineStr"/>
      <c r="R1141" s="5" t="inlineStr"/>
      <c r="S1141" s="5" t="inlineStr"/>
      <c r="T1141" s="5" t="inlineStr"/>
      <c r="U1141" s="5" t="inlineStr"/>
      <c r="V1141" s="5" t="inlineStr"/>
      <c r="W1141" s="5" t="inlineStr"/>
      <c r="X1141" s="5" t="inlineStr"/>
      <c r="Y1141" s="5" t="inlineStr"/>
      <c r="Z1141" s="6" t="inlineStr"/>
      <c r="AA1141" s="5" t="inlineStr"/>
      <c r="AB1141" s="5" t="inlineStr"/>
      <c r="AC1141" s="5" t="inlineStr"/>
      <c r="AD1141" s="5" t="inlineStr"/>
      <c r="AE1141" s="5" t="inlineStr"/>
      <c r="AF1141" s="5" t="inlineStr"/>
      <c r="AG1141" s="5" t="inlineStr"/>
      <c r="AH1141" s="5" t="inlineStr"/>
      <c r="AI1141" s="5" t="inlineStr"/>
      <c r="AJ1141" s="5" t="inlineStr"/>
    </row>
    <row r="1142">
      <c r="A1142" s="5" t="inlineStr">
        <is>
          <t>b9-emekli-seyahati</t>
        </is>
      </c>
      <c r="B1142" s="5" t="n">
        <v>1</v>
      </c>
      <c r="C1142" s="6" t="inlineStr">
        <is>
          <t>Programa harfiyen uy</t>
        </is>
      </c>
      <c r="D1142" s="5" t="inlineStr"/>
      <c r="E1142" s="5" t="inlineStr"/>
      <c r="F1142" s="5" t="inlineStr">
        <is>
          <t>Dayanıklılık +1</t>
        </is>
      </c>
      <c r="G1142" s="6" t="inlineStr">
        <is>
          <t>Yedi müze, üç dükkân ve bir halı mağazası. Dönüşte otobüste herkes uyudu. Şoför dahil kısa süreliğine.</t>
        </is>
      </c>
      <c r="H1142" s="6" t="inlineStr"/>
      <c r="I1142" s="6" t="inlineStr"/>
      <c r="J1142" s="6" t="inlineStr"/>
      <c r="K1142" s="6" t="inlineStr"/>
      <c r="L1142" s="6" t="inlineStr"/>
      <c r="M1142" s="5" t="inlineStr"/>
      <c r="N1142" s="5" t="inlineStr"/>
      <c r="O1142" s="6" t="inlineStr"/>
      <c r="P1142" s="6" t="inlineStr"/>
      <c r="Q1142" s="5" t="inlineStr"/>
      <c r="R1142" s="5" t="inlineStr"/>
      <c r="S1142" s="5" t="inlineStr"/>
      <c r="T1142" s="5" t="inlineStr"/>
      <c r="U1142" s="5" t="inlineStr"/>
      <c r="V1142" s="5" t="inlineStr"/>
      <c r="W1142" s="5" t="inlineStr"/>
      <c r="X1142" s="5" t="inlineStr"/>
      <c r="Y1142" s="5" t="inlineStr"/>
      <c r="Z1142" s="6" t="inlineStr"/>
      <c r="AA1142" s="5" t="inlineStr"/>
      <c r="AB1142" s="5" t="inlineStr"/>
      <c r="AC1142" s="5" t="inlineStr"/>
      <c r="AD1142" s="5" t="inlineStr"/>
      <c r="AE1142" s="5" t="inlineStr"/>
      <c r="AF1142" s="5" t="inlineStr"/>
      <c r="AG1142" s="5" t="inlineStr"/>
      <c r="AH1142" s="5" t="inlineStr"/>
      <c r="AI1142" s="5" t="inlineStr"/>
      <c r="AJ1142" s="5" t="inlineStr"/>
    </row>
    <row r="1143">
      <c r="A1143" s="5" t="inlineStr">
        <is>
          <t>b9-emekli-seyahati</t>
        </is>
      </c>
      <c r="B1143" s="5" t="n">
        <v>2</v>
      </c>
      <c r="C1143" s="6" t="inlineStr">
        <is>
          <t>Uçurumun kenarında bir fotoğraf daha çek</t>
        </is>
      </c>
      <c r="D1143" s="5" t="inlineStr">
        <is>
          <t>Cesaret</t>
        </is>
      </c>
      <c r="E1143" s="5" t="inlineStr">
        <is>
          <t>Orta</t>
        </is>
      </c>
      <c r="F1143" s="5" t="inlineStr"/>
      <c r="G1143" s="6" t="inlineStr"/>
      <c r="H1143" s="6" t="inlineStr">
        <is>
          <t>Uçurum kenarında fotoğraf çektin. Manzara muhteşem. Rehber seni otobüse geri çağırdı.</t>
        </is>
      </c>
      <c r="I1143" s="6" t="inlineStr">
        <is>
          <t>Fotoğraf derneğin takviminin kapağı oldu. Bütün yıl kırk emekli mutfağında asılısın; biri seni buzdolabından tanıyıp otobüste yer verdi.</t>
        </is>
      </c>
      <c r="J1143" s="6" t="inlineStr">
        <is>
          <t>Fotoğrafı çektin; parmağın objektifin önündeydi. Anı: bir parmak ve biraz gökyüzü.</t>
        </is>
      </c>
      <c r="K1143" s="6" t="inlineStr">
        <is>
          <t>Fotoğraf çekerken otobüs kalktı. Yoklamada biri senin yerine 'Burada' diye bağırmış. Dönüşü bir karpuz kamyonunun kasasında yaptın.</t>
        </is>
      </c>
      <c r="L1143" s="6" t="inlineStr"/>
      <c r="M1143" s="5" t="inlineStr"/>
      <c r="N1143" s="5" t="inlineStr"/>
      <c r="O1143" s="6" t="inlineStr"/>
      <c r="P1143" s="6" t="inlineStr"/>
      <c r="Q1143" s="5" t="inlineStr"/>
      <c r="R1143" s="5" t="inlineStr"/>
      <c r="S1143" s="5" t="inlineStr"/>
      <c r="T1143" s="5" t="inlineStr"/>
      <c r="U1143" s="5" t="inlineStr"/>
      <c r="V1143" s="5" t="inlineStr"/>
      <c r="W1143" s="5" t="inlineStr"/>
      <c r="X1143" s="5" t="inlineStr"/>
      <c r="Y1143" s="5" t="n">
        <v>3</v>
      </c>
      <c r="Z1143" s="6" t="inlineStr">
        <is>
          <t>Emekli turunun son durağında, rehberin 'Son bir fotoğraf' demesinden sonra. Fotoğraf çok güzel çıktı.</t>
        </is>
      </c>
      <c r="AA1143" s="5" t="inlineStr"/>
      <c r="AB1143" s="5" t="inlineStr"/>
      <c r="AC1143" s="5" t="inlineStr"/>
      <c r="AD1143" s="5" t="inlineStr"/>
      <c r="AE1143" s="5" t="inlineStr"/>
      <c r="AF1143" s="5" t="inlineStr"/>
      <c r="AG1143" s="5" t="inlineStr"/>
      <c r="AH1143" s="5" t="inlineStr"/>
      <c r="AI1143" s="5" t="inlineStr"/>
      <c r="AJ1143" s="5" t="inlineStr"/>
    </row>
    <row r="1144">
      <c r="A1144" s="5" t="inlineStr">
        <is>
          <t>b9-emekli-seyahati</t>
        </is>
      </c>
      <c r="B1144" s="5" t="n">
        <v>3</v>
      </c>
      <c r="C1144" s="6" t="inlineStr">
        <is>
          <t>Turun liderliğini devral</t>
        </is>
      </c>
      <c r="D1144" s="5" t="inlineStr">
        <is>
          <t>İtibar</t>
        </is>
      </c>
      <c r="E1144" s="5" t="inlineStr">
        <is>
          <t>Zor</t>
        </is>
      </c>
      <c r="F1144" s="5" t="inlineStr"/>
      <c r="G1144" s="6" t="inlineStr"/>
      <c r="H1144" s="6" t="inlineStr">
        <is>
          <t>Rehberin mikrofonunu aldın. Programa bir çay molası ekledin. Otobüs seni sevdi.</t>
        </is>
      </c>
      <c r="I1144" s="6" t="inlineStr">
        <is>
          <t>Turun liderliğini devraldın; dernek sonraki turu sana verdi. Emekliliğin ikinci mesleği: tur rehberi.</t>
        </is>
      </c>
      <c r="J1144" s="6" t="inlineStr">
        <is>
          <t>Mikrofonu aldın ama ses sistemi arızalı. Sadece ön sıra seni duydu. Yönetim kurulu memnun.</t>
        </is>
      </c>
      <c r="K1144" s="6" t="inlineStr">
        <is>
          <t>Halı mağazasını programdan çıkardın. Rehber mikrofonu geri aldı ve dönüş yolu boyunca sana halı anlattı; dört saat, desen desen.</t>
        </is>
      </c>
      <c r="L1144" s="6" t="inlineStr"/>
      <c r="M1144" s="5" t="inlineStr"/>
      <c r="N1144" s="5" t="inlineStr"/>
      <c r="O1144" s="6" t="inlineStr"/>
      <c r="P1144" s="6" t="inlineStr"/>
      <c r="Q1144" s="5" t="inlineStr">
        <is>
          <t>Kuralı Koyan</t>
        </is>
      </c>
      <c r="R1144" s="5" t="inlineStr"/>
      <c r="S1144" s="5" t="inlineStr"/>
      <c r="T1144" s="5" t="inlineStr"/>
      <c r="U1144" s="5" t="inlineStr"/>
      <c r="V1144" s="5" t="inlineStr"/>
      <c r="W1144" s="5" t="inlineStr"/>
      <c r="X1144" s="5" t="inlineStr"/>
      <c r="Y1144" s="5" t="inlineStr"/>
      <c r="Z1144" s="6" t="inlineStr"/>
      <c r="AA1144" s="5" t="inlineStr"/>
      <c r="AB1144" s="5" t="inlineStr"/>
      <c r="AC1144" s="5" t="inlineStr"/>
      <c r="AD1144" s="5" t="inlineStr"/>
      <c r="AE1144" s="5" t="inlineStr"/>
      <c r="AF1144" s="5" t="inlineStr"/>
      <c r="AG1144" s="5" t="inlineStr"/>
      <c r="AH1144" s="5" t="inlineStr"/>
      <c r="AI1144" s="5" t="inlineStr"/>
      <c r="AJ1144" s="5" t="inlineStr"/>
    </row>
    <row r="1145">
      <c r="A1145" s="5" t="inlineStr">
        <is>
          <t>b9-sifre-unuttum</t>
        </is>
      </c>
      <c r="B1145" s="5" t="n">
        <v>1</v>
      </c>
      <c r="C1145" s="6" t="inlineStr">
        <is>
          <t>Şubeye git, sırada bekle</t>
        </is>
      </c>
      <c r="D1145" s="5" t="inlineStr"/>
      <c r="E1145" s="5" t="inlineStr"/>
      <c r="F1145" s="5" t="inlineStr">
        <is>
          <t>Dayanıklılık +1</t>
        </is>
      </c>
      <c r="G1145" s="6" t="inlineStr">
        <is>
          <t>Sırada bekledin. Sıra geldiğinde görevli yeni şifreni kâğıda yazmanı önerdi. Kâğıdı hâlâ arıyorsun.</t>
        </is>
      </c>
      <c r="H1145" s="6" t="inlineStr"/>
      <c r="I1145" s="6" t="inlineStr"/>
      <c r="J1145" s="6" t="inlineStr"/>
      <c r="K1145" s="6" t="inlineStr"/>
      <c r="L1145" s="6" t="inlineStr"/>
      <c r="M1145" s="5" t="inlineStr"/>
      <c r="N1145" s="5" t="inlineStr"/>
      <c r="O1145" s="6" t="inlineStr"/>
      <c r="P1145" s="6" t="inlineStr"/>
      <c r="Q1145" s="5" t="inlineStr"/>
      <c r="R1145" s="5" t="inlineStr"/>
      <c r="S1145" s="5" t="inlineStr"/>
      <c r="T1145" s="5" t="inlineStr"/>
      <c r="U1145" s="5" t="inlineStr"/>
      <c r="V1145" s="5" t="inlineStr"/>
      <c r="W1145" s="5" t="inlineStr"/>
      <c r="X1145" s="5" t="inlineStr"/>
      <c r="Y1145" s="5" t="inlineStr"/>
      <c r="Z1145" s="6" t="inlineStr"/>
      <c r="AA1145" s="5" t="inlineStr"/>
      <c r="AB1145" s="5" t="inlineStr"/>
      <c r="AC1145" s="5" t="inlineStr"/>
      <c r="AD1145" s="5" t="inlineStr"/>
      <c r="AE1145" s="5" t="inlineStr"/>
      <c r="AF1145" s="5" t="inlineStr"/>
      <c r="AG1145" s="5" t="inlineStr"/>
      <c r="AH1145" s="5" t="inlineStr"/>
      <c r="AI1145" s="5" t="inlineStr"/>
      <c r="AJ1145" s="5" t="inlineStr"/>
    </row>
    <row r="1146">
      <c r="A1146" s="5" t="inlineStr">
        <is>
          <t>b9-sifre-unuttum</t>
        </is>
      </c>
      <c r="B1146" s="5" t="n">
        <v>2</v>
      </c>
      <c r="C1146" s="6" t="inlineStr">
        <is>
          <t>Şifreyi tahmin et</t>
        </is>
      </c>
      <c r="D1146" s="5" t="inlineStr">
        <is>
          <t>Akıl</t>
        </is>
      </c>
      <c r="E1146" s="5" t="inlineStr">
        <is>
          <t>Zor</t>
        </is>
      </c>
      <c r="F1146" s="5" t="inlineStr"/>
      <c r="G1146" s="6" t="inlineStr"/>
      <c r="H1146" s="6" t="inlineStr">
        <is>
          <t>Üçüncü denemede buldun: ilk evinin kapı numarası ve doğum yılın, tersten. Kendine hayran kaldın; şifreyi bu kez kimseye söylemedin, kendine bile.</t>
        </is>
      </c>
      <c r="I1146" s="6" t="inlineStr">
        <is>
          <t>İlk denemede buldun. Ekranda “Hoş geldiniz” yazınca ayağa kalktın; evde kimse yoktu, yine de alkışladın. Şifreyi bir daha unutmamak için buzdolabının kapağına yazdın.</t>
        </is>
      </c>
      <c r="J1146" s="6" t="inlineStr">
        <is>
          <t>Tahminlerin yanlıştı. Hesabın on beş dakika kilitlendi. On beş dakika sonra yine yanlıştı.</t>
        </is>
      </c>
      <c r="K1146" s="6" t="inlineStr">
        <is>
          <t>Üç yanlış tahmin. Hesap kilitlendi. Kilidi açmak için gelen kod, yine eski telefona.</t>
        </is>
      </c>
      <c r="L1146" s="6" t="inlineStr"/>
      <c r="M1146" s="5" t="inlineStr"/>
      <c r="N1146" s="5" t="inlineStr"/>
      <c r="O1146" s="6" t="inlineStr"/>
      <c r="P1146" s="6" t="inlineStr"/>
      <c r="Q1146" s="5" t="inlineStr">
        <is>
          <t>Ukala Ama Haklı</t>
        </is>
      </c>
      <c r="R1146" s="5" t="inlineStr"/>
      <c r="S1146" s="5" t="inlineStr"/>
      <c r="T1146" s="5" t="inlineStr"/>
      <c r="U1146" s="5" t="inlineStr"/>
      <c r="V1146" s="5" t="inlineStr"/>
      <c r="W1146" s="5" t="inlineStr"/>
      <c r="X1146" s="5" t="inlineStr"/>
      <c r="Y1146" s="5" t="inlineStr"/>
      <c r="Z1146" s="6" t="inlineStr"/>
      <c r="AA1146" s="5" t="inlineStr"/>
      <c r="AB1146" s="5" t="inlineStr"/>
      <c r="AC1146" s="5" t="inlineStr"/>
      <c r="AD1146" s="5" t="inlineStr"/>
      <c r="AE1146" s="5" t="inlineStr"/>
      <c r="AF1146" s="5" t="inlineStr"/>
      <c r="AG1146" s="5" t="inlineStr"/>
      <c r="AH1146" s="5" t="inlineStr"/>
      <c r="AI1146" s="5" t="inlineStr"/>
      <c r="AJ1146" s="5" t="inlineStr"/>
    </row>
    <row r="1147">
      <c r="A1147" s="5" t="inlineStr">
        <is>
          <t>b9-sifre-unuttum</t>
        </is>
      </c>
      <c r="B1147" s="5" t="n">
        <v>3</v>
      </c>
      <c r="C1147" s="6" t="inlineStr">
        <is>
          <t>Torunu okuldan ara</t>
        </is>
      </c>
      <c r="D1147" s="5" t="inlineStr">
        <is>
          <t>Çene</t>
        </is>
      </c>
      <c r="E1147" s="5" t="inlineStr">
        <is>
          <t>Orta</t>
        </is>
      </c>
      <c r="F1147" s="5" t="inlineStr"/>
      <c r="G1147" s="6" t="inlineStr"/>
      <c r="H1147" s="6" t="inlineStr">
        <is>
          <t>Torun teneffüste kodu okudu. Hesabın açıldı. Torun karşılığında harçlık istedi. Ödeme de aynı hesaptan.</t>
        </is>
      </c>
      <c r="I1147" s="6" t="inlineStr">
        <is>
          <t>Torun kodu okudu ve şifreni de değiştirdi. Yeni şifren: torunun doğum günü. Unutmayacaksın.</t>
        </is>
      </c>
      <c r="J1147" s="6" t="inlineStr">
        <is>
          <t>Torun derste. Öğretmen telefonu açtı. Kodu öğretmen okudu. Artık öğretmen de şifreni biliyor.</t>
        </is>
      </c>
      <c r="K1147" s="6" t="inlineStr">
        <is>
          <t>Torunu aradın; müdür telefonu açtı. Kodu anons sistemiyle okuttun. Bütün okul artık şifreni biliyor.</t>
        </is>
      </c>
      <c r="L1147" s="6" t="inlineStr"/>
      <c r="M1147" s="5" t="inlineStr"/>
      <c r="N1147" s="5" t="inlineStr"/>
      <c r="O1147" s="6" t="inlineStr"/>
      <c r="P1147" s="6" t="inlineStr"/>
      <c r="Q1147" s="5" t="inlineStr"/>
      <c r="R1147" s="5" t="inlineStr"/>
      <c r="S1147" s="5" t="inlineStr"/>
      <c r="T1147" s="5" t="inlineStr"/>
      <c r="U1147" s="5" t="inlineStr"/>
      <c r="V1147" s="5" t="inlineStr"/>
      <c r="W1147" s="5" t="inlineStr"/>
      <c r="X1147" s="5" t="inlineStr"/>
      <c r="Y1147" s="5" t="inlineStr"/>
      <c r="Z1147" s="6" t="inlineStr"/>
      <c r="AA1147" s="5" t="inlineStr"/>
      <c r="AB1147" s="5" t="inlineStr"/>
      <c r="AC1147" s="5" t="inlineStr"/>
      <c r="AD1147" s="5" t="inlineStr"/>
      <c r="AE1147" s="5" t="inlineStr"/>
      <c r="AF1147" s="5" t="inlineStr"/>
      <c r="AG1147" s="5" t="inlineStr"/>
      <c r="AH1147" s="5" t="inlineStr"/>
      <c r="AI1147" s="5" t="inlineStr"/>
      <c r="AJ1147" s="5" t="inlineStr"/>
    </row>
    <row r="1148">
      <c r="A1148" s="5" t="inlineStr">
        <is>
          <t>mb-son-kisa-gorusme</t>
        </is>
      </c>
      <c r="B1148" s="5" t="n">
        <v>1</v>
      </c>
      <c r="C1148" s="6" t="inlineStr">
        <is>
          <t>Telefonu kapat, bahçeye çık</t>
        </is>
      </c>
      <c r="D1148" s="5" t="inlineStr"/>
      <c r="E1148" s="5" t="inlineStr"/>
      <c r="F1148" s="5" t="inlineStr">
        <is>
          <t>Dayanıklılık +1</t>
        </is>
      </c>
      <c r="G1148" s="6" t="inlineStr">
        <is>
          <t>Telefonu kapattın. Otuz küsur yıldır ilk kez takviminde hiçbir şey yok. Korkutucu. Güzel.</t>
        </is>
      </c>
      <c r="H1148" s="6" t="inlineStr"/>
      <c r="I1148" s="6" t="inlineStr"/>
      <c r="J1148" s="6" t="inlineStr"/>
      <c r="K1148" s="6" t="inlineStr"/>
      <c r="L1148" s="6" t="inlineStr"/>
      <c r="M1148" s="5" t="inlineStr"/>
      <c r="N1148" s="5" t="inlineStr"/>
      <c r="O1148" s="6" t="inlineStr"/>
      <c r="P1148" s="6" t="inlineStr"/>
      <c r="Q1148" s="5" t="inlineStr"/>
      <c r="R1148" s="5" t="inlineStr"/>
      <c r="S1148" s="5" t="inlineStr"/>
      <c r="T1148" s="5" t="inlineStr"/>
      <c r="U1148" s="5" t="inlineStr"/>
      <c r="V1148" s="5" t="inlineStr"/>
      <c r="W1148" s="5" t="inlineStr"/>
      <c r="X1148" s="5" t="inlineStr"/>
      <c r="Y1148" s="5" t="inlineStr"/>
      <c r="Z1148" s="6" t="inlineStr"/>
      <c r="AA1148" s="5" t="inlineStr"/>
      <c r="AB1148" s="5" t="inlineStr"/>
      <c r="AC1148" s="5" t="inlineStr"/>
      <c r="AD1148" s="5" t="inlineStr"/>
      <c r="AE1148" s="5" t="inlineStr"/>
      <c r="AF1148" s="5" t="inlineStr"/>
      <c r="AG1148" s="5" t="inlineStr"/>
      <c r="AH1148" s="5" t="inlineStr"/>
      <c r="AI1148" s="5" t="inlineStr"/>
      <c r="AJ1148" s="5" t="inlineStr"/>
    </row>
    <row r="1149">
      <c r="A1149" s="5" t="inlineStr">
        <is>
          <t>mb-son-kisa-gorusme</t>
        </is>
      </c>
      <c r="B1149" s="5" t="n">
        <v>2</v>
      </c>
      <c r="C1149" s="6" t="inlineStr">
        <is>
          <t>Danışman olarak dön</t>
        </is>
      </c>
      <c r="D1149" s="5" t="inlineStr">
        <is>
          <t>Çene</t>
        </is>
      </c>
      <c r="E1149" s="5" t="inlineStr">
        <is>
          <t>Orta</t>
        </is>
      </c>
      <c r="F1149" s="5" t="inlineStr"/>
      <c r="G1149" s="6" t="inlineStr"/>
      <c r="H1149" s="6" t="inlineStr">
        <is>
          <t>Haftada iki gün, yüksek saat ücretiyle döndün. Erişim kartın yine tanımlanmadı.</t>
        </is>
      </c>
      <c r="I1149" s="6" t="inlineStr">
        <is>
          <t>Yönetim kurulu seni 'kurumsal hafıza' ilan etti; hafızanın saat ücreti eski maaşını geçti. Toplantılardaki tek görevin, ara ara 'Bunu on beş yıl önce denedik' demek.</t>
        </is>
      </c>
      <c r="J1149" s="6" t="inlineStr">
        <is>
          <t>Döndün; üç gün sonra 'Yeni yapılanma' e-postası geldi. Danışmanlar dahil.</t>
        </is>
      </c>
      <c r="K1149" s="6" t="inlineStr">
        <is>
          <t>Döndün; ilk toplantın 'Toplantı hakkında toplantı' idi. Otuz yıl boyunca hiç kaçamamışsın.</t>
        </is>
      </c>
      <c r="L1149" s="6" t="inlineStr"/>
      <c r="M1149" s="5" t="inlineStr"/>
      <c r="N1149" s="5" t="inlineStr"/>
      <c r="O1149" s="6" t="inlineStr"/>
      <c r="P1149" s="6" t="inlineStr"/>
      <c r="Q1149" s="5" t="inlineStr"/>
      <c r="R1149" s="5" t="inlineStr"/>
      <c r="S1149" s="5" t="inlineStr"/>
      <c r="T1149" s="5" t="inlineStr"/>
      <c r="U1149" s="5" t="inlineStr"/>
      <c r="V1149" s="5" t="inlineStr"/>
      <c r="W1149" s="5" t="inlineStr"/>
      <c r="X1149" s="5" t="inlineStr"/>
      <c r="Y1149" s="5" t="inlineStr"/>
      <c r="Z1149" s="6" t="inlineStr"/>
      <c r="AA1149" s="5" t="inlineStr"/>
      <c r="AB1149" s="5" t="inlineStr"/>
      <c r="AC1149" s="5" t="inlineStr"/>
      <c r="AD1149" s="5" t="inlineStr"/>
      <c r="AE1149" s="5" t="inlineStr"/>
      <c r="AF1149" s="5" t="inlineStr"/>
      <c r="AG1149" s="5" t="inlineStr"/>
      <c r="AH1149" s="5" t="inlineStr"/>
      <c r="AI1149" s="5" t="inlineStr"/>
      <c r="AJ1149" s="5" t="inlineStr"/>
    </row>
    <row r="1150">
      <c r="A1150" s="5" t="inlineStr">
        <is>
          <t>mb-son-kisa-gorusme</t>
        </is>
      </c>
      <c r="B1150" s="5" t="n">
        <v>3</v>
      </c>
      <c r="C1150" s="6" t="inlineStr">
        <is>
          <t>Bu kez 'kısa görüşmeyi' sen yönet</t>
        </is>
      </c>
      <c r="D1150" s="5" t="inlineStr">
        <is>
          <t>Pişkinlik</t>
        </is>
      </c>
      <c r="E1150" s="5" t="inlineStr">
        <is>
          <t>Kolay</t>
        </is>
      </c>
      <c r="F1150" s="5" t="inlineStr"/>
      <c r="G1150" s="6" t="inlineStr"/>
      <c r="H1150" s="6" t="inlineStr">
        <is>
          <t>Bu kez odada karşında şirket vardı. Saat ücretini sen belirledin.</t>
        </is>
      </c>
      <c r="I1150" s="6" t="inlineStr">
        <is>
          <t>Şartları sen koydun: uzaktan, kamera kapalı, pijamayla. Hepsi kabul edildi.</t>
        </is>
      </c>
      <c r="J1150" s="6" t="inlineStr">
        <is>
          <t>Pazarlık ettin; teklif yapay zekâ aracına gitti. Araç seni hatırladı. İyi anlamda değil.</t>
        </is>
      </c>
      <c r="K1150" s="6" t="inlineStr">
        <is>
          <t>Görüşmeyi sen yönettin; sonunda alışkanlıkla “Sizi bilgilendireceğiz” deyip kalktın. Eski stajyerin de kalktı, kapıyı açtı. Bir daha aramadı. Sen bekledin; otuz yıl adayları beklettiğin gibi.</t>
        </is>
      </c>
      <c r="L1150" s="6" t="inlineStr"/>
      <c r="M1150" s="5" t="inlineStr"/>
      <c r="N1150" s="5" t="inlineStr"/>
      <c r="O1150" s="6" t="inlineStr"/>
      <c r="P1150" s="6" t="inlineStr"/>
      <c r="Q1150" s="5" t="inlineStr"/>
      <c r="R1150" s="5" t="inlineStr">
        <is>
          <t>beyazyaka-sag-kaldi</t>
        </is>
      </c>
      <c r="S1150" s="5" t="inlineStr"/>
      <c r="T1150" s="5" t="inlineStr"/>
      <c r="U1150" s="5" t="inlineStr"/>
      <c r="V1150" s="5" t="inlineStr"/>
      <c r="W1150" s="5" t="inlineStr"/>
      <c r="X1150" s="5" t="inlineStr"/>
      <c r="Y1150" s="5" t="inlineStr"/>
      <c r="Z1150" s="6" t="inlineStr"/>
      <c r="AA1150" s="5" t="inlineStr"/>
      <c r="AB1150" s="5" t="inlineStr"/>
      <c r="AC1150" s="5" t="inlineStr"/>
      <c r="AD1150" s="5" t="inlineStr"/>
      <c r="AE1150" s="5" t="inlineStr"/>
      <c r="AF1150" s="5" t="inlineStr"/>
      <c r="AG1150" s="5" t="inlineStr"/>
      <c r="AH1150" s="5" t="inlineStr"/>
      <c r="AI1150" s="5" t="inlineStr"/>
      <c r="AJ1150" s="5" t="inlineStr"/>
    </row>
    <row r="1151">
      <c r="A1151" s="5" t="inlineStr">
        <is>
          <t>b9-site-toplantisi</t>
        </is>
      </c>
      <c r="B1151" s="5" t="n">
        <v>1</v>
      </c>
      <c r="C1151" s="6" t="inlineStr">
        <is>
          <t>Yöneticiliği kabul et</t>
        </is>
      </c>
      <c r="D1151" s="5" t="inlineStr"/>
      <c r="E1151" s="5" t="inlineStr"/>
      <c r="F1151" s="5" t="inlineStr">
        <is>
          <t>İtibar +1, Dayanıklılık +1</t>
        </is>
      </c>
      <c r="G1151" s="6" t="inlineStr">
        <is>
          <t>Yönetici oldun. Artık gece üçte biri kapını çalıp 'Kalorifer yanmıyor' diyor. Maaşı yok, prestiji tartışmalı.</t>
        </is>
      </c>
      <c r="H1151" s="6" t="inlineStr"/>
      <c r="I1151" s="6" t="inlineStr"/>
      <c r="J1151" s="6" t="inlineStr"/>
      <c r="K1151" s="6" t="inlineStr"/>
      <c r="L1151" s="6" t="inlineStr"/>
      <c r="M1151" s="5" t="inlineStr"/>
      <c r="N1151" s="5" t="inlineStr"/>
      <c r="O1151" s="6" t="inlineStr"/>
      <c r="P1151" s="6" t="inlineStr"/>
      <c r="Q1151" s="5" t="inlineStr"/>
      <c r="R1151" s="5" t="inlineStr"/>
      <c r="S1151" s="5" t="inlineStr"/>
      <c r="T1151" s="5" t="inlineStr"/>
      <c r="U1151" s="5" t="inlineStr">
        <is>
          <t>site-yoneticisi</t>
        </is>
      </c>
      <c r="V1151" s="5" t="inlineStr"/>
      <c r="W1151" s="5" t="inlineStr"/>
      <c r="X1151" s="5" t="inlineStr"/>
      <c r="Y1151" s="5" t="inlineStr"/>
      <c r="Z1151" s="6" t="inlineStr"/>
      <c r="AA1151" s="5" t="inlineStr"/>
      <c r="AB1151" s="5" t="inlineStr"/>
      <c r="AC1151" s="5" t="inlineStr"/>
      <c r="AD1151" s="5" t="inlineStr"/>
      <c r="AE1151" s="5" t="inlineStr"/>
      <c r="AF1151" s="5" t="inlineStr"/>
      <c r="AG1151" s="5" t="inlineStr"/>
      <c r="AH1151" s="5" t="inlineStr"/>
      <c r="AI1151" s="5" t="inlineStr"/>
      <c r="AJ1151" s="5" t="inlineStr"/>
    </row>
    <row r="1152">
      <c r="A1152" s="5" t="inlineStr">
        <is>
          <t>b9-site-toplantisi</t>
        </is>
      </c>
      <c r="B1152" s="5" t="n">
        <v>2</v>
      </c>
      <c r="C1152" s="6" t="inlineStr">
        <is>
          <t>Asansör için söz al</t>
        </is>
      </c>
      <c r="D1152" s="5" t="inlineStr">
        <is>
          <t>Cesaret</t>
        </is>
      </c>
      <c r="E1152" s="5" t="inlineStr">
        <is>
          <t>Zor</t>
        </is>
      </c>
      <c r="F1152" s="5" t="inlineStr"/>
      <c r="G1152" s="6" t="inlineStr"/>
      <c r="H1152" s="6" t="inlineStr">
        <is>
          <t>Söz aldın ve asansör tamiri oy birliğiyle kabul edildi. Dördüncü kat sana bir tepsi baklava yolladı.</t>
        </is>
      </c>
      <c r="I1152" s="6" t="inlineStr">
        <is>
          <t>Söz aldın, asansör tamir edildi ve bir de çatı yenilendi. Toplantı tarihe 'Büyük Söz' olarak geçti.</t>
        </is>
      </c>
      <c r="J1152" s="6" t="inlineStr">
        <is>
          <t>Söz aldın, asansör oylandı; tamir değil, 'inceleme' kabul edildi. İnceleme üç yıl sürecek.</t>
        </is>
      </c>
      <c r="K1152" s="6" t="inlineStr">
        <is>
          <t>Söz aldın; aidat iki katına çıktı, asansör yine arızalı. Aidatın yarısı asansör için ayrılan fona gitti. Fon kaybolmuş.</t>
        </is>
      </c>
      <c r="L1152" s="6" t="inlineStr"/>
      <c r="M1152" s="5" t="inlineStr"/>
      <c r="N1152" s="5" t="inlineStr"/>
      <c r="O1152" s="6" t="inlineStr"/>
      <c r="P1152" s="6" t="inlineStr"/>
      <c r="Q1152" s="5" t="inlineStr"/>
      <c r="R1152" s="5" t="inlineStr"/>
      <c r="S1152" s="5" t="inlineStr"/>
      <c r="T1152" s="5" t="inlineStr"/>
      <c r="U1152" s="5" t="inlineStr"/>
      <c r="V1152" s="5" t="inlineStr"/>
      <c r="W1152" s="5" t="inlineStr"/>
      <c r="X1152" s="5" t="inlineStr"/>
      <c r="Y1152" s="5" t="inlineStr"/>
      <c r="Z1152" s="6" t="inlineStr"/>
      <c r="AA1152" s="5" t="inlineStr"/>
      <c r="AB1152" s="5" t="inlineStr"/>
      <c r="AC1152" s="5" t="inlineStr"/>
      <c r="AD1152" s="5" t="inlineStr"/>
      <c r="AE1152" s="5" t="inlineStr"/>
      <c r="AF1152" s="5" t="inlineStr"/>
      <c r="AG1152" s="5" t="inlineStr"/>
      <c r="AH1152" s="5" t="inlineStr"/>
      <c r="AI1152" s="5" t="inlineStr"/>
      <c r="AJ1152" s="5" t="inlineStr"/>
    </row>
    <row r="1153">
      <c r="A1153" s="5" t="inlineStr">
        <is>
          <t>b9-site-toplantisi</t>
        </is>
      </c>
      <c r="B1153" s="5" t="n">
        <v>3</v>
      </c>
      <c r="C1153" s="6" t="inlineStr">
        <is>
          <t>Toplantıyı yönet</t>
        </is>
      </c>
      <c r="D1153" s="5" t="inlineStr">
        <is>
          <t>İtibar</t>
        </is>
      </c>
      <c r="E1153" s="5" t="inlineStr">
        <is>
          <t>Orta</t>
        </is>
      </c>
      <c r="F1153" s="5" t="inlineStr"/>
      <c r="G1153" s="6" t="inlineStr"/>
      <c r="H1153" s="6" t="inlineStr">
        <is>
          <t>Toplantıyı yönettin, gündem kırk dakikada bitti. Rekor. Sakinler sana şaşkınlıkla baktı.</t>
        </is>
      </c>
      <c r="I1153" s="6" t="inlineStr">
        <is>
          <t>Toplantıyı yönettin; aidat düştü, asansör tamir edildi. Seni bir sonraki yıl için oy birliğiyle yeniden seçtiler.</t>
        </is>
      </c>
      <c r="J1153" s="6" t="inlineStr">
        <is>
          <t>Toplantıyı yönettin; gündem aidat artışında takıldı. Toplantı üç saat sürdü. Sen de artık yönetici değil, mağdursun.</t>
        </is>
      </c>
      <c r="K1153" s="6" t="inlineStr">
        <is>
          <t>Toplantıyı yönetirken bir sakinin sözünü kestin. Sakin ilkokuldan sınıf arkadaşın çıktı: 'Altmış yıl önce de sözümü kesmiştin, başkanlığı da benden almıştın.' Apartman ikiye bölündü; asansör yine bozuk.</t>
        </is>
      </c>
      <c r="L1153" s="6" t="inlineStr"/>
      <c r="M1153" s="5" t="inlineStr"/>
      <c r="N1153" s="5" t="inlineStr"/>
      <c r="O1153" s="6" t="inlineStr"/>
      <c r="P1153" s="6" t="inlineStr"/>
      <c r="Q1153" s="5" t="inlineStr"/>
      <c r="R1153" s="5" t="inlineStr">
        <is>
          <t>baskan</t>
        </is>
      </c>
      <c r="S1153" s="5" t="inlineStr"/>
      <c r="T1153" s="5" t="inlineStr"/>
      <c r="U1153" s="5" t="inlineStr"/>
      <c r="V1153" s="5" t="inlineStr">
        <is>
          <t>site-yoneticisi</t>
        </is>
      </c>
      <c r="W1153" s="5" t="inlineStr"/>
      <c r="X1153" s="5" t="inlineStr"/>
      <c r="Y1153" s="5" t="inlineStr"/>
      <c r="Z1153" s="6" t="inlineStr"/>
      <c r="AA1153" s="5" t="inlineStr"/>
      <c r="AB1153" s="5" t="inlineStr"/>
      <c r="AC1153" s="5" t="inlineStr"/>
      <c r="AD1153" s="5" t="inlineStr"/>
      <c r="AE1153" s="5" t="inlineStr"/>
      <c r="AF1153" s="5" t="inlineStr"/>
      <c r="AG1153" s="5" t="inlineStr"/>
      <c r="AH1153" s="5" t="inlineStr"/>
      <c r="AI1153" s="5" t="inlineStr"/>
      <c r="AJ1153" s="5" t="inlineStr"/>
    </row>
    <row r="1154">
      <c r="A1154" s="5" t="inlineStr">
        <is>
          <t>b9-torunun-sorusu</t>
        </is>
      </c>
      <c r="B1154" s="5" t="n">
        <v>1</v>
      </c>
      <c r="C1154" s="6" t="inlineStr">
        <is>
          <t>Doğruyu anlat</t>
        </is>
      </c>
      <c r="D1154" s="5" t="inlineStr"/>
      <c r="E1154" s="5" t="inlineStr"/>
      <c r="F1154" s="5" t="inlineStr">
        <is>
          <t>Akıl +1, Gönül +1</t>
        </is>
      </c>
      <c r="G1154" s="6" t="inlineStr">
        <is>
          <t>Ekrana parmakla yazdığınızı anlattın. Torun parmaklarına baktı: 'Acımıyor muydu?' Aile grubundaki sesli mesaj kavgalarını anlatman bir saat sürdü.</t>
        </is>
      </c>
      <c r="H1154" s="6" t="inlineStr"/>
      <c r="I1154" s="6" t="inlineStr"/>
      <c r="J1154" s="6" t="inlineStr"/>
      <c r="K1154" s="6" t="inlineStr"/>
      <c r="L1154" s="6" t="inlineStr"/>
      <c r="M1154" s="5" t="inlineStr"/>
      <c r="N1154" s="5" t="inlineStr"/>
      <c r="O1154" s="6" t="inlineStr"/>
      <c r="P1154" s="6" t="inlineStr"/>
      <c r="Q1154" s="5" t="inlineStr"/>
      <c r="R1154" s="5" t="inlineStr"/>
      <c r="S1154" s="5" t="inlineStr"/>
      <c r="T1154" s="5" t="inlineStr"/>
      <c r="U1154" s="5" t="inlineStr"/>
      <c r="V1154" s="5" t="inlineStr"/>
      <c r="W1154" s="5" t="inlineStr"/>
      <c r="X1154" s="5" t="inlineStr"/>
      <c r="Y1154" s="5" t="inlineStr"/>
      <c r="Z1154" s="6" t="inlineStr"/>
      <c r="AA1154" s="5" t="inlineStr"/>
      <c r="AB1154" s="5" t="inlineStr"/>
      <c r="AC1154" s="5" t="inlineStr"/>
      <c r="AD1154" s="5" t="inlineStr"/>
      <c r="AE1154" s="5" t="inlineStr"/>
      <c r="AF1154" s="5" t="inlineStr"/>
      <c r="AG1154" s="5" t="inlineStr"/>
      <c r="AH1154" s="5" t="inlineStr"/>
      <c r="AI1154" s="5" t="inlineStr"/>
      <c r="AJ1154" s="5" t="inlineStr"/>
    </row>
    <row r="1155">
      <c r="A1155" s="5" t="inlineStr">
        <is>
          <t>b9-torunun-sorusu</t>
        </is>
      </c>
      <c r="B1155" s="5" t="n">
        <v>2</v>
      </c>
      <c r="C1155" s="6" t="inlineStr">
        <is>
          <t>Abartarak anlat</t>
        </is>
      </c>
      <c r="D1155" s="5" t="inlineStr">
        <is>
          <t>Pişkinlik</t>
        </is>
      </c>
      <c r="E1155" s="5" t="inlineStr">
        <is>
          <t>Orta</t>
        </is>
      </c>
      <c r="F1155" s="5" t="inlineStr"/>
      <c r="G1155" s="6" t="inlineStr"/>
      <c r="H1155" s="6" t="inlineStr">
        <is>
          <t>Şarj bitince mesajları güvercinle yolladığınızı anlattın. Torun inandı, okulda anlattı. Öğretmen seni aradı.</t>
        </is>
      </c>
      <c r="I1155" s="6" t="inlineStr">
        <is>
          <t>Hikâyen öyle iyiydi ki torun onu ödev olarak yazdı ve sınıf birincisi oldu. Ödülünü sana getirdi: bir yıldız çıkartması, şimdi buzdolabında.</t>
        </is>
      </c>
      <c r="J1155" s="6" t="inlineStr">
        <is>
          <t>Abarttın; torun internetten kontrol etti. 'Bu yalan' dedi. Teknoloji seni yine yakaladı.</t>
        </is>
      </c>
      <c r="K1155" s="6" t="inlineStr">
        <is>
          <t>Abarttın ve kaptırdın: güvercinin adı bile vardı, Mektup Paşa. Bayramda torun bütün akrabaların önünde Mektup Paşa'yı sordu. Kardeşin 'Bizim evde kuş hiç olmadı' dedi; sofra güldü, torun ağladı.</t>
        </is>
      </c>
      <c r="L1155" s="6" t="inlineStr"/>
      <c r="M1155" s="5" t="inlineStr"/>
      <c r="N1155" s="5" t="inlineStr"/>
      <c r="O1155" s="6" t="inlineStr"/>
      <c r="P1155" s="6" t="inlineStr"/>
      <c r="Q1155" s="5" t="inlineStr"/>
      <c r="R1155" s="5" t="inlineStr"/>
      <c r="S1155" s="5" t="inlineStr"/>
      <c r="T1155" s="5" t="inlineStr"/>
      <c r="U1155" s="5" t="inlineStr"/>
      <c r="V1155" s="5" t="inlineStr"/>
      <c r="W1155" s="5" t="inlineStr"/>
      <c r="X1155" s="5" t="inlineStr"/>
      <c r="Y1155" s="5" t="inlineStr"/>
      <c r="Z1155" s="6" t="inlineStr"/>
      <c r="AA1155" s="5" t="inlineStr"/>
      <c r="AB1155" s="5" t="inlineStr"/>
      <c r="AC1155" s="5" t="inlineStr"/>
      <c r="AD1155" s="5" t="inlineStr"/>
      <c r="AE1155" s="5" t="inlineStr"/>
      <c r="AF1155" s="5" t="inlineStr"/>
      <c r="AG1155" s="5" t="inlineStr"/>
      <c r="AH1155" s="5" t="inlineStr"/>
      <c r="AI1155" s="5" t="inlineStr">
        <is>
          <t>Güvercinli</t>
        </is>
      </c>
      <c r="AJ1155" s="5" t="inlineStr"/>
    </row>
    <row r="1156">
      <c r="A1156" s="5" t="inlineStr">
        <is>
          <t>b9-torunun-sorusu</t>
        </is>
      </c>
      <c r="B1156" s="5" t="n">
        <v>3</v>
      </c>
      <c r="C1156" s="6" t="inlineStr">
        <is>
          <t>Tavla öğret</t>
        </is>
      </c>
      <c r="D1156" s="5" t="inlineStr">
        <is>
          <t>Kurnazlık</t>
        </is>
      </c>
      <c r="E1156" s="5" t="inlineStr">
        <is>
          <t>Kolay</t>
        </is>
      </c>
      <c r="F1156" s="5" t="inlineStr"/>
      <c r="G1156" s="6" t="inlineStr"/>
      <c r="H1156" s="6" t="inlineStr">
        <is>
          <t>Telefonu bıraktın, tavla öğrettin. Torun ikinci oyunda seni mars etti. 'Acemi şansı' dedin; üçüncüde de etti.</t>
        </is>
      </c>
      <c r="I1156" s="6" t="inlineStr">
        <is>
          <t>Torun tavlayı o kadar sevdi ki okulda bir lig kurdu. Adı: 'Kurt Ligi'. Kurucusu sensin.</t>
        </is>
      </c>
      <c r="J1156" s="6" t="inlineStr">
        <is>
          <t>Tavla öğrettin; torun sıkıldı ve telefonuna döndü. Telefonda bir tavla uygulaması açtı. Seni yendi.</t>
        </is>
      </c>
      <c r="K1156" s="6" t="inlineStr">
        <is>
          <t>Tavla öğrettin; torun ikinci oyunda senin eski bir hileni yakaladı. Akşam aile grubuna yazdı: 'Hile yapıyor, kanıtım var.' Videosu da vardı.</t>
        </is>
      </c>
      <c r="L1156" s="6" t="inlineStr"/>
      <c r="M1156" s="5" t="inlineStr"/>
      <c r="N1156" s="5" t="inlineStr"/>
      <c r="O1156" s="6" t="inlineStr"/>
      <c r="P1156" s="6" t="inlineStr"/>
      <c r="Q1156" s="5" t="inlineStr">
        <is>
          <t>Tavla Kurdu</t>
        </is>
      </c>
      <c r="R1156" s="5" t="inlineStr"/>
      <c r="S1156" s="5" t="inlineStr"/>
      <c r="T1156" s="5" t="inlineStr"/>
      <c r="U1156" s="5" t="inlineStr"/>
      <c r="V1156" s="5" t="inlineStr"/>
      <c r="W1156" s="5" t="inlineStr"/>
      <c r="X1156" s="5" t="inlineStr"/>
      <c r="Y1156" s="5" t="inlineStr"/>
      <c r="Z1156" s="6" t="inlineStr"/>
      <c r="AA1156" s="5" t="inlineStr"/>
      <c r="AB1156" s="5" t="inlineStr"/>
      <c r="AC1156" s="5" t="inlineStr"/>
      <c r="AD1156" s="5" t="inlineStr"/>
      <c r="AE1156" s="5" t="inlineStr"/>
      <c r="AF1156" s="5" t="inlineStr"/>
      <c r="AG1156" s="5" t="inlineStr"/>
      <c r="AH1156" s="5" t="inlineStr"/>
      <c r="AI1156" s="5" t="inlineStr"/>
      <c r="AJ1156" s="5" t="inlineStr"/>
    </row>
    <row r="1157">
      <c r="A1157" s="5" t="inlineStr">
        <is>
          <t>ms-son-roportaj</t>
        </is>
      </c>
      <c r="B1157" s="5" t="n">
        <v>1</v>
      </c>
      <c r="C1157" s="6" t="inlineStr">
        <is>
          <t>Dürüst cevap ver</t>
        </is>
      </c>
      <c r="D1157" s="5" t="inlineStr"/>
      <c r="E1157" s="5" t="inlineStr"/>
      <c r="F1157" s="5" t="inlineStr">
        <is>
          <t>İtibar +1</t>
        </is>
      </c>
      <c r="G1157" s="6" t="inlineStr">
        <is>
          <t>Cevabın 'Bilmiyorum' oldu. Öğrenci bunu tezine başlık yaptı.</t>
        </is>
      </c>
      <c r="H1157" s="6" t="inlineStr"/>
      <c r="I1157" s="6" t="inlineStr"/>
      <c r="J1157" s="6" t="inlineStr"/>
      <c r="K1157" s="6" t="inlineStr"/>
      <c r="L1157" s="6" t="inlineStr"/>
      <c r="M1157" s="5" t="inlineStr"/>
      <c r="N1157" s="5" t="inlineStr"/>
      <c r="O1157" s="6" t="inlineStr"/>
      <c r="P1157" s="6" t="inlineStr"/>
      <c r="Q1157" s="5" t="inlineStr"/>
      <c r="R1157" s="5" t="inlineStr"/>
      <c r="S1157" s="5" t="inlineStr"/>
      <c r="T1157" s="5" t="inlineStr"/>
      <c r="U1157" s="5" t="inlineStr"/>
      <c r="V1157" s="5" t="inlineStr"/>
      <c r="W1157" s="5" t="inlineStr"/>
      <c r="X1157" s="5" t="inlineStr"/>
      <c r="Y1157" s="5" t="inlineStr"/>
      <c r="Z1157" s="6" t="inlineStr"/>
      <c r="AA1157" s="5" t="inlineStr"/>
      <c r="AB1157" s="5" t="inlineStr"/>
      <c r="AC1157" s="5" t="inlineStr"/>
      <c r="AD1157" s="5" t="inlineStr"/>
      <c r="AE1157" s="5" t="inlineStr"/>
      <c r="AF1157" s="5" t="inlineStr"/>
      <c r="AG1157" s="5" t="inlineStr"/>
      <c r="AH1157" s="5" t="inlineStr"/>
      <c r="AI1157" s="5" t="inlineStr"/>
      <c r="AJ1157" s="5" t="inlineStr"/>
    </row>
    <row r="1158">
      <c r="A1158" s="5" t="inlineStr">
        <is>
          <t>ms-son-roportaj</t>
        </is>
      </c>
      <c r="B1158" s="5" t="n">
        <v>2</v>
      </c>
      <c r="C1158" s="6" t="inlineStr">
        <is>
          <t>Efsane uydur</t>
        </is>
      </c>
      <c r="D1158" s="5" t="inlineStr">
        <is>
          <t>Pişkinlik</t>
        </is>
      </c>
      <c r="E1158" s="5" t="inlineStr">
        <is>
          <t>Orta</t>
        </is>
      </c>
      <c r="F1158" s="5" t="inlineStr"/>
      <c r="G1158" s="6" t="inlineStr"/>
      <c r="H1158" s="6" t="inlineStr">
        <is>
          <t>Bir koleksiyoncu, bir kayıp tablo ve bir fırtınalı gece anlattın. Tez çok beğenildi.</t>
        </is>
      </c>
      <c r="I1158" s="6" t="inlineStr">
        <is>
          <t>Uydurduğun hikâye o kadar sevildi ki üniversite ders kitabına girdi. Artık gerçek.</t>
        </is>
      </c>
      <c r="J1158" s="6" t="inlineStr">
        <is>
          <t>Öğrenci her şeyi kontrol etti. Fırtınalı gecenin hava durumu güneşli çıktı.</t>
        </is>
      </c>
      <c r="K1158" s="6" t="inlineStr">
        <is>
          <t>Hikâyeyi anlatırken üç kez farklı bitirdin. Tezin adı 'Güvenilmez Anlatıcı' oldu.</t>
        </is>
      </c>
      <c r="L1158" s="6" t="inlineStr"/>
      <c r="M1158" s="5" t="inlineStr"/>
      <c r="N1158" s="5" t="inlineStr"/>
      <c r="O1158" s="6" t="inlineStr"/>
      <c r="P1158" s="6" t="inlineStr"/>
      <c r="Q1158" s="5" t="inlineStr"/>
      <c r="R1158" s="5" t="inlineStr"/>
      <c r="S1158" s="5" t="inlineStr"/>
      <c r="T1158" s="5" t="inlineStr"/>
      <c r="U1158" s="5" t="inlineStr"/>
      <c r="V1158" s="5" t="inlineStr"/>
      <c r="W1158" s="5" t="inlineStr"/>
      <c r="X1158" s="5" t="inlineStr"/>
      <c r="Y1158" s="5" t="inlineStr"/>
      <c r="Z1158" s="6" t="inlineStr"/>
      <c r="AA1158" s="5" t="inlineStr"/>
      <c r="AB1158" s="5" t="inlineStr"/>
      <c r="AC1158" s="5" t="inlineStr"/>
      <c r="AD1158" s="5" t="inlineStr"/>
      <c r="AE1158" s="5" t="inlineStr"/>
      <c r="AF1158" s="5" t="inlineStr"/>
      <c r="AG1158" s="5" t="inlineStr"/>
      <c r="AH1158" s="5" t="inlineStr"/>
      <c r="AI1158" s="5" t="inlineStr"/>
      <c r="AJ1158" s="5" t="inlineStr"/>
    </row>
    <row r="1159">
      <c r="A1159" s="5" t="inlineStr">
        <is>
          <t>ms-son-roportaj</t>
        </is>
      </c>
      <c r="B1159" s="5" t="n">
        <v>3</v>
      </c>
      <c r="C1159" s="6" t="inlineStr">
        <is>
          <t>'Tezine ücret ödeyemem ama görünürlük sağlarım' de</t>
        </is>
      </c>
      <c r="D1159" s="5" t="inlineStr">
        <is>
          <t>Kurnazlık</t>
        </is>
      </c>
      <c r="E1159" s="5" t="inlineStr">
        <is>
          <t>Kolay</t>
        </is>
      </c>
      <c r="F1159" s="5" t="inlineStr"/>
      <c r="G1159" s="6" t="inlineStr"/>
      <c r="H1159" s="6" t="inlineStr">
        <is>
          <t>Öğrenci güldü, sonra durdu: 'Ciddi misiniz?' Kırk yıl önce sen de aynı cümleyi kurmuştun; aynı yüzle.</t>
        </is>
      </c>
      <c r="I1159" s="6" t="inlineStr">
        <is>
          <t>Öğrenci 'Kabul' dedi. Tezin kapağında adın, altında 'görünürlük sponsoru' yazıyor.</t>
        </is>
      </c>
      <c r="J1159" s="6" t="inlineStr">
        <is>
          <t>Öğrenci şakayı anlamadı ve fatura kesmeye kalktı. Kaşesi yokmuş.</t>
        </is>
      </c>
      <c r="K1159" s="6" t="inlineStr">
        <is>
          <t>Öğrenci ciddi ciddi 'Kaç takipçiniz var?' diye sordu. Sayı yetmedi.</t>
        </is>
      </c>
      <c r="L1159" s="6" t="inlineStr"/>
      <c r="M1159" s="5" t="inlineStr"/>
      <c r="N1159" s="5" t="inlineStr"/>
      <c r="O1159" s="6" t="inlineStr"/>
      <c r="P1159" s="6" t="inlineStr"/>
      <c r="Q1159" s="5" t="inlineStr"/>
      <c r="R1159" s="5" t="inlineStr"/>
      <c r="S1159" s="5" t="inlineStr"/>
      <c r="T1159" s="5" t="inlineStr"/>
      <c r="U1159" s="5" t="inlineStr"/>
      <c r="V1159" s="5" t="inlineStr"/>
      <c r="W1159" s="5" t="inlineStr"/>
      <c r="X1159" s="5" t="inlineStr"/>
      <c r="Y1159" s="5" t="inlineStr"/>
      <c r="Z1159" s="6" t="inlineStr"/>
      <c r="AA1159" s="5" t="inlineStr"/>
      <c r="AB1159" s="5" t="inlineStr"/>
      <c r="AC1159" s="5" t="inlineStr"/>
      <c r="AD1159" s="5" t="inlineStr"/>
      <c r="AE1159" s="5" t="inlineStr"/>
      <c r="AF1159" s="5" t="inlineStr"/>
      <c r="AG1159" s="5" t="inlineStr"/>
      <c r="AH1159" s="5" t="inlineStr"/>
      <c r="AI1159" s="5" t="inlineStr"/>
      <c r="AJ1159" s="5" t="inlineStr"/>
    </row>
    <row r="1160">
      <c r="A1160" s="5" t="inlineStr">
        <is>
          <t>ms-son-roportaj</t>
        </is>
      </c>
      <c r="B1160" s="5" t="n">
        <v>4</v>
      </c>
      <c r="C1160" s="6" t="inlineStr">
        <is>
          <t>Fon başvurusu yazmayı öğret</t>
        </is>
      </c>
      <c r="D1160" s="5" t="inlineStr">
        <is>
          <t>Akıl</t>
        </is>
      </c>
      <c r="E1160" s="5" t="inlineStr">
        <is>
          <t>Kolay</t>
        </is>
      </c>
      <c r="F1160" s="5" t="inlineStr"/>
      <c r="G1160" s="6" t="inlineStr"/>
      <c r="H1160" s="6" t="inlineStr">
        <is>
          <t>Otuz sekiz sayfalık formun sırlarını anlattın. Öğrencin ilk başvurusunda fonu aldı.</t>
        </is>
      </c>
      <c r="I1160" s="6" t="inlineStr">
        <is>
          <t>Öğrencin fonu aldı ve teşekkür bölümüne seni yazdı. Doğru yazılmış.</t>
        </is>
      </c>
      <c r="J1160" s="6" t="inlineStr">
        <is>
          <t>Anlattın; bu yıl form yüz sayfaya çıkmış.</t>
        </is>
      </c>
      <c r="K1160" s="6" t="inlineStr">
        <is>
          <t>Öğrettiğin her şey eskimiş. Başvuruları artık bir yapay zekâ okuyor; otuz sekiz sayfanı tek satıra indirdi: 'Fazla duygusal.'</t>
        </is>
      </c>
      <c r="L1160" s="6" t="inlineStr"/>
      <c r="M1160" s="5" t="inlineStr"/>
      <c r="N1160" s="5" t="inlineStr"/>
      <c r="O1160" s="6" t="inlineStr"/>
      <c r="P1160" s="6" t="inlineStr"/>
      <c r="Q1160" s="5" t="inlineStr"/>
      <c r="R1160" s="5" t="inlineStr">
        <is>
          <t>serbest-fon-aldi</t>
        </is>
      </c>
      <c r="S1160" s="5" t="inlineStr"/>
      <c r="T1160" s="5" t="inlineStr"/>
      <c r="U1160" s="5" t="inlineStr"/>
      <c r="V1160" s="5" t="inlineStr"/>
      <c r="W1160" s="5" t="inlineStr"/>
      <c r="X1160" s="5" t="inlineStr"/>
      <c r="Y1160" s="5" t="inlineStr"/>
      <c r="Z1160" s="6" t="inlineStr"/>
      <c r="AA1160" s="5" t="inlineStr"/>
      <c r="AB1160" s="5" t="inlineStr"/>
      <c r="AC1160" s="5" t="inlineStr"/>
      <c r="AD1160" s="5" t="inlineStr"/>
      <c r="AE1160" s="5" t="inlineStr"/>
      <c r="AF1160" s="5" t="inlineStr"/>
      <c r="AG1160" s="5" t="inlineStr"/>
      <c r="AH1160" s="5" t="inlineStr"/>
      <c r="AI1160" s="5" t="inlineStr"/>
      <c r="AJ1160" s="5" t="inlineStr"/>
    </row>
    <row r="1161">
      <c r="A1161" s="5" t="inlineStr">
        <is>
          <t>b9-hayat-muhasebesi</t>
        </is>
      </c>
      <c r="B1161" s="5" t="n">
        <v>1</v>
      </c>
      <c r="C1161" s="6" t="inlineStr">
        <is>
          <t>Alkışla, pastayı kes</t>
        </is>
      </c>
      <c r="D1161" s="5" t="inlineStr"/>
      <c r="E1161" s="5" t="inlineStr"/>
      <c r="F1161" s="5" t="inlineStr">
        <is>
          <t>İtibar +1, Dayanıklılık +1</t>
        </is>
      </c>
      <c r="G1161" s="6" t="inlineStr">
        <is>
          <t>Alkışladın, pastayı kestin. Yetmiş mumun yarısı sönmedi; kalanını sofradaki en küçükler üfledi.</t>
        </is>
      </c>
      <c r="H1161" s="6" t="inlineStr"/>
      <c r="I1161" s="6" t="inlineStr"/>
      <c r="J1161" s="6" t="inlineStr"/>
      <c r="K1161" s="6" t="inlineStr"/>
      <c r="L1161" s="6" t="inlineStr"/>
      <c r="M1161" s="5" t="inlineStr"/>
      <c r="N1161" s="5" t="inlineStr"/>
      <c r="O1161" s="6" t="inlineStr"/>
      <c r="P1161" s="6" t="inlineStr"/>
      <c r="Q1161" s="5" t="inlineStr"/>
      <c r="R1161" s="5" t="inlineStr"/>
      <c r="S1161" s="5" t="inlineStr"/>
      <c r="T1161" s="5" t="inlineStr"/>
      <c r="U1161" s="5" t="inlineStr"/>
      <c r="V1161" s="5" t="inlineStr"/>
      <c r="W1161" s="5" t="inlineStr"/>
      <c r="X1161" s="5" t="inlineStr"/>
      <c r="Y1161" s="5" t="inlineStr"/>
      <c r="Z1161" s="6" t="inlineStr"/>
      <c r="AA1161" s="5" t="inlineStr"/>
      <c r="AB1161" s="5" t="inlineStr"/>
      <c r="AC1161" s="5" t="inlineStr"/>
      <c r="AD1161" s="5" t="inlineStr"/>
      <c r="AE1161" s="5" t="inlineStr"/>
      <c r="AF1161" s="5" t="inlineStr"/>
      <c r="AG1161" s="5" t="inlineStr"/>
      <c r="AH1161" s="5" t="inlineStr"/>
      <c r="AI1161" s="5" t="inlineStr"/>
      <c r="AJ1161" s="5" t="inlineStr"/>
    </row>
    <row r="1162">
      <c r="A1162" s="5" t="inlineStr">
        <is>
          <t>b9-hayat-muhasebesi</t>
        </is>
      </c>
      <c r="B1162" s="5" t="n">
        <v>2</v>
      </c>
      <c r="C1162" s="6" t="inlineStr">
        <is>
          <t>Her fotoğrafın hikâyesini anlat</t>
        </is>
      </c>
      <c r="D1162" s="5" t="inlineStr">
        <is>
          <t>Çene</t>
        </is>
      </c>
      <c r="E1162" s="5" t="inlineStr">
        <is>
          <t>Orta</t>
        </is>
      </c>
      <c r="F1162" s="5" t="inlineStr"/>
      <c r="G1162" s="6" t="inlineStr"/>
      <c r="H1162" s="6" t="inlineStr">
        <is>
          <t>Anlattın. Torunlar ilk kez dinledi. Bir saat sonra slaytların yarısında kaldınız.</t>
        </is>
      </c>
      <c r="I1162" s="6" t="inlineStr">
        <is>
          <t>Anlattığın her hikâyeyi sofradaki en küçük telefonuna kaydetti. Aile grubunda 'Büyüğümüzün sesi' diye bir klasör açıldı; en çok dinlenen, en çok abarttığın.</t>
        </is>
      </c>
      <c r="J1162" s="6" t="inlineStr">
        <is>
          <t>Anlatmaya başladın; slayt gösterisi seni beklemedi. Sen düğünü anlatırken ekranda mezuniyetin geçti, sonra bir kedi, sonra yine sen, bebekken. Hikâye bir türlü yetişemedi.</t>
        </is>
      </c>
      <c r="K1162" s="6" t="inlineStr">
        <is>
          <t>Anlattın ama fotoğraflardaki kişileri karıştırdın. Bir teyze, iki farklı düğünde gelin ilan edildi.</t>
        </is>
      </c>
      <c r="L1162" s="6" t="inlineStr"/>
      <c r="M1162" s="5" t="inlineStr"/>
      <c r="N1162" s="5" t="inlineStr"/>
      <c r="O1162" s="6" t="inlineStr"/>
      <c r="P1162" s="6" t="inlineStr"/>
      <c r="Q1162" s="5" t="inlineStr"/>
      <c r="R1162" s="5" t="inlineStr"/>
      <c r="S1162" s="5" t="inlineStr"/>
      <c r="T1162" s="5" t="inlineStr"/>
      <c r="U1162" s="5" t="inlineStr"/>
      <c r="V1162" s="5" t="inlineStr"/>
      <c r="W1162" s="5" t="inlineStr"/>
      <c r="X1162" s="5" t="inlineStr"/>
      <c r="Y1162" s="5" t="inlineStr"/>
      <c r="Z1162" s="6" t="inlineStr"/>
      <c r="AA1162" s="5" t="inlineStr"/>
      <c r="AB1162" s="5" t="inlineStr"/>
      <c r="AC1162" s="5" t="inlineStr"/>
      <c r="AD1162" s="5" t="inlineStr"/>
      <c r="AE1162" s="5" t="inlineStr"/>
      <c r="AF1162" s="5" t="inlineStr"/>
      <c r="AG1162" s="5" t="inlineStr"/>
      <c r="AH1162" s="5" t="inlineStr"/>
      <c r="AI1162" s="5" t="inlineStr"/>
      <c r="AJ1162" s="5" t="inlineStr"/>
    </row>
    <row r="1163">
      <c r="A1163" s="5" t="inlineStr">
        <is>
          <t>b9-hayat-muhasebesi</t>
        </is>
      </c>
      <c r="B1163" s="5" t="n">
        <v>3</v>
      </c>
      <c r="C1163" s="6" t="inlineStr">
        <is>
          <t>Vazo meselesini itiraf et</t>
        </is>
      </c>
      <c r="D1163" s="5" t="inlineStr">
        <is>
          <t>İtibar</t>
        </is>
      </c>
      <c r="E1163" s="5" t="inlineStr">
        <is>
          <t>Zor</t>
        </is>
      </c>
      <c r="F1163" s="5" t="inlineStr"/>
      <c r="G1163" s="6" t="inlineStr"/>
      <c r="H1163" s="6" t="inlineStr">
        <is>
          <t>İtiraf ettin: vazoyu sen kırmıştın. Salonda sessizlik. Sonra alkış. Kedinin adı yetmiş yıl sonra temize çıktı.</t>
        </is>
      </c>
      <c r="I1163" s="6" t="inlineStr">
        <is>
          <t>İtiraf ettin ve bir kardeşin de ayağa kalkıp başka bir vazoyu itiraf etti. Aile bir itiraf gecesine dönüştü.</t>
        </is>
      </c>
      <c r="J1163" s="6" t="inlineStr">
        <is>
          <t>İtiraf ettin; kimse şaşırmadı. 'Biliyorduk' dediler. Yetmiş yıl boyunca sadece sen bilmediğini sanmışsın.</t>
        </is>
      </c>
      <c r="K1163" s="6" t="inlineStr">
        <is>
          <t>İtiraf ettin; kedinin adına bir anma dakikası talep edildi. Yaş günün, kedinin yas günü oldu.</t>
        </is>
      </c>
      <c r="L1163" s="6" t="inlineStr"/>
      <c r="M1163" s="5" t="inlineStr"/>
      <c r="N1163" s="5" t="inlineStr"/>
      <c r="O1163" s="6" t="inlineStr"/>
      <c r="P1163" s="6" t="inlineStr"/>
      <c r="Q1163" s="5" t="inlineStr"/>
      <c r="R1163" s="5" t="inlineStr">
        <is>
          <t>kediSuclu</t>
        </is>
      </c>
      <c r="S1163" s="5" t="inlineStr"/>
      <c r="T1163" s="5" t="inlineStr"/>
      <c r="U1163" s="5" t="inlineStr"/>
      <c r="V1163" s="5" t="inlineStr"/>
      <c r="W1163" s="5" t="inlineStr"/>
      <c r="X1163" s="5" t="inlineStr"/>
      <c r="Y1163" s="5" t="inlineStr"/>
      <c r="Z1163" s="6" t="inlineStr"/>
      <c r="AA1163" s="5" t="inlineStr"/>
      <c r="AB1163" s="5" t="inlineStr"/>
      <c r="AC1163" s="5" t="inlineStr"/>
      <c r="AD1163" s="5" t="inlineStr"/>
      <c r="AE1163" s="5" t="inlineStr"/>
      <c r="AF1163" s="5" t="inlineStr"/>
      <c r="AG1163" s="5" t="inlineStr"/>
      <c r="AH1163" s="5" t="inlineStr"/>
      <c r="AI1163" s="5" t="inlineStr"/>
      <c r="AJ1163" s="5" t="inlineStr"/>
    </row>
    <row r="1164">
      <c r="A1164" s="5" t="inlineStr">
        <is>
          <t>b10-noter-vasiyet</t>
        </is>
      </c>
      <c r="B1164" s="5" t="n">
        <v>1</v>
      </c>
      <c r="C1164" s="6" t="inlineStr">
        <is>
          <t>Kaşığına kadar eşit böl</t>
        </is>
      </c>
      <c r="D1164" s="5" t="inlineStr"/>
      <c r="E1164" s="5" t="inlineStr"/>
      <c r="F1164" s="5" t="inlineStr">
        <is>
          <t>İtibar +1</t>
        </is>
      </c>
      <c r="G1164" s="6" t="inlineStr">
        <is>
          <t>Kaşıkları bile saydırdın, her şeyi eşit böldün. Herkes kendi payının en küçük olduğuna ayrı ayrı ikna oldu; bayramda her biri bunu sana ayrı ayrı anlattı.</t>
        </is>
      </c>
      <c r="H1164" s="6" t="inlineStr"/>
      <c r="I1164" s="6" t="inlineStr"/>
      <c r="J1164" s="6" t="inlineStr"/>
      <c r="K1164" s="6" t="inlineStr"/>
      <c r="L1164" s="6" t="inlineStr"/>
      <c r="M1164" s="5" t="inlineStr"/>
      <c r="N1164" s="5" t="inlineStr"/>
      <c r="O1164" s="6" t="inlineStr"/>
      <c r="P1164" s="6" t="inlineStr"/>
      <c r="Q1164" s="5" t="inlineStr"/>
      <c r="R1164" s="5" t="inlineStr"/>
      <c r="S1164" s="5" t="inlineStr"/>
      <c r="T1164" s="5" t="inlineStr"/>
      <c r="U1164" s="5" t="inlineStr">
        <is>
          <t>vasiyet-yazildi</t>
        </is>
      </c>
      <c r="V1164" s="5" t="inlineStr"/>
      <c r="W1164" s="5" t="inlineStr"/>
      <c r="X1164" s="5" t="inlineStr"/>
      <c r="Y1164" s="5" t="inlineStr"/>
      <c r="Z1164" s="6" t="inlineStr"/>
      <c r="AA1164" s="5" t="inlineStr"/>
      <c r="AB1164" s="5" t="inlineStr"/>
      <c r="AC1164" s="5" t="inlineStr"/>
      <c r="AD1164" s="5" t="inlineStr"/>
      <c r="AE1164" s="5" t="inlineStr"/>
      <c r="AF1164" s="5" t="inlineStr"/>
      <c r="AG1164" s="5" t="inlineStr"/>
      <c r="AH1164" s="5" t="inlineStr"/>
      <c r="AI1164" s="5" t="inlineStr"/>
      <c r="AJ1164" s="5" t="inlineStr"/>
    </row>
    <row r="1165">
      <c r="A1165" s="5" t="inlineStr">
        <is>
          <t>b10-noter-vasiyet</t>
        </is>
      </c>
      <c r="B1165" s="5" t="n">
        <v>2</v>
      </c>
      <c r="C1165" s="6" t="inlineStr">
        <is>
          <t>Maddeleri tek tek yazdır</t>
        </is>
      </c>
      <c r="D1165" s="5" t="inlineStr">
        <is>
          <t>Akıl</t>
        </is>
      </c>
      <c r="E1165" s="5" t="inlineStr">
        <is>
          <t>Zor</t>
        </is>
      </c>
      <c r="F1165" s="5" t="inlineStr"/>
      <c r="G1165" s="6" t="inlineStr"/>
      <c r="H1165" s="6" t="inlineStr">
        <is>
          <t>Kırk iki madde, üç ek, bir dipnot. Katip son sayfayı imzalatırken iç çekti: 'Benim babam iki satırla gitti. Otuz yıldır küsüz.'</t>
        </is>
      </c>
      <c r="I1165" s="6" t="inlineStr">
        <is>
          <t>Vasiyet o kadar net oldu ki ailede küsecek kimse kalmadı. Avukat yeğenin bayram sofrasında ilk kez ağzını açmadı.</t>
        </is>
      </c>
      <c r="J1165" s="6" t="inlineStr">
        <is>
          <t>Madde sayısı yirmiyi geçince katip kalemi bıraktı: 'Gerisini haftaya yazalım.' Haftaya kadar fikrin iki kez değişti.</t>
        </is>
      </c>
      <c r="K1165" s="6" t="inlineStr">
        <is>
          <t>Çaydanlığı üç ayrı maddede üç ayrı kişiye bıraktın. Şahit bakkal bunu akşama bütün mahalleye anlattı. Bayramda üç yeğen çaydanlığın başına dikildi; o gün kimse çay içemedi.</t>
        </is>
      </c>
      <c r="L1165" s="6" t="inlineStr"/>
      <c r="M1165" s="5" t="inlineStr"/>
      <c r="N1165" s="5" t="inlineStr"/>
      <c r="O1165" s="6" t="inlineStr"/>
      <c r="P1165" s="6" t="inlineStr"/>
      <c r="Q1165" s="5" t="inlineStr"/>
      <c r="R1165" s="5" t="inlineStr"/>
      <c r="S1165" s="5" t="inlineStr"/>
      <c r="T1165" s="5" t="inlineStr">
        <is>
          <t>Hayat Arşivcisi</t>
        </is>
      </c>
      <c r="U1165" s="5" t="inlineStr"/>
      <c r="V1165" s="5" t="inlineStr">
        <is>
          <t>vasiyet-yazildi</t>
        </is>
      </c>
      <c r="W1165" s="5" t="inlineStr"/>
      <c r="X1165" s="5" t="inlineStr"/>
      <c r="Y1165" s="5" t="inlineStr"/>
      <c r="Z1165" s="6" t="inlineStr"/>
      <c r="AA1165" s="5" t="inlineStr"/>
      <c r="AB1165" s="5" t="inlineStr"/>
      <c r="AC1165" s="5" t="inlineStr"/>
      <c r="AD1165" s="5" t="inlineStr"/>
      <c r="AE1165" s="5" t="inlineStr"/>
      <c r="AF1165" s="5" t="inlineStr"/>
      <c r="AG1165" s="5" t="inlineStr"/>
      <c r="AH1165" s="5" t="inlineStr"/>
      <c r="AI1165" s="5" t="inlineStr"/>
      <c r="AJ1165" s="5" t="inlineStr"/>
    </row>
    <row r="1166">
      <c r="A1166" s="5" t="inlineStr">
        <is>
          <t>b10-noter-vasiyet</t>
        </is>
      </c>
      <c r="B1166" s="5" t="n">
        <v>3</v>
      </c>
      <c r="C1166" s="6" t="inlineStr">
        <is>
          <t>Vasiyete bir mavi kutu ekle</t>
        </is>
      </c>
      <c r="D1166" s="5" t="inlineStr">
        <is>
          <t>Pişkinlik</t>
        </is>
      </c>
      <c r="E1166" s="5" t="inlineStr">
        <is>
          <t>Orta</t>
        </is>
      </c>
      <c r="F1166" s="5" t="inlineStr"/>
      <c r="G1166" s="6" t="inlineStr"/>
      <c r="H1166" s="6" t="inlineStr">
        <is>
          <t>'Mavi kutu, onu hak eden kişiye.' Katip yazarken güldü. O akşam aile grubunda 'hak etmek' kelimesinin anlamı tartışıldı.</t>
        </is>
      </c>
      <c r="I1166" s="6" t="inlineStr">
        <is>
          <t>Mavi kutuyu kimse bulamadı. Akrabalar dolapların üstüne, yatağın altına, turşu kavanozlarının arkasına baktı; ev hiç bu kadar temiz olmamıştı. Sen çayını içip izledin.</t>
        </is>
      </c>
      <c r="J1166" s="6" t="inlineStr">
        <is>
          <t>Katip 'Mavi kutu ne, nerede?' diye sordu. 'Sonra söylerim' dedin. Katip 'Sonrası olmayabilir' demedi ama yüzü dedi; madde yazılmadı.</t>
        </is>
      </c>
      <c r="K1166" s="6" t="inlineStr">
        <is>
          <t>En meraklı yeğenin mavi kutuyu dolabın üstünde buldu, dayanamadı, açtı. İçinden otuz yıllık elektrik faturaları çıktı. O günden beri akrabalar seni eskisi kadar sık aramıyor.</t>
        </is>
      </c>
      <c r="L1166" s="6" t="inlineStr"/>
      <c r="M1166" s="5" t="inlineStr"/>
      <c r="N1166" s="5" t="inlineStr"/>
      <c r="O1166" s="6" t="inlineStr"/>
      <c r="P1166" s="6" t="inlineStr"/>
      <c r="Q1166" s="5" t="inlineStr"/>
      <c r="R1166" s="5" t="inlineStr"/>
      <c r="S1166" s="5" t="inlineStr"/>
      <c r="T1166" s="5" t="inlineStr"/>
      <c r="U1166" s="5" t="inlineStr">
        <is>
          <t>vasiyet-yazildi</t>
        </is>
      </c>
      <c r="V1166" s="5" t="inlineStr"/>
      <c r="W1166" s="5" t="inlineStr"/>
      <c r="X1166" s="5" t="inlineStr"/>
      <c r="Y1166" s="5" t="inlineStr"/>
      <c r="Z1166" s="6" t="inlineStr"/>
      <c r="AA1166" s="5" t="inlineStr"/>
      <c r="AB1166" s="5" t="inlineStr"/>
      <c r="AC1166" s="5" t="inlineStr"/>
      <c r="AD1166" s="5" t="inlineStr"/>
      <c r="AE1166" s="5" t="inlineStr"/>
      <c r="AF1166" s="5" t="inlineStr"/>
      <c r="AG1166" s="5" t="inlineStr"/>
      <c r="AH1166" s="5" t="inlineStr"/>
      <c r="AI1166" s="5" t="inlineStr"/>
      <c r="AJ1166" s="5" t="inlineStr"/>
    </row>
    <row r="1167">
      <c r="A1167" s="5" t="inlineStr">
        <is>
          <t>b10-noter-vasiyet</t>
        </is>
      </c>
      <c r="B1167" s="5" t="n">
        <v>4</v>
      </c>
      <c r="C1167" s="6" t="inlineStr">
        <is>
          <t>Kumbaranın yerini de yazdır</t>
        </is>
      </c>
      <c r="D1167" s="5" t="inlineStr"/>
      <c r="E1167" s="5" t="inlineStr"/>
      <c r="F1167" s="5" t="inlineStr">
        <is>
          <t>Kurnazlık +1</t>
        </is>
      </c>
      <c r="G1167" s="6" t="inlineStr">
        <is>
          <t>Çocukluktan kalan kumbara vasiyete işlendi. İçindeki bozuklukların alım gücü bir simit, manevi değeri bir ev.</t>
        </is>
      </c>
      <c r="H1167" s="6" t="inlineStr"/>
      <c r="I1167" s="6" t="inlineStr"/>
      <c r="J1167" s="6" t="inlineStr"/>
      <c r="K1167" s="6" t="inlineStr"/>
      <c r="L1167" s="6" t="inlineStr"/>
      <c r="M1167" s="5" t="inlineStr"/>
      <c r="N1167" s="5" t="inlineStr"/>
      <c r="O1167" s="6" t="inlineStr"/>
      <c r="P1167" s="6" t="inlineStr"/>
      <c r="Q1167" s="5" t="inlineStr"/>
      <c r="R1167" s="5" t="inlineStr">
        <is>
          <t>ilkKelimePara</t>
        </is>
      </c>
      <c r="S1167" s="5" t="inlineStr"/>
      <c r="T1167" s="5" t="inlineStr"/>
      <c r="U1167" s="5" t="inlineStr">
        <is>
          <t>vasiyet-yazildi</t>
        </is>
      </c>
      <c r="V1167" s="5" t="inlineStr"/>
      <c r="W1167" s="5" t="inlineStr"/>
      <c r="X1167" s="5" t="inlineStr"/>
      <c r="Y1167" s="5" t="inlineStr"/>
      <c r="Z1167" s="6" t="inlineStr"/>
      <c r="AA1167" s="5" t="inlineStr"/>
      <c r="AB1167" s="5" t="inlineStr"/>
      <c r="AC1167" s="5" t="inlineStr"/>
      <c r="AD1167" s="5" t="inlineStr"/>
      <c r="AE1167" s="5" t="inlineStr"/>
      <c r="AF1167" s="5" t="inlineStr"/>
      <c r="AG1167" s="5" t="inlineStr"/>
      <c r="AH1167" s="5" t="inlineStr"/>
      <c r="AI1167" s="5" t="inlineStr"/>
      <c r="AJ1167" s="5" t="inlineStr"/>
    </row>
    <row r="1168">
      <c r="A1168" s="5" t="inlineStr">
        <is>
          <t>b10-miras-provasi</t>
        </is>
      </c>
      <c r="B1168" s="5" t="n">
        <v>1</v>
      </c>
      <c r="C1168" s="6" t="inlineStr">
        <is>
          <t>'Ben daha buradayım' de</t>
        </is>
      </c>
      <c r="D1168" s="5" t="inlineStr"/>
      <c r="E1168" s="5" t="inlineStr"/>
      <c r="F1168" s="5" t="inlineStr">
        <is>
          <t>Cesaret +1</t>
        </is>
      </c>
      <c r="G1168" s="6" t="inlineStr">
        <is>
          <t>'Ben daha buradayım' dedin. Çatallar sessizce yeniden kalktı. Tatlıyı getiren en küçük çocuğun ilk dilimi sana uzattı, en büyüğünü; herkes gördü.</t>
        </is>
      </c>
      <c r="H1168" s="6" t="inlineStr"/>
      <c r="I1168" s="6" t="inlineStr"/>
      <c r="J1168" s="6" t="inlineStr"/>
      <c r="K1168" s="6" t="inlineStr"/>
      <c r="L1168" s="6" t="inlineStr"/>
      <c r="M1168" s="5" t="inlineStr"/>
      <c r="N1168" s="5" t="inlineStr"/>
      <c r="O1168" s="6" t="inlineStr"/>
      <c r="P1168" s="6" t="inlineStr"/>
      <c r="Q1168" s="5" t="inlineStr"/>
      <c r="R1168" s="5" t="inlineStr"/>
      <c r="S1168" s="5" t="inlineStr"/>
      <c r="T1168" s="5" t="inlineStr"/>
      <c r="U1168" s="5" t="inlineStr"/>
      <c r="V1168" s="5" t="inlineStr"/>
      <c r="W1168" s="5" t="inlineStr"/>
      <c r="X1168" s="5" t="inlineStr"/>
      <c r="Y1168" s="5" t="inlineStr"/>
      <c r="Z1168" s="6" t="inlineStr"/>
      <c r="AA1168" s="5" t="inlineStr"/>
      <c r="AB1168" s="5" t="inlineStr"/>
      <c r="AC1168" s="5" t="inlineStr"/>
      <c r="AD1168" s="5" t="inlineStr"/>
      <c r="AE1168" s="5" t="inlineStr"/>
      <c r="AF1168" s="5" t="inlineStr"/>
      <c r="AG1168" s="5" t="inlineStr"/>
      <c r="AH1168" s="5" t="inlineStr"/>
      <c r="AI1168" s="5" t="inlineStr"/>
      <c r="AJ1168" s="5" t="inlineStr"/>
    </row>
    <row r="1169">
      <c r="A1169" s="5" t="inlineStr">
        <is>
          <t>b10-miras-provasi</t>
        </is>
      </c>
      <c r="B1169" s="5" t="n">
        <v>2</v>
      </c>
      <c r="C1169" s="6" t="inlineStr">
        <is>
          <t>Sahte bir liste okut</t>
        </is>
      </c>
      <c r="D1169" s="5" t="inlineStr">
        <is>
          <t>Kurnazlık</t>
        </is>
      </c>
      <c r="E1169" s="5" t="inlineStr">
        <is>
          <t>Orta</t>
        </is>
      </c>
      <c r="F1169" s="5" t="inlineStr"/>
      <c r="G1169" s="6" t="inlineStr"/>
      <c r="H1169" s="6" t="inlineStr">
        <is>
          <t>Sahte listede takımı en küçük torununa yazdın. Masada üç kişi aynı anda 'Neden o?' dedi. Kimin neyi istediği artık belli.</t>
        </is>
      </c>
      <c r="I1169" s="6" t="inlineStr">
        <is>
          <t>Sahte listeyi okuttun. Adını en üstte görmek isteyen herkes birden hizmete geçti: biri bulaşığı yıkadı, biri çayı demledi, biri üç aydır takılmayan perdeyi taktı. Liste o akşam iki kez daha okundu.</t>
        </is>
      </c>
      <c r="J1169" s="6" t="inlineStr">
        <is>
          <t>Liste okununca kimse tepki vermedi. Herkes kendi gerçek listesini zaten hazırlamıştı.</t>
        </is>
      </c>
      <c r="K1169" s="6" t="inlineStr">
        <is>
          <t>Sahte listeyi gerçek sanan en küçük çocuğunun eşi, takımı o gece gazete kâğıdına sarıp götürdü. Sabah vitrinde tek bir şekerlik kaldı; içinde bir not: 'Siz söylemiştiniz.'</t>
        </is>
      </c>
      <c r="L1169" s="6" t="inlineStr"/>
      <c r="M1169" s="5" t="inlineStr"/>
      <c r="N1169" s="5" t="inlineStr"/>
      <c r="O1169" s="6" t="inlineStr"/>
      <c r="P1169" s="6" t="inlineStr"/>
      <c r="Q1169" s="5" t="inlineStr"/>
      <c r="R1169" s="5" t="inlineStr"/>
      <c r="S1169" s="5" t="inlineStr"/>
      <c r="T1169" s="5" t="inlineStr"/>
      <c r="U1169" s="5" t="inlineStr"/>
      <c r="V1169" s="5" t="inlineStr"/>
      <c r="W1169" s="5" t="inlineStr"/>
      <c r="X1169" s="5" t="inlineStr"/>
      <c r="Y1169" s="5" t="inlineStr"/>
      <c r="Z1169" s="6" t="inlineStr"/>
      <c r="AA1169" s="5" t="inlineStr"/>
      <c r="AB1169" s="5" t="inlineStr"/>
      <c r="AC1169" s="5" t="inlineStr"/>
      <c r="AD1169" s="5" t="inlineStr"/>
      <c r="AE1169" s="5" t="inlineStr"/>
      <c r="AF1169" s="5" t="inlineStr"/>
      <c r="AG1169" s="5" t="inlineStr"/>
      <c r="AH1169" s="5" t="inlineStr"/>
      <c r="AI1169" s="5" t="inlineStr"/>
      <c r="AJ1169" s="5" t="inlineStr"/>
    </row>
    <row r="1170">
      <c r="A1170" s="5" t="inlineStr">
        <is>
          <t>b10-miras-provasi</t>
        </is>
      </c>
      <c r="B1170" s="5" t="n">
        <v>3</v>
      </c>
      <c r="C1170" s="6" t="inlineStr">
        <is>
          <t>'Masanın sol ucu, konuşalım' de</t>
        </is>
      </c>
      <c r="D1170" s="5" t="inlineStr">
        <is>
          <t>Sosyal Radar</t>
        </is>
      </c>
      <c r="E1170" s="5" t="inlineStr">
        <is>
          <t>Kolay</t>
        </is>
      </c>
      <c r="F1170" s="5" t="inlineStr"/>
      <c r="G1170" s="6" t="inlineStr"/>
      <c r="H1170" s="6" t="inlineStr">
        <is>
          <t>Asıl isteyeni adıyla çağırdın. Kızardı: 'Senden bir hatıra olsun istedim, o kadar.' Takım şimdilik vitrinde, ama kimin olacağı belli.</t>
        </is>
      </c>
      <c r="I1170" s="6" t="inlineStr">
        <is>
          <t>Sol uç çözüldü, sağ uç da kendi derdini söyledi. Mesele takım değilmiş; ikisi de sana daha sık gelmek için bahane arıyormuş.</t>
        </is>
      </c>
      <c r="J1170" s="6" t="inlineStr">
        <is>
          <t>Sol uç 'Ben mi?' dedi, sağ uç güldü, ortadaki tatlıya uzandı. Takım vitrinde kaldı; bir sonraki pazar herkes yine vitrine bakarak oturdu.</t>
        </is>
      </c>
      <c r="K1170" s="6" t="inlineStr">
        <is>
          <t>Yanlış kişiyi çağırdın. O kişi takımı hiç istememişti; şimdi istiyor.</t>
        </is>
      </c>
      <c r="L1170" s="6" t="inlineStr"/>
      <c r="M1170" s="5" t="inlineStr"/>
      <c r="N1170" s="5" t="inlineStr"/>
      <c r="O1170" s="6" t="inlineStr"/>
      <c r="P1170" s="6" t="inlineStr"/>
      <c r="Q1170" s="5" t="inlineStr"/>
      <c r="R1170" s="5" t="inlineStr"/>
      <c r="S1170" s="5" t="inlineStr">
        <is>
          <t>Sosyal Radar</t>
        </is>
      </c>
      <c r="T1170" s="5" t="inlineStr"/>
      <c r="U1170" s="5" t="inlineStr"/>
      <c r="V1170" s="5" t="inlineStr"/>
      <c r="W1170" s="5" t="inlineStr"/>
      <c r="X1170" s="5" t="inlineStr"/>
      <c r="Y1170" s="5" t="inlineStr"/>
      <c r="Z1170" s="6" t="inlineStr"/>
      <c r="AA1170" s="5" t="inlineStr"/>
      <c r="AB1170" s="5" t="inlineStr"/>
      <c r="AC1170" s="5" t="inlineStr"/>
      <c r="AD1170" s="5" t="inlineStr"/>
      <c r="AE1170" s="5" t="inlineStr"/>
      <c r="AF1170" s="5" t="inlineStr"/>
      <c r="AG1170" s="5" t="inlineStr"/>
      <c r="AH1170" s="5" t="inlineStr"/>
      <c r="AI1170" s="5" t="inlineStr"/>
      <c r="AJ1170" s="5" t="inlineStr"/>
    </row>
    <row r="1171">
      <c r="A1171" s="5" t="inlineStr">
        <is>
          <t>b10-miras-provasi</t>
        </is>
      </c>
      <c r="B1171" s="5" t="n">
        <v>4</v>
      </c>
      <c r="C1171" s="6" t="inlineStr">
        <is>
          <t>Takımı hemen hediye et</t>
        </is>
      </c>
      <c r="D1171" s="5" t="inlineStr"/>
      <c r="E1171" s="5" t="inlineStr"/>
      <c r="F1171" s="5" t="inlineStr">
        <is>
          <t>Gönül +1</t>
        </is>
      </c>
      <c r="G1171" s="6" t="inlineStr">
        <is>
          <t>Takımı oracıkta paketletip soran kişiye verdin. Masa alkışladı. Akşam aile grubuna vitrinin fotoğrafı düştü; kimin attığı belli değil, ama halı ile avize kırmızı daireye alınmış.</t>
        </is>
      </c>
      <c r="H1171" s="6" t="inlineStr"/>
      <c r="I1171" s="6" t="inlineStr"/>
      <c r="J1171" s="6" t="inlineStr"/>
      <c r="K1171" s="6" t="inlineStr"/>
      <c r="L1171" s="6" t="inlineStr"/>
      <c r="M1171" s="5" t="inlineStr"/>
      <c r="N1171" s="5" t="inlineStr"/>
      <c r="O1171" s="6" t="inlineStr"/>
      <c r="P1171" s="6" t="inlineStr"/>
      <c r="Q1171" s="5" t="inlineStr"/>
      <c r="R1171" s="5" t="inlineStr"/>
      <c r="S1171" s="5" t="inlineStr"/>
      <c r="T1171" s="5" t="inlineStr"/>
      <c r="U1171" s="5" t="inlineStr"/>
      <c r="V1171" s="5" t="inlineStr"/>
      <c r="W1171" s="5" t="inlineStr"/>
      <c r="X1171" s="5" t="inlineStr"/>
      <c r="Y1171" s="5" t="inlineStr"/>
      <c r="Z1171" s="6" t="inlineStr"/>
      <c r="AA1171" s="5" t="inlineStr"/>
      <c r="AB1171" s="5" t="inlineStr"/>
      <c r="AC1171" s="5" t="inlineStr"/>
      <c r="AD1171" s="5" t="inlineStr"/>
      <c r="AE1171" s="5" t="inlineStr"/>
      <c r="AF1171" s="5" t="inlineStr"/>
      <c r="AG1171" s="5" t="inlineStr"/>
      <c r="AH1171" s="5" t="inlineStr"/>
      <c r="AI1171" s="5" t="inlineStr"/>
      <c r="AJ1171" s="5" t="inlineStr"/>
    </row>
    <row r="1172">
      <c r="A1172" s="5" t="inlineStr">
        <is>
          <t>b10-teknoloji-kursu</t>
        </is>
      </c>
      <c r="B1172" s="5" t="n">
        <v>1</v>
      </c>
      <c r="C1172" s="6" t="inlineStr">
        <is>
          <t>Not al, sessizce öğren</t>
        </is>
      </c>
      <c r="D1172" s="5" t="inlineStr"/>
      <c r="E1172" s="5" t="inlineStr"/>
      <c r="F1172" s="5" t="inlineStr">
        <is>
          <t>Akıl +1</t>
        </is>
      </c>
      <c r="G1172" s="6" t="inlineStr">
        <is>
          <t>Defterine kırk adım yazdın; kırk birincisi 'Gözlüğü tak'. Ertesi ay telefon yine güncellendi. Defter hâlâ çok düzenli.</t>
        </is>
      </c>
      <c r="H1172" s="6" t="inlineStr"/>
      <c r="I1172" s="6" t="inlineStr"/>
      <c r="J1172" s="6" t="inlineStr"/>
      <c r="K1172" s="6" t="inlineStr"/>
      <c r="L1172" s="6" t="inlineStr"/>
      <c r="M1172" s="5" t="inlineStr"/>
      <c r="N1172" s="5" t="inlineStr"/>
      <c r="O1172" s="6" t="inlineStr"/>
      <c r="P1172" s="6" t="inlineStr"/>
      <c r="Q1172" s="5" t="inlineStr"/>
      <c r="R1172" s="5" t="inlineStr"/>
      <c r="S1172" s="5" t="inlineStr"/>
      <c r="T1172" s="5" t="inlineStr"/>
      <c r="U1172" s="5" t="inlineStr"/>
      <c r="V1172" s="5" t="inlineStr"/>
      <c r="W1172" s="5" t="inlineStr"/>
      <c r="X1172" s="5" t="inlineStr"/>
      <c r="Y1172" s="5" t="inlineStr"/>
      <c r="Z1172" s="6" t="inlineStr"/>
      <c r="AA1172" s="5" t="inlineStr"/>
      <c r="AB1172" s="5" t="inlineStr"/>
      <c r="AC1172" s="5" t="inlineStr"/>
      <c r="AD1172" s="5" t="inlineStr"/>
      <c r="AE1172" s="5" t="inlineStr"/>
      <c r="AF1172" s="5" t="inlineStr"/>
      <c r="AG1172" s="5" t="inlineStr"/>
      <c r="AH1172" s="5" t="inlineStr"/>
      <c r="AI1172" s="5" t="inlineStr"/>
      <c r="AJ1172" s="5" t="inlineStr"/>
    </row>
    <row r="1173">
      <c r="A1173" s="5" t="inlineStr">
        <is>
          <t>b10-teknoloji-kursu</t>
        </is>
      </c>
      <c r="B1173" s="5" t="n">
        <v>2</v>
      </c>
      <c r="C1173" s="6" t="inlineStr">
        <is>
          <t>Aile grubuna sesli mesaj gönder</t>
        </is>
      </c>
      <c r="D1173" s="5" t="inlineStr">
        <is>
          <t>Pişkinlik</t>
        </is>
      </c>
      <c r="E1173" s="5" t="inlineStr">
        <is>
          <t>Orta</t>
        </is>
      </c>
      <c r="F1173" s="5" t="inlineStr"/>
      <c r="G1173" s="6" t="inlineStr"/>
      <c r="H1173" s="6" t="inlineStr">
        <is>
          <t>Kırk saniyelik sesli mesajı ilk denemede, parmağın kaymadan gönderdin. Gruba on iki kalp geldi; kursta örnek diye dinletildi.</t>
        </is>
      </c>
      <c r="I1173" s="6" t="inlineStr">
        <is>
          <t>Sesli mesajın o kadar sevildi ki aile grubu her sabah 'Günaydın'ı senden bekliyor. Bir sabah atmadın; öğlene kadar üç kişi kapına geldi.</t>
        </is>
      </c>
      <c r="J1173" s="6" t="inlineStr">
        <is>
          <t>Mesajın yirmi saniyesi 'Bu çalışıyor mu?' oldu, kalan on saniyesi nefes sesi. Gruba üç kişi aynı anda yazdı: 'İyi misin?'</t>
        </is>
      </c>
      <c r="K1173" s="6" t="inlineStr">
        <is>
          <t>Kaydı bitirdiğini sanıp telefonu cebine koydun. Aile grubu üç dakika boyunca pazar alışverişini dinledi; domatesçiyle pazarlığın dahil.</t>
        </is>
      </c>
      <c r="L1173" s="6" t="inlineStr">
        <is>
          <t>Mesaj gitti ama son cümlen 'Şimdi bırakıyor muyum…' diye bitti. Aile grubu üç gülme ifadesi gönderdi.</t>
        </is>
      </c>
      <c r="M1173" s="5" t="inlineStr">
        <is>
          <t>timing</t>
        </is>
      </c>
      <c r="N1173" s="5" t="inlineStr">
        <is>
          <t>Sesli Mesaj</t>
        </is>
      </c>
      <c r="O1173" s="6" t="inlineStr">
        <is>
          <t>İbre yeşil alandayken DURDUR'a bas. Art arda tutturdukça kombo kazanırsın.</t>
        </is>
      </c>
      <c r="P1173" s="6" t="n"/>
      <c r="Q1173" s="5" t="inlineStr"/>
      <c r="R1173" s="5" t="inlineStr"/>
      <c r="S1173" s="5" t="inlineStr"/>
      <c r="T1173" s="5" t="inlineStr"/>
      <c r="U1173" s="5" t="inlineStr"/>
      <c r="V1173" s="5" t="inlineStr"/>
      <c r="W1173" s="5" t="inlineStr"/>
      <c r="X1173" s="5" t="inlineStr"/>
      <c r="Y1173" s="5" t="inlineStr"/>
      <c r="Z1173" s="6" t="inlineStr"/>
      <c r="AA1173" s="5" t="inlineStr"/>
      <c r="AB1173" s="5" t="inlineStr"/>
      <c r="AC1173" s="5" t="inlineStr"/>
      <c r="AD1173" s="5" t="inlineStr"/>
      <c r="AE1173" s="5" t="inlineStr"/>
      <c r="AF1173" s="5" t="inlineStr"/>
      <c r="AG1173" s="5" t="inlineStr"/>
      <c r="AH1173" s="5" t="inlineStr"/>
      <c r="AI1173" s="5" t="inlineStr">
        <is>
          <t>Cep Radyosu</t>
        </is>
      </c>
      <c r="AJ1173" s="5" t="inlineStr"/>
    </row>
    <row r="1174">
      <c r="A1174" s="5" t="inlineStr">
        <is>
          <t>b10-teknoloji-kursu</t>
        </is>
      </c>
      <c r="B1174" s="5" t="n">
        <v>3</v>
      </c>
      <c r="C1174" s="6" t="inlineStr">
        <is>
          <t>Eğitmene ders ver</t>
        </is>
      </c>
      <c r="D1174" s="5" t="inlineStr">
        <is>
          <t>Akıl</t>
        </is>
      </c>
      <c r="E1174" s="5" t="inlineStr">
        <is>
          <t>Zor</t>
        </is>
      </c>
      <c r="F1174" s="5" t="inlineStr"/>
      <c r="G1174" s="6" t="inlineStr"/>
      <c r="H1174" s="6" t="inlineStr">
        <is>
          <t>Kısayolu gösterdin. Yirmi iki yaşındaki eğitmen telefonunu çıkarıp not aldı: 'Bunu ben de bilmiyordum.' Teneffüste sınıf seni çay sırasına ilk soktu.</t>
        </is>
      </c>
      <c r="I1174" s="6" t="inlineStr">
        <is>
          <t>Kursun ikinci döneminde eğitmen sensin. Belediye maaş değil, çay ikram ediyor.</t>
        </is>
      </c>
      <c r="J1174" s="6" t="inlineStr">
        <is>
          <t>Kısayolu gösterdin. Eğitmen 'O eski sürümde vardı' dedi. Sınıf yine ona döndü.</t>
        </is>
      </c>
      <c r="K1174" s="6" t="inlineStr">
        <is>
          <t>Kısayola bastın; sınıftaki bütün telefonlar aynı anda aynı türküyü çalmaya başladı. Kapatmayı kimse bilmiyordu, sen de. Kurs o gün türküyle bitti; ertesi dönem sana davet gelmedi.</t>
        </is>
      </c>
      <c r="L1174" s="6" t="inlineStr"/>
      <c r="M1174" s="5" t="inlineStr"/>
      <c r="N1174" s="5" t="inlineStr"/>
      <c r="O1174" s="6" t="inlineStr"/>
      <c r="P1174" s="6" t="inlineStr"/>
      <c r="Q1174" s="5" t="inlineStr">
        <is>
          <t>Şifreyi Bilen</t>
        </is>
      </c>
      <c r="R1174" s="5" t="inlineStr"/>
      <c r="S1174" s="5" t="inlineStr"/>
      <c r="T1174" s="5" t="inlineStr"/>
      <c r="U1174" s="5" t="inlineStr"/>
      <c r="V1174" s="5" t="inlineStr"/>
      <c r="W1174" s="5" t="inlineStr"/>
      <c r="X1174" s="5" t="inlineStr"/>
      <c r="Y1174" s="5" t="inlineStr"/>
      <c r="Z1174" s="6" t="inlineStr"/>
      <c r="AA1174" s="5" t="inlineStr"/>
      <c r="AB1174" s="5" t="inlineStr"/>
      <c r="AC1174" s="5" t="inlineStr"/>
      <c r="AD1174" s="5" t="inlineStr"/>
      <c r="AE1174" s="5" t="inlineStr"/>
      <c r="AF1174" s="5" t="inlineStr"/>
      <c r="AG1174" s="5" t="inlineStr"/>
      <c r="AH1174" s="5" t="inlineStr"/>
      <c r="AI1174" s="5" t="inlineStr"/>
      <c r="AJ1174" s="5" t="inlineStr"/>
    </row>
    <row r="1175">
      <c r="A1175" s="5" t="inlineStr">
        <is>
          <t>b10-teknoloji-kursu</t>
        </is>
      </c>
      <c r="B1175" s="5" t="n">
        <v>4</v>
      </c>
      <c r="C1175" s="6" t="inlineStr">
        <is>
          <t>Kursu yarıda bırak</t>
        </is>
      </c>
      <c r="D1175" s="5" t="inlineStr"/>
      <c r="E1175" s="5" t="inlineStr"/>
      <c r="F1175" s="5" t="inlineStr">
        <is>
          <t>Pişkinlik +1</t>
        </is>
      </c>
      <c r="G1175" s="6" t="inlineStr">
        <is>
          <t>Kursu üçüncü haftada bıraktın. Telefonla ilgili ne sorun olursa yeğenini arıyorsun; telefonla. Yazı boyutu hâlâ en büyükte, ekrana üç kelime sığıyor.</t>
        </is>
      </c>
      <c r="H1175" s="6" t="inlineStr"/>
      <c r="I1175" s="6" t="inlineStr"/>
      <c r="J1175" s="6" t="inlineStr"/>
      <c r="K1175" s="6" t="inlineStr"/>
      <c r="L1175" s="6" t="inlineStr"/>
      <c r="M1175" s="5" t="inlineStr"/>
      <c r="N1175" s="5" t="inlineStr"/>
      <c r="O1175" s="6" t="inlineStr"/>
      <c r="P1175" s="6" t="inlineStr"/>
      <c r="Q1175" s="5" t="inlineStr"/>
      <c r="R1175" s="5" t="inlineStr"/>
      <c r="S1175" s="5" t="inlineStr"/>
      <c r="T1175" s="5" t="inlineStr"/>
      <c r="U1175" s="5" t="inlineStr"/>
      <c r="V1175" s="5" t="inlineStr"/>
      <c r="W1175" s="5" t="inlineStr"/>
      <c r="X1175" s="5" t="inlineStr"/>
      <c r="Y1175" s="5" t="inlineStr"/>
      <c r="Z1175" s="6" t="inlineStr"/>
      <c r="AA1175" s="5" t="inlineStr"/>
      <c r="AB1175" s="5" t="inlineStr"/>
      <c r="AC1175" s="5" t="inlineStr"/>
      <c r="AD1175" s="5" t="inlineStr"/>
      <c r="AE1175" s="5" t="inlineStr"/>
      <c r="AF1175" s="5" t="inlineStr"/>
      <c r="AG1175" s="5" t="inlineStr"/>
      <c r="AH1175" s="5" t="inlineStr"/>
      <c r="AI1175" s="5" t="inlineStr"/>
      <c r="AJ1175" s="5" t="inlineStr"/>
    </row>
    <row r="1176">
      <c r="A1176" s="5" t="inlineStr">
        <is>
          <t>b10-balkon-kulesi</t>
        </is>
      </c>
      <c r="B1176" s="5" t="n">
        <v>1</v>
      </c>
      <c r="C1176" s="6" t="inlineStr">
        <is>
          <t>Sadece izle</t>
        </is>
      </c>
      <c r="D1176" s="5" t="inlineStr"/>
      <c r="E1176" s="5" t="inlineStr"/>
      <c r="F1176" s="5" t="inlineStr">
        <is>
          <t>Sosyal Radar +1</t>
        </is>
      </c>
      <c r="G1176" s="6" t="inlineStr">
        <is>
          <t>Akşama kadar izledin: iki taşınma, bir kavga, bir yanlış teslimat. Akşam telefonda 'Ne var ne yok?' dediler. Kırk dakika anlattın.</t>
        </is>
      </c>
      <c r="H1176" s="6" t="inlineStr"/>
      <c r="I1176" s="6" t="inlineStr"/>
      <c r="J1176" s="6" t="inlineStr"/>
      <c r="K1176" s="6" t="inlineStr"/>
      <c r="L1176" s="6" t="inlineStr"/>
      <c r="M1176" s="5" t="inlineStr"/>
      <c r="N1176" s="5" t="inlineStr"/>
      <c r="O1176" s="6" t="inlineStr"/>
      <c r="P1176" s="6" t="inlineStr"/>
      <c r="Q1176" s="5" t="inlineStr"/>
      <c r="R1176" s="5" t="inlineStr"/>
      <c r="S1176" s="5" t="inlineStr"/>
      <c r="T1176" s="5" t="inlineStr"/>
      <c r="U1176" s="5" t="inlineStr"/>
      <c r="V1176" s="5" t="inlineStr"/>
      <c r="W1176" s="5" t="inlineStr"/>
      <c r="X1176" s="5" t="inlineStr"/>
      <c r="Y1176" s="5" t="inlineStr"/>
      <c r="Z1176" s="6" t="inlineStr"/>
      <c r="AA1176" s="5" t="inlineStr"/>
      <c r="AB1176" s="5" t="inlineStr"/>
      <c r="AC1176" s="5" t="inlineStr"/>
      <c r="AD1176" s="5" t="inlineStr"/>
      <c r="AE1176" s="5" t="inlineStr"/>
      <c r="AF1176" s="5" t="inlineStr"/>
      <c r="AG1176" s="5" t="inlineStr"/>
      <c r="AH1176" s="5" t="inlineStr"/>
      <c r="AI1176" s="5" t="inlineStr"/>
      <c r="AJ1176" s="5" t="inlineStr"/>
    </row>
    <row r="1177">
      <c r="A1177" s="5" t="inlineStr">
        <is>
          <t>b10-balkon-kulesi</t>
        </is>
      </c>
      <c r="B1177" s="5" t="n">
        <v>2</v>
      </c>
      <c r="C1177" s="6" t="inlineStr">
        <is>
          <t>Mahalle grubuna günlük rapor yaz</t>
        </is>
      </c>
      <c r="D1177" s="5" t="inlineStr">
        <is>
          <t>Sosyal Radar</t>
        </is>
      </c>
      <c r="E1177" s="5" t="inlineStr">
        <is>
          <t>Zor</t>
        </is>
      </c>
      <c r="F1177" s="5" t="inlineStr"/>
      <c r="G1177" s="6" t="inlineStr"/>
      <c r="H1177" s="6" t="inlineStr">
        <is>
          <t>Sabah raporun düşmeden kimse evden çıkmıyor: 'Öğleden sonra yağmur var. Dördüncü katın damadı yine geç geldi.' İkinci madde yüzünden bir aile gruptan çıktı, on iki aile katıldı.</t>
        </is>
      </c>
      <c r="I1177" s="6" t="inlineStr">
        <is>
          <t>Aynı gün kayıp bir paketi, kaçan bir kediyi ve kapıcının anahtarını buldun. Kapıcı o günden beri sana sabah çayı getiriyor.</t>
        </is>
      </c>
      <c r="J1177" s="6" t="inlineStr">
        <is>
          <t>Grup yöneticisi raporunu sildi, altına 'Lütfen konu dışı yazmayalım' ekledi. Ertesi sabah yine yazdın.</t>
        </is>
      </c>
      <c r="K1177" s="6" t="inlineStr">
        <is>
          <t>Karşı balkondaki komşu gruba senin fotoğrafını attı: sabahlıkla, elinde dürbün. Altına 'Sabah raporu' yazmış. Bir hafta perdeyi açamadın.</t>
        </is>
      </c>
      <c r="L1177" s="6" t="inlineStr"/>
      <c r="M1177" s="5" t="inlineStr"/>
      <c r="N1177" s="5" t="inlineStr"/>
      <c r="O1177" s="6" t="inlineStr"/>
      <c r="P1177" s="6" t="inlineStr"/>
      <c r="Q1177" s="5" t="inlineStr"/>
      <c r="R1177" s="5" t="inlineStr"/>
      <c r="S1177" s="5" t="inlineStr"/>
      <c r="T1177" s="5" t="inlineStr">
        <is>
          <t>Balkon Müfettişi</t>
        </is>
      </c>
      <c r="U1177" s="5" t="inlineStr"/>
      <c r="V1177" s="5" t="inlineStr"/>
      <c r="W1177" s="5" t="inlineStr"/>
      <c r="X1177" s="5" t="inlineStr"/>
      <c r="Y1177" s="5" t="inlineStr"/>
      <c r="Z1177" s="6" t="inlineStr"/>
      <c r="AA1177" s="5" t="inlineStr"/>
      <c r="AB1177" s="5" t="inlineStr"/>
      <c r="AC1177" s="5" t="inlineStr"/>
      <c r="AD1177" s="5" t="inlineStr"/>
      <c r="AE1177" s="5" t="inlineStr"/>
      <c r="AF1177" s="5" t="inlineStr"/>
      <c r="AG1177" s="5" t="inlineStr"/>
      <c r="AH1177" s="5" t="inlineStr"/>
      <c r="AI1177" s="5" t="inlineStr">
        <is>
          <t>Dürbün</t>
        </is>
      </c>
      <c r="AJ1177" s="5" t="inlineStr"/>
    </row>
    <row r="1178">
      <c r="A1178" s="5" t="inlineStr">
        <is>
          <t>b10-balkon-kulesi</t>
        </is>
      </c>
      <c r="B1178" s="5" t="n">
        <v>3</v>
      </c>
      <c r="C1178" s="6" t="inlineStr">
        <is>
          <t>Sarkıp aşağıdaki tartışmaya katıl</t>
        </is>
      </c>
      <c r="D1178" s="5" t="inlineStr">
        <is>
          <t>Cesaret</t>
        </is>
      </c>
      <c r="E1178" s="5" t="inlineStr">
        <is>
          <t>Orta</t>
        </is>
      </c>
      <c r="F1178" s="5" t="inlineStr"/>
      <c r="G1178" s="6" t="inlineStr"/>
      <c r="H1178" s="6" t="inlineStr">
        <is>
          <t>Tek cümleyle park kavgasını çözdün. İki şoför de sana teşekkür etti.</t>
        </is>
      </c>
      <c r="I1178" s="6" t="inlineStr">
        <is>
          <t>'Sen geri gel, sen de şu boşluğa çek!' diye seslendin. İki şoför itiraz edemedi, arabalar yer değiştirdi. Biri yukarı bir simit fırlattı; ilk atışta yakaladın.</t>
        </is>
      </c>
      <c r="J1178" s="6" t="inlineStr">
        <is>
          <t>Bağırdın, sesin aşağı ulaşmadı. Aşağıdakiler kavgayı bitirip gitti; sen hâlâ 'Ben gördüm, sağ arka çamurluk!' diyordun.</t>
        </is>
      </c>
      <c r="K1178" s="6" t="inlineStr">
        <is>
          <t>Balkondan biraz fazla sarktın; terliğin aşağıya, şoförün kaputuna düştü. İki şoför anında barıştı ve birlikte sana bağırdı. Terliği kapıcı getirdi; bir ay boyunca her gün hatırlattı.</t>
        </is>
      </c>
      <c r="L1178" s="6" t="inlineStr"/>
      <c r="M1178" s="5" t="inlineStr"/>
      <c r="N1178" s="5" t="inlineStr"/>
      <c r="O1178" s="6" t="inlineStr"/>
      <c r="P1178" s="6" t="inlineStr"/>
      <c r="Q1178" s="5" t="inlineStr"/>
      <c r="R1178" s="5" t="inlineStr"/>
      <c r="S1178" s="5" t="inlineStr"/>
      <c r="T1178" s="5" t="inlineStr"/>
      <c r="U1178" s="5" t="inlineStr"/>
      <c r="V1178" s="5" t="inlineStr"/>
      <c r="W1178" s="5" t="inlineStr"/>
      <c r="X1178" s="5" t="inlineStr"/>
      <c r="Y1178" s="5" t="n">
        <v>3</v>
      </c>
      <c r="Z1178" s="6" t="inlineStr">
        <is>
          <t>Balkondan aşağıdaki park tartışmasına hakem olarak katılırken. Kararı hâlâ geçerli.</t>
        </is>
      </c>
      <c r="AA1178" s="5" t="inlineStr"/>
      <c r="AB1178" s="5" t="inlineStr"/>
      <c r="AC1178" s="5" t="inlineStr"/>
      <c r="AD1178" s="5" t="inlineStr"/>
      <c r="AE1178" s="5" t="inlineStr"/>
      <c r="AF1178" s="5" t="inlineStr"/>
      <c r="AG1178" s="5" t="inlineStr"/>
      <c r="AH1178" s="5" t="inlineStr"/>
      <c r="AI1178" s="5" t="inlineStr"/>
      <c r="AJ1178" s="5" t="inlineStr"/>
    </row>
    <row r="1179">
      <c r="A1179" s="5" t="inlineStr">
        <is>
          <t>b10-balkon-kulesi</t>
        </is>
      </c>
      <c r="B1179" s="5" t="n">
        <v>4</v>
      </c>
      <c r="C1179" s="6" t="inlineStr">
        <is>
          <t>Termosu yenile, perdeyi çek</t>
        </is>
      </c>
      <c r="D1179" s="5" t="inlineStr"/>
      <c r="E1179" s="5" t="inlineStr"/>
      <c r="F1179" s="5" t="inlineStr">
        <is>
          <t>Dayanıklılık +1</t>
        </is>
      </c>
      <c r="G1179" s="6" t="inlineStr">
        <is>
          <t>Perdeyi çektin, kanepeye uzandın. Bir saat sonra kapıcı zili çaldı: 'İyi misiniz? Balkonda göremeyince korktuk.'</t>
        </is>
      </c>
      <c r="H1179" s="6" t="inlineStr"/>
      <c r="I1179" s="6" t="inlineStr"/>
      <c r="J1179" s="6" t="inlineStr"/>
      <c r="K1179" s="6" t="inlineStr"/>
      <c r="L1179" s="6" t="inlineStr"/>
      <c r="M1179" s="5" t="inlineStr"/>
      <c r="N1179" s="5" t="inlineStr"/>
      <c r="O1179" s="6" t="inlineStr"/>
      <c r="P1179" s="6" t="inlineStr"/>
      <c r="Q1179" s="5" t="inlineStr"/>
      <c r="R1179" s="5" t="inlineStr"/>
      <c r="S1179" s="5" t="inlineStr"/>
      <c r="T1179" s="5" t="inlineStr"/>
      <c r="U1179" s="5" t="inlineStr"/>
      <c r="V1179" s="5" t="inlineStr"/>
      <c r="W1179" s="5" t="inlineStr"/>
      <c r="X1179" s="5" t="inlineStr"/>
      <c r="Y1179" s="5" t="inlineStr"/>
      <c r="Z1179" s="6" t="inlineStr"/>
      <c r="AA1179" s="5" t="inlineStr"/>
      <c r="AB1179" s="5" t="inlineStr"/>
      <c r="AC1179" s="5" t="inlineStr"/>
      <c r="AD1179" s="5" t="inlineStr"/>
      <c r="AE1179" s="5" t="inlineStr"/>
      <c r="AF1179" s="5" t="inlineStr"/>
      <c r="AG1179" s="5" t="inlineStr"/>
      <c r="AH1179" s="5" t="inlineStr"/>
      <c r="AI1179" s="5" t="inlineStr"/>
      <c r="AJ1179" s="5" t="inlineStr"/>
    </row>
    <row r="1180">
      <c r="A1180" s="5" t="inlineStr">
        <is>
          <t>b10-sinif-bulusmasi</t>
        </is>
      </c>
      <c r="B1180" s="5" t="n">
        <v>1</v>
      </c>
      <c r="C1180" s="6" t="inlineStr">
        <is>
          <t>Herkesi tek tek dinle</t>
        </is>
      </c>
      <c r="D1180" s="5" t="inlineStr"/>
      <c r="E1180" s="5" t="inlineStr"/>
      <c r="F1180" s="5" t="inlineStr">
        <is>
          <t>Sosyal Radar +1, Gönül +1</t>
        </is>
      </c>
      <c r="G1180" s="6" t="inlineStr">
        <is>
          <t>On bir hayat, üç saat, dört demlik çay. Kimse sınav notunu hatırlamıyor, herkes teneffüsü hatırlıyor.</t>
        </is>
      </c>
      <c r="H1180" s="6" t="inlineStr"/>
      <c r="I1180" s="6" t="inlineStr"/>
      <c r="J1180" s="6" t="inlineStr"/>
      <c r="K1180" s="6" t="inlineStr"/>
      <c r="L1180" s="6" t="inlineStr"/>
      <c r="M1180" s="5" t="inlineStr"/>
      <c r="N1180" s="5" t="inlineStr"/>
      <c r="O1180" s="6" t="inlineStr"/>
      <c r="P1180" s="6" t="inlineStr"/>
      <c r="Q1180" s="5" t="inlineStr"/>
      <c r="R1180" s="5" t="inlineStr"/>
      <c r="S1180" s="5" t="inlineStr"/>
      <c r="T1180" s="5" t="inlineStr"/>
      <c r="U1180" s="5" t="inlineStr"/>
      <c r="V1180" s="5" t="inlineStr"/>
      <c r="W1180" s="5" t="inlineStr"/>
      <c r="X1180" s="5" t="inlineStr"/>
      <c r="Y1180" s="5" t="inlineStr"/>
      <c r="Z1180" s="6" t="inlineStr"/>
      <c r="AA1180" s="5" t="inlineStr"/>
      <c r="AB1180" s="5" t="inlineStr"/>
      <c r="AC1180" s="5" t="inlineStr"/>
      <c r="AD1180" s="5" t="inlineStr"/>
      <c r="AE1180" s="5" t="inlineStr"/>
      <c r="AF1180" s="5" t="inlineStr"/>
      <c r="AG1180" s="5" t="inlineStr"/>
      <c r="AH1180" s="5" t="inlineStr"/>
      <c r="AI1180" s="5" t="inlineStr"/>
      <c r="AJ1180" s="5" t="inlineStr"/>
    </row>
    <row r="1181">
      <c r="A1181" s="5" t="inlineStr">
        <is>
          <t>b10-sinif-bulusmasi</t>
        </is>
      </c>
      <c r="B1181" s="5" t="n">
        <v>2</v>
      </c>
      <c r="C1181" s="6" t="inlineStr">
        <is>
          <t>Eski bir sırrı nihayet açıkla</t>
        </is>
      </c>
      <c r="D1181" s="5" t="inlineStr">
        <is>
          <t>Pişkinlik</t>
        </is>
      </c>
      <c r="E1181" s="5" t="inlineStr">
        <is>
          <t>Orta</t>
        </is>
      </c>
      <c r="F1181" s="5" t="inlineStr"/>
      <c r="G1181" s="6" t="inlineStr"/>
      <c r="H1181" s="6" t="inlineStr">
        <is>
          <t>Kırık tebeşirleri senin sakladığını söyledin. Masadakiler bir an sustu, sonra eski öğretmenin sesini taklit ettiler: 'Kim yaptı bunu?' Altmış yedi yıl sonra zaman aşımından beraat ettin.</t>
        </is>
      </c>
      <c r="I1181" s="6" t="inlineStr">
        <is>
          <t>İtirafın öyle sevildi ki herkes sırayla kendi sırrını döktü. Öğretmenin gözlüğünü kimin sakladığı da bunca yıl sonra çözüldü.</t>
        </is>
      </c>
      <c r="J1181" s="6" t="inlineStr">
        <is>
          <t>Sırrı açıkladın. Kimse hatırlamadı. Bunca yıl vicdanını boşuna taşımışsın.</t>
        </is>
      </c>
      <c r="K1181" s="6" t="inlineStr">
        <is>
          <t>Sırrı açıkladın; o gün senin yerine cezayı çeken kişi tam karşında oturuyordu. Bunca yıl sonra ilk sözü 'Biliyordum' oldu. Çayları sen ödedin.</t>
        </is>
      </c>
      <c r="L1181" s="6" t="inlineStr"/>
      <c r="M1181" s="5" t="inlineStr"/>
      <c r="N1181" s="5" t="inlineStr"/>
      <c r="O1181" s="6" t="inlineStr"/>
      <c r="P1181" s="6" t="inlineStr"/>
      <c r="Q1181" s="5" t="inlineStr"/>
      <c r="R1181" s="5" t="inlineStr"/>
      <c r="S1181" s="5" t="inlineStr"/>
      <c r="T1181" s="5" t="inlineStr"/>
      <c r="U1181" s="5" t="inlineStr"/>
      <c r="V1181" s="5" t="inlineStr"/>
      <c r="W1181" s="5" t="inlineStr"/>
      <c r="X1181" s="5" t="inlineStr"/>
      <c r="Y1181" s="5" t="inlineStr"/>
      <c r="Z1181" s="6" t="inlineStr"/>
      <c r="AA1181" s="5" t="inlineStr"/>
      <c r="AB1181" s="5" t="inlineStr"/>
      <c r="AC1181" s="5" t="inlineStr"/>
      <c r="AD1181" s="5" t="inlineStr"/>
      <c r="AE1181" s="5" t="inlineStr"/>
      <c r="AF1181" s="5" t="inlineStr"/>
      <c r="AG1181" s="5" t="inlineStr"/>
      <c r="AH1181" s="5" t="inlineStr"/>
      <c r="AI1181" s="5" t="inlineStr"/>
      <c r="AJ1181" s="5" t="inlineStr"/>
    </row>
    <row r="1182">
      <c r="A1182" s="5" t="inlineStr">
        <is>
          <t>b10-sinif-bulusmasi</t>
        </is>
      </c>
      <c r="B1182" s="5" t="n">
        <v>3</v>
      </c>
      <c r="C1182" s="6" t="inlineStr">
        <is>
          <t>Yoklama al</t>
        </is>
      </c>
      <c r="D1182" s="5" t="inlineStr"/>
      <c r="E1182" s="5" t="inlineStr"/>
      <c r="F1182" s="5" t="inlineStr">
        <is>
          <t>Çene +1</t>
        </is>
      </c>
      <c r="G1182" s="6" t="inlineStr">
        <is>
          <t>Defteri açtın, yoklama aldın: 'Burada.' 'Burada.' Gelemeyenlerin adını okuyunca masa sustu; biri yine de alçak sesle 'Burada' dedi. Son sayfaya hepsinin adını yazdın.</t>
        </is>
      </c>
      <c r="H1182" s="6" t="inlineStr"/>
      <c r="I1182" s="6" t="inlineStr"/>
      <c r="J1182" s="6" t="inlineStr"/>
      <c r="K1182" s="6" t="inlineStr"/>
      <c r="L1182" s="6" t="inlineStr"/>
      <c r="M1182" s="5" t="inlineStr"/>
      <c r="N1182" s="5" t="inlineStr"/>
      <c r="O1182" s="6" t="inlineStr"/>
      <c r="P1182" s="6" t="inlineStr"/>
      <c r="Q1182" s="5" t="inlineStr"/>
      <c r="R1182" s="5" t="inlineStr">
        <is>
          <t>baskan</t>
        </is>
      </c>
      <c r="S1182" s="5" t="inlineStr"/>
      <c r="T1182" s="5" t="inlineStr"/>
      <c r="U1182" s="5" t="inlineStr"/>
      <c r="V1182" s="5" t="inlineStr"/>
      <c r="W1182" s="5" t="inlineStr"/>
      <c r="X1182" s="5" t="inlineStr"/>
      <c r="Y1182" s="5" t="inlineStr"/>
      <c r="Z1182" s="6" t="inlineStr"/>
      <c r="AA1182" s="5" t="inlineStr"/>
      <c r="AB1182" s="5" t="inlineStr"/>
      <c r="AC1182" s="5" t="inlineStr"/>
      <c r="AD1182" s="5" t="inlineStr"/>
      <c r="AE1182" s="5" t="inlineStr"/>
      <c r="AF1182" s="5" t="inlineStr"/>
      <c r="AG1182" s="5" t="inlineStr"/>
      <c r="AH1182" s="5" t="inlineStr"/>
      <c r="AI1182" s="5" t="inlineStr"/>
      <c r="AJ1182" s="5" t="inlineStr"/>
    </row>
    <row r="1183">
      <c r="A1183" s="5" t="inlineStr">
        <is>
          <t>b10-doktor-gomersiniz</t>
        </is>
      </c>
      <c r="B1183" s="5" t="n">
        <v>1</v>
      </c>
      <c r="C1183" s="6" t="inlineStr">
        <is>
          <t>Teşekkür et</t>
        </is>
      </c>
      <c r="D1183" s="5" t="inlineStr"/>
      <c r="E1183" s="5" t="inlineStr"/>
      <c r="F1183" s="5" t="inlineStr">
        <is>
          <t>İtibar +1</t>
        </is>
      </c>
      <c r="G1183" s="6" t="inlineStr">
        <is>
          <t>Teşekkür ettin, çıkarken bekleme salonuna seslendin: 'Doktor, onları ben gömecekmişim!' O gün sıradaki herkes içeri girerken aynı cümleyi bekledi.</t>
        </is>
      </c>
      <c r="H1183" s="6" t="inlineStr"/>
      <c r="I1183" s="6" t="inlineStr"/>
      <c r="J1183" s="6" t="inlineStr"/>
      <c r="K1183" s="6" t="inlineStr"/>
      <c r="L1183" s="6" t="inlineStr"/>
      <c r="M1183" s="5" t="inlineStr"/>
      <c r="N1183" s="5" t="inlineStr"/>
      <c r="O1183" s="6" t="inlineStr"/>
      <c r="P1183" s="6" t="inlineStr"/>
      <c r="Q1183" s="5" t="inlineStr"/>
      <c r="R1183" s="5" t="inlineStr"/>
      <c r="S1183" s="5" t="inlineStr"/>
      <c r="T1183" s="5" t="inlineStr"/>
      <c r="U1183" s="5" t="inlineStr"/>
      <c r="V1183" s="5" t="inlineStr"/>
      <c r="W1183" s="5" t="inlineStr"/>
      <c r="X1183" s="5" t="inlineStr"/>
      <c r="Y1183" s="5" t="inlineStr"/>
      <c r="Z1183" s="6" t="inlineStr"/>
      <c r="AA1183" s="5" t="inlineStr"/>
      <c r="AB1183" s="5" t="inlineStr"/>
      <c r="AC1183" s="5" t="inlineStr"/>
      <c r="AD1183" s="5" t="inlineStr"/>
      <c r="AE1183" s="5" t="inlineStr"/>
      <c r="AF1183" s="5" t="inlineStr"/>
      <c r="AG1183" s="5" t="inlineStr"/>
      <c r="AH1183" s="5" t="inlineStr"/>
      <c r="AI1183" s="5" t="inlineStr"/>
      <c r="AJ1183" s="5" t="inlineStr"/>
    </row>
    <row r="1184">
      <c r="A1184" s="5" t="inlineStr">
        <is>
          <t>b10-doktor-gomersiniz</t>
        </is>
      </c>
      <c r="B1184" s="5" t="n">
        <v>2</v>
      </c>
      <c r="C1184" s="6" t="inlineStr">
        <is>
          <t>'Söz mü?' diye sor</t>
        </is>
      </c>
      <c r="D1184" s="5" t="inlineStr">
        <is>
          <t>Pişkinlik</t>
        </is>
      </c>
      <c r="E1184" s="5" t="inlineStr">
        <is>
          <t>Orta</t>
        </is>
      </c>
      <c r="F1184" s="5" t="inlineStr"/>
      <c r="G1184" s="6" t="inlineStr"/>
      <c r="H1184" s="6" t="inlineStr">
        <is>
          <t>Doktor güldü ve raporuna 'Hasta iyimser' yazdı.</t>
        </is>
      </c>
      <c r="I1184" s="6" t="inlineStr">
        <is>
          <t>Doktor elini sıktı: 'Söz.' Bekleme salonundaki teyze 'Ben de duydum, şahidim' dedi. Akşam telefonda üç kişiye anlattın.</t>
        </is>
      </c>
      <c r="J1184" s="6" t="inlineStr">
        <is>
          <t>Doktor ciddileşti, 'Tıbben söz verilmez' dedi.</t>
        </is>
      </c>
      <c r="K1184" s="6" t="inlineStr">
        <is>
          <t>'Söz mü?' dedin. Doktor gözlüğünü geri taktı, tahlillere bir daha baktı: 'Şu değer biraz… Bir de şunu yaptıralım.' Söz yerine iki tahlil kâğıdıyla çıktın; bekleme salonundaki teyze arkandan 'Sormasaydın' dedi.</t>
        </is>
      </c>
      <c r="L1184" s="6" t="inlineStr"/>
      <c r="M1184" s="5" t="inlineStr"/>
      <c r="N1184" s="5" t="inlineStr"/>
      <c r="O1184" s="6" t="inlineStr"/>
      <c r="P1184" s="6" t="inlineStr"/>
      <c r="Q1184" s="5" t="inlineStr"/>
      <c r="R1184" s="5" t="inlineStr"/>
      <c r="S1184" s="5" t="inlineStr"/>
      <c r="T1184" s="5" t="inlineStr"/>
      <c r="U1184" s="5" t="inlineStr"/>
      <c r="V1184" s="5" t="inlineStr"/>
      <c r="W1184" s="5" t="inlineStr"/>
      <c r="X1184" s="5" t="inlineStr"/>
      <c r="Y1184" s="5" t="inlineStr"/>
      <c r="Z1184" s="6" t="inlineStr"/>
      <c r="AA1184" s="5" t="inlineStr"/>
      <c r="AB1184" s="5" t="inlineStr"/>
      <c r="AC1184" s="5" t="inlineStr"/>
      <c r="AD1184" s="5" t="inlineStr"/>
      <c r="AE1184" s="5" t="inlineStr"/>
      <c r="AF1184" s="5" t="inlineStr"/>
      <c r="AG1184" s="5" t="inlineStr"/>
      <c r="AH1184" s="5" t="inlineStr"/>
      <c r="AI1184" s="5" t="inlineStr"/>
      <c r="AJ1184" s="5" t="inlineStr"/>
    </row>
    <row r="1185">
      <c r="A1185" s="5" t="inlineStr">
        <is>
          <t>b10-doktor-gomersiniz</t>
        </is>
      </c>
      <c r="B1185" s="5" t="n">
        <v>3</v>
      </c>
      <c r="C1185" s="6" t="inlineStr">
        <is>
          <t>Koridorda ısınma hareketi yap</t>
        </is>
      </c>
      <c r="D1185" s="5" t="inlineStr">
        <is>
          <t>Dayanıklılık</t>
        </is>
      </c>
      <c r="E1185" s="5" t="inlineStr">
        <is>
          <t>Orta</t>
        </is>
      </c>
      <c r="F1185" s="5" t="inlineStr"/>
      <c r="G1185" s="6" t="inlineStr"/>
      <c r="H1185" s="6" t="inlineStr">
        <is>
          <t>Koridordaki bekleyenler seni alkışladı. Tahlil sonuçların da.</t>
        </is>
      </c>
      <c r="I1185" s="6" t="inlineStr">
        <is>
          <t>Bekleme salonundaki teyzeler, amcalar, bir de hemşire sana katıldı. Ertesi hafta koridora bir kâğıt asıldı: 'Sabah jimnastiği saat dokuzda. Önde: …' Boşluğa adını kalemle yazmışlar.</t>
        </is>
      </c>
      <c r="J1185" s="6" t="inlineStr">
        <is>
          <t>İki esneme hareketinden sonra koridordaki bankta dinlenmeye karar verdin.</t>
        </is>
      </c>
      <c r="K1185" s="6" t="inlineStr">
        <is>
          <t>Eğilip ayak parmaklarına uzandın; belin orada tutuldu. Doktorun odasına sıranla değil, tekerlekli sandalyeyle girdin. Doktor tahlillerine, sonra sana baktı: 'Kanınız bizi gömer. Beliniz önce kendini.'</t>
        </is>
      </c>
      <c r="L1185" s="6" t="inlineStr"/>
      <c r="M1185" s="5" t="inlineStr"/>
      <c r="N1185" s="5" t="inlineStr"/>
      <c r="O1185" s="6" t="inlineStr"/>
      <c r="P1185" s="6" t="inlineStr"/>
      <c r="Q1185" s="5" t="inlineStr"/>
      <c r="R1185" s="5" t="inlineStr"/>
      <c r="S1185" s="5" t="inlineStr">
        <is>
          <t>Dayanıklılık</t>
        </is>
      </c>
      <c r="T1185" s="5" t="inlineStr"/>
      <c r="U1185" s="5" t="inlineStr"/>
      <c r="V1185" s="5" t="inlineStr"/>
      <c r="W1185" s="5" t="inlineStr"/>
      <c r="X1185" s="5" t="inlineStr"/>
      <c r="Y1185" s="5" t="inlineStr"/>
      <c r="Z1185" s="6" t="inlineStr"/>
      <c r="AA1185" s="5" t="inlineStr"/>
      <c r="AB1185" s="5" t="inlineStr"/>
      <c r="AC1185" s="5" t="inlineStr"/>
      <c r="AD1185" s="5" t="inlineStr"/>
      <c r="AE1185" s="5" t="inlineStr"/>
      <c r="AF1185" s="5" t="inlineStr"/>
      <c r="AG1185" s="5" t="inlineStr"/>
      <c r="AH1185" s="5" t="inlineStr"/>
      <c r="AI1185" s="5" t="inlineStr"/>
      <c r="AJ1185" s="5" t="inlineStr"/>
    </row>
    <row r="1186">
      <c r="A1186" s="5" t="inlineStr">
        <is>
          <t>b10-bayram-harcligi</t>
        </is>
      </c>
      <c r="B1186" s="5" t="n">
        <v>1</v>
      </c>
      <c r="C1186" s="6" t="inlineStr">
        <is>
          <t>Herkese eşit zarf</t>
        </is>
      </c>
      <c r="D1186" s="5" t="inlineStr"/>
      <c r="E1186" s="5" t="inlineStr"/>
      <c r="F1186" s="5" t="inlineStr">
        <is>
          <t>İtibar +1</t>
        </is>
      </c>
      <c r="G1186" s="6" t="inlineStr">
        <is>
          <t>Bütün zarflar eşit. Çocuklar zarfları kapıda karşılaştırdı ve hayal kırıklığını eşit paylaştı.</t>
        </is>
      </c>
      <c r="H1186" s="6" t="inlineStr"/>
      <c r="I1186" s="6" t="inlineStr"/>
      <c r="J1186" s="6" t="inlineStr"/>
      <c r="K1186" s="6" t="inlineStr"/>
      <c r="L1186" s="6" t="inlineStr"/>
      <c r="M1186" s="5" t="inlineStr"/>
      <c r="N1186" s="5" t="inlineStr"/>
      <c r="O1186" s="6" t="inlineStr"/>
      <c r="P1186" s="6" t="inlineStr"/>
      <c r="Q1186" s="5" t="inlineStr"/>
      <c r="R1186" s="5" t="inlineStr"/>
      <c r="S1186" s="5" t="inlineStr"/>
      <c r="T1186" s="5" t="inlineStr"/>
      <c r="U1186" s="5" t="inlineStr"/>
      <c r="V1186" s="5" t="inlineStr"/>
      <c r="W1186" s="5" t="inlineStr"/>
      <c r="X1186" s="5" t="inlineStr"/>
      <c r="Y1186" s="5" t="inlineStr"/>
      <c r="Z1186" s="6" t="inlineStr"/>
      <c r="AA1186" s="5" t="inlineStr"/>
      <c r="AB1186" s="5" t="inlineStr"/>
      <c r="AC1186" s="5" t="inlineStr"/>
      <c r="AD1186" s="5" t="inlineStr"/>
      <c r="AE1186" s="5" t="inlineStr"/>
      <c r="AF1186" s="5" t="inlineStr"/>
      <c r="AG1186" s="5" t="inlineStr"/>
      <c r="AH1186" s="5" t="inlineStr"/>
      <c r="AI1186" s="5" t="inlineStr"/>
      <c r="AJ1186" s="5" t="inlineStr"/>
    </row>
    <row r="1187">
      <c r="A1187" s="5" t="inlineStr">
        <is>
          <t>b10-bayram-harcligi</t>
        </is>
      </c>
      <c r="B1187" s="5" t="n">
        <v>2</v>
      </c>
      <c r="C1187" s="6" t="inlineStr">
        <is>
          <t>Montunu değiştiren çocuğu yakala</t>
        </is>
      </c>
      <c r="D1187" s="5" t="inlineStr">
        <is>
          <t>Kurnazlık</t>
        </is>
      </c>
      <c r="E1187" s="5" t="inlineStr">
        <is>
          <t>Kolay</t>
        </is>
      </c>
      <c r="F1187" s="5" t="inlineStr"/>
      <c r="G1187" s="6" t="inlineStr"/>
      <c r="H1187" s="6" t="inlineStr">
        <is>
          <t>'Az önce kırmızı montla gelmiştin' dedin. Çocuk elini bir daha öptü, kolonyasını da aldı, sıradan çıktı.</t>
        </is>
      </c>
      <c r="I1187" s="6" t="inlineStr">
        <is>
          <t>Yakaladın ama montu ters giymesine o kadar güldün ki ikinci zarfı da verdin. Ertesi bayram kapıda aynı çocuk, üçüncü montla.</t>
        </is>
      </c>
      <c r="J1187" s="6" t="inlineStr">
        <is>
          <t>Çocuğu yakalayamadın. Zarfı aldı, merdivende kırmızı montunu yeniden giydi, aşağıdan sana el salladı.</t>
        </is>
      </c>
      <c r="K1187" s="6" t="inlineStr">
        <is>
          <t>'Sen az önce geldin!' deyip zarfı geri istedin. Çocuğun dudağı titredi; arkasından aynı yüzle bir çocuk daha çıktı: 'O benim kardeşim.' Anneleri o bayram el öpmeye girmedi, kapıdan selam verdi.</t>
        </is>
      </c>
      <c r="L1187" s="6" t="inlineStr">
        <is>
          <t>Montu tanıdın, yüzü tanımadın. Çocuğa yarım zarf verdin; o da yarım teşekkür etti.</t>
        </is>
      </c>
      <c r="M1187" s="5" t="inlineStr">
        <is>
          <t>hidden</t>
        </is>
      </c>
      <c r="N1187" s="5" t="inlineStr">
        <is>
          <t>Montunu Değiştiren</t>
        </is>
      </c>
      <c r="O1187" s="6" t="inlineStr">
        <is>
          <t>Sıradaki çocukların arasında montunu değiştirenin işaretini (🧥) bul.</t>
        </is>
      </c>
      <c r="P1187" s="6" t="inlineStr">
        <is>
          <t>{"target": "🧥", "decoys": ["🧒🏻", "👧🏽", "🧒🏿", "👦🏼", "👧🏻"]}</t>
        </is>
      </c>
      <c r="Q1187" s="5" t="inlineStr"/>
      <c r="R1187" s="5" t="inlineStr"/>
      <c r="S1187" s="5" t="inlineStr"/>
      <c r="T1187" s="5" t="inlineStr"/>
      <c r="U1187" s="5" t="inlineStr"/>
      <c r="V1187" s="5" t="inlineStr"/>
      <c r="W1187" s="5" t="inlineStr"/>
      <c r="X1187" s="5" t="inlineStr"/>
      <c r="Y1187" s="5" t="inlineStr"/>
      <c r="Z1187" s="6" t="inlineStr"/>
      <c r="AA1187" s="5" t="inlineStr"/>
      <c r="AB1187" s="5" t="inlineStr"/>
      <c r="AC1187" s="5" t="inlineStr"/>
      <c r="AD1187" s="5" t="inlineStr"/>
      <c r="AE1187" s="5" t="inlineStr"/>
      <c r="AF1187" s="5" t="inlineStr"/>
      <c r="AG1187" s="5" t="inlineStr"/>
      <c r="AH1187" s="5" t="inlineStr"/>
      <c r="AI1187" s="5" t="inlineStr"/>
      <c r="AJ1187" s="5" t="inlineStr"/>
    </row>
    <row r="1188">
      <c r="A1188" s="5" t="inlineStr">
        <is>
          <t>b10-bayram-harcligi</t>
        </is>
      </c>
      <c r="B1188" s="5" t="n">
        <v>3</v>
      </c>
      <c r="C1188" s="6" t="inlineStr">
        <is>
          <t>Zarfları yastık altından ver</t>
        </is>
      </c>
      <c r="D1188" s="5" t="inlineStr">
        <is>
          <t>Kurnazlık</t>
        </is>
      </c>
      <c r="E1188" s="5" t="inlineStr">
        <is>
          <t>Orta</t>
        </is>
      </c>
      <c r="F1188" s="5" t="inlineStr"/>
      <c r="G1188" s="6" t="inlineStr"/>
      <c r="H1188" s="6" t="inlineStr">
        <is>
          <t>Yastık altındaki zarflar eski banknotlarla doluydu. Çocuklardan biri parayı ışığa tuttu: 'Bu geçiyor mu?' Geçiyordu. Bakkala kadar koştular.</t>
        </is>
      </c>
      <c r="I1188" s="6" t="inlineStr">
        <is>
          <t>Yastığın altından on bayramın zarfı çıktı; sıradaki her çocuğa iki zarf düştü. O günden sonra mahallede kapının adı değişti: 'Yastıklı ev.'</t>
        </is>
      </c>
      <c r="J1188" s="6" t="inlineStr">
        <is>
          <t>Yastık altındaki paraların bir kısmı tedavülden kalkmıştı. Çocuklar nazikçe teşekkür etti.</t>
        </is>
      </c>
      <c r="K1188" s="6" t="inlineStr">
        <is>
          <t>Yastığı kaldırdın, zarflar yoktu: kılıfları dün sen yıkamışsın. Paralar makineden hamur olup çıktı. Bayram sabahı kalorifer peteğinde para kurutarak geçti.</t>
        </is>
      </c>
      <c r="L1188" s="6" t="inlineStr"/>
      <c r="M1188" s="5" t="inlineStr"/>
      <c r="N1188" s="5" t="inlineStr"/>
      <c r="O1188" s="6" t="inlineStr"/>
      <c r="P1188" s="6" t="inlineStr"/>
      <c r="Q1188" s="5" t="inlineStr">
        <is>
          <t>Yastık Altı Ekonomisti</t>
        </is>
      </c>
      <c r="R1188" s="5" t="inlineStr"/>
      <c r="S1188" s="5" t="inlineStr"/>
      <c r="T1188" s="5" t="inlineStr"/>
      <c r="U1188" s="5" t="inlineStr"/>
      <c r="V1188" s="5" t="inlineStr"/>
      <c r="W1188" s="5" t="inlineStr"/>
      <c r="X1188" s="5" t="inlineStr"/>
      <c r="Y1188" s="5" t="inlineStr"/>
      <c r="Z1188" s="6" t="inlineStr"/>
      <c r="AA1188" s="5" t="inlineStr"/>
      <c r="AB1188" s="5" t="inlineStr"/>
      <c r="AC1188" s="5" t="inlineStr"/>
      <c r="AD1188" s="5" t="inlineStr"/>
      <c r="AE1188" s="5" t="inlineStr"/>
      <c r="AF1188" s="5" t="inlineStr"/>
      <c r="AG1188" s="5" t="inlineStr"/>
      <c r="AH1188" s="5" t="inlineStr"/>
      <c r="AI1188" s="5" t="inlineStr"/>
      <c r="AJ1188" s="5" t="inlineStr"/>
    </row>
    <row r="1189">
      <c r="A1189" s="5" t="inlineStr">
        <is>
          <t>b10-bayram-harcligi</t>
        </is>
      </c>
      <c r="B1189" s="5" t="n">
        <v>4</v>
      </c>
      <c r="C1189" s="6" t="inlineStr">
        <is>
          <t>Zarf yerine öğüt ver</t>
        </is>
      </c>
      <c r="D1189" s="5" t="inlineStr"/>
      <c r="E1189" s="5" t="inlineStr"/>
      <c r="F1189" s="5" t="inlineStr">
        <is>
          <t>Çene +1</t>
        </is>
      </c>
      <c r="G1189" s="6" t="inlineStr">
        <is>
          <t>Her çocuğa bir öğüt verdin: 'Okuyun, büyüklerinizi dinleyin, para biriktirin.' Üçüncü öğütte sıra dağıldı. Montunu değiştiren çocuk bile geri gelmedi.</t>
        </is>
      </c>
      <c r="H1189" s="6" t="inlineStr"/>
      <c r="I1189" s="6" t="inlineStr"/>
      <c r="J1189" s="6" t="inlineStr"/>
      <c r="K1189" s="6" t="inlineStr"/>
      <c r="L1189" s="6" t="inlineStr"/>
      <c r="M1189" s="5" t="inlineStr"/>
      <c r="N1189" s="5" t="inlineStr"/>
      <c r="O1189" s="6" t="inlineStr"/>
      <c r="P1189" s="6" t="inlineStr"/>
      <c r="Q1189" s="5" t="inlineStr"/>
      <c r="R1189" s="5" t="inlineStr"/>
      <c r="S1189" s="5" t="inlineStr"/>
      <c r="T1189" s="5" t="inlineStr"/>
      <c r="U1189" s="5" t="inlineStr"/>
      <c r="V1189" s="5" t="inlineStr"/>
      <c r="W1189" s="5" t="inlineStr"/>
      <c r="X1189" s="5" t="inlineStr"/>
      <c r="Y1189" s="5" t="inlineStr"/>
      <c r="Z1189" s="6" t="inlineStr"/>
      <c r="AA1189" s="5" t="inlineStr"/>
      <c r="AB1189" s="5" t="inlineStr"/>
      <c r="AC1189" s="5" t="inlineStr"/>
      <c r="AD1189" s="5" t="inlineStr"/>
      <c r="AE1189" s="5" t="inlineStr"/>
      <c r="AF1189" s="5" t="inlineStr"/>
      <c r="AG1189" s="5" t="inlineStr"/>
      <c r="AH1189" s="5" t="inlineStr"/>
      <c r="AI1189" s="5" t="inlineStr"/>
      <c r="AJ1189" s="5" t="inlineStr"/>
    </row>
    <row r="1190">
      <c r="A1190" s="5" t="inlineStr">
        <is>
          <t>b10-dijital-miras</t>
        </is>
      </c>
      <c r="B1190" s="5" t="n">
        <v>1</v>
      </c>
      <c r="C1190" s="6" t="inlineStr">
        <is>
          <t>Hepsini bir kâğıda yaz</t>
        </is>
      </c>
      <c r="D1190" s="5" t="inlineStr"/>
      <c r="E1190" s="5" t="inlineStr"/>
      <c r="F1190" s="5" t="inlineStr">
        <is>
          <t>İtibar +1</t>
        </is>
      </c>
      <c r="G1190" s="6" t="inlineStr">
        <is>
          <t>Kırk şifre tek kâğıtta, kâğıt buzdolabının üstünde. Torun fotoğrafını çekip aile grubuna attı; artık kırk şifren on dört kişide.</t>
        </is>
      </c>
      <c r="H1190" s="6" t="inlineStr"/>
      <c r="I1190" s="6" t="inlineStr"/>
      <c r="J1190" s="6" t="inlineStr"/>
      <c r="K1190" s="6" t="inlineStr"/>
      <c r="L1190" s="6" t="inlineStr"/>
      <c r="M1190" s="5" t="inlineStr"/>
      <c r="N1190" s="5" t="inlineStr"/>
      <c r="O1190" s="6" t="inlineStr"/>
      <c r="P1190" s="6" t="inlineStr"/>
      <c r="Q1190" s="5" t="inlineStr"/>
      <c r="R1190" s="5" t="inlineStr"/>
      <c r="S1190" s="5" t="inlineStr"/>
      <c r="T1190" s="5" t="inlineStr"/>
      <c r="U1190" s="5" t="inlineStr"/>
      <c r="V1190" s="5" t="inlineStr"/>
      <c r="W1190" s="5" t="inlineStr"/>
      <c r="X1190" s="5" t="inlineStr"/>
      <c r="Y1190" s="5" t="inlineStr"/>
      <c r="Z1190" s="6" t="inlineStr"/>
      <c r="AA1190" s="5" t="inlineStr"/>
      <c r="AB1190" s="5" t="inlineStr"/>
      <c r="AC1190" s="5" t="inlineStr"/>
      <c r="AD1190" s="5" t="inlineStr"/>
      <c r="AE1190" s="5" t="inlineStr"/>
      <c r="AF1190" s="5" t="inlineStr"/>
      <c r="AG1190" s="5" t="inlineStr"/>
      <c r="AH1190" s="5" t="inlineStr"/>
      <c r="AI1190" s="5" t="inlineStr"/>
      <c r="AJ1190" s="5" t="inlineStr"/>
    </row>
    <row r="1191">
      <c r="A1191" s="5" t="inlineStr">
        <is>
          <t>b10-dijital-miras</t>
        </is>
      </c>
      <c r="B1191" s="5" t="n">
        <v>2</v>
      </c>
      <c r="C1191" s="6" t="inlineStr">
        <is>
          <t>Fotoğraf arşivini düzenle</t>
        </is>
      </c>
      <c r="D1191" s="5" t="inlineStr">
        <is>
          <t>Dayanıklılık</t>
        </is>
      </c>
      <c r="E1191" s="5" t="inlineStr">
        <is>
          <t>Zor</t>
        </is>
      </c>
      <c r="F1191" s="5" t="inlineStr"/>
      <c r="G1191" s="6" t="inlineStr"/>
      <c r="H1191" s="6" t="inlineStr">
        <is>
          <t>Yüz seksen bin fotoğrafı yıllara göre sıraladın. Torunlar kendi bebeklik fotoğraflarını seninkilerin yanında, aynı klasörde buldu.</t>
        </is>
      </c>
      <c r="I1191" s="6" t="inlineStr">
        <is>
          <t>Yüz seksen bin fotoğrafı yıllara, düğünlere, bayramlara ayırdın. Bayramda telefon elden ele dolaştı; torun bir gençlik fotoğrafında durdu: 'Bu sen misin? Çok güzelmişsin.' O akşam kimse kendi telefonuna bakmadı.</t>
        </is>
      </c>
      <c r="J1191" s="6" t="inlineStr">
        <is>
          <t>Üçüncü klasörde durdun. 'Adsız 1' ile 'Adsız 847' arasında bir yerde kayboldun.</t>
        </is>
      </c>
      <c r="K1191" s="6" t="inlineStr">
        <is>
          <t>Yanlışlıkla bütün arşivi sildin. Torun üç gün uğraştı, yüz seksen bin fotoğrafın yüz yetmiş dokuz binini kurtardı. Kurtaramadığı bin fotoğrafın hepsi onun bebekliğiydi.</t>
        </is>
      </c>
      <c r="L1191" s="6" t="inlineStr">
        <is>
          <t>Doksan bin fotoğraf yıllara ayrıldı. Kalanlar 'Sonra Bakarım' klasöründe; klasör torunlara miras.</t>
        </is>
      </c>
      <c r="M1191" s="5" t="inlineStr">
        <is>
          <t>diff</t>
        </is>
      </c>
      <c r="N1191" s="5" t="inlineStr">
        <is>
          <t>Fotoğraf Farkı</t>
        </is>
      </c>
      <c r="O1191" s="6" t="inlineStr">
        <is>
          <t>İki albüm aynı olmalı: farklı olan fotoğrafları bul.</t>
        </is>
      </c>
      <c r="P1191" s="6" t="inlineStr">
        <is>
          <t>{"set": ["📷", "🖼️", "😀", "😴", "👪"]}</t>
        </is>
      </c>
      <c r="Q1191" s="5" t="inlineStr"/>
      <c r="R1191" s="5" t="inlineStr"/>
      <c r="S1191" s="5" t="inlineStr"/>
      <c r="T1191" s="5" t="inlineStr">
        <is>
          <t>Hayat Arşivcisi</t>
        </is>
      </c>
      <c r="U1191" s="5" t="inlineStr"/>
      <c r="V1191" s="5" t="inlineStr"/>
      <c r="W1191" s="5" t="inlineStr"/>
      <c r="X1191" s="5" t="inlineStr"/>
      <c r="Y1191" s="5" t="inlineStr"/>
      <c r="Z1191" s="6" t="inlineStr"/>
      <c r="AA1191" s="5" t="inlineStr"/>
      <c r="AB1191" s="5" t="inlineStr"/>
      <c r="AC1191" s="5" t="inlineStr"/>
      <c r="AD1191" s="5" t="inlineStr"/>
      <c r="AE1191" s="5" t="inlineStr"/>
      <c r="AF1191" s="5" t="inlineStr"/>
      <c r="AG1191" s="5" t="inlineStr"/>
      <c r="AH1191" s="5" t="inlineStr"/>
      <c r="AI1191" s="5" t="inlineStr"/>
      <c r="AJ1191" s="5" t="inlineStr"/>
    </row>
    <row r="1192">
      <c r="A1192" s="5" t="inlineStr">
        <is>
          <t>b10-dijital-miras</t>
        </is>
      </c>
      <c r="B1192" s="5" t="n">
        <v>3</v>
      </c>
      <c r="C1192" s="6" t="inlineStr">
        <is>
          <t>Şifre sistemini torundan sakla</t>
        </is>
      </c>
      <c r="D1192" s="5" t="inlineStr">
        <is>
          <t>Akıl</t>
        </is>
      </c>
      <c r="E1192" s="5" t="inlineStr">
        <is>
          <t>Orta</t>
        </is>
      </c>
      <c r="F1192" s="5" t="inlineStr"/>
      <c r="G1192" s="6" t="inlineStr"/>
      <c r="H1192" s="6" t="inlineStr">
        <is>
          <t>Şifrelerin yerini bir bilmeceye gömdün. Torun bir hafta uğraştı, çözünce aradı: 'Bu kadarına gerek var mıydı?' 'Vardı' dedin. O hafta her gün aramıştı.</t>
        </is>
      </c>
      <c r="I1192" s="6" t="inlineStr">
        <is>
          <t>Bilmecenin ilk ipucunu buzdolabı mıknatısına sakladın. Torun çözünce o kadar sevindi ki kendi şifrelerini de bilmeceye çevirdi; şimdi sen çözüyorsun.</t>
        </is>
      </c>
      <c r="J1192" s="6" t="inlineStr">
        <is>
          <t>Torun bilmeceyi ilk ipucunda çözdü. İpucu kedinin adıydı.</t>
        </is>
      </c>
      <c r="K1192" s="6" t="inlineStr">
        <is>
          <t>Bilmeceyi sen de çözemedin. Kırk hesap kilitlendi. Torun 'Kedinin adı neydi?' diye sordu; üç ayrı ad söyledin.</t>
        </is>
      </c>
      <c r="L1192" s="6" t="inlineStr"/>
      <c r="M1192" s="5" t="inlineStr"/>
      <c r="N1192" s="5" t="inlineStr"/>
      <c r="O1192" s="6" t="inlineStr"/>
      <c r="P1192" s="6" t="inlineStr"/>
      <c r="Q1192" s="5" t="inlineStr"/>
      <c r="R1192" s="5" t="inlineStr"/>
      <c r="S1192" s="5" t="inlineStr">
        <is>
          <t>Akıl</t>
        </is>
      </c>
      <c r="T1192" s="5" t="inlineStr"/>
      <c r="U1192" s="5" t="inlineStr"/>
      <c r="V1192" s="5" t="inlineStr"/>
      <c r="W1192" s="5" t="inlineStr"/>
      <c r="X1192" s="5" t="inlineStr"/>
      <c r="Y1192" s="5" t="inlineStr"/>
      <c r="Z1192" s="6" t="inlineStr"/>
      <c r="AA1192" s="5" t="inlineStr"/>
      <c r="AB1192" s="5" t="inlineStr"/>
      <c r="AC1192" s="5" t="inlineStr"/>
      <c r="AD1192" s="5" t="inlineStr"/>
      <c r="AE1192" s="5" t="inlineStr"/>
      <c r="AF1192" s="5" t="inlineStr"/>
      <c r="AG1192" s="5" t="inlineStr"/>
      <c r="AH1192" s="5" t="inlineStr"/>
      <c r="AI1192" s="5" t="inlineStr"/>
      <c r="AJ1192" s="5" t="inlineStr"/>
    </row>
    <row r="1193">
      <c r="A1193" s="5" t="inlineStr">
        <is>
          <t>b10-mezar-parseli</t>
        </is>
      </c>
      <c r="B1193" s="5" t="n">
        <v>1</v>
      </c>
      <c r="C1193" s="6" t="inlineStr">
        <is>
          <t>Otoparka bakan parseli al</t>
        </is>
      </c>
      <c r="D1193" s="5" t="inlineStr"/>
      <c r="E1193" s="5" t="inlineStr"/>
      <c r="F1193" s="5" t="inlineStr">
        <is>
          <t>Kurnazlık +1</t>
        </is>
      </c>
      <c r="G1193" s="6" t="inlineStr">
        <is>
          <t>Otoparka bakan parseli yarı fiyatına aldın. Akşam telefonda müjdeyi verdin: 'Ziyarete gelince park yeri aramayacaksınız.' Telefondaki gülmedi; sen çok güldün.</t>
        </is>
      </c>
      <c r="H1193" s="6" t="inlineStr"/>
      <c r="I1193" s="6" t="inlineStr"/>
      <c r="J1193" s="6" t="inlineStr"/>
      <c r="K1193" s="6" t="inlineStr"/>
      <c r="L1193" s="6" t="inlineStr"/>
      <c r="M1193" s="5" t="inlineStr"/>
      <c r="N1193" s="5" t="inlineStr"/>
      <c r="O1193" s="6" t="inlineStr"/>
      <c r="P1193" s="6" t="inlineStr"/>
      <c r="Q1193" s="5" t="inlineStr"/>
      <c r="R1193" s="5" t="inlineStr"/>
      <c r="S1193" s="5" t="inlineStr"/>
      <c r="T1193" s="5" t="inlineStr"/>
      <c r="U1193" s="5" t="inlineStr"/>
      <c r="V1193" s="5" t="inlineStr"/>
      <c r="W1193" s="5" t="inlineStr"/>
      <c r="X1193" s="5" t="inlineStr"/>
      <c r="Y1193" s="5" t="inlineStr"/>
      <c r="Z1193" s="6" t="inlineStr"/>
      <c r="AA1193" s="5" t="inlineStr"/>
      <c r="AB1193" s="5" t="inlineStr"/>
      <c r="AC1193" s="5" t="inlineStr"/>
      <c r="AD1193" s="5" t="inlineStr"/>
      <c r="AE1193" s="5" t="inlineStr"/>
      <c r="AF1193" s="5" t="inlineStr"/>
      <c r="AG1193" s="5" t="inlineStr"/>
      <c r="AH1193" s="5" t="inlineStr"/>
      <c r="AI1193" s="5" t="inlineStr"/>
      <c r="AJ1193" s="5" t="inlineStr"/>
    </row>
    <row r="1194">
      <c r="A1194" s="5" t="inlineStr">
        <is>
          <t>b10-mezar-parseli</t>
        </is>
      </c>
      <c r="B1194" s="5" t="n">
        <v>2</v>
      </c>
      <c r="C1194" s="6" t="inlineStr">
        <is>
          <t>Manzaralı parsel için pazarlık et</t>
        </is>
      </c>
      <c r="D1194" s="5" t="inlineStr">
        <is>
          <t>Çene</t>
        </is>
      </c>
      <c r="E1194" s="5" t="inlineStr">
        <is>
          <t>Zor</t>
        </is>
      </c>
      <c r="F1194" s="5" t="inlineStr"/>
      <c r="G1194" s="6" t="inlineStr"/>
      <c r="H1194" s="6" t="inlineStr">
        <is>
          <t>Manzaralı parsel indirimle alındı. Görevli 'Bunu kimseye söylemeyin' dedi.</t>
        </is>
      </c>
      <c r="I1194" s="6" t="inlineStr">
        <is>
          <t>Manzaralı parseli aldın, yanına bir de bank konuldu. Ziyaret saatleri artık piknik saatleri.</t>
        </is>
      </c>
      <c r="J1194" s="6" t="inlineStr">
        <is>
          <t>Sen pazarlık ederken arkandaki amca manzaralı parseli peşin aldı. Çıkarken sana döndü: 'Komşu olamadık, kısmet.'</t>
        </is>
      </c>
      <c r="K1194" s="6" t="inlineStr">
        <is>
          <t>Sen 'Son fiyat' derken görevli duvara yeni tarifeyi astı. Manzaralı parsel yüzde kırk zamlandı, otoparka bakan da.</t>
        </is>
      </c>
      <c r="L1194" s="6" t="inlineStr">
        <is>
          <t>Manzaralı parseli aldın; indirim yerine yanına bir saksı sardunya koydular.</t>
        </is>
      </c>
      <c r="M1194" s="5" t="inlineStr">
        <is>
          <t>duel</t>
        </is>
      </c>
      <c r="N1194" s="5" t="inlineStr">
        <is>
          <t>Parsel Pazarlığı</t>
        </is>
      </c>
      <c r="O1194" s="6" t="inlineStr">
        <is>
          <t>Karşındakinin sabrı bitmeden en iyi cevabı seç.</t>
        </is>
      </c>
      <c r="P1194" s="6" t="inlineStr">
        <is>
          <t>{"who": "Görevli", "item": "parsel", "mode": "buy"}</t>
        </is>
      </c>
      <c r="Q1194" s="5" t="inlineStr"/>
      <c r="R1194" s="5" t="inlineStr"/>
      <c r="S1194" s="5" t="inlineStr"/>
      <c r="T1194" s="5" t="inlineStr">
        <is>
          <t>Son Sözü Söyler</t>
        </is>
      </c>
      <c r="U1194" s="5" t="inlineStr"/>
      <c r="V1194" s="5" t="inlineStr">
        <is>
          <t>manzarali-parsel</t>
        </is>
      </c>
      <c r="W1194" s="5" t="inlineStr"/>
      <c r="X1194" s="5" t="inlineStr"/>
      <c r="Y1194" s="5" t="inlineStr"/>
      <c r="Z1194" s="6" t="inlineStr"/>
      <c r="AA1194" s="5" t="inlineStr"/>
      <c r="AB1194" s="5" t="inlineStr"/>
      <c r="AC1194" s="5" t="inlineStr"/>
      <c r="AD1194" s="5" t="inlineStr"/>
      <c r="AE1194" s="5" t="inlineStr"/>
      <c r="AF1194" s="5" t="inlineStr"/>
      <c r="AG1194" s="5" t="inlineStr"/>
      <c r="AH1194" s="5" t="inlineStr"/>
      <c r="AI1194" s="5" t="inlineStr"/>
      <c r="AJ1194" s="5" t="inlineStr"/>
    </row>
    <row r="1195">
      <c r="A1195" s="5" t="inlineStr">
        <is>
          <t>b10-mezar-parseli</t>
        </is>
      </c>
      <c r="B1195" s="5" t="n">
        <v>3</v>
      </c>
      <c r="C1195" s="6" t="inlineStr">
        <is>
          <t>Parseli yatarak test et</t>
        </is>
      </c>
      <c r="D1195" s="5" t="inlineStr">
        <is>
          <t>Cesaret</t>
        </is>
      </c>
      <c r="E1195" s="5" t="inlineStr">
        <is>
          <t>Orta</t>
        </is>
      </c>
      <c r="F1195" s="5" t="inlineStr"/>
      <c r="G1195" s="6" t="inlineStr"/>
      <c r="H1195" s="6" t="inlineStr">
        <is>
          <t>Uzandın, gökyüzüne baktın, bir süre öyle kaldın. Kalkınca 'Yastığı yok ama olur' dedin. Görevli sözleşmeyi ilk kez gülerek imzalattı.</t>
        </is>
      </c>
      <c r="I1195" s="6" t="inlineStr">
        <is>
          <t>Uzandın, manzara mükemmeldi, bir kuş tam üstünde tünedi. İmza atıldı.</t>
        </is>
      </c>
      <c r="J1195" s="6" t="inlineStr">
        <is>
          <t>Uzandın, görevli fiyat listesini tepende yüksek sesle okudu. Manzara bozuldu.</t>
        </is>
      </c>
      <c r="K1195" s="6" t="inlineStr">
        <is>
          <t>Uzandın, horlamaya başladın; yan parseli gezen teyzenin çığlığı otoparktan duyuldu. Kalkamadın. Görevliyle iki ziyaretçi seni kollarından çekip oturttu; biri 'Erken gelmişsiniz' dedi.</t>
        </is>
      </c>
      <c r="L1195" s="6" t="inlineStr"/>
      <c r="M1195" s="5" t="inlineStr"/>
      <c r="N1195" s="5" t="inlineStr"/>
      <c r="O1195" s="6" t="inlineStr"/>
      <c r="P1195" s="6" t="inlineStr"/>
      <c r="Q1195" s="5" t="inlineStr"/>
      <c r="R1195" s="5" t="inlineStr"/>
      <c r="S1195" s="5" t="inlineStr"/>
      <c r="T1195" s="5" t="inlineStr"/>
      <c r="U1195" s="5" t="inlineStr"/>
      <c r="V1195" s="5" t="inlineStr">
        <is>
          <t>manzarali-parsel</t>
        </is>
      </c>
      <c r="W1195" s="5" t="inlineStr"/>
      <c r="X1195" s="5" t="inlineStr"/>
      <c r="Y1195" s="5" t="n">
        <v>3</v>
      </c>
      <c r="Z1195" s="6" t="inlineStr">
        <is>
          <t>Manzaralı parseli yerinde incelerken. Manzarayı onayladı.</t>
        </is>
      </c>
      <c r="AA1195" s="5" t="inlineStr"/>
      <c r="AB1195" s="5" t="inlineStr"/>
      <c r="AC1195" s="5" t="inlineStr"/>
      <c r="AD1195" s="5" t="inlineStr"/>
      <c r="AE1195" s="5" t="inlineStr"/>
      <c r="AF1195" s="5" t="inlineStr"/>
      <c r="AG1195" s="5" t="inlineStr"/>
      <c r="AH1195" s="5" t="inlineStr"/>
      <c r="AI1195" s="5" t="inlineStr">
        <is>
          <t>Erken Yatan</t>
        </is>
      </c>
      <c r="AJ1195" s="5" t="inlineStr"/>
    </row>
    <row r="1196">
      <c r="A1196" s="5" t="inlineStr">
        <is>
          <t>b10-danismanlik</t>
        </is>
      </c>
      <c r="B1196" s="5" t="n">
        <v>1</v>
      </c>
      <c r="C1196" s="6" t="inlineStr">
        <is>
          <t>Yerini telefonda söyle</t>
        </is>
      </c>
      <c r="D1196" s="5" t="inlineStr"/>
      <c r="E1196" s="5" t="inlineStr"/>
      <c r="F1196" s="5" t="inlineStr">
        <is>
          <t>İtibar +1</t>
        </is>
      </c>
      <c r="G1196" s="6" t="inlineStr">
        <is>
          <t>Dosya bulundu. Telefondaki genç 'Siz olmasanız…' dedi ve cümleyi bitiremedi. Akşam bunu bakkala, kapıcıya ve kediye anlattın.</t>
        </is>
      </c>
      <c r="H1196" s="6" t="inlineStr"/>
      <c r="I1196" s="6" t="inlineStr"/>
      <c r="J1196" s="6" t="inlineStr"/>
      <c r="K1196" s="6" t="inlineStr"/>
      <c r="L1196" s="6" t="inlineStr"/>
      <c r="M1196" s="5" t="inlineStr"/>
      <c r="N1196" s="5" t="inlineStr"/>
      <c r="O1196" s="6" t="inlineStr"/>
      <c r="P1196" s="6" t="inlineStr"/>
      <c r="Q1196" s="5" t="inlineStr"/>
      <c r="R1196" s="5" t="inlineStr"/>
      <c r="S1196" s="5" t="inlineStr"/>
      <c r="T1196" s="5" t="inlineStr"/>
      <c r="U1196" s="5" t="inlineStr"/>
      <c r="V1196" s="5" t="inlineStr"/>
      <c r="W1196" s="5" t="inlineStr"/>
      <c r="X1196" s="5" t="inlineStr"/>
      <c r="Y1196" s="5" t="inlineStr"/>
      <c r="Z1196" s="6" t="inlineStr"/>
      <c r="AA1196" s="5" t="inlineStr"/>
      <c r="AB1196" s="5" t="inlineStr"/>
      <c r="AC1196" s="5" t="inlineStr"/>
      <c r="AD1196" s="5" t="inlineStr"/>
      <c r="AE1196" s="5" t="inlineStr"/>
      <c r="AF1196" s="5" t="inlineStr"/>
      <c r="AG1196" s="5" t="inlineStr"/>
      <c r="AH1196" s="5" t="inlineStr"/>
      <c r="AI1196" s="5" t="inlineStr"/>
      <c r="AJ1196" s="5" t="inlineStr"/>
    </row>
    <row r="1197">
      <c r="A1197" s="5" t="inlineStr">
        <is>
          <t>b10-danismanlik</t>
        </is>
      </c>
      <c r="B1197" s="5" t="n">
        <v>2</v>
      </c>
      <c r="C1197" s="6" t="inlineStr">
        <is>
          <t>Danışmanlık ücreti iste</t>
        </is>
      </c>
      <c r="D1197" s="5" t="inlineStr">
        <is>
          <t>Kurnazlık</t>
        </is>
      </c>
      <c r="E1197" s="5" t="inlineStr">
        <is>
          <t>Orta</t>
        </is>
      </c>
      <c r="F1197" s="5" t="inlineStr"/>
      <c r="G1197" s="6" t="inlineStr"/>
      <c r="H1197" s="6" t="inlineStr">
        <is>
          <t>Tek cümle için yarım maaş istedin, verdiler. 'Üçüncü raf, arka kutu.' Hayatının en kârlı cümlesi.</t>
        </is>
      </c>
      <c r="I1197" s="6" t="inlineStr">
        <is>
          <t>Aylık danışmanlık ücreti bağlandı. Görevin: ayın birinde gelen telefonu açıp 'Üçüncü raf, arka kutu' demek. Sormasalar da her ay söylüyorsun.</t>
        </is>
      </c>
      <c r="J1197" s="6" t="inlineStr">
        <is>
          <t>Ücret konuşulurken dosyayı kendileri bulmuş. Genç teşekkür edip kapattı. O akşam telefonun yanında oturdun; bir daha aramadılar.</t>
        </is>
      </c>
      <c r="K1197" s="6" t="inlineStr">
        <is>
          <t>Ücret istedin; dosyayı kendin götürmen istendi. Otobüs bedavaydı ama iki aktarma, bir yokuş ve asansörsüz dört kat senden.</t>
        </is>
      </c>
      <c r="L1197" s="6" t="inlineStr"/>
      <c r="M1197" s="5" t="inlineStr"/>
      <c r="N1197" s="5" t="inlineStr"/>
      <c r="O1197" s="6" t="inlineStr"/>
      <c r="P1197" s="6" t="inlineStr"/>
      <c r="Q1197" s="5" t="inlineStr"/>
      <c r="R1197" s="5" t="inlineStr"/>
      <c r="S1197" s="5" t="inlineStr"/>
      <c r="T1197" s="5" t="inlineStr"/>
      <c r="U1197" s="5" t="inlineStr"/>
      <c r="V1197" s="5" t="inlineStr"/>
      <c r="W1197" s="5" t="inlineStr"/>
      <c r="X1197" s="5" t="inlineStr"/>
      <c r="Y1197" s="5" t="inlineStr"/>
      <c r="Z1197" s="6" t="inlineStr"/>
      <c r="AA1197" s="5" t="inlineStr"/>
      <c r="AB1197" s="5" t="inlineStr"/>
      <c r="AC1197" s="5" t="inlineStr"/>
      <c r="AD1197" s="5" t="inlineStr"/>
      <c r="AE1197" s="5" t="inlineStr"/>
      <c r="AF1197" s="5" t="inlineStr"/>
      <c r="AG1197" s="5" t="inlineStr"/>
      <c r="AH1197" s="5" t="inlineStr"/>
      <c r="AI1197" s="5" t="inlineStr"/>
      <c r="AJ1197" s="5" t="inlineStr"/>
    </row>
    <row r="1198">
      <c r="A1198" s="5" t="inlineStr">
        <is>
          <t>b10-danismanlik</t>
        </is>
      </c>
      <c r="B1198" s="5" t="n">
        <v>3</v>
      </c>
      <c r="C1198" s="6" t="inlineStr">
        <is>
          <t>Arşivin yerini söyle</t>
        </is>
      </c>
      <c r="D1198" s="5" t="inlineStr"/>
      <c r="E1198" s="5" t="inlineStr"/>
      <c r="F1198" s="5" t="inlineStr">
        <is>
          <t>Akıl +1</t>
        </is>
      </c>
      <c r="G1198" s="6" t="inlineStr">
        <is>
          <t>'Üçüncü kat, ikinci oda, dolabın arkası, mavi klasör.' Telefon hoparlördeymiş; arkadan alkış geldi. Ödeme yapılmadı ama ertesi gün kapına bir kutu lokum geldi, üstünde 'Arşivden sevgilerle'.</t>
        </is>
      </c>
      <c r="H1198" s="6" t="inlineStr"/>
      <c r="I1198" s="6" t="inlineStr"/>
      <c r="J1198" s="6" t="inlineStr"/>
      <c r="K1198" s="6" t="inlineStr"/>
      <c r="L1198" s="6" t="inlineStr"/>
      <c r="M1198" s="5" t="inlineStr"/>
      <c r="N1198" s="5" t="inlineStr"/>
      <c r="O1198" s="6" t="inlineStr"/>
      <c r="P1198" s="6" t="inlineStr"/>
      <c r="Q1198" s="5" t="inlineStr"/>
      <c r="R1198" s="5" t="inlineStr">
        <is>
          <t>meslek-memur</t>
        </is>
      </c>
      <c r="S1198" s="5" t="inlineStr"/>
      <c r="T1198" s="5" t="inlineStr"/>
      <c r="U1198" s="5" t="inlineStr"/>
      <c r="V1198" s="5" t="inlineStr"/>
      <c r="W1198" s="5" t="inlineStr"/>
      <c r="X1198" s="5" t="inlineStr"/>
      <c r="Y1198" s="5" t="inlineStr"/>
      <c r="Z1198" s="6" t="inlineStr"/>
      <c r="AA1198" s="5" t="inlineStr"/>
      <c r="AB1198" s="5" t="inlineStr"/>
      <c r="AC1198" s="5" t="inlineStr"/>
      <c r="AD1198" s="5" t="inlineStr"/>
      <c r="AE1198" s="5" t="inlineStr"/>
      <c r="AF1198" s="5" t="inlineStr"/>
      <c r="AG1198" s="5" t="inlineStr"/>
      <c r="AH1198" s="5" t="inlineStr"/>
      <c r="AI1198" s="5" t="inlineStr"/>
      <c r="AJ1198" s="5" t="inlineStr"/>
    </row>
    <row r="1199">
      <c r="A1199" s="5" t="inlineStr">
        <is>
          <t>b10-eski-dost-cenazesi</t>
        </is>
      </c>
      <c r="B1199" s="5" t="n">
        <v>1</v>
      </c>
      <c r="C1199" s="6" t="inlineStr">
        <is>
          <t>Helvayı sen karıştır</t>
        </is>
      </c>
      <c r="D1199" s="5" t="inlineStr"/>
      <c r="E1199" s="5" t="inlineStr"/>
      <c r="F1199" s="5" t="inlineStr">
        <is>
          <t>Gönül +1</t>
        </is>
      </c>
      <c r="G1199" s="6" t="inlineStr">
        <is>
          <t>Kepçeyi aldın, bir saat helva karıştırdın, tek kelime etmedin. Akşam dostunun kızı kapıda elini tuttu: 'En çok sizi severdi.'</t>
        </is>
      </c>
      <c r="H1199" s="6" t="inlineStr"/>
      <c r="I1199" s="6" t="inlineStr"/>
      <c r="J1199" s="6" t="inlineStr"/>
      <c r="K1199" s="6" t="inlineStr"/>
      <c r="L1199" s="6" t="inlineStr"/>
      <c r="M1199" s="5" t="inlineStr"/>
      <c r="N1199" s="5" t="inlineStr"/>
      <c r="O1199" s="6" t="inlineStr"/>
      <c r="P1199" s="6" t="inlineStr"/>
      <c r="Q1199" s="5" t="inlineStr"/>
      <c r="R1199" s="5" t="inlineStr"/>
      <c r="S1199" s="5" t="inlineStr"/>
      <c r="T1199" s="5" t="inlineStr"/>
      <c r="U1199" s="5" t="inlineStr"/>
      <c r="V1199" s="5" t="inlineStr"/>
      <c r="W1199" s="5" t="inlineStr"/>
      <c r="X1199" s="5" t="inlineStr"/>
      <c r="Y1199" s="5" t="inlineStr"/>
      <c r="Z1199" s="6" t="inlineStr"/>
      <c r="AA1199" s="5" t="inlineStr"/>
      <c r="AB1199" s="5" t="inlineStr"/>
      <c r="AC1199" s="5" t="inlineStr"/>
      <c r="AD1199" s="5" t="inlineStr"/>
      <c r="AE1199" s="5" t="inlineStr"/>
      <c r="AF1199" s="5" t="inlineStr"/>
      <c r="AG1199" s="5" t="inlineStr"/>
      <c r="AH1199" s="5" t="inlineStr"/>
      <c r="AI1199" s="5" t="inlineStr"/>
      <c r="AJ1199" s="5" t="inlineStr"/>
    </row>
    <row r="1200">
      <c r="A1200" s="5" t="inlineStr">
        <is>
          <t>b10-eski-dost-cenazesi</t>
        </is>
      </c>
      <c r="B1200" s="5" t="n">
        <v>2</v>
      </c>
      <c r="C1200" s="6" t="inlineStr">
        <is>
          <t>Dostunun bir hatırasını anlat</t>
        </is>
      </c>
      <c r="D1200" s="5" t="inlineStr">
        <is>
          <t>İtibar</t>
        </is>
      </c>
      <c r="E1200" s="5" t="inlineStr">
        <is>
          <t>Zor</t>
        </is>
      </c>
      <c r="F1200" s="5" t="inlineStr"/>
      <c r="G1200" s="6" t="inlineStr"/>
      <c r="H1200" s="6" t="inlineStr">
        <is>
          <t>Dostunla otobüste ikinizin de bilet parasını unuttuğu günü anlattın; üç cümle. Helva kavuran kepçeyi bıraktı, köşedeki uzun anlatan ilk kez sustu.</t>
        </is>
      </c>
      <c r="I1200" s="6" t="inlineStr">
        <is>
          <t>Kırk yıl önceki balık hikâyesini anlattın; taziye evi önce güldü, sonra ağladı. Dostunun eşi elini tuttu: 'Yine onun sesini duydum.'</t>
        </is>
      </c>
      <c r="J1200" s="6" t="inlineStr">
        <is>
          <t>Hatırayı anlatmaya başladın, sonunu getiremedin. 'İyi insandı' dedin. Yetti.</t>
        </is>
      </c>
      <c r="K1200" s="6" t="inlineStr">
        <is>
          <t>Hatıranın ortasında dostunun adı yerine kendi adını söyledin. Kimse düzeltmedi. Çıkışta üç kişi elini sıkıp 'Kendine iyi bak' dedi.</t>
        </is>
      </c>
      <c r="L1200" s="6" t="inlineStr"/>
      <c r="M1200" s="5" t="inlineStr"/>
      <c r="N1200" s="5" t="inlineStr"/>
      <c r="O1200" s="6" t="inlineStr"/>
      <c r="P1200" s="6" t="inlineStr"/>
      <c r="Q1200" s="5" t="inlineStr"/>
      <c r="R1200" s="5" t="inlineStr"/>
      <c r="S1200" s="5" t="inlineStr"/>
      <c r="T1200" s="5" t="inlineStr">
        <is>
          <t>Son Sözü Söyler</t>
        </is>
      </c>
      <c r="U1200" s="5" t="inlineStr"/>
      <c r="V1200" s="5" t="inlineStr"/>
      <c r="W1200" s="5" t="inlineStr"/>
      <c r="X1200" s="5" t="inlineStr"/>
      <c r="Y1200" s="5" t="inlineStr"/>
      <c r="Z1200" s="6" t="inlineStr"/>
      <c r="AA1200" s="5" t="inlineStr"/>
      <c r="AB1200" s="5" t="inlineStr"/>
      <c r="AC1200" s="5" t="inlineStr"/>
      <c r="AD1200" s="5" t="inlineStr"/>
      <c r="AE1200" s="5" t="inlineStr"/>
      <c r="AF1200" s="5" t="inlineStr"/>
      <c r="AG1200" s="5" t="inlineStr"/>
      <c r="AH1200" s="5" t="inlineStr"/>
      <c r="AI1200" s="5" t="inlineStr"/>
      <c r="AJ1200" s="5" t="inlineStr"/>
    </row>
    <row r="1201">
      <c r="A1201" s="5" t="inlineStr">
        <is>
          <t>b10-eski-dost-cenazesi</t>
        </is>
      </c>
      <c r="B1201" s="5" t="n">
        <v>3</v>
      </c>
      <c r="C1201" s="6" t="inlineStr">
        <is>
          <t>Uzun anlatanın önüne taze çay koy</t>
        </is>
      </c>
      <c r="D1201" s="5" t="inlineStr">
        <is>
          <t>Sosyal Radar</t>
        </is>
      </c>
      <c r="E1201" s="5" t="inlineStr">
        <is>
          <t>Kolay</t>
        </is>
      </c>
      <c r="F1201" s="5" t="inlineStr"/>
      <c r="G1201" s="6" t="inlineStr"/>
      <c r="H1201" s="6" t="inlineStr">
        <is>
          <t>Önüne taze çay koydun. Çay sıcakken susmak zorunda kaldı; söz sırası başkasına geçti.</t>
        </is>
      </c>
      <c r="I1201" s="6" t="inlineStr">
        <is>
          <t>Çayı önüne koydun; içmek için sustu. Sonra sana döndü: 'Sen anlat, sen onu benden iyi bilirdin.' Taziye evi ilk kez senin hikâyeni dinledi.</t>
        </is>
      </c>
      <c r="J1201" s="6" t="inlineStr">
        <is>
          <t>Çayı koydun. Bir dikişte içti ve hikâyeye kaldığı yerden devam etti. Dördüncü kez.</t>
        </is>
      </c>
      <c r="K1201" s="6" t="inlineStr">
        <is>
          <t>Çayı koyarken tepsiyi devirdin. Herkes ayağa kalktı, halılar silindi; uzun anlatan bu karmaşada hikâyeyi en baştan aldı.</t>
        </is>
      </c>
      <c r="L1201" s="6" t="inlineStr"/>
      <c r="M1201" s="5" t="inlineStr"/>
      <c r="N1201" s="5" t="inlineStr"/>
      <c r="O1201" s="6" t="inlineStr"/>
      <c r="P1201" s="6" t="inlineStr"/>
      <c r="Q1201" s="5" t="inlineStr"/>
      <c r="R1201" s="5" t="inlineStr"/>
      <c r="S1201" s="5" t="inlineStr">
        <is>
          <t>Sosyal Radar</t>
        </is>
      </c>
      <c r="T1201" s="5" t="inlineStr"/>
      <c r="U1201" s="5" t="inlineStr"/>
      <c r="V1201" s="5" t="inlineStr"/>
      <c r="W1201" s="5" t="inlineStr"/>
      <c r="X1201" s="5" t="inlineStr"/>
      <c r="Y1201" s="5" t="inlineStr"/>
      <c r="Z1201" s="6" t="inlineStr"/>
      <c r="AA1201" s="5" t="inlineStr"/>
      <c r="AB1201" s="5" t="inlineStr"/>
      <c r="AC1201" s="5" t="inlineStr"/>
      <c r="AD1201" s="5" t="inlineStr"/>
      <c r="AE1201" s="5" t="inlineStr"/>
      <c r="AF1201" s="5" t="inlineStr"/>
      <c r="AG1201" s="5" t="inlineStr"/>
      <c r="AH1201" s="5" t="inlineStr"/>
      <c r="AI1201" s="5" t="inlineStr"/>
      <c r="AJ1201" s="5" t="inlineStr"/>
    </row>
    <row r="1202">
      <c r="A1202" s="5" t="inlineStr">
        <is>
          <t>b10-ani-defteri</t>
        </is>
      </c>
      <c r="B1202" s="5" t="n">
        <v>1</v>
      </c>
      <c r="C1202" s="6" t="inlineStr">
        <is>
          <t>Olduğu gibi yaz</t>
        </is>
      </c>
      <c r="D1202" s="5" t="inlineStr"/>
      <c r="E1202" s="5" t="inlineStr"/>
      <c r="F1202" s="5" t="inlineStr">
        <is>
          <t>İtibar +1</t>
        </is>
      </c>
      <c r="G1202" s="6" t="inlineStr">
        <is>
          <t>Defter bitti. Aile okudu, üç kişi aradı, bir kişi özür diledi.</t>
        </is>
      </c>
      <c r="H1202" s="6" t="inlineStr"/>
      <c r="I1202" s="6" t="inlineStr"/>
      <c r="J1202" s="6" t="inlineStr"/>
      <c r="K1202" s="6" t="inlineStr"/>
      <c r="L1202" s="6" t="inlineStr"/>
      <c r="M1202" s="5" t="inlineStr"/>
      <c r="N1202" s="5" t="inlineStr"/>
      <c r="O1202" s="6" t="inlineStr"/>
      <c r="P1202" s="6" t="inlineStr"/>
      <c r="Q1202" s="5" t="inlineStr"/>
      <c r="R1202" s="5" t="inlineStr"/>
      <c r="S1202" s="5" t="inlineStr"/>
      <c r="T1202" s="5" t="inlineStr"/>
      <c r="U1202" s="5" t="inlineStr">
        <is>
          <t>ani-defteri</t>
        </is>
      </c>
      <c r="V1202" s="5" t="inlineStr"/>
      <c r="W1202" s="5" t="inlineStr"/>
      <c r="X1202" s="5" t="inlineStr"/>
      <c r="Y1202" s="5" t="inlineStr"/>
      <c r="Z1202" s="6" t="inlineStr"/>
      <c r="AA1202" s="5" t="inlineStr"/>
      <c r="AB1202" s="5" t="inlineStr"/>
      <c r="AC1202" s="5" t="inlineStr"/>
      <c r="AD1202" s="5" t="inlineStr"/>
      <c r="AE1202" s="5" t="inlineStr"/>
      <c r="AF1202" s="5" t="inlineStr"/>
      <c r="AG1202" s="5" t="inlineStr"/>
      <c r="AH1202" s="5" t="inlineStr"/>
      <c r="AI1202" s="5" t="inlineStr"/>
      <c r="AJ1202" s="5" t="inlineStr"/>
    </row>
    <row r="1203">
      <c r="A1203" s="5" t="inlineStr">
        <is>
          <t>b10-ani-defteri</t>
        </is>
      </c>
      <c r="B1203" s="5" t="n">
        <v>2</v>
      </c>
      <c r="C1203" s="6" t="inlineStr">
        <is>
          <t>Anıları biraz süsle</t>
        </is>
      </c>
      <c r="D1203" s="5" t="inlineStr">
        <is>
          <t>Pişkinlik</t>
        </is>
      </c>
      <c r="E1203" s="5" t="inlineStr">
        <is>
          <t>Orta</t>
        </is>
      </c>
      <c r="F1203" s="5" t="inlineStr"/>
      <c r="G1203" s="6" t="inlineStr"/>
      <c r="H1203" s="6" t="inlineStr">
        <is>
          <t>Anıları biraz süsledin. Düzeltebilecek tek kişi çocukluk arkadaşındı; o da senin versiyonunu daha çok beğendi.</t>
        </is>
      </c>
      <c r="I1203" s="6" t="inlineStr">
        <is>
          <t>Defter mahallede elden ele dolaştı; bakkal bile tezgâhın altında okudu. İki komşu kapına geldi: 'O kavgada ben haklıydım, düzelt.'</t>
        </is>
      </c>
      <c r="J1203" s="6" t="inlineStr">
        <is>
          <t>Süslemeleri tarihleri düzelten yakaladı: 'Sen o yaz denize hiç girmedin ki, fotoğrafı var.' Sayfaya sarı bir kâğıt yapıştırdı: 'Kurgu.'</t>
        </is>
      </c>
      <c r="K1203" s="6" t="inlineStr">
        <is>
          <t>Defterde 'çoktan göçüp gitti' diye yazdığın sıra arkadaşın hâlâ hayattaymış. Defteri okudu, telefon açtı: 'Ölmedim. Ayrıca o gün kaçan sendin.'</t>
        </is>
      </c>
      <c r="L1203" s="6" t="inlineStr"/>
      <c r="M1203" s="5" t="inlineStr"/>
      <c r="N1203" s="5" t="inlineStr"/>
      <c r="O1203" s="6" t="inlineStr"/>
      <c r="P1203" s="6" t="inlineStr"/>
      <c r="Q1203" s="5" t="inlineStr"/>
      <c r="R1203" s="5" t="inlineStr"/>
      <c r="S1203" s="5" t="inlineStr"/>
      <c r="T1203" s="5" t="inlineStr"/>
      <c r="U1203" s="5" t="inlineStr">
        <is>
          <t>ani-defteri</t>
        </is>
      </c>
      <c r="V1203" s="5" t="inlineStr"/>
      <c r="W1203" s="5" t="inlineStr"/>
      <c r="X1203" s="5" t="inlineStr"/>
      <c r="Y1203" s="5" t="inlineStr"/>
      <c r="Z1203" s="6" t="inlineStr"/>
      <c r="AA1203" s="5" t="inlineStr"/>
      <c r="AB1203" s="5" t="inlineStr"/>
      <c r="AC1203" s="5" t="inlineStr"/>
      <c r="AD1203" s="5" t="inlineStr"/>
      <c r="AE1203" s="5" t="inlineStr"/>
      <c r="AF1203" s="5" t="inlineStr"/>
      <c r="AG1203" s="5" t="inlineStr"/>
      <c r="AH1203" s="5" t="inlineStr"/>
      <c r="AI1203" s="5" t="inlineStr"/>
      <c r="AJ1203" s="5" t="inlineStr"/>
    </row>
    <row r="1204">
      <c r="A1204" s="5" t="inlineStr">
        <is>
          <t>b10-ani-defteri</t>
        </is>
      </c>
      <c r="B1204" s="5" t="n">
        <v>3</v>
      </c>
      <c r="C1204" s="6" t="inlineStr">
        <is>
          <t>Vazo olayının gerçeğini yaz</t>
        </is>
      </c>
      <c r="D1204" s="5" t="inlineStr">
        <is>
          <t>İtibar</t>
        </is>
      </c>
      <c r="E1204" s="5" t="inlineStr">
        <is>
          <t>Kolay</t>
        </is>
      </c>
      <c r="F1204" s="5" t="inlineStr"/>
      <c r="G1204" s="6" t="inlineStr"/>
      <c r="H1204" s="6" t="inlineStr">
        <is>
          <t>Vazoyu senin kırdığını, kediyi senin suçladığını yazdın. Sayfayı okuyan en küçükleri 'Vay be' dedi, sana uzun uzun baktı. Kedi, ölümünden yıllar sonra aklandı.</t>
        </is>
      </c>
      <c r="I1204" s="6" t="inlineStr">
        <is>
          <t>İtirafı okuyan aile üyeleri ayağa kalktı ve kedinin anısına bir dakikalık saygı duruşu yapıldı.</t>
        </is>
      </c>
      <c r="J1204" s="6" t="inlineStr">
        <is>
          <t>İtirafı yazdın ama sayfa kahveye bulandı. Kedinin sicili değişmedi.</t>
        </is>
      </c>
      <c r="K1204" s="6" t="inlineStr">
        <is>
          <t>Gerçeği yazdın. Okuyunca kuzenin telefon açtı: 'O vazoyu ben itmiştim, sen sadece tutamadın.' Yetmiş yedi yıl başkasının suçunu taşımışsın; kediyle beraber.</t>
        </is>
      </c>
      <c r="L1204" s="6" t="inlineStr"/>
      <c r="M1204" s="5" t="inlineStr"/>
      <c r="N1204" s="5" t="inlineStr"/>
      <c r="O1204" s="6" t="inlineStr"/>
      <c r="P1204" s="6" t="inlineStr"/>
      <c r="Q1204" s="5" t="inlineStr"/>
      <c r="R1204" s="5" t="inlineStr">
        <is>
          <t>kediSuclu</t>
        </is>
      </c>
      <c r="S1204" s="5" t="inlineStr"/>
      <c r="T1204" s="5" t="inlineStr"/>
      <c r="U1204" s="5" t="inlineStr">
        <is>
          <t>ani-defteri</t>
        </is>
      </c>
      <c r="V1204" s="5" t="inlineStr"/>
      <c r="W1204" s="5" t="inlineStr"/>
      <c r="X1204" s="5" t="inlineStr"/>
      <c r="Y1204" s="5" t="inlineStr"/>
      <c r="Z1204" s="6" t="inlineStr"/>
      <c r="AA1204" s="5" t="inlineStr"/>
      <c r="AB1204" s="5" t="inlineStr"/>
      <c r="AC1204" s="5" t="inlineStr"/>
      <c r="AD1204" s="5" t="inlineStr"/>
      <c r="AE1204" s="5" t="inlineStr"/>
      <c r="AF1204" s="5" t="inlineStr"/>
      <c r="AG1204" s="5" t="inlineStr"/>
      <c r="AH1204" s="5" t="inlineStr"/>
      <c r="AI1204" s="5" t="inlineStr"/>
      <c r="AJ1204" s="5" t="inlineStr"/>
    </row>
    <row r="1205">
      <c r="A1205" s="5" t="inlineStr">
        <is>
          <t>b10-seksen-yas-partisi</t>
        </is>
      </c>
      <c r="B1205" s="5" t="n">
        <v>1</v>
      </c>
      <c r="C1205" s="6" t="inlineStr">
        <is>
          <t>Mumları tek nefeste söndür</t>
        </is>
      </c>
      <c r="D1205" s="5" t="inlineStr">
        <is>
          <t>Dayanıklılık</t>
        </is>
      </c>
      <c r="E1205" s="5" t="inlineStr">
        <is>
          <t>Orta</t>
        </is>
      </c>
      <c r="F1205" s="5" t="inlineStr"/>
      <c r="G1205" s="6" t="inlineStr"/>
      <c r="H1205" s="6" t="inlineStr">
        <is>
          <t>Tek nefes, tüm mumlar. Oda alkışa, pasta kurtarılmaya geçti.</t>
        </is>
      </c>
      <c r="I1205" s="6" t="inlineStr">
        <is>
          <t>Tek nefeste seksen mum söndü; peçeteler uçtu, en öndekinin perçemi havalandı. Kapıdaki komşu bağırdı: 'Ciğere bak, ciğere!'</t>
        </is>
      </c>
      <c r="J1205" s="6" t="inlineStr">
        <is>
          <t>Mumların yarısı söndü. İkinci nefese kadar kalanlar pastaya damladı; ilk dilim mumlu çıktı.</t>
        </is>
      </c>
      <c r="K1205" s="6" t="inlineStr">
        <is>
          <t>Bütün gücünle üfledin; mumlar yerinde kaldı, takma dişin pastanın ortasına indi. Video aile grubunda; en çok tekrar izlenen yer diş.</t>
        </is>
      </c>
      <c r="L1205" s="6" t="inlineStr">
        <is>
          <t>Mumların çoğu söndü. Kalanları çocuklar arkadan üfledi; kimse görmedi, herkes gördü.</t>
        </is>
      </c>
      <c r="M1205" s="5" t="inlineStr">
        <is>
          <t>timing</t>
        </is>
      </c>
      <c r="N1205" s="5" t="inlineStr">
        <is>
          <t>Mumları Söndür</t>
        </is>
      </c>
      <c r="O1205" s="6" t="inlineStr">
        <is>
          <t>İbre yeşil alandayken DURDUR'a bas. Art arda tutturdukça kombo kazanırsın.</t>
        </is>
      </c>
      <c r="P1205" s="6" t="n"/>
      <c r="Q1205" s="5" t="inlineStr"/>
      <c r="R1205" s="5" t="inlineStr"/>
      <c r="S1205" s="5" t="inlineStr"/>
      <c r="T1205" s="5" t="inlineStr"/>
      <c r="U1205" s="5" t="inlineStr"/>
      <c r="V1205" s="5" t="inlineStr"/>
      <c r="W1205" s="5" t="inlineStr"/>
      <c r="X1205" s="5" t="inlineStr"/>
      <c r="Y1205" s="5" t="inlineStr"/>
      <c r="Z1205" s="6" t="inlineStr"/>
      <c r="AA1205" s="5" t="inlineStr"/>
      <c r="AB1205" s="5" t="inlineStr"/>
      <c r="AC1205" s="5" t="inlineStr"/>
      <c r="AD1205" s="5" t="inlineStr"/>
      <c r="AE1205" s="5" t="inlineStr"/>
      <c r="AF1205" s="5" t="inlineStr"/>
      <c r="AG1205" s="5" t="inlineStr"/>
      <c r="AH1205" s="5" t="inlineStr"/>
      <c r="AI1205" s="5" t="inlineStr">
        <is>
          <t>Takma Diş</t>
        </is>
      </c>
      <c r="AJ1205" s="5" t="inlineStr"/>
    </row>
    <row r="1206">
      <c r="A1206" s="5" t="inlineStr">
        <is>
          <t>b10-seksen-yas-partisi</t>
        </is>
      </c>
      <c r="B1206" s="5" t="n">
        <v>2</v>
      </c>
      <c r="C1206" s="6" t="inlineStr">
        <is>
          <t>Mumları çocuklara söndürt</t>
        </is>
      </c>
      <c r="D1206" s="5" t="inlineStr"/>
      <c r="E1206" s="5" t="inlineStr"/>
      <c r="F1206" s="5" t="inlineStr">
        <is>
          <t>Gönül +1</t>
        </is>
      </c>
      <c r="G1206" s="6" t="inlineStr">
        <is>
          <t>Çocuklar etrafını sardı, hep birlikte üflediniz; pastaya biraz tükürük karıştı, kimse dert etmedi. En küçüğü dileğini yüksek sesle söyledi: 'Hiç ölme.'</t>
        </is>
      </c>
      <c r="H1206" s="6" t="inlineStr"/>
      <c r="I1206" s="6" t="inlineStr"/>
      <c r="J1206" s="6" t="inlineStr"/>
      <c r="K1206" s="6" t="inlineStr"/>
      <c r="L1206" s="6" t="inlineStr"/>
      <c r="M1206" s="5" t="inlineStr"/>
      <c r="N1206" s="5" t="inlineStr"/>
      <c r="O1206" s="6" t="inlineStr"/>
      <c r="P1206" s="6" t="inlineStr"/>
      <c r="Q1206" s="5" t="inlineStr"/>
      <c r="R1206" s="5" t="inlineStr"/>
      <c r="S1206" s="5" t="inlineStr"/>
      <c r="T1206" s="5" t="inlineStr"/>
      <c r="U1206" s="5" t="inlineStr"/>
      <c r="V1206" s="5" t="inlineStr"/>
      <c r="W1206" s="5" t="inlineStr"/>
      <c r="X1206" s="5" t="inlineStr"/>
      <c r="Y1206" s="5" t="inlineStr"/>
      <c r="Z1206" s="6" t="inlineStr"/>
      <c r="AA1206" s="5" t="inlineStr"/>
      <c r="AB1206" s="5" t="inlineStr"/>
      <c r="AC1206" s="5" t="inlineStr"/>
      <c r="AD1206" s="5" t="inlineStr"/>
      <c r="AE1206" s="5" t="inlineStr"/>
      <c r="AF1206" s="5" t="inlineStr"/>
      <c r="AG1206" s="5" t="inlineStr"/>
      <c r="AH1206" s="5" t="inlineStr"/>
      <c r="AI1206" s="5" t="inlineStr"/>
      <c r="AJ1206" s="5" t="inlineStr"/>
    </row>
    <row r="1207">
      <c r="A1207" s="5" t="inlineStr">
        <is>
          <t>b10-seksen-yas-partisi</t>
        </is>
      </c>
      <c r="B1207" s="5" t="n">
        <v>3</v>
      </c>
      <c r="C1207" s="6" t="inlineStr">
        <is>
          <t>Seksen yılı dört cümlede anlat</t>
        </is>
      </c>
      <c r="D1207" s="5" t="inlineStr">
        <is>
          <t>Çene</t>
        </is>
      </c>
      <c r="E1207" s="5" t="inlineStr">
        <is>
          <t>Orta</t>
        </is>
      </c>
      <c r="F1207" s="5" t="inlineStr"/>
      <c r="G1207" s="6" t="inlineStr"/>
      <c r="H1207" s="6" t="inlineStr">
        <is>
          <t>Seksen yılı dört cümleye sığdırdın: 'Doğdum. Çok çay içtim. Sizi sevdim. Pasta eriyor.' Kimse telefonuna bakmadı; son cümlede herkes güldü.</t>
        </is>
      </c>
      <c r="I1207" s="6" t="inlineStr">
        <is>
          <t>Konuşman videoya çekildi, aile grubunda sabitlendi. Artık her doğum gününde açılışta oynatılıyor.</t>
        </is>
      </c>
      <c r="J1207" s="6" t="inlineStr">
        <is>
          <t>Konuşman uzadı, mumlar kendi kendine söndü.</t>
        </is>
      </c>
      <c r="K1207" s="6" t="inlineStr">
        <is>
          <t>Konuşmana 'Benim zamanımda…' diye başladın. Gençler bunu bekliyordu; tombala kartlarını çıkardılar. Üçüncü 'benim zamanımda'da en küçükleri 'Çinko!' diye bağırdı.</t>
        </is>
      </c>
      <c r="L1207" s="6" t="inlineStr"/>
      <c r="M1207" s="5" t="inlineStr"/>
      <c r="N1207" s="5" t="inlineStr"/>
      <c r="O1207" s="6" t="inlineStr"/>
      <c r="P1207" s="6" t="inlineStr"/>
      <c r="Q1207" s="5" t="inlineStr"/>
      <c r="R1207" s="5" t="inlineStr"/>
      <c r="S1207" s="5" t="inlineStr"/>
      <c r="T1207" s="5" t="inlineStr"/>
      <c r="U1207" s="5" t="inlineStr"/>
      <c r="V1207" s="5" t="inlineStr"/>
      <c r="W1207" s="5" t="inlineStr"/>
      <c r="X1207" s="5" t="inlineStr"/>
      <c r="Y1207" s="5" t="inlineStr"/>
      <c r="Z1207" s="6" t="inlineStr"/>
      <c r="AA1207" s="5" t="inlineStr"/>
      <c r="AB1207" s="5" t="inlineStr"/>
      <c r="AC1207" s="5" t="inlineStr"/>
      <c r="AD1207" s="5" t="inlineStr"/>
      <c r="AE1207" s="5" t="inlineStr"/>
      <c r="AF1207" s="5" t="inlineStr"/>
      <c r="AG1207" s="5" t="inlineStr"/>
      <c r="AH1207" s="5" t="inlineStr"/>
      <c r="AI1207" s="5" t="inlineStr"/>
      <c r="AJ1207" s="5" t="inlineStr"/>
    </row>
    <row r="1208">
      <c r="A1208" s="5" t="inlineStr">
        <is>
          <t>b10-seksen-yas-partisi</t>
        </is>
      </c>
      <c r="B1208" s="5" t="n">
        <v>4</v>
      </c>
      <c r="C1208" s="6" t="inlineStr">
        <is>
          <t>Pastayı gizlice kes</t>
        </is>
      </c>
      <c r="D1208" s="5" t="inlineStr"/>
      <c r="E1208" s="5" t="inlineStr"/>
      <c r="F1208" s="5" t="inlineStr">
        <is>
          <t>Kurnazlık +1</t>
        </is>
      </c>
      <c r="G1208" s="6" t="inlineStr">
        <is>
          <t>Konuşmalar bitmeden ilk dilim senin tabağındaydı, üstünde de en büyük çilek. Masanın en küçüğü gördü; göz kırptın, o da kendi dilimini kesti.</t>
        </is>
      </c>
      <c r="H1208" s="6" t="inlineStr"/>
      <c r="I1208" s="6" t="inlineStr"/>
      <c r="J1208" s="6" t="inlineStr"/>
      <c r="K1208" s="6" t="inlineStr"/>
      <c r="L1208" s="6" t="inlineStr"/>
      <c r="M1208" s="5" t="inlineStr"/>
      <c r="N1208" s="5" t="inlineStr"/>
      <c r="O1208" s="6" t="inlineStr"/>
      <c r="P1208" s="6" t="inlineStr"/>
      <c r="Q1208" s="5" t="inlineStr"/>
      <c r="R1208" s="5" t="inlineStr"/>
      <c r="S1208" s="5" t="inlineStr"/>
      <c r="T1208" s="5" t="inlineStr"/>
      <c r="U1208" s="5" t="inlineStr"/>
      <c r="V1208" s="5" t="inlineStr"/>
      <c r="W1208" s="5" t="inlineStr"/>
      <c r="X1208" s="5" t="inlineStr"/>
      <c r="Y1208" s="5" t="inlineStr"/>
      <c r="Z1208" s="6" t="inlineStr"/>
      <c r="AA1208" s="5" t="inlineStr"/>
      <c r="AB1208" s="5" t="inlineStr"/>
      <c r="AC1208" s="5" t="inlineStr"/>
      <c r="AD1208" s="5" t="inlineStr"/>
      <c r="AE1208" s="5" t="inlineStr"/>
      <c r="AF1208" s="5" t="inlineStr"/>
      <c r="AG1208" s="5" t="inlineStr"/>
      <c r="AH1208" s="5" t="inlineStr"/>
      <c r="AI1208" s="5" t="inlineStr"/>
      <c r="AJ1208" s="5" t="inlineStr"/>
    </row>
    <row r="1209">
      <c r="A1209" s="5" t="inlineStr">
        <is>
          <t>b10-huzurevi-turu</t>
        </is>
      </c>
      <c r="B1209" s="5" t="n">
        <v>1</v>
      </c>
      <c r="C1209" s="6" t="inlineStr">
        <is>
          <t>Nazikçe teşekkür et, evine dön</t>
        </is>
      </c>
      <c r="D1209" s="5" t="inlineStr"/>
      <c r="E1209" s="5" t="inlineStr"/>
      <c r="F1209" s="5" t="inlineStr">
        <is>
          <t>Dayanıklılık +1</t>
        </is>
      </c>
      <c r="G1209" s="6" t="inlineStr">
        <is>
          <t>Broşürü aldın, eve döndün. Akşam telefonda 'Merak etmeyin, beni oraya kimse koyamaz' dedin. Kimse koymaya çalışmıyordu.</t>
        </is>
      </c>
      <c r="H1209" s="6" t="inlineStr"/>
      <c r="I1209" s="6" t="inlineStr"/>
      <c r="J1209" s="6" t="inlineStr"/>
      <c r="K1209" s="6" t="inlineStr"/>
      <c r="L1209" s="6" t="inlineStr"/>
      <c r="M1209" s="5" t="inlineStr"/>
      <c r="N1209" s="5" t="inlineStr"/>
      <c r="O1209" s="6" t="inlineStr"/>
      <c r="P1209" s="6" t="inlineStr"/>
      <c r="Q1209" s="5" t="inlineStr"/>
      <c r="R1209" s="5" t="inlineStr"/>
      <c r="S1209" s="5" t="inlineStr"/>
      <c r="T1209" s="5" t="inlineStr"/>
      <c r="U1209" s="5" t="inlineStr"/>
      <c r="V1209" s="5" t="inlineStr"/>
      <c r="W1209" s="5" t="inlineStr"/>
      <c r="X1209" s="5" t="inlineStr"/>
      <c r="Y1209" s="5" t="inlineStr"/>
      <c r="Z1209" s="6" t="inlineStr"/>
      <c r="AA1209" s="5" t="inlineStr"/>
      <c r="AB1209" s="5" t="inlineStr"/>
      <c r="AC1209" s="5" t="inlineStr"/>
      <c r="AD1209" s="5" t="inlineStr"/>
      <c r="AE1209" s="5" t="inlineStr"/>
      <c r="AF1209" s="5" t="inlineStr"/>
      <c r="AG1209" s="5" t="inlineStr"/>
      <c r="AH1209" s="5" t="inlineStr"/>
      <c r="AI1209" s="5" t="inlineStr"/>
      <c r="AJ1209" s="5" t="inlineStr"/>
    </row>
    <row r="1210">
      <c r="A1210" s="5" t="inlineStr">
        <is>
          <t>b10-huzurevi-turu</t>
        </is>
      </c>
      <c r="B1210" s="5" t="n">
        <v>2</v>
      </c>
      <c r="C1210" s="6" t="inlineStr">
        <is>
          <t>Hemen kayıt ol</t>
        </is>
      </c>
      <c r="D1210" s="5" t="inlineStr"/>
      <c r="E1210" s="5" t="inlineStr"/>
      <c r="F1210" s="5" t="inlineStr">
        <is>
          <t>Sosyal Radar +1</t>
        </is>
      </c>
      <c r="G1210" s="6" t="inlineStr">
        <is>
          <t>Turun sonunda formu imzaladın; ailen birbirine baktı, 'Sadece bakıyorduk' dedi. Üç gün içinde bütün sakinlerin hayat hikâyesini öğrendin; onlar da seninkini, iki ayrı versiyonuyla.</t>
        </is>
      </c>
      <c r="H1210" s="6" t="inlineStr"/>
      <c r="I1210" s="6" t="inlineStr"/>
      <c r="J1210" s="6" t="inlineStr"/>
      <c r="K1210" s="6" t="inlineStr"/>
      <c r="L1210" s="6" t="inlineStr"/>
      <c r="M1210" s="5" t="inlineStr"/>
      <c r="N1210" s="5" t="inlineStr"/>
      <c r="O1210" s="6" t="inlineStr"/>
      <c r="P1210" s="6" t="inlineStr"/>
      <c r="Q1210" s="5" t="inlineStr"/>
      <c r="R1210" s="5" t="inlineStr"/>
      <c r="S1210" s="5" t="inlineStr"/>
      <c r="T1210" s="5" t="inlineStr"/>
      <c r="U1210" s="5" t="inlineStr">
        <is>
          <t>huzurevi-sakini</t>
        </is>
      </c>
      <c r="V1210" s="5" t="inlineStr"/>
      <c r="W1210" s="5" t="inlineStr"/>
      <c r="X1210" s="5" t="inlineStr"/>
      <c r="Y1210" s="5" t="inlineStr"/>
      <c r="Z1210" s="6" t="inlineStr"/>
      <c r="AA1210" s="5" t="inlineStr"/>
      <c r="AB1210" s="5" t="inlineStr"/>
      <c r="AC1210" s="5" t="inlineStr"/>
      <c r="AD1210" s="5" t="inlineStr"/>
      <c r="AE1210" s="5" t="inlineStr"/>
      <c r="AF1210" s="5" t="inlineStr"/>
      <c r="AG1210" s="5" t="inlineStr"/>
      <c r="AH1210" s="5" t="inlineStr"/>
      <c r="AI1210" s="5" t="inlineStr"/>
      <c r="AJ1210" s="5" t="inlineStr"/>
    </row>
    <row r="1211">
      <c r="A1211" s="5" t="inlineStr">
        <is>
          <t>b10-huzurevi-turu</t>
        </is>
      </c>
      <c r="B1211" s="5" t="n">
        <v>3</v>
      </c>
      <c r="C1211" s="6" t="inlineStr">
        <is>
          <t>Çay saatinin yönetimini devral</t>
        </is>
      </c>
      <c r="D1211" s="5" t="inlineStr">
        <is>
          <t>Çene</t>
        </is>
      </c>
      <c r="E1211" s="5" t="inlineStr">
        <is>
          <t>Zor</t>
        </is>
      </c>
      <c r="F1211" s="5" t="inlineStr"/>
      <c r="G1211" s="6" t="inlineStr"/>
      <c r="H1211" s="6" t="inlineStr">
        <is>
          <t>Çay saati sana devredildi. İlk iş kuru kurabiyeyi kaldırıp ev poğaçasına geçtin. Mutfaktaki abla ilk hafta sana küstü, ikinci hafta tarifi istedi.</t>
        </is>
      </c>
      <c r="I1211" s="6" t="inlineStr">
        <is>
          <t>Çay saatin öyle sevildi ki karşı huzurevinden iki teyze her gün otobüsle gelmeye başladı. Müdür ikinci bir demlik aldı; ikisini de sana teslim etti.</t>
        </is>
      </c>
      <c r="J1211" s="6" t="inlineStr">
        <is>
          <t>Çay saatini devralmaya kalktın. Yirmi yıldır demliği tutan teyze demliği bırakmadı; o gün sana ilk bardağı da vermedi.</t>
        </is>
      </c>
      <c r="K1211" s="6" t="inlineStr">
        <is>
          <t>Devralma girişimin duyuldu. Bir hafta boyunca çay sana en son ve en açık hâliyle geldi.</t>
        </is>
      </c>
      <c r="L1211" s="6" t="inlineStr"/>
      <c r="M1211" s="5" t="inlineStr"/>
      <c r="N1211" s="5" t="inlineStr"/>
      <c r="O1211" s="6" t="inlineStr"/>
      <c r="P1211" s="6" t="inlineStr"/>
      <c r="Q1211" s="5" t="inlineStr">
        <is>
          <t>Kuralı Koyan</t>
        </is>
      </c>
      <c r="R1211" s="5" t="inlineStr"/>
      <c r="S1211" s="5" t="inlineStr"/>
      <c r="T1211" s="5" t="inlineStr"/>
      <c r="U1211" s="5" t="inlineStr"/>
      <c r="V1211" s="5" t="inlineStr">
        <is>
          <t>huzurevi-sakini</t>
        </is>
      </c>
      <c r="W1211" s="5" t="inlineStr"/>
      <c r="X1211" s="5" t="inlineStr"/>
      <c r="Y1211" s="5" t="inlineStr"/>
      <c r="Z1211" s="6" t="inlineStr"/>
      <c r="AA1211" s="5" t="inlineStr"/>
      <c r="AB1211" s="5" t="inlineStr"/>
      <c r="AC1211" s="5" t="inlineStr"/>
      <c r="AD1211" s="5" t="inlineStr"/>
      <c r="AE1211" s="5" t="inlineStr"/>
      <c r="AF1211" s="5" t="inlineStr"/>
      <c r="AG1211" s="5" t="inlineStr"/>
      <c r="AH1211" s="5" t="inlineStr"/>
      <c r="AI1211" s="5" t="inlineStr"/>
      <c r="AJ1211" s="5" t="inlineStr"/>
    </row>
    <row r="1212">
      <c r="A1212" s="5" t="inlineStr">
        <is>
          <t>b10-torunun-dugunu</t>
        </is>
      </c>
      <c r="B1212" s="5" t="n">
        <v>1</v>
      </c>
      <c r="C1212" s="6" t="inlineStr">
        <is>
          <t>Torunla dans figürlerini tekrarla</t>
        </is>
      </c>
      <c r="D1212" s="5" t="inlineStr">
        <is>
          <t>Dayanıklılık</t>
        </is>
      </c>
      <c r="E1212" s="5" t="inlineStr">
        <is>
          <t>Orta</t>
        </is>
      </c>
      <c r="F1212" s="5" t="inlineStr"/>
      <c r="G1212" s="6" t="inlineStr"/>
      <c r="H1212" s="6" t="inlineStr">
        <is>
          <t>Torun bir figür yaptı, sen tekrarladın; bir daha yaptı, yine tekrarladın. Salon tempo tuttu, sunucu mikrofona eğildi: 'Bir alkış da büyüğümüze!' Düğün videosunun en çok izlenen kısmı oldu.</t>
        </is>
      </c>
      <c r="I1212" s="6" t="inlineStr">
        <is>
          <t>Dansınız telefondan telefona dolaştı, milyonlarca kez izlendi. Düğün artık 'o dansın olduğu düğün' diye anılıyor; gelinle damat ikinci planda.</t>
        </is>
      </c>
      <c r="J1212" s="6" t="inlineStr">
        <is>
          <t>İki figürü karıştırdın. Torun gülerek senin versiyonuna uydu.</t>
        </is>
      </c>
      <c r="K1212" s="6" t="inlineStr">
        <is>
          <t>Figürleri karıştırdın, ters döndün, gelinin eteğine bastın. Fotoğrafçı tam o anı yakaladı. Düğün albümünün kapağı o kare.</t>
        </is>
      </c>
      <c r="L1212" s="6" t="inlineStr">
        <is>
          <t>Dört figürün üçü tamam. Dördüncüsünde torun seni kucakladı; kimse hatayı görmedi.</t>
        </is>
      </c>
      <c r="M1212" s="5" t="inlineStr">
        <is>
          <t>simon</t>
        </is>
      </c>
      <c r="N1212" s="5" t="inlineStr">
        <is>
          <t>Torunla Dans</t>
        </is>
      </c>
      <c r="O1212" s="6" t="inlineStr">
        <is>
          <t>Torunun gösterdiği figür sırasını aynen tekrarla.</t>
        </is>
      </c>
      <c r="P1212" s="6" t="inlineStr">
        <is>
          <t>{"items": ["👏", "💃", "🕺", "🙌"]}</t>
        </is>
      </c>
      <c r="Q1212" s="5" t="inlineStr"/>
      <c r="R1212" s="5" t="inlineStr"/>
      <c r="S1212" s="5" t="inlineStr"/>
      <c r="T1212" s="5" t="inlineStr"/>
      <c r="U1212" s="5" t="inlineStr"/>
      <c r="V1212" s="5" t="inlineStr"/>
      <c r="W1212" s="5" t="inlineStr"/>
      <c r="X1212" s="5" t="inlineStr"/>
      <c r="Y1212" s="5" t="inlineStr"/>
      <c r="Z1212" s="6" t="inlineStr"/>
      <c r="AA1212" s="5" t="inlineStr"/>
      <c r="AB1212" s="5" t="inlineStr"/>
      <c r="AC1212" s="5" t="inlineStr"/>
      <c r="AD1212" s="5" t="inlineStr"/>
      <c r="AE1212" s="5" t="inlineStr"/>
      <c r="AF1212" s="5" t="inlineStr"/>
      <c r="AG1212" s="5" t="inlineStr"/>
      <c r="AH1212" s="5" t="inlineStr"/>
      <c r="AI1212" s="5" t="inlineStr"/>
      <c r="AJ1212" s="5" t="inlineStr"/>
    </row>
    <row r="1213">
      <c r="A1213" s="5" t="inlineStr">
        <is>
          <t>b10-torunun-dugunu</t>
        </is>
      </c>
      <c r="B1213" s="5" t="n">
        <v>2</v>
      </c>
      <c r="C1213" s="6" t="inlineStr">
        <is>
          <t>Takını mikrofondan anons ettir</t>
        </is>
      </c>
      <c r="D1213" s="5" t="inlineStr"/>
      <c r="E1213" s="5" t="inlineStr"/>
      <c r="F1213" s="5" t="inlineStr">
        <is>
          <t>İtibar +1, Gönül +1</t>
        </is>
      </c>
      <c r="G1213" s="6" t="inlineStr">
        <is>
          <t>Sunucu mikrofona eğildi: 'Aile büyüğümüzden bir bilezik ve iki çeyrek!' Salon ayağa kalktı; dünür tarafı kendi taktıklarını yeniden saydı.</t>
        </is>
      </c>
      <c r="H1213" s="6" t="inlineStr"/>
      <c r="I1213" s="6" t="inlineStr"/>
      <c r="J1213" s="6" t="inlineStr"/>
      <c r="K1213" s="6" t="inlineStr"/>
      <c r="L1213" s="6" t="inlineStr"/>
      <c r="M1213" s="5" t="inlineStr"/>
      <c r="N1213" s="5" t="inlineStr"/>
      <c r="O1213" s="6" t="inlineStr"/>
      <c r="P1213" s="6" t="inlineStr"/>
      <c r="Q1213" s="5" t="inlineStr"/>
      <c r="R1213" s="5" t="inlineStr"/>
      <c r="S1213" s="5" t="inlineStr"/>
      <c r="T1213" s="5" t="inlineStr"/>
      <c r="U1213" s="5" t="inlineStr"/>
      <c r="V1213" s="5" t="inlineStr"/>
      <c r="W1213" s="5" t="inlineStr"/>
      <c r="X1213" s="5" t="inlineStr"/>
      <c r="Y1213" s="5" t="inlineStr"/>
      <c r="Z1213" s="6" t="inlineStr"/>
      <c r="AA1213" s="5" t="inlineStr"/>
      <c r="AB1213" s="5" t="inlineStr"/>
      <c r="AC1213" s="5" t="inlineStr"/>
      <c r="AD1213" s="5" t="inlineStr"/>
      <c r="AE1213" s="5" t="inlineStr"/>
      <c r="AF1213" s="5" t="inlineStr"/>
      <c r="AG1213" s="5" t="inlineStr"/>
      <c r="AH1213" s="5" t="inlineStr"/>
      <c r="AI1213" s="5" t="inlineStr"/>
      <c r="AJ1213" s="5" t="inlineStr"/>
    </row>
    <row r="1214">
      <c r="A1214" s="5" t="inlineStr">
        <is>
          <t>b10-torunun-dugunu</t>
        </is>
      </c>
      <c r="B1214" s="5" t="n">
        <v>3</v>
      </c>
      <c r="C1214" s="6" t="inlineStr">
        <is>
          <t>Halayın başını çek</t>
        </is>
      </c>
      <c r="D1214" s="5" t="inlineStr">
        <is>
          <t>Cesaret</t>
        </is>
      </c>
      <c r="E1214" s="5" t="inlineStr">
        <is>
          <t>Zor</t>
        </is>
      </c>
      <c r="F1214" s="5" t="inlineStr"/>
      <c r="G1214" s="6" t="inlineStr"/>
      <c r="H1214" s="6" t="inlineStr">
        <is>
          <t>Halayı başlattın, salon takip etti. Mendil hâlâ senin elinde.</t>
        </is>
      </c>
      <c r="I1214" s="6" t="inlineStr">
        <is>
          <t>Halayı öyle bir çektin ki orkestra bir şarkı daha çaldı. Kimse durmayı teklif etmedi.</t>
        </is>
      </c>
      <c r="J1214" s="6" t="inlineStr">
        <is>
          <t>Halayı başlattın, üçüncü turda mendili bir torununa devrettin.</t>
        </is>
      </c>
      <c r="K1214" s="6" t="inlineStr">
        <is>
          <t>Halay hızlanınca dizlerin bıraktı. İki torun iki kolundan tuttu; son turu ayakların yerden kesik, mendil elinde döndün. Salon ayakta alkışladı; sen alkışı ertesi gün fizik tedavide, dizinde buz torbasıyla hatırladın.</t>
        </is>
      </c>
      <c r="L1214" s="6" t="inlineStr"/>
      <c r="M1214" s="5" t="inlineStr"/>
      <c r="N1214" s="5" t="inlineStr"/>
      <c r="O1214" s="6" t="inlineStr"/>
      <c r="P1214" s="6" t="inlineStr"/>
      <c r="Q1214" s="5" t="inlineStr"/>
      <c r="R1214" s="5" t="inlineStr"/>
      <c r="S1214" s="5" t="inlineStr"/>
      <c r="T1214" s="5" t="inlineStr"/>
      <c r="U1214" s="5" t="inlineStr"/>
      <c r="V1214" s="5" t="inlineStr"/>
      <c r="W1214" s="5" t="inlineStr"/>
      <c r="X1214" s="5" t="inlineStr"/>
      <c r="Y1214" s="5" t="n">
        <v>5</v>
      </c>
      <c r="Z1214" s="6" t="inlineStr">
        <is>
          <t>Torununun düğününde halayın başını çekerken. Mendil hâlâ havada.</t>
        </is>
      </c>
      <c r="AA1214" s="5" t="inlineStr"/>
      <c r="AB1214" s="5" t="inlineStr"/>
      <c r="AC1214" s="5" t="inlineStr"/>
      <c r="AD1214" s="5" t="inlineStr"/>
      <c r="AE1214" s="5" t="inlineStr"/>
      <c r="AF1214" s="5" t="inlineStr"/>
      <c r="AG1214" s="5" t="inlineStr"/>
      <c r="AH1214" s="5" t="inlineStr"/>
      <c r="AI1214" s="5" t="inlineStr"/>
      <c r="AJ1214" s="5" t="inlineStr"/>
    </row>
    <row r="1215">
      <c r="A1215" s="5" t="inlineStr">
        <is>
          <t>b10-yapay-zeka-kitap</t>
        </is>
      </c>
      <c r="B1215" s="5" t="n">
        <v>1</v>
      </c>
      <c r="C1215" s="6" t="inlineStr">
        <is>
          <t>Kitabı olduğu gibi onayla</t>
        </is>
      </c>
      <c r="D1215" s="5" t="inlineStr"/>
      <c r="E1215" s="5" t="inlineStr"/>
      <c r="F1215" s="5" t="inlineStr">
        <is>
          <t>İtibar +1</t>
        </is>
      </c>
      <c r="G1215" s="6" t="inlineStr">
        <is>
          <t>Kitap basıldı. Kendi hayatını okudun ve biraz kıskandın. Torun ilk nüshayı imzalatmaya getirdi.</t>
        </is>
      </c>
      <c r="H1215" s="6" t="inlineStr"/>
      <c r="I1215" s="6" t="inlineStr"/>
      <c r="J1215" s="6" t="inlineStr"/>
      <c r="K1215" s="6" t="inlineStr"/>
      <c r="L1215" s="6" t="inlineStr"/>
      <c r="M1215" s="5" t="inlineStr"/>
      <c r="N1215" s="5" t="inlineStr"/>
      <c r="O1215" s="6" t="inlineStr"/>
      <c r="P1215" s="6" t="inlineStr"/>
      <c r="Q1215" s="5" t="inlineStr"/>
      <c r="R1215" s="5" t="inlineStr"/>
      <c r="S1215" s="5" t="inlineStr"/>
      <c r="T1215" s="5" t="inlineStr"/>
      <c r="U1215" s="5" t="inlineStr">
        <is>
          <t>kitaplasti</t>
        </is>
      </c>
      <c r="V1215" s="5" t="inlineStr"/>
      <c r="W1215" s="5" t="inlineStr"/>
      <c r="X1215" s="5" t="inlineStr"/>
      <c r="Y1215" s="5" t="inlineStr"/>
      <c r="Z1215" s="6" t="inlineStr"/>
      <c r="AA1215" s="5" t="inlineStr"/>
      <c r="AB1215" s="5" t="inlineStr"/>
      <c r="AC1215" s="5" t="inlineStr"/>
      <c r="AD1215" s="5" t="inlineStr"/>
      <c r="AE1215" s="5" t="inlineStr"/>
      <c r="AF1215" s="5" t="inlineStr"/>
      <c r="AG1215" s="5" t="inlineStr"/>
      <c r="AH1215" s="5" t="inlineStr"/>
      <c r="AI1215" s="5" t="inlineStr"/>
      <c r="AJ1215" s="5" t="inlineStr"/>
    </row>
    <row r="1216">
      <c r="A1216" s="5" t="inlineStr">
        <is>
          <t>b10-yapay-zeka-kitap</t>
        </is>
      </c>
      <c r="B1216" s="5" t="n">
        <v>2</v>
      </c>
      <c r="C1216" s="6" t="inlineStr">
        <is>
          <t>Yapay zekâyla tartış</t>
        </is>
      </c>
      <c r="D1216" s="5" t="inlineStr">
        <is>
          <t>Akıl</t>
        </is>
      </c>
      <c r="E1216" s="5" t="inlineStr">
        <is>
          <t>Zor</t>
        </is>
      </c>
      <c r="F1216" s="5" t="inlineStr"/>
      <c r="G1216" s="6" t="inlineStr"/>
      <c r="H1216" s="6" t="inlineStr">
        <is>
          <t>Üç bölümü yeniden yazdırdın. Makine 'Haklısınız, özür dilerim' dedi. Hayatında en kolay kazandığın tartışma.</t>
        </is>
      </c>
      <c r="I1216" s="6" t="inlineStr">
        <is>
          <t>Makine hayatından o kadar etkilendi ki kitabın ikinci cildini önerdi. Sen daha birinci cildi okumadın.</t>
        </is>
      </c>
      <c r="J1216" s="6" t="inlineStr">
        <is>
          <t>Makine her itirazına 'Harika bir nokta!' dedi ve hiçbir şeyi değiştirmedi.</t>
        </is>
      </c>
      <c r="K1216" s="6" t="inlineStr">
        <is>
          <t>Makineyle iki saat tartıştın. Sonunda kitabın son bölümüne bir ad koydu: 'Huysuz Yıllar.' Torun okuyup başını salladı.</t>
        </is>
      </c>
      <c r="L1216" s="6" t="inlineStr"/>
      <c r="M1216" s="5" t="inlineStr"/>
      <c r="N1216" s="5" t="inlineStr"/>
      <c r="O1216" s="6" t="inlineStr"/>
      <c r="P1216" s="6" t="inlineStr"/>
      <c r="Q1216" s="5" t="inlineStr"/>
      <c r="R1216" s="5" t="inlineStr"/>
      <c r="S1216" s="5" t="inlineStr"/>
      <c r="T1216" s="5" t="inlineStr"/>
      <c r="U1216" s="5" t="inlineStr"/>
      <c r="V1216" s="5" t="inlineStr">
        <is>
          <t>kitaplasti</t>
        </is>
      </c>
      <c r="W1216" s="5" t="inlineStr"/>
      <c r="X1216" s="5" t="inlineStr"/>
      <c r="Y1216" s="5" t="inlineStr"/>
      <c r="Z1216" s="6" t="inlineStr"/>
      <c r="AA1216" s="5" t="inlineStr"/>
      <c r="AB1216" s="5" t="inlineStr"/>
      <c r="AC1216" s="5" t="inlineStr"/>
      <c r="AD1216" s="5" t="inlineStr"/>
      <c r="AE1216" s="5" t="inlineStr"/>
      <c r="AF1216" s="5" t="inlineStr"/>
      <c r="AG1216" s="5" t="inlineStr"/>
      <c r="AH1216" s="5" t="inlineStr"/>
      <c r="AI1216" s="5" t="inlineStr"/>
      <c r="AJ1216" s="5" t="inlineStr"/>
    </row>
    <row r="1217">
      <c r="A1217" s="5" t="inlineStr">
        <is>
          <t>b10-yapay-zeka-kitap</t>
        </is>
      </c>
      <c r="B1217" s="5" t="n">
        <v>3</v>
      </c>
      <c r="C1217" s="6" t="inlineStr">
        <is>
          <t>'Güzel olmayanları da yaz' de</t>
        </is>
      </c>
      <c r="D1217" s="5" t="inlineStr">
        <is>
          <t>İtibar</t>
        </is>
      </c>
      <c r="E1217" s="5" t="inlineStr">
        <is>
          <t>Kolay</t>
        </is>
      </c>
      <c r="F1217" s="5" t="inlineStr"/>
      <c r="G1217" s="6" t="inlineStr"/>
      <c r="H1217" s="6" t="inlineStr">
        <is>
          <t>Kitaba kırık camlar, borçlar ve kaçırılmış otobüsler eklendi. Artık gerçekten senin hayatın.</t>
        </is>
      </c>
      <c r="I1217" s="6" t="inlineStr">
        <is>
          <t>Kitap o kadar dürüst oldu ki torun okurken iki kez kalkıp sana sarıldı, bir kez de kapıyı kapatıp 'Bu bölümü annemler okumasın' dedi.</t>
        </is>
      </c>
      <c r="J1217" s="6" t="inlineStr">
        <is>
          <t>Makine 'güzel olmayanları' da güzel anlattı. Borç dönemin 'finansal öğrenme süreci' oldu.</t>
        </is>
      </c>
      <c r="K1217" s="6" t="inlineStr">
        <is>
          <t>Makine güzel olmayanları kitabın başına koydu. İlk cümle: 'Borçlarla geçen bir ömür.' Kitabı bayramda dünürlere dağıtamadılar.</t>
        </is>
      </c>
      <c r="L1217" s="6" t="inlineStr"/>
      <c r="M1217" s="5" t="inlineStr"/>
      <c r="N1217" s="5" t="inlineStr"/>
      <c r="O1217" s="6" t="inlineStr"/>
      <c r="P1217" s="6" t="inlineStr"/>
      <c r="Q1217" s="5" t="inlineStr"/>
      <c r="R1217" s="5" t="inlineStr"/>
      <c r="S1217" s="5" t="inlineStr">
        <is>
          <t>İtibar</t>
        </is>
      </c>
      <c r="T1217" s="5" t="inlineStr"/>
      <c r="U1217" s="5" t="inlineStr">
        <is>
          <t>kitaplasti</t>
        </is>
      </c>
      <c r="V1217" s="5" t="inlineStr"/>
      <c r="W1217" s="5" t="inlineStr"/>
      <c r="X1217" s="5" t="inlineStr"/>
      <c r="Y1217" s="5" t="inlineStr"/>
      <c r="Z1217" s="6" t="inlineStr"/>
      <c r="AA1217" s="5" t="inlineStr"/>
      <c r="AB1217" s="5" t="inlineStr"/>
      <c r="AC1217" s="5" t="inlineStr"/>
      <c r="AD1217" s="5" t="inlineStr"/>
      <c r="AE1217" s="5" t="inlineStr"/>
      <c r="AF1217" s="5" t="inlineStr"/>
      <c r="AG1217" s="5" t="inlineStr"/>
      <c r="AH1217" s="5" t="inlineStr"/>
      <c r="AI1217" s="5" t="inlineStr"/>
      <c r="AJ1217" s="5" t="inlineStr"/>
    </row>
    <row r="1218">
      <c r="A1218" s="5" t="inlineStr">
        <is>
          <t>b10-eski-ev</t>
        </is>
      </c>
      <c r="B1218" s="5" t="n">
        <v>1</v>
      </c>
      <c r="C1218" s="6" t="inlineStr">
        <is>
          <t>Durup bak, sonra yürü</t>
        </is>
      </c>
      <c r="D1218" s="5" t="inlineStr"/>
      <c r="E1218" s="5" t="inlineStr"/>
      <c r="F1218" s="5" t="inlineStr">
        <is>
          <t>İtibar +1</t>
        </is>
      </c>
      <c r="G1218" s="6" t="inlineStr">
        <is>
          <t>Ev sana bakmadı. Sen ona uzun uzun baktın; annenin mutfak penceresinden seslendiği yere. Sonra yürüdün, yavaş.</t>
        </is>
      </c>
      <c r="H1218" s="6" t="inlineStr"/>
      <c r="I1218" s="6" t="inlineStr"/>
      <c r="J1218" s="6" t="inlineStr"/>
      <c r="K1218" s="6" t="inlineStr"/>
      <c r="L1218" s="6" t="inlineStr"/>
      <c r="M1218" s="5" t="inlineStr"/>
      <c r="N1218" s="5" t="inlineStr"/>
      <c r="O1218" s="6" t="inlineStr"/>
      <c r="P1218" s="6" t="inlineStr"/>
      <c r="Q1218" s="5" t="inlineStr"/>
      <c r="R1218" s="5" t="inlineStr"/>
      <c r="S1218" s="5" t="inlineStr"/>
      <c r="T1218" s="5" t="inlineStr"/>
      <c r="U1218" s="5" t="inlineStr"/>
      <c r="V1218" s="5" t="inlineStr"/>
      <c r="W1218" s="5" t="inlineStr"/>
      <c r="X1218" s="5" t="inlineStr"/>
      <c r="Y1218" s="5" t="inlineStr"/>
      <c r="Z1218" s="6" t="inlineStr"/>
      <c r="AA1218" s="5" t="inlineStr"/>
      <c r="AB1218" s="5" t="inlineStr"/>
      <c r="AC1218" s="5" t="inlineStr"/>
      <c r="AD1218" s="5" t="inlineStr"/>
      <c r="AE1218" s="5" t="inlineStr"/>
      <c r="AF1218" s="5" t="inlineStr"/>
      <c r="AG1218" s="5" t="inlineStr"/>
      <c r="AH1218" s="5" t="inlineStr"/>
      <c r="AI1218" s="5" t="inlineStr"/>
      <c r="AJ1218" s="5" t="inlineStr"/>
    </row>
    <row r="1219">
      <c r="A1219" s="5" t="inlineStr">
        <is>
          <t>b10-eski-ev</t>
        </is>
      </c>
      <c r="B1219" s="5" t="n">
        <v>2</v>
      </c>
      <c r="C1219" s="6" t="inlineStr">
        <is>
          <t>Kapıyı çal</t>
        </is>
      </c>
      <c r="D1219" s="5" t="inlineStr">
        <is>
          <t>Cesaret</t>
        </is>
      </c>
      <c r="E1219" s="5" t="inlineStr">
        <is>
          <t>Orta</t>
        </is>
      </c>
      <c r="F1219" s="5" t="inlineStr"/>
      <c r="G1219" s="6" t="inlineStr"/>
      <c r="H1219" s="6" t="inlineStr">
        <is>
          <t>Yeni sahipler seni içeri aldı. Senin odan şimdi bir çocuk odası. Çocuk duvara keçeli kalemle güneş çizmiş, tam senin çizdiğin yere.</t>
        </is>
      </c>
      <c r="I1219" s="6" t="inlineStr">
        <is>
          <t>İçeri aldılar, çay koydular. Mutfak kapısının pervazında kurşun kalemle çizilmiş boy çizgilerin hâlâ duruyordu; ev sahibi silmeye kıyamamış.</t>
        </is>
      </c>
      <c r="J1219" s="6" t="inlineStr">
        <is>
          <t>Kapıyı kimse açmadı. Karşı apartmandan biri camı açtı: 'Kimi aradınız?' 'Kendimi' diyemedin.</t>
        </is>
      </c>
      <c r="K1219" s="6" t="inlineStr">
        <is>
          <t>Kapıyı açan kadın seni kaybolmuş sandı, adresini sordu. 'Burası' dedin. Kadın, polisi aradı; polise de 'Burası' dedin. Kendi eski evinden yeni evine polis arabasıyla döndün; karşı balkondaki teyze hepsini izledi.</t>
        </is>
      </c>
      <c r="L1219" s="6" t="inlineStr"/>
      <c r="M1219" s="5" t="inlineStr"/>
      <c r="N1219" s="5" t="inlineStr"/>
      <c r="O1219" s="6" t="inlineStr"/>
      <c r="P1219" s="6" t="inlineStr"/>
      <c r="Q1219" s="5" t="inlineStr"/>
      <c r="R1219" s="5" t="inlineStr"/>
      <c r="S1219" s="5" t="inlineStr"/>
      <c r="T1219" s="5" t="inlineStr"/>
      <c r="U1219" s="5" t="inlineStr"/>
      <c r="V1219" s="5" t="inlineStr"/>
      <c r="W1219" s="5" t="inlineStr"/>
      <c r="X1219" s="5" t="inlineStr"/>
      <c r="Y1219" s="5" t="inlineStr"/>
      <c r="Z1219" s="6" t="inlineStr"/>
      <c r="AA1219" s="5" t="inlineStr"/>
      <c r="AB1219" s="5" t="inlineStr"/>
      <c r="AC1219" s="5" t="inlineStr"/>
      <c r="AD1219" s="5" t="inlineStr"/>
      <c r="AE1219" s="5" t="inlineStr"/>
      <c r="AF1219" s="5" t="inlineStr"/>
      <c r="AG1219" s="5" t="inlineStr"/>
      <c r="AH1219" s="5" t="inlineStr"/>
      <c r="AI1219" s="5" t="inlineStr"/>
      <c r="AJ1219" s="5" t="inlineStr"/>
    </row>
    <row r="1220">
      <c r="A1220" s="5" t="inlineStr">
        <is>
          <t>b10-eski-ev</t>
        </is>
      </c>
      <c r="B1220" s="5" t="n">
        <v>3</v>
      </c>
      <c r="C1220" s="6" t="inlineStr">
        <is>
          <t>Komşunun camına selam ver</t>
        </is>
      </c>
      <c r="D1220" s="5" t="inlineStr"/>
      <c r="E1220" s="5" t="inlineStr"/>
      <c r="F1220" s="5" t="inlineStr">
        <is>
          <t>Pişkinlik +1</t>
        </is>
      </c>
      <c r="G1220" s="6" t="inlineStr">
        <is>
          <t>Cama el salladın. Cam cevap vermedi. Ama pencerede biri seni hatırladı ve perdeyi kapattı.</t>
        </is>
      </c>
      <c r="H1220" s="6" t="inlineStr"/>
      <c r="I1220" s="6" t="inlineStr"/>
      <c r="J1220" s="6" t="inlineStr"/>
      <c r="K1220" s="6" t="inlineStr"/>
      <c r="L1220" s="6" t="inlineStr"/>
      <c r="M1220" s="5" t="inlineStr"/>
      <c r="N1220" s="5" t="inlineStr"/>
      <c r="O1220" s="6" t="inlineStr"/>
      <c r="P1220" s="6" t="inlineStr"/>
      <c r="Q1220" s="5" t="inlineStr"/>
      <c r="R1220" s="5" t="inlineStr">
        <is>
          <t>camKirildi</t>
        </is>
      </c>
      <c r="S1220" s="5" t="inlineStr"/>
      <c r="T1220" s="5" t="inlineStr"/>
      <c r="U1220" s="5" t="inlineStr"/>
      <c r="V1220" s="5" t="inlineStr"/>
      <c r="W1220" s="5" t="inlineStr"/>
      <c r="X1220" s="5" t="inlineStr"/>
      <c r="Y1220" s="5" t="inlineStr"/>
      <c r="Z1220" s="6" t="inlineStr"/>
      <c r="AA1220" s="5" t="inlineStr"/>
      <c r="AB1220" s="5" t="inlineStr"/>
      <c r="AC1220" s="5" t="inlineStr"/>
      <c r="AD1220" s="5" t="inlineStr"/>
      <c r="AE1220" s="5" t="inlineStr"/>
      <c r="AF1220" s="5" t="inlineStr"/>
      <c r="AG1220" s="5" t="inlineStr"/>
      <c r="AH1220" s="5" t="inlineStr"/>
      <c r="AI1220" s="5" t="inlineStr"/>
      <c r="AJ1220" s="5" t="inlineStr"/>
    </row>
    <row r="1221">
      <c r="A1221" s="5" t="inlineStr">
        <is>
          <t>b10-son-dans</t>
        </is>
      </c>
      <c r="B1221" s="5" t="n">
        <v>1</v>
      </c>
      <c r="C1221" s="6" t="inlineStr">
        <is>
          <t>Yavaş dans et</t>
        </is>
      </c>
      <c r="D1221" s="5" t="inlineStr"/>
      <c r="E1221" s="5" t="inlineStr"/>
      <c r="F1221" s="5" t="inlineStr">
        <is>
          <t>Gönül +1</t>
        </is>
      </c>
      <c r="G1221" s="6" t="inlineStr">
        <is>
          <t>Şarkı bitti, siz bitmediniz. Radyo bir şarkı daha çaldı.</t>
        </is>
      </c>
      <c r="H1221" s="6" t="inlineStr"/>
      <c r="I1221" s="6" t="inlineStr"/>
      <c r="J1221" s="6" t="inlineStr"/>
      <c r="K1221" s="6" t="inlineStr"/>
      <c r="L1221" s="6" t="inlineStr"/>
      <c r="M1221" s="5" t="inlineStr"/>
      <c r="N1221" s="5" t="inlineStr"/>
      <c r="O1221" s="6" t="inlineStr"/>
      <c r="P1221" s="6" t="inlineStr"/>
      <c r="Q1221" s="5" t="inlineStr"/>
      <c r="R1221" s="5" t="inlineStr"/>
      <c r="S1221" s="5" t="inlineStr"/>
      <c r="T1221" s="5" t="inlineStr"/>
      <c r="U1221" s="5" t="inlineStr"/>
      <c r="V1221" s="5" t="inlineStr"/>
      <c r="W1221" s="5" t="inlineStr"/>
      <c r="X1221" s="5" t="inlineStr"/>
      <c r="Y1221" s="5" t="inlineStr"/>
      <c r="Z1221" s="6" t="inlineStr"/>
      <c r="AA1221" s="5" t="inlineStr"/>
      <c r="AB1221" s="5" t="inlineStr"/>
      <c r="AC1221" s="5" t="inlineStr"/>
      <c r="AD1221" s="5" t="inlineStr"/>
      <c r="AE1221" s="5" t="inlineStr"/>
      <c r="AF1221" s="5" t="inlineStr"/>
      <c r="AG1221" s="5" t="inlineStr"/>
      <c r="AH1221" s="5" t="inlineStr"/>
      <c r="AI1221" s="5" t="inlineStr"/>
      <c r="AJ1221" s="5" t="inlineStr"/>
    </row>
    <row r="1222">
      <c r="A1222" s="5" t="inlineStr">
        <is>
          <t>b10-son-dans</t>
        </is>
      </c>
      <c r="B1222" s="5" t="n">
        <v>2</v>
      </c>
      <c r="C1222" s="6" t="inlineStr">
        <is>
          <t>Düğündeki dönüş figürünü dene</t>
        </is>
      </c>
      <c r="D1222" s="5" t="inlineStr">
        <is>
          <t>Cesaret</t>
        </is>
      </c>
      <c r="E1222" s="5" t="inlineStr">
        <is>
          <t>Çok Zor</t>
        </is>
      </c>
      <c r="F1222" s="5" t="inlineStr"/>
      <c r="G1222" s="6" t="inlineStr"/>
      <c r="H1222" s="6" t="inlineStr">
        <is>
          <t>Figür tamamlandı. Eşin 'Bunu hâlâ hatırlıyorsun' dedi. Sen de şaşırdın.</t>
        </is>
      </c>
      <c r="I1222" s="6" t="inlineStr">
        <is>
          <t>Eşini bir tur döndürdün, o da seni. İkiniz de ayakta kaldınız. Eşin kahkahayla 'Deli misin sen?' dedi; gözleri düğün gecesindeki gibiydi.</t>
        </is>
      </c>
      <c r="J1222" s="6" t="inlineStr">
        <is>
          <t>Figürü yarım bıraktınız. Kahkahalarınız şarkıdan uzun sürdü.</t>
        </is>
      </c>
      <c r="K1222" s="6" t="inlineStr">
        <is>
          <t>Figürün yarısında belin 'tık' etti; ikiniz birden halıya oturdunuz, kalkamadınız. Alt komşu yedek anahtarla gelene kadar şarkıyı yerde, el ele dinlediniz. Akşama bütün apartman biliyordu.</t>
        </is>
      </c>
      <c r="L1222" s="6" t="inlineStr"/>
      <c r="M1222" s="5" t="inlineStr"/>
      <c r="N1222" s="5" t="inlineStr"/>
      <c r="O1222" s="6" t="inlineStr"/>
      <c r="P1222" s="6" t="inlineStr"/>
      <c r="Q1222" s="5" t="inlineStr"/>
      <c r="R1222" s="5" t="inlineStr"/>
      <c r="S1222" s="5" t="inlineStr"/>
      <c r="T1222" s="5" t="inlineStr"/>
      <c r="U1222" s="5" t="inlineStr"/>
      <c r="V1222" s="5" t="inlineStr"/>
      <c r="W1222" s="5" t="inlineStr"/>
      <c r="X1222" s="5" t="inlineStr"/>
      <c r="Y1222" s="5" t="n">
        <v>4</v>
      </c>
      <c r="Z1222" s="6" t="inlineStr">
        <is>
          <t>Eşiyle son dansında düğündeki dönüş figürünü denerken. Figür tamamlandı.</t>
        </is>
      </c>
      <c r="AA1222" s="5" t="inlineStr"/>
      <c r="AB1222" s="5" t="inlineStr"/>
      <c r="AC1222" s="5" t="inlineStr"/>
      <c r="AD1222" s="5" t="inlineStr"/>
      <c r="AE1222" s="5" t="inlineStr"/>
      <c r="AF1222" s="5" t="inlineStr"/>
      <c r="AG1222" s="5" t="inlineStr"/>
      <c r="AH1222" s="5" t="inlineStr"/>
      <c r="AI1222" s="5" t="inlineStr"/>
      <c r="AJ1222" s="5" t="inlineStr"/>
    </row>
    <row r="1223">
      <c r="A1223" s="5" t="inlineStr">
        <is>
          <t>b10-son-dans</t>
        </is>
      </c>
      <c r="B1223" s="5" t="n">
        <v>3</v>
      </c>
      <c r="C1223" s="6" t="inlineStr">
        <is>
          <t>Şarkıyı birlikte söyle</t>
        </is>
      </c>
      <c r="D1223" s="5" t="inlineStr">
        <is>
          <t>Gönül</t>
        </is>
      </c>
      <c r="E1223" s="5" t="inlineStr">
        <is>
          <t>Kolay</t>
        </is>
      </c>
      <c r="F1223" s="5" t="inlineStr"/>
      <c r="G1223" s="6" t="inlineStr"/>
      <c r="H1223" s="6" t="inlineStr">
        <is>
          <t>Sözlerin yarısı yanlış, ikisi de aynı yanlış. Uyum mükemmel.</t>
        </is>
      </c>
      <c r="I1223" s="6" t="inlineStr">
        <is>
          <t>Komşular balkona çıktı. Alt kattaki teyze nakarata katıldı, üst kattaki amca balkon demirine tempo tuttu.</t>
        </is>
      </c>
      <c r="J1223" s="6" t="inlineStr">
        <is>
          <t>Sözleri unuttun. Eşin hatırladı. Her zaman olduğu gibi.</t>
        </is>
      </c>
      <c r="K1223" s="6" t="inlineStr">
        <is>
          <t>Nakaratta durdunuz: sen başka şarkıyı, eşin başka şarkıyı söylüyormuş. Elli yıllık 'bizim şarkı hangisi' kavgası o akşam yeniden açıldı; ikiniz de kendi şarkınızdan vazgeçmediniz.</t>
        </is>
      </c>
      <c r="L1223" s="6" t="inlineStr"/>
      <c r="M1223" s="5" t="inlineStr"/>
      <c r="N1223" s="5" t="inlineStr"/>
      <c r="O1223" s="6" t="inlineStr"/>
      <c r="P1223" s="6" t="inlineStr"/>
      <c r="Q1223" s="5" t="inlineStr"/>
      <c r="R1223" s="5" t="inlineStr"/>
      <c r="S1223" s="5" t="inlineStr"/>
      <c r="T1223" s="5" t="inlineStr"/>
      <c r="U1223" s="5" t="inlineStr"/>
      <c r="V1223" s="5" t="inlineStr"/>
      <c r="W1223" s="5" t="inlineStr"/>
      <c r="X1223" s="5" t="inlineStr"/>
      <c r="Y1223" s="5" t="inlineStr"/>
      <c r="Z1223" s="6" t="inlineStr"/>
      <c r="AA1223" s="5" t="inlineStr"/>
      <c r="AB1223" s="5" t="inlineStr"/>
      <c r="AC1223" s="5" t="inlineStr"/>
      <c r="AD1223" s="5" t="inlineStr"/>
      <c r="AE1223" s="5" t="inlineStr"/>
      <c r="AF1223" s="5" t="inlineStr"/>
      <c r="AG1223" s="5" t="inlineStr"/>
      <c r="AH1223" s="5" t="inlineStr"/>
      <c r="AI1223" s="5" t="inlineStr"/>
      <c r="AJ1223" s="5" t="inlineStr"/>
    </row>
    <row r="1224">
      <c r="A1224" s="5" t="inlineStr">
        <is>
          <t>b10-yalniz-ozgur</t>
        </is>
      </c>
      <c r="B1224" s="5" t="n">
        <v>1</v>
      </c>
      <c r="C1224" s="6" t="inlineStr">
        <is>
          <t>Akşamı kendi başına geçir</t>
        </is>
      </c>
      <c r="D1224" s="5" t="inlineStr"/>
      <c r="E1224" s="5" t="inlineStr"/>
      <c r="F1224" s="5" t="inlineStr">
        <is>
          <t>Dayanıklılık +1</t>
        </is>
      </c>
      <c r="G1224" s="6" t="inlineStr">
        <is>
          <t>Dizi, çay, sessizlik. Dizinin sonunda ağladın; kimse 'Yine mi?' demedi.</t>
        </is>
      </c>
      <c r="H1224" s="6" t="inlineStr"/>
      <c r="I1224" s="6" t="inlineStr"/>
      <c r="J1224" s="6" t="inlineStr"/>
      <c r="K1224" s="6" t="inlineStr"/>
      <c r="L1224" s="6" t="inlineStr"/>
      <c r="M1224" s="5" t="inlineStr"/>
      <c r="N1224" s="5" t="inlineStr"/>
      <c r="O1224" s="6" t="inlineStr"/>
      <c r="P1224" s="6" t="inlineStr"/>
      <c r="Q1224" s="5" t="inlineStr"/>
      <c r="R1224" s="5" t="inlineStr"/>
      <c r="S1224" s="5" t="inlineStr"/>
      <c r="T1224" s="5" t="inlineStr"/>
      <c r="U1224" s="5" t="inlineStr"/>
      <c r="V1224" s="5" t="inlineStr"/>
      <c r="W1224" s="5" t="inlineStr"/>
      <c r="X1224" s="5" t="inlineStr"/>
      <c r="Y1224" s="5" t="inlineStr"/>
      <c r="Z1224" s="6" t="inlineStr"/>
      <c r="AA1224" s="5" t="inlineStr"/>
      <c r="AB1224" s="5" t="inlineStr"/>
      <c r="AC1224" s="5" t="inlineStr"/>
      <c r="AD1224" s="5" t="inlineStr"/>
      <c r="AE1224" s="5" t="inlineStr"/>
      <c r="AF1224" s="5" t="inlineStr"/>
      <c r="AG1224" s="5" t="inlineStr"/>
      <c r="AH1224" s="5" t="inlineStr"/>
      <c r="AI1224" s="5" t="inlineStr"/>
      <c r="AJ1224" s="5" t="inlineStr"/>
    </row>
    <row r="1225">
      <c r="A1225" s="5" t="inlineStr">
        <is>
          <t>b10-yalniz-ozgur</t>
        </is>
      </c>
      <c r="B1225" s="5" t="n">
        <v>2</v>
      </c>
      <c r="C1225" s="6" t="inlineStr">
        <is>
          <t>Yeni bir hobiye başla</t>
        </is>
      </c>
      <c r="D1225" s="5" t="inlineStr">
        <is>
          <t>Akıl</t>
        </is>
      </c>
      <c r="E1225" s="5" t="inlineStr">
        <is>
          <t>Orta</t>
        </is>
      </c>
      <c r="F1225" s="5" t="inlineStr"/>
      <c r="G1225" s="6" t="inlineStr"/>
      <c r="H1225" s="6" t="inlineStr">
        <is>
          <t>Sulu boya kursuna yazıldın. Üçüncü resim, eski evinin tablosu. Duvara asıldı.</t>
        </is>
      </c>
      <c r="I1225" s="6" t="inlineStr">
        <is>
          <t>Sulu boya tabloların mahalle kütüphanesinde sergilendi. Ziyaretçi defterine biri yazdı: 'Ressam kim? Evli mi?'</t>
        </is>
      </c>
      <c r="J1225" s="6" t="inlineStr">
        <is>
          <t>Sulu boya setini açtın; ilk resim çaydanlığa benzedi. Aslında kediyi çizmiştin. Set dolaba kalktı.</t>
        </is>
      </c>
      <c r="K1225" s="6" t="inlineStr">
        <is>
          <t>Fırçayı çay bardağına daldırdın, sonra çayı içtin. Dilin üç gün mavi kaldı; bakkal her gördüğünde 'Hayırdır?' dedi.</t>
        </is>
      </c>
      <c r="L1225" s="6" t="inlineStr"/>
      <c r="M1225" s="5" t="inlineStr"/>
      <c r="N1225" s="5" t="inlineStr"/>
      <c r="O1225" s="6" t="inlineStr"/>
      <c r="P1225" s="6" t="inlineStr"/>
      <c r="Q1225" s="5" t="inlineStr"/>
      <c r="R1225" s="5" t="inlineStr"/>
      <c r="S1225" s="5" t="inlineStr"/>
      <c r="T1225" s="5" t="inlineStr"/>
      <c r="U1225" s="5" t="inlineStr"/>
      <c r="V1225" s="5" t="inlineStr"/>
      <c r="W1225" s="5" t="inlineStr"/>
      <c r="X1225" s="5" t="inlineStr"/>
      <c r="Y1225" s="5" t="inlineStr"/>
      <c r="Z1225" s="6" t="inlineStr"/>
      <c r="AA1225" s="5" t="inlineStr"/>
      <c r="AB1225" s="5" t="inlineStr"/>
      <c r="AC1225" s="5" t="inlineStr"/>
      <c r="AD1225" s="5" t="inlineStr"/>
      <c r="AE1225" s="5" t="inlineStr"/>
      <c r="AF1225" s="5" t="inlineStr"/>
      <c r="AG1225" s="5" t="inlineStr"/>
      <c r="AH1225" s="5" t="inlineStr"/>
      <c r="AI1225" s="5" t="inlineStr">
        <is>
          <t>Mavi Dil</t>
        </is>
      </c>
      <c r="AJ1225" s="5" t="inlineStr"/>
    </row>
    <row r="1226">
      <c r="A1226" s="5" t="inlineStr">
        <is>
          <t>b10-yalniz-ozgur</t>
        </is>
      </c>
      <c r="B1226" s="5" t="n">
        <v>3</v>
      </c>
      <c r="C1226" s="6" t="inlineStr">
        <is>
          <t>Eski dostlara telefon aç</t>
        </is>
      </c>
      <c r="D1226" s="5" t="inlineStr">
        <is>
          <t>Sosyal Radar</t>
        </is>
      </c>
      <c r="E1226" s="5" t="inlineStr">
        <is>
          <t>Kolay</t>
        </is>
      </c>
      <c r="F1226" s="5" t="inlineStr"/>
      <c r="G1226" s="6" t="inlineStr"/>
      <c r="H1226" s="6" t="inlineStr">
        <is>
          <t>Üç kişiyi aradın, ikisi açtı. Bir buluşma ayarlandı.</t>
        </is>
      </c>
      <c r="I1226" s="6" t="inlineStr">
        <is>
          <t>Telefon zincirin sekiz eski dostu aynı çay bahçesinde topladı. Garson masaları birleştirdi, 'Doğum günü mü?' diye sordu. 'Hayır' dediniz, 'hâlâ yaşıyoruz günü.'</t>
        </is>
      </c>
      <c r="J1226" s="6" t="inlineStr">
        <is>
          <t>Beş kişiyi aradın. İkisi duymadı, biri 'Kim?' dedi, biri seni başkasıyla karıştırdı, beşincisi 'Ben de seni arayacaktım' dedi ve aramadı.</t>
        </is>
      </c>
      <c r="K1226" s="6" t="inlineStr">
        <is>
          <t>Defterdeki eski numarayı çevirdin; numara artık bir satış hattıymış. Bir saat tatlı tatlı sohbet ettin, sonunda üç taksitle bir masaj koltuğu aldın.</t>
        </is>
      </c>
      <c r="L1226" s="6" t="inlineStr"/>
      <c r="M1226" s="5" t="inlineStr"/>
      <c r="N1226" s="5" t="inlineStr"/>
      <c r="O1226" s="6" t="inlineStr"/>
      <c r="P1226" s="6" t="inlineStr"/>
      <c r="Q1226" s="5" t="inlineStr"/>
      <c r="R1226" s="5" t="inlineStr"/>
      <c r="S1226" s="5" t="inlineStr"/>
      <c r="T1226" s="5" t="inlineStr"/>
      <c r="U1226" s="5" t="inlineStr"/>
      <c r="V1226" s="5" t="inlineStr"/>
      <c r="W1226" s="5" t="inlineStr"/>
      <c r="X1226" s="5" t="inlineStr"/>
      <c r="Y1226" s="5" t="inlineStr"/>
      <c r="Z1226" s="6" t="inlineStr"/>
      <c r="AA1226" s="5" t="inlineStr"/>
      <c r="AB1226" s="5" t="inlineStr"/>
      <c r="AC1226" s="5" t="inlineStr"/>
      <c r="AD1226" s="5" t="inlineStr"/>
      <c r="AE1226" s="5" t="inlineStr"/>
      <c r="AF1226" s="5" t="inlineStr"/>
      <c r="AG1226" s="5" t="inlineStr"/>
      <c r="AH1226" s="5" t="inlineStr"/>
      <c r="AI1226" s="5" t="inlineStr"/>
      <c r="AJ1226" s="5" t="inlineStr"/>
    </row>
    <row r="1227">
      <c r="A1227" s="5" t="inlineStr">
        <is>
          <t>b10-komsu-kedisi</t>
        </is>
      </c>
      <c r="B1227" s="5" t="n">
        <v>1</v>
      </c>
      <c r="C1227" s="6" t="inlineStr">
        <is>
          <t>Mama koy</t>
        </is>
      </c>
      <c r="D1227" s="5" t="inlineStr"/>
      <c r="E1227" s="5" t="inlineStr"/>
      <c r="F1227" s="5" t="inlineStr">
        <is>
          <t>Gönül +1</t>
        </is>
      </c>
      <c r="G1227" s="6" t="inlineStr">
        <is>
          <t>Mamayı koydun. Kedi önce sana, sonra mamaya baktı; yedi, gitti. Ertesi gün bir arkadaşıyla geldi.</t>
        </is>
      </c>
      <c r="H1227" s="6" t="inlineStr"/>
      <c r="I1227" s="6" t="inlineStr"/>
      <c r="J1227" s="6" t="inlineStr"/>
      <c r="K1227" s="6" t="inlineStr"/>
      <c r="L1227" s="6" t="inlineStr"/>
      <c r="M1227" s="5" t="inlineStr"/>
      <c r="N1227" s="5" t="inlineStr"/>
      <c r="O1227" s="6" t="inlineStr"/>
      <c r="P1227" s="6" t="inlineStr"/>
      <c r="Q1227" s="5" t="inlineStr"/>
      <c r="R1227" s="5" t="inlineStr"/>
      <c r="S1227" s="5" t="inlineStr"/>
      <c r="T1227" s="5" t="inlineStr"/>
      <c r="U1227" s="5" t="inlineStr"/>
      <c r="V1227" s="5" t="inlineStr"/>
      <c r="W1227" s="5" t="inlineStr"/>
      <c r="X1227" s="5" t="inlineStr"/>
      <c r="Y1227" s="5" t="inlineStr"/>
      <c r="Z1227" s="6" t="inlineStr"/>
      <c r="AA1227" s="5" t="inlineStr"/>
      <c r="AB1227" s="5" t="inlineStr"/>
      <c r="AC1227" s="5" t="inlineStr"/>
      <c r="AD1227" s="5" t="inlineStr"/>
      <c r="AE1227" s="5" t="inlineStr"/>
      <c r="AF1227" s="5" t="inlineStr"/>
      <c r="AG1227" s="5" t="inlineStr"/>
      <c r="AH1227" s="5" t="inlineStr"/>
      <c r="AI1227" s="5" t="inlineStr"/>
      <c r="AJ1227" s="5" t="inlineStr"/>
    </row>
    <row r="1228">
      <c r="A1228" s="5" t="inlineStr">
        <is>
          <t>b10-komsu-kedisi</t>
        </is>
      </c>
      <c r="B1228" s="5" t="n">
        <v>2</v>
      </c>
      <c r="C1228" s="6" t="inlineStr">
        <is>
          <t>Kediyi evlat edin</t>
        </is>
      </c>
      <c r="D1228" s="5" t="inlineStr">
        <is>
          <t>Sosyal Radar</t>
        </is>
      </c>
      <c r="E1228" s="5" t="inlineStr">
        <is>
          <t>Orta</t>
        </is>
      </c>
      <c r="F1228" s="5" t="inlineStr"/>
      <c r="G1228" s="6" t="inlineStr"/>
      <c r="H1228" s="6" t="inlineStr">
        <is>
          <t>Kedi ertesi gün yatağına geçti. Artık ev onun.</t>
        </is>
      </c>
      <c r="I1228" s="6" t="inlineStr">
        <is>
          <t>Kedi yerleşti; peşinden sahibi geldi: 'Bizimki sizde mi?' Şimdi kedi iki evde yaşıyor, komşu her akşam sende çayda.</t>
        </is>
      </c>
      <c r="J1228" s="6" t="inlineStr">
        <is>
          <t>Kedi içeri girdi, her şeyi kokladı ve çıktı. Başvurun reddedildi.</t>
        </is>
      </c>
      <c r="K1228" s="6" t="inlineStr">
        <is>
          <t>Kediyi içeri alıp kapıyı kapattın. Bütün gece kapının önünde miyavladı. Sabah komşu zili çaldı: 'Bizim kediyi siz mi kaçırdınız?' Apartman grubu o gün başka bir şey konuşmadı.</t>
        </is>
      </c>
      <c r="L1228" s="6" t="inlineStr"/>
      <c r="M1228" s="5" t="inlineStr"/>
      <c r="N1228" s="5" t="inlineStr"/>
      <c r="O1228" s="6" t="inlineStr"/>
      <c r="P1228" s="6" t="inlineStr"/>
      <c r="Q1228" s="5" t="inlineStr"/>
      <c r="R1228" s="5" t="inlineStr"/>
      <c r="S1228" s="5" t="inlineStr"/>
      <c r="T1228" s="5" t="inlineStr"/>
      <c r="U1228" s="5" t="inlineStr"/>
      <c r="V1228" s="5" t="inlineStr"/>
      <c r="W1228" s="5" t="inlineStr"/>
      <c r="X1228" s="5" t="inlineStr"/>
      <c r="Y1228" s="5" t="inlineStr"/>
      <c r="Z1228" s="6" t="inlineStr"/>
      <c r="AA1228" s="5" t="inlineStr"/>
      <c r="AB1228" s="5" t="inlineStr"/>
      <c r="AC1228" s="5" t="inlineStr"/>
      <c r="AD1228" s="5" t="inlineStr"/>
      <c r="AE1228" s="5" t="inlineStr"/>
      <c r="AF1228" s="5" t="inlineStr"/>
      <c r="AG1228" s="5" t="inlineStr"/>
      <c r="AH1228" s="5" t="inlineStr"/>
      <c r="AI1228" s="5" t="inlineStr"/>
      <c r="AJ1228" s="5" t="inlineStr"/>
    </row>
    <row r="1229">
      <c r="A1229" s="5" t="inlineStr">
        <is>
          <t>b10-komsu-kedisi</t>
        </is>
      </c>
      <c r="B1229" s="5" t="n">
        <v>3</v>
      </c>
      <c r="C1229" s="6" t="inlineStr">
        <is>
          <t>Kediden özür dile</t>
        </is>
      </c>
      <c r="D1229" s="5" t="inlineStr"/>
      <c r="E1229" s="5" t="inlineStr"/>
      <c r="F1229" s="5" t="inlineStr">
        <is>
          <t>Gönül +2</t>
        </is>
      </c>
      <c r="G1229" s="6" t="inlineStr">
        <is>
          <t>'O vazoyu ben kırdım.' Kedi sana uzun uzun baktı, sonra kucağına yerleşti. Seksen yıl sonra biri seni affetti: bir kedi.</t>
        </is>
      </c>
      <c r="H1229" s="6" t="inlineStr"/>
      <c r="I1229" s="6" t="inlineStr"/>
      <c r="J1229" s="6" t="inlineStr"/>
      <c r="K1229" s="6" t="inlineStr"/>
      <c r="L1229" s="6" t="inlineStr"/>
      <c r="M1229" s="5" t="inlineStr"/>
      <c r="N1229" s="5" t="inlineStr"/>
      <c r="O1229" s="6" t="inlineStr"/>
      <c r="P1229" s="6" t="inlineStr"/>
      <c r="Q1229" s="5" t="inlineStr"/>
      <c r="R1229" s="5" t="inlineStr">
        <is>
          <t>kediSuclu</t>
        </is>
      </c>
      <c r="S1229" s="5" t="inlineStr"/>
      <c r="T1229" s="5" t="inlineStr"/>
      <c r="U1229" s="5" t="inlineStr"/>
      <c r="V1229" s="5" t="inlineStr"/>
      <c r="W1229" s="5" t="inlineStr"/>
      <c r="X1229" s="5" t="inlineStr"/>
      <c r="Y1229" s="5" t="inlineStr"/>
      <c r="Z1229" s="6" t="inlineStr"/>
      <c r="AA1229" s="5" t="inlineStr"/>
      <c r="AB1229" s="5" t="inlineStr"/>
      <c r="AC1229" s="5" t="inlineStr"/>
      <c r="AD1229" s="5" t="inlineStr"/>
      <c r="AE1229" s="5" t="inlineStr"/>
      <c r="AF1229" s="5" t="inlineStr"/>
      <c r="AG1229" s="5" t="inlineStr"/>
      <c r="AH1229" s="5" t="inlineStr"/>
      <c r="AI1229" s="5" t="inlineStr"/>
      <c r="AJ1229" s="5" t="inlineStr"/>
    </row>
    <row r="1230">
      <c r="A1230" s="5" t="inlineStr">
        <is>
          <t>b10-sabah-yuruyusu</t>
        </is>
      </c>
      <c r="B1230" s="5" t="n">
        <v>1</v>
      </c>
      <c r="C1230" s="6" t="inlineStr">
        <is>
          <t>Kendi temponda yürü</t>
        </is>
      </c>
      <c r="D1230" s="5" t="inlineStr"/>
      <c r="E1230" s="5" t="inlineStr"/>
      <c r="F1230" s="5" t="inlineStr">
        <is>
          <t>Dayanıklılık +1</t>
        </is>
      </c>
      <c r="G1230" s="6" t="inlineStr">
        <is>
          <t>Grup önden gitti. Sen kendi temponda yürüdün; banka vardığında herkes sana yer açtı. Genç sayılmadın ama çay sana ilk geldi.</t>
        </is>
      </c>
      <c r="H1230" s="6" t="inlineStr"/>
      <c r="I1230" s="6" t="inlineStr"/>
      <c r="J1230" s="6" t="inlineStr"/>
      <c r="K1230" s="6" t="inlineStr"/>
      <c r="L1230" s="6" t="inlineStr"/>
      <c r="M1230" s="5" t="inlineStr"/>
      <c r="N1230" s="5" t="inlineStr"/>
      <c r="O1230" s="6" t="inlineStr"/>
      <c r="P1230" s="6" t="inlineStr"/>
      <c r="Q1230" s="5" t="inlineStr"/>
      <c r="R1230" s="5" t="inlineStr"/>
      <c r="S1230" s="5" t="inlineStr"/>
      <c r="T1230" s="5" t="inlineStr"/>
      <c r="U1230" s="5" t="inlineStr"/>
      <c r="V1230" s="5" t="inlineStr"/>
      <c r="W1230" s="5" t="inlineStr"/>
      <c r="X1230" s="5" t="inlineStr"/>
      <c r="Y1230" s="5" t="inlineStr"/>
      <c r="Z1230" s="6" t="inlineStr"/>
      <c r="AA1230" s="5" t="inlineStr"/>
      <c r="AB1230" s="5" t="inlineStr"/>
      <c r="AC1230" s="5" t="inlineStr"/>
      <c r="AD1230" s="5" t="inlineStr"/>
      <c r="AE1230" s="5" t="inlineStr"/>
      <c r="AF1230" s="5" t="inlineStr"/>
      <c r="AG1230" s="5" t="inlineStr"/>
      <c r="AH1230" s="5" t="inlineStr"/>
      <c r="AI1230" s="5" t="inlineStr"/>
      <c r="AJ1230" s="5" t="inlineStr"/>
    </row>
    <row r="1231">
      <c r="A1231" s="5" t="inlineStr">
        <is>
          <t>b10-sabah-yuruyusu</t>
        </is>
      </c>
      <c r="B1231" s="5" t="n">
        <v>2</v>
      </c>
      <c r="C1231" s="6" t="inlineStr">
        <is>
          <t>Bastonu bırak, öne geç</t>
        </is>
      </c>
      <c r="D1231" s="5" t="inlineStr">
        <is>
          <t>Dayanıklılık</t>
        </is>
      </c>
      <c r="E1231" s="5" t="inlineStr">
        <is>
          <t>Zor</t>
        </is>
      </c>
      <c r="F1231" s="5" t="inlineStr"/>
      <c r="G1231" s="6" t="inlineStr"/>
      <c r="H1231" s="6" t="inlineStr">
        <is>
          <t>Grubun önüne geçtin. Kimse bir şey demedi, ama ertesi gün herkes erken geldi.</t>
        </is>
      </c>
      <c r="I1231" s="6" t="inlineStr">
        <is>
          <t>Önüne geçtin, bir tur boyunca liderliği bırakmadın. Ertesi sabah bankta seni bir şapka bekliyordu; üstüne keçeli kalemle 'Kaptan' yazmışlar.</t>
        </is>
      </c>
      <c r="J1231" s="6" t="inlineStr">
        <is>
          <t>Önüne geçtin, ikinci köşede geri düştün. Grup sana bir kez nazikçe el salladı.</t>
        </is>
      </c>
      <c r="K1231" s="6" t="inlineStr">
        <is>
          <t>Bastonsuz hızlandın; ikinci köşede nefesin kesildi, yoldaki ilk banka çöktün. Biri kolonya döktü, biri ambulansı aradı. Ertesi gün herkes senin yanında yavaş yürüdü; en çok bu koydu.</t>
        </is>
      </c>
      <c r="L1231" s="6" t="inlineStr"/>
      <c r="M1231" s="5" t="inlineStr"/>
      <c r="N1231" s="5" t="inlineStr"/>
      <c r="O1231" s="6" t="inlineStr"/>
      <c r="P1231" s="6" t="inlineStr"/>
      <c r="Q1231" s="5" t="inlineStr"/>
      <c r="R1231" s="5" t="inlineStr"/>
      <c r="S1231" s="5" t="inlineStr"/>
      <c r="T1231" s="5" t="inlineStr"/>
      <c r="U1231" s="5" t="inlineStr"/>
      <c r="V1231" s="5" t="inlineStr"/>
      <c r="W1231" s="5" t="inlineStr"/>
      <c r="X1231" s="5" t="inlineStr"/>
      <c r="Y1231" s="5" t="n">
        <v>5</v>
      </c>
      <c r="Z1231" s="6" t="inlineStr">
        <is>
          <t>Sabah yürüyüş grubunda ilk kez en öne geçtiği anda. Kupa yoktu, onur vardı.</t>
        </is>
      </c>
      <c r="AA1231" s="5" t="inlineStr"/>
      <c r="AB1231" s="5" t="inlineStr"/>
      <c r="AC1231" s="5" t="inlineStr"/>
      <c r="AD1231" s="5" t="inlineStr"/>
      <c r="AE1231" s="5" t="inlineStr"/>
      <c r="AF1231" s="5" t="inlineStr"/>
      <c r="AG1231" s="5" t="inlineStr"/>
      <c r="AH1231" s="5" t="inlineStr"/>
      <c r="AI1231" s="5" t="inlineStr"/>
      <c r="AJ1231" s="5" t="inlineStr"/>
    </row>
    <row r="1232">
      <c r="A1232" s="5" t="inlineStr">
        <is>
          <t>b10-sabah-yuruyusu</t>
        </is>
      </c>
      <c r="B1232" s="5" t="n">
        <v>3</v>
      </c>
      <c r="C1232" s="6" t="inlineStr">
        <is>
          <t>Köşeyi kısa kes</t>
        </is>
      </c>
      <c r="D1232" s="5" t="inlineStr"/>
      <c r="E1232" s="5" t="inlineStr"/>
      <c r="F1232" s="5" t="inlineStr">
        <is>
          <t>Kurnazlık +1</t>
        </is>
      </c>
      <c r="G1232" s="6" t="inlineStr">
        <is>
          <t>Kısa kestin, banka ilk sen vardın. Park görevlisi gördü ama saygıyla sustu; akşama kadar 'genç' sayıldın.</t>
        </is>
      </c>
      <c r="H1232" s="6" t="inlineStr"/>
      <c r="I1232" s="6" t="inlineStr"/>
      <c r="J1232" s="6" t="inlineStr"/>
      <c r="K1232" s="6" t="inlineStr"/>
      <c r="L1232" s="6" t="inlineStr"/>
      <c r="M1232" s="5" t="inlineStr"/>
      <c r="N1232" s="5" t="inlineStr"/>
      <c r="O1232" s="6" t="inlineStr"/>
      <c r="P1232" s="6" t="inlineStr"/>
      <c r="Q1232" s="5" t="inlineStr"/>
      <c r="R1232" s="5" t="inlineStr"/>
      <c r="S1232" s="5" t="inlineStr"/>
      <c r="T1232" s="5" t="inlineStr"/>
      <c r="U1232" s="5" t="inlineStr"/>
      <c r="V1232" s="5" t="inlineStr"/>
      <c r="W1232" s="5" t="inlineStr"/>
      <c r="X1232" s="5" t="inlineStr"/>
      <c r="Y1232" s="5" t="inlineStr"/>
      <c r="Z1232" s="6" t="inlineStr"/>
      <c r="AA1232" s="5" t="inlineStr"/>
      <c r="AB1232" s="5" t="inlineStr"/>
      <c r="AC1232" s="5" t="inlineStr"/>
      <c r="AD1232" s="5" t="inlineStr"/>
      <c r="AE1232" s="5" t="inlineStr"/>
      <c r="AF1232" s="5" t="inlineStr"/>
      <c r="AG1232" s="5" t="inlineStr"/>
      <c r="AH1232" s="5" t="inlineStr"/>
      <c r="AI1232" s="5" t="inlineStr"/>
      <c r="AJ1232" s="5" t="inlineStr"/>
    </row>
    <row r="1233">
      <c r="A1233" s="5" t="inlineStr">
        <is>
          <t>b10-son-taksit</t>
        </is>
      </c>
      <c r="B1233" s="5" t="n">
        <v>1</v>
      </c>
      <c r="C1233" s="6" t="inlineStr">
        <is>
          <t>'Borcu yoktur' yazısını çerçevelet</t>
        </is>
      </c>
      <c r="D1233" s="5" t="inlineStr"/>
      <c r="E1233" s="5" t="inlineStr"/>
      <c r="F1233" s="5" t="inlineStr">
        <is>
          <t>İtibar +1</t>
        </is>
      </c>
      <c r="G1233" s="6" t="inlineStr">
        <is>
          <t>Yazı çerçevelenip salonun duvarına asıldı. Gelen misafir önce ona, sonra sana bakıyor.</t>
        </is>
      </c>
      <c r="H1233" s="6" t="inlineStr"/>
      <c r="I1233" s="6" t="inlineStr"/>
      <c r="J1233" s="6" t="inlineStr"/>
      <c r="K1233" s="6" t="inlineStr"/>
      <c r="L1233" s="6" t="inlineStr"/>
      <c r="M1233" s="5" t="inlineStr"/>
      <c r="N1233" s="5" t="inlineStr"/>
      <c r="O1233" s="6" t="inlineStr"/>
      <c r="P1233" s="6" t="inlineStr"/>
      <c r="Q1233" s="5" t="inlineStr"/>
      <c r="R1233" s="5" t="inlineStr"/>
      <c r="S1233" s="5" t="inlineStr"/>
      <c r="T1233" s="5" t="inlineStr"/>
      <c r="U1233" s="5" t="inlineStr"/>
      <c r="V1233" s="5" t="inlineStr"/>
      <c r="W1233" s="5" t="inlineStr"/>
      <c r="X1233" s="5" t="inlineStr"/>
      <c r="Y1233" s="5" t="inlineStr"/>
      <c r="Z1233" s="6" t="inlineStr"/>
      <c r="AA1233" s="5" t="inlineStr"/>
      <c r="AB1233" s="5" t="inlineStr"/>
      <c r="AC1233" s="5" t="inlineStr"/>
      <c r="AD1233" s="5" t="inlineStr"/>
      <c r="AE1233" s="5" t="inlineStr"/>
      <c r="AF1233" s="5" t="inlineStr"/>
      <c r="AG1233" s="5" t="inlineStr"/>
      <c r="AH1233" s="5" t="inlineStr"/>
      <c r="AI1233" s="5" t="inlineStr"/>
      <c r="AJ1233" s="5" t="inlineStr"/>
    </row>
    <row r="1234">
      <c r="A1234" s="5" t="inlineStr">
        <is>
          <t>b10-son-taksit</t>
        </is>
      </c>
      <c r="B1234" s="5" t="n">
        <v>2</v>
      </c>
      <c r="C1234" s="6" t="inlineStr">
        <is>
          <t>Yeni kredi teklifini kabul et</t>
        </is>
      </c>
      <c r="D1234" s="5" t="inlineStr">
        <is>
          <t>Pişkinlik</t>
        </is>
      </c>
      <c r="E1234" s="5" t="inlineStr">
        <is>
          <t>Orta</t>
        </is>
      </c>
      <c r="F1234" s="5" t="inlineStr"/>
      <c r="G1234" s="6" t="inlineStr"/>
      <c r="H1234" s="6" t="inlineStr">
        <is>
          <t>Kredi onaylandı. Bankanın risk departmanında sessiz bir toplantı yapıldı.</t>
        </is>
      </c>
      <c r="I1234" s="6" t="inlineStr">
        <is>
          <t>Otuz yıl vadeli kredi onaylandı. İmzayı atarken müdüre döndün: 'Son taksidi sana ben getireceğim.' Müdür güldü, sonra hesap makinesine baktı.</t>
        </is>
      </c>
      <c r="J1234" s="6" t="inlineStr">
        <is>
          <t>Başvuru 'değerlendirmede' kaldı. Her ay arıyorsun, her ay aynı genç 'Az kaldı efendim' diyor. İkiniz de neyin az kaldığını söylemiyorsunuz.</t>
        </is>
      </c>
      <c r="K1234" s="6" t="inlineStr">
        <is>
          <t>Banka kefil istedi; kefil olarak yeğenini yazdın. Banka yeğenini aradı; yeğenin 'Kaç yaşında olduğunu biliyor musunuz?' dedi ve kapattı. Bayram ziyareti o yıl kısa sürdü.</t>
        </is>
      </c>
      <c r="L1234" s="6" t="inlineStr"/>
      <c r="M1234" s="5" t="inlineStr"/>
      <c r="N1234" s="5" t="inlineStr"/>
      <c r="O1234" s="6" t="inlineStr"/>
      <c r="P1234" s="6" t="inlineStr"/>
      <c r="Q1234" s="5" t="inlineStr"/>
      <c r="R1234" s="5" t="inlineStr"/>
      <c r="S1234" s="5" t="inlineStr"/>
      <c r="T1234" s="5" t="inlineStr"/>
      <c r="U1234" s="5" t="inlineStr"/>
      <c r="V1234" s="5" t="inlineStr"/>
      <c r="W1234" s="5" t="inlineStr"/>
      <c r="X1234" s="5" t="inlineStr"/>
      <c r="Y1234" s="5" t="inlineStr"/>
      <c r="Z1234" s="6" t="inlineStr"/>
      <c r="AA1234" s="5" t="inlineStr"/>
      <c r="AB1234" s="5" t="inlineStr"/>
      <c r="AC1234" s="5" t="inlineStr"/>
      <c r="AD1234" s="5" t="inlineStr"/>
      <c r="AE1234" s="5" t="inlineStr"/>
      <c r="AF1234" s="5" t="inlineStr"/>
      <c r="AG1234" s="5" t="inlineStr"/>
      <c r="AH1234" s="5" t="inlineStr"/>
      <c r="AI1234" s="5" t="inlineStr"/>
      <c r="AJ1234" s="5" t="inlineStr"/>
    </row>
    <row r="1235">
      <c r="A1235" s="5" t="inlineStr">
        <is>
          <t>b10-son-taksit</t>
        </is>
      </c>
      <c r="B1235" s="5" t="n">
        <v>3</v>
      </c>
      <c r="C1235" s="6" t="inlineStr">
        <is>
          <t>Bankaya ayrılık görüşmesine git</t>
        </is>
      </c>
      <c r="D1235" s="5" t="inlineStr"/>
      <c r="E1235" s="5" t="inlineStr"/>
      <c r="F1235" s="5" t="inlineStr">
        <is>
          <t>Çene +1</t>
        </is>
      </c>
      <c r="G1235" s="6" t="inlineStr">
        <is>
          <t>Banka müdürüne 'Sen değilsin, benim' dedin. Müdür güldü, sana bir kutu kalem verdi. Kapıdan çıkarken bir kez dönüp baktın.</t>
        </is>
      </c>
      <c r="H1235" s="6" t="inlineStr"/>
      <c r="I1235" s="6" t="inlineStr"/>
      <c r="J1235" s="6" t="inlineStr"/>
      <c r="K1235" s="6" t="inlineStr"/>
      <c r="L1235" s="6" t="inlineStr"/>
      <c r="M1235" s="5" t="inlineStr"/>
      <c r="N1235" s="5" t="inlineStr"/>
      <c r="O1235" s="6" t="inlineStr"/>
      <c r="P1235" s="6" t="inlineStr"/>
      <c r="Q1235" s="5" t="inlineStr"/>
      <c r="R1235" s="5" t="inlineStr">
        <is>
          <t>borclu</t>
        </is>
      </c>
      <c r="S1235" s="5" t="inlineStr"/>
      <c r="T1235" s="5" t="inlineStr"/>
      <c r="U1235" s="5" t="inlineStr"/>
      <c r="V1235" s="5" t="inlineStr"/>
      <c r="W1235" s="5" t="inlineStr"/>
      <c r="X1235" s="5" t="inlineStr"/>
      <c r="Y1235" s="5" t="inlineStr"/>
      <c r="Z1235" s="6" t="inlineStr"/>
      <c r="AA1235" s="5" t="inlineStr"/>
      <c r="AB1235" s="5" t="inlineStr"/>
      <c r="AC1235" s="5" t="inlineStr"/>
      <c r="AD1235" s="5" t="inlineStr"/>
      <c r="AE1235" s="5" t="inlineStr"/>
      <c r="AF1235" s="5" t="inlineStr"/>
      <c r="AG1235" s="5" t="inlineStr"/>
      <c r="AH1235" s="5" t="inlineStr"/>
      <c r="AI1235" s="5" t="inlineStr"/>
      <c r="AJ1235" s="5" t="inlineStr"/>
    </row>
    <row r="1236">
      <c r="A1236" s="5" t="inlineStr">
        <is>
          <t>b10-ehliyet-yenileme</t>
        </is>
      </c>
      <c r="B1236" s="5" t="n">
        <v>1</v>
      </c>
      <c r="C1236" s="6" t="inlineStr">
        <is>
          <t>Arabanın anahtarını teslim et</t>
        </is>
      </c>
      <c r="D1236" s="5" t="inlineStr"/>
      <c r="E1236" s="5" t="inlineStr"/>
      <c r="F1236" s="5" t="inlineStr">
        <is>
          <t>Gönül +1</t>
        </is>
      </c>
      <c r="G1236" s="6" t="inlineStr">
        <is>
          <t>Anahtarı teslim ettin; bir an bırakmadın, sonra bıraktın. Artık ön koltuktan yol tarif ediyorsun; şoför kim olursa olsun her virajda 'Yavaş!' diyorsun.</t>
        </is>
      </c>
      <c r="H1236" s="6" t="inlineStr"/>
      <c r="I1236" s="6" t="inlineStr"/>
      <c r="J1236" s="6" t="inlineStr"/>
      <c r="K1236" s="6" t="inlineStr"/>
      <c r="L1236" s="6" t="inlineStr"/>
      <c r="M1236" s="5" t="inlineStr"/>
      <c r="N1236" s="5" t="inlineStr"/>
      <c r="O1236" s="6" t="inlineStr"/>
      <c r="P1236" s="6" t="inlineStr"/>
      <c r="Q1236" s="5" t="inlineStr"/>
      <c r="R1236" s="5" t="inlineStr"/>
      <c r="S1236" s="5" t="inlineStr"/>
      <c r="T1236" s="5" t="inlineStr"/>
      <c r="U1236" s="5" t="inlineStr"/>
      <c r="V1236" s="5" t="inlineStr"/>
      <c r="W1236" s="5" t="inlineStr"/>
      <c r="X1236" s="5" t="inlineStr"/>
      <c r="Y1236" s="5" t="inlineStr"/>
      <c r="Z1236" s="6" t="inlineStr"/>
      <c r="AA1236" s="5" t="inlineStr"/>
      <c r="AB1236" s="5" t="inlineStr"/>
      <c r="AC1236" s="5" t="inlineStr"/>
      <c r="AD1236" s="5" t="inlineStr"/>
      <c r="AE1236" s="5" t="inlineStr"/>
      <c r="AF1236" s="5" t="inlineStr"/>
      <c r="AG1236" s="5" t="inlineStr"/>
      <c r="AH1236" s="5" t="inlineStr"/>
      <c r="AI1236" s="5" t="inlineStr"/>
      <c r="AJ1236" s="5" t="inlineStr"/>
    </row>
    <row r="1237">
      <c r="A1237" s="5" t="inlineStr">
        <is>
          <t>b10-ehliyet-yenileme</t>
        </is>
      </c>
      <c r="B1237" s="5" t="n">
        <v>2</v>
      </c>
      <c r="C1237" s="6" t="inlineStr">
        <is>
          <t>Göz testini ezberden geç</t>
        </is>
      </c>
      <c r="D1237" s="5" t="inlineStr">
        <is>
          <t>Akıl</t>
        </is>
      </c>
      <c r="E1237" s="5" t="inlineStr">
        <is>
          <t>Orta</t>
        </is>
      </c>
      <c r="F1237" s="5" t="inlineStr"/>
      <c r="G1237" s="6" t="inlineStr"/>
      <c r="H1237" s="6" t="inlineStr">
        <is>
          <t>Üçüncü satırı gözünü kısarak, ezberden okudun. Doktor 'Gözleriniz benimkinden iyi' deyip imzaladı. Çıkarken kapının kenarına çarptın; doktor görmedi.</t>
        </is>
      </c>
      <c r="I1237" s="6" t="inlineStr">
        <is>
          <t>Doktor senin ezberini fark etti ve seni tebrik etti: 'Hafızanız gözlerinizden iyi.' Rapor imzalandı.</t>
        </is>
      </c>
      <c r="J1237" s="6" t="inlineStr">
        <is>
          <t>Doktor tabloyu değiştirdi. İlk satıra uzun uzun baktın: 'Bu harf mi, sinek mi?'</t>
        </is>
      </c>
      <c r="K1237" s="6" t="inlineStr">
        <is>
          <t>Üçüncü satırı ezberden, yüksek sesle, kendinden emin okudun. Doktor o sırada başka tabloyu gösteriyordu. Rapora 'Hafıza iyi, göz yok' yazdı.</t>
        </is>
      </c>
      <c r="L1237" s="6" t="inlineStr"/>
      <c r="M1237" s="5" t="inlineStr"/>
      <c r="N1237" s="5" t="inlineStr"/>
      <c r="O1237" s="6" t="inlineStr"/>
      <c r="P1237" s="6" t="inlineStr"/>
      <c r="Q1237" s="5" t="inlineStr"/>
      <c r="R1237" s="5" t="inlineStr"/>
      <c r="S1237" s="5" t="inlineStr"/>
      <c r="T1237" s="5" t="inlineStr"/>
      <c r="U1237" s="5" t="inlineStr"/>
      <c r="V1237" s="5" t="inlineStr"/>
      <c r="W1237" s="5" t="inlineStr"/>
      <c r="X1237" s="5" t="inlineStr"/>
      <c r="Y1237" s="5" t="inlineStr"/>
      <c r="Z1237" s="6" t="inlineStr"/>
      <c r="AA1237" s="5" t="inlineStr"/>
      <c r="AB1237" s="5" t="inlineStr"/>
      <c r="AC1237" s="5" t="inlineStr"/>
      <c r="AD1237" s="5" t="inlineStr"/>
      <c r="AE1237" s="5" t="inlineStr"/>
      <c r="AF1237" s="5" t="inlineStr"/>
      <c r="AG1237" s="5" t="inlineStr"/>
      <c r="AH1237" s="5" t="inlineStr"/>
      <c r="AI1237" s="5" t="inlineStr"/>
      <c r="AJ1237" s="5" t="inlineStr"/>
    </row>
    <row r="1238">
      <c r="A1238" s="5" t="inlineStr">
        <is>
          <t>b10-ehliyet-yenileme</t>
        </is>
      </c>
      <c r="B1238" s="5" t="n">
        <v>3</v>
      </c>
      <c r="C1238" s="6" t="inlineStr">
        <is>
          <t>Direksiyon sınavına gir</t>
        </is>
      </c>
      <c r="D1238" s="5" t="inlineStr">
        <is>
          <t>Cesaret</t>
        </is>
      </c>
      <c r="E1238" s="5" t="inlineStr">
        <is>
          <t>Zor</t>
        </is>
      </c>
      <c r="F1238" s="5" t="inlineStr"/>
      <c r="G1238" s="6" t="inlineStr"/>
      <c r="H1238" s="6" t="inlineStr">
        <is>
          <t>Sınavı geçtin. Sınav görevlisi seni kapıya kadar alkışladı.</t>
        </is>
      </c>
      <c r="I1238" s="6" t="inlineStr">
        <is>
          <t>Sınavı hatasız geçtin ve görevli sana 'Gençlere de böyle sürmeyi öğretin' dedi.</t>
        </is>
      </c>
      <c r="J1238" s="6" t="inlineStr">
        <is>
          <t>Park manevrasını dört denemede yaptın. Sınav görevlisi 'Bir dahaki sefere' dedi.</t>
        </is>
      </c>
      <c r="K1238" s="6" t="inlineStr">
        <is>
          <t>Park ederken sınav görevlisinin kendi arabasının farını kırdın. Görevli forma tek kelime yazdı: 'Hayır.' Farın parasını da senden istedi.</t>
        </is>
      </c>
      <c r="L1238" s="6" t="inlineStr"/>
      <c r="M1238" s="5" t="inlineStr"/>
      <c r="N1238" s="5" t="inlineStr"/>
      <c r="O1238" s="6" t="inlineStr"/>
      <c r="P1238" s="6" t="inlineStr"/>
      <c r="Q1238" s="5" t="inlineStr"/>
      <c r="R1238" s="5" t="inlineStr"/>
      <c r="S1238" s="5" t="inlineStr"/>
      <c r="T1238" s="5" t="inlineStr"/>
      <c r="U1238" s="5" t="inlineStr"/>
      <c r="V1238" s="5" t="inlineStr"/>
      <c r="W1238" s="5" t="inlineStr"/>
      <c r="X1238" s="5" t="inlineStr"/>
      <c r="Y1238" s="5" t="n">
        <v>5</v>
      </c>
      <c r="Z1238" s="6" t="inlineStr">
        <is>
          <t>Ehliyetini yeniledikten sonra ilk kavşakta sağ şeridi seçti. Sağ şerit onu seçmedi.</t>
        </is>
      </c>
      <c r="AA1238" s="5" t="inlineStr"/>
      <c r="AB1238" s="5" t="inlineStr"/>
      <c r="AC1238" s="5" t="inlineStr"/>
      <c r="AD1238" s="5" t="inlineStr"/>
      <c r="AE1238" s="5" t="inlineStr"/>
      <c r="AF1238" s="5" t="inlineStr"/>
      <c r="AG1238" s="5" t="inlineStr"/>
      <c r="AH1238" s="5" t="inlineStr"/>
      <c r="AI1238" s="5" t="inlineStr"/>
      <c r="AJ1238" s="5" t="inlineStr"/>
    </row>
    <row r="1239">
      <c r="A1239" s="5" t="inlineStr">
        <is>
          <t>b10-mahallenin-en-yaslisi</t>
        </is>
      </c>
      <c r="B1239" s="5" t="n">
        <v>1</v>
      </c>
      <c r="C1239" s="6" t="inlineStr">
        <is>
          <t>Plaketi alıp teşekkür et</t>
        </is>
      </c>
      <c r="D1239" s="5" t="inlineStr"/>
      <c r="E1239" s="5" t="inlineStr"/>
      <c r="F1239" s="5" t="inlineStr">
        <is>
          <t>İtibar +1</t>
        </is>
      </c>
      <c r="G1239" s="6" t="inlineStr">
        <is>
          <t>Plaketi alıp 'Sağ olun, daha bitmedi' dedin. Salon güldü. Plaket şimdi buzdolabının üstünde; muhtar her geçişte kapıdan selam veriyor.</t>
        </is>
      </c>
      <c r="H1239" s="6" t="inlineStr"/>
      <c r="I1239" s="6" t="inlineStr"/>
      <c r="J1239" s="6" t="inlineStr"/>
      <c r="K1239" s="6" t="inlineStr"/>
      <c r="L1239" s="6" t="inlineStr"/>
      <c r="M1239" s="5" t="inlineStr"/>
      <c r="N1239" s="5" t="inlineStr"/>
      <c r="O1239" s="6" t="inlineStr"/>
      <c r="P1239" s="6" t="inlineStr"/>
      <c r="Q1239" s="5" t="inlineStr"/>
      <c r="R1239" s="5" t="inlineStr"/>
      <c r="S1239" s="5" t="inlineStr"/>
      <c r="T1239" s="5" t="inlineStr"/>
      <c r="U1239" s="5" t="inlineStr"/>
      <c r="V1239" s="5" t="inlineStr"/>
      <c r="W1239" s="5" t="inlineStr"/>
      <c r="X1239" s="5" t="inlineStr"/>
      <c r="Y1239" s="5" t="inlineStr"/>
      <c r="Z1239" s="6" t="inlineStr"/>
      <c r="AA1239" s="5" t="inlineStr"/>
      <c r="AB1239" s="5" t="inlineStr"/>
      <c r="AC1239" s="5" t="inlineStr"/>
      <c r="AD1239" s="5" t="inlineStr"/>
      <c r="AE1239" s="5" t="inlineStr"/>
      <c r="AF1239" s="5" t="inlineStr"/>
      <c r="AG1239" s="5" t="inlineStr"/>
      <c r="AH1239" s="5" t="inlineStr"/>
      <c r="AI1239" s="5" t="inlineStr"/>
      <c r="AJ1239" s="5" t="inlineStr"/>
    </row>
    <row r="1240">
      <c r="A1240" s="5" t="inlineStr">
        <is>
          <t>b10-mahallenin-en-yaslisi</t>
        </is>
      </c>
      <c r="B1240" s="5" t="n">
        <v>2</v>
      </c>
      <c r="C1240" s="6" t="inlineStr">
        <is>
          <t>Uzun yaşamanın sırrını açıkla</t>
        </is>
      </c>
      <c r="D1240" s="5" t="inlineStr">
        <is>
          <t>İtibar</t>
        </is>
      </c>
      <c r="E1240" s="5" t="inlineStr">
        <is>
          <t>Orta</t>
        </is>
      </c>
      <c r="F1240" s="5" t="inlineStr"/>
      <c r="G1240" s="6" t="inlineStr"/>
      <c r="H1240" s="6" t="inlineStr">
        <is>
          <t>'Sabah bir kâse yoğurt, akşam üç ceviz, bir de kimseye kin tutmamak.' Ertesi gün bakkalda ceviz kalmadı.</t>
        </is>
      </c>
      <c r="I1240" s="6" t="inlineStr">
        <is>
          <t>Sırrın o kadar sevildi ki mahallede tişörtü basıldı. Satışlardan sana pay verilmedi.</t>
        </is>
      </c>
      <c r="J1240" s="6" t="inlineStr">
        <is>
          <t>Sırrı açıklamadan önce çay istedin. Çay geldi, konuşma bitti. Sır belki de buydu.</t>
        </is>
      </c>
      <c r="K1240" s="6" t="inlineStr">
        <is>
          <t>Sırrını açıkladın: 'Her sabah üç yumurta, her akşam bir tabak kızartma.' Salondaki doktor mikrofonu senden nazikçe aldı.</t>
        </is>
      </c>
      <c r="L1240" s="6" t="inlineStr"/>
      <c r="M1240" s="5" t="inlineStr"/>
      <c r="N1240" s="5" t="inlineStr"/>
      <c r="O1240" s="6" t="inlineStr"/>
      <c r="P1240" s="6" t="inlineStr"/>
      <c r="Q1240" s="5" t="inlineStr"/>
      <c r="R1240" s="5" t="inlineStr"/>
      <c r="S1240" s="5" t="inlineStr"/>
      <c r="T1240" s="5" t="inlineStr"/>
      <c r="U1240" s="5" t="inlineStr"/>
      <c r="V1240" s="5" t="inlineStr"/>
      <c r="W1240" s="5" t="inlineStr"/>
      <c r="X1240" s="5" t="inlineStr"/>
      <c r="Y1240" s="5" t="inlineStr"/>
      <c r="Z1240" s="6" t="inlineStr"/>
      <c r="AA1240" s="5" t="inlineStr"/>
      <c r="AB1240" s="5" t="inlineStr"/>
      <c r="AC1240" s="5" t="inlineStr"/>
      <c r="AD1240" s="5" t="inlineStr"/>
      <c r="AE1240" s="5" t="inlineStr"/>
      <c r="AF1240" s="5" t="inlineStr"/>
      <c r="AG1240" s="5" t="inlineStr"/>
      <c r="AH1240" s="5" t="inlineStr"/>
      <c r="AI1240" s="5" t="inlineStr"/>
      <c r="AJ1240" s="5" t="inlineStr"/>
    </row>
    <row r="1241">
      <c r="A1241" s="5" t="inlineStr">
        <is>
          <t>b10-mahallenin-en-yaslisi</t>
        </is>
      </c>
      <c r="B1241" s="5" t="n">
        <v>3</v>
      </c>
      <c r="C1241" s="6" t="inlineStr">
        <is>
          <t>Plaketi bir sonraki adaya ithaf et</t>
        </is>
      </c>
      <c r="D1241" s="5" t="inlineStr">
        <is>
          <t>Pişkinlik</t>
        </is>
      </c>
      <c r="E1241" s="5" t="inlineStr">
        <is>
          <t>Kolay</t>
        </is>
      </c>
      <c r="F1241" s="5" t="inlineStr"/>
      <c r="G1241" s="6" t="inlineStr"/>
      <c r="H1241" s="6" t="inlineStr">
        <is>
          <t>Plaketi salondaki ikinci en yaşlıya gösterdin: 'Bir sonraki sen.' Salon hem güldü hem ürperdi.</t>
        </is>
      </c>
      <c r="I1241" s="6" t="inlineStr">
        <is>
          <t>Salondaki bütün yaşlılar ayağa kalkıp birbirini gösterdi: 'Sıradaki sen!' Salon kahkahaya boğuldu, en çok da ikinci en yaşlı güldü.</t>
        </is>
      </c>
      <c r="J1241" s="6" t="inlineStr">
        <is>
          <t>İkinci en yaşlı seni duymadı. Ya da duymamış gibi yaptı.</t>
        </is>
      </c>
      <c r="K1241" s="6" t="inlineStr">
        <is>
          <t>İkinci en yaşlı ayağa kalktı: 'Ben nüfusa üç yıl geç yazıldım, asıl en yaşlı benim.' Muhtar kayıtlara baktı; plaket törenin ortasında el değiştirdi.</t>
        </is>
      </c>
      <c r="L1241" s="6" t="inlineStr"/>
      <c r="M1241" s="5" t="inlineStr"/>
      <c r="N1241" s="5" t="inlineStr"/>
      <c r="O1241" s="6" t="inlineStr"/>
      <c r="P1241" s="6" t="inlineStr"/>
      <c r="Q1241" s="5" t="inlineStr"/>
      <c r="R1241" s="5" t="inlineStr"/>
      <c r="S1241" s="5" t="inlineStr">
        <is>
          <t>Pişkinlik</t>
        </is>
      </c>
      <c r="T1241" s="5" t="inlineStr"/>
      <c r="U1241" s="5" t="inlineStr"/>
      <c r="V1241" s="5" t="inlineStr"/>
      <c r="W1241" s="5" t="inlineStr"/>
      <c r="X1241" s="5" t="inlineStr"/>
      <c r="Y1241" s="5" t="inlineStr"/>
      <c r="Z1241" s="6" t="inlineStr"/>
      <c r="AA1241" s="5" t="inlineStr"/>
      <c r="AB1241" s="5" t="inlineStr"/>
      <c r="AC1241" s="5" t="inlineStr"/>
      <c r="AD1241" s="5" t="inlineStr"/>
      <c r="AE1241" s="5" t="inlineStr"/>
      <c r="AF1241" s="5" t="inlineStr"/>
      <c r="AG1241" s="5" t="inlineStr"/>
      <c r="AH1241" s="5" t="inlineStr"/>
      <c r="AI1241" s="5" t="inlineStr"/>
      <c r="AJ1241" s="5" t="inlineStr"/>
    </row>
    <row r="1242">
      <c r="A1242" s="5" t="inlineStr">
        <is>
          <t>b10-mezar-tasi-fotografi</t>
        </is>
      </c>
      <c r="B1242" s="5" t="n">
        <v>1</v>
      </c>
      <c r="C1242" s="6" t="inlineStr">
        <is>
          <t>Ciddi poz ver</t>
        </is>
      </c>
      <c r="D1242" s="5" t="inlineStr"/>
      <c r="E1242" s="5" t="inlineStr"/>
      <c r="F1242" s="5" t="inlineStr">
        <is>
          <t>İtibar +1</t>
        </is>
      </c>
      <c r="G1242" s="6" t="inlineStr">
        <is>
          <t>Ciddi poz verdin. Fotoğrafçı 'Tam vesikalık oldu' dedi. Gören herkes aynı şeyi söyledi: 'Nüfus cüzdanındakinin aynısı.'</t>
        </is>
      </c>
      <c r="H1242" s="6" t="inlineStr"/>
      <c r="I1242" s="6" t="inlineStr"/>
      <c r="J1242" s="6" t="inlineStr"/>
      <c r="K1242" s="6" t="inlineStr"/>
      <c r="L1242" s="6" t="inlineStr"/>
      <c r="M1242" s="5" t="inlineStr"/>
      <c r="N1242" s="5" t="inlineStr"/>
      <c r="O1242" s="6" t="inlineStr"/>
      <c r="P1242" s="6" t="inlineStr"/>
      <c r="Q1242" s="5" t="inlineStr"/>
      <c r="R1242" s="5" t="inlineStr"/>
      <c r="S1242" s="5" t="inlineStr"/>
      <c r="T1242" s="5" t="inlineStr"/>
      <c r="U1242" s="5" t="inlineStr"/>
      <c r="V1242" s="5" t="inlineStr"/>
      <c r="W1242" s="5" t="inlineStr"/>
      <c r="X1242" s="5" t="inlineStr"/>
      <c r="Y1242" s="5" t="inlineStr"/>
      <c r="Z1242" s="6" t="inlineStr"/>
      <c r="AA1242" s="5" t="inlineStr"/>
      <c r="AB1242" s="5" t="inlineStr"/>
      <c r="AC1242" s="5" t="inlineStr"/>
      <c r="AD1242" s="5" t="inlineStr"/>
      <c r="AE1242" s="5" t="inlineStr"/>
      <c r="AF1242" s="5" t="inlineStr"/>
      <c r="AG1242" s="5" t="inlineStr"/>
      <c r="AH1242" s="5" t="inlineStr"/>
      <c r="AI1242" s="5" t="inlineStr"/>
      <c r="AJ1242" s="5" t="inlineStr"/>
    </row>
    <row r="1243">
      <c r="A1243" s="5" t="inlineStr">
        <is>
          <t>b10-mezar-tasi-fotografi</t>
        </is>
      </c>
      <c r="B1243" s="5" t="n">
        <v>2</v>
      </c>
      <c r="C1243" s="6" t="inlineStr">
        <is>
          <t>Göz kırparak poz ver</t>
        </is>
      </c>
      <c r="D1243" s="5" t="inlineStr">
        <is>
          <t>Pişkinlik</t>
        </is>
      </c>
      <c r="E1243" s="5" t="inlineStr">
        <is>
          <t>Orta</t>
        </is>
      </c>
      <c r="F1243" s="5" t="inlineStr"/>
      <c r="G1243" s="6" t="inlineStr"/>
      <c r="H1243" s="6" t="inlineStr">
        <is>
          <t>Fotoğrafta göz kırpıyorsun. Ziyarete gelen herkes önce kaşlarını çatacak, sonra gülecek.</t>
        </is>
      </c>
      <c r="I1243" s="6" t="inlineStr">
        <is>
          <t>Fotoğrafçı fotoğrafını vitrine, gelin damat fotoğraflarının yanına koydu. Mahallede artık 'vitrindeki göz kırpan' diye anılıyorsun.</t>
        </is>
      </c>
      <c r="J1243" s="6" t="inlineStr">
        <is>
          <t>Tam göz kırparken flaş patladı. İki gözün de kapalı çıktı.</t>
        </is>
      </c>
      <c r="K1243" s="6" t="inlineStr">
        <is>
          <t>Göz kırparken yüzün kasıldı; on iki karenin on ikisinde bir gözün kapalı, ağzın yamuk. Fotoğrafçı 'En doğalı bu' deyip birini seçti; taşa o işlendi. Mezarlık görevlisi, önünden geçen herkesin orada durduğunu söylüyor.</t>
        </is>
      </c>
      <c r="L1243" s="6" t="inlineStr"/>
      <c r="M1243" s="5" t="inlineStr"/>
      <c r="N1243" s="5" t="inlineStr"/>
      <c r="O1243" s="6" t="inlineStr"/>
      <c r="P1243" s="6" t="inlineStr"/>
      <c r="Q1243" s="5" t="inlineStr"/>
      <c r="R1243" s="5" t="inlineStr"/>
      <c r="S1243" s="5" t="inlineStr"/>
      <c r="T1243" s="5" t="inlineStr"/>
      <c r="U1243" s="5" t="inlineStr"/>
      <c r="V1243" s="5" t="inlineStr"/>
      <c r="W1243" s="5" t="inlineStr"/>
      <c r="X1243" s="5" t="inlineStr"/>
      <c r="Y1243" s="5" t="inlineStr"/>
      <c r="Z1243" s="6" t="inlineStr"/>
      <c r="AA1243" s="5" t="inlineStr"/>
      <c r="AB1243" s="5" t="inlineStr"/>
      <c r="AC1243" s="5" t="inlineStr"/>
      <c r="AD1243" s="5" t="inlineStr"/>
      <c r="AE1243" s="5" t="inlineStr"/>
      <c r="AF1243" s="5" t="inlineStr"/>
      <c r="AG1243" s="5" t="inlineStr"/>
      <c r="AH1243" s="5" t="inlineStr"/>
      <c r="AI1243" s="5" t="inlineStr">
        <is>
          <t>Göz Kırpan</t>
        </is>
      </c>
      <c r="AJ1243" s="5" t="inlineStr"/>
    </row>
    <row r="1244">
      <c r="A1244" s="5" t="inlineStr">
        <is>
          <t>b10-mezar-tasi-fotografi</t>
        </is>
      </c>
      <c r="B1244" s="5" t="n">
        <v>3</v>
      </c>
      <c r="C1244" s="6" t="inlineStr">
        <is>
          <t>Arka planı kendin seç</t>
        </is>
      </c>
      <c r="D1244" s="5" t="inlineStr">
        <is>
          <t>Sosyal Radar</t>
        </is>
      </c>
      <c r="E1244" s="5" t="inlineStr">
        <is>
          <t>Kolay</t>
        </is>
      </c>
      <c r="F1244" s="5" t="inlineStr"/>
      <c r="G1244" s="6" t="inlineStr"/>
      <c r="H1244" s="6" t="inlineStr">
        <is>
          <t>Arka planı sahil manzarası yaptın. Taş artık bir tatil kartı gibi.</t>
        </is>
      </c>
      <c r="I1244" s="6" t="inlineStr">
        <is>
          <t>Arka plan o kadar iyi oldu ki ziyaretçiler taşın önünde fotoğraf çektirmeye başladı.</t>
        </is>
      </c>
      <c r="J1244" s="6" t="inlineStr">
        <is>
          <t>Fotoğrafçının üç arka planı vardı: gri, açık gri, koyu gri. 'Farkı ne?' dedin. 'Işık' dedi. Açık griyi seçtin.</t>
        </is>
      </c>
      <c r="K1244" s="6" t="inlineStr">
        <is>
          <t>Arka plan olarak düğün fonunu seçtin: kalpler, güvercinler, 'Sonsuza dek' yazısı. Taşın nikâh davetiyesinden farkı kalmadı.</t>
        </is>
      </c>
      <c r="L1244" s="6" t="inlineStr"/>
      <c r="M1244" s="5" t="inlineStr"/>
      <c r="N1244" s="5" t="inlineStr"/>
      <c r="O1244" s="6" t="inlineStr"/>
      <c r="P1244" s="6" t="inlineStr"/>
      <c r="Q1244" s="5" t="inlineStr"/>
      <c r="R1244" s="5" t="inlineStr"/>
      <c r="S1244" s="5" t="inlineStr"/>
      <c r="T1244" s="5" t="inlineStr"/>
      <c r="U1244" s="5" t="inlineStr"/>
      <c r="V1244" s="5" t="inlineStr"/>
      <c r="W1244" s="5" t="inlineStr"/>
      <c r="X1244" s="5" t="inlineStr"/>
      <c r="Y1244" s="5" t="inlineStr"/>
      <c r="Z1244" s="6" t="inlineStr"/>
      <c r="AA1244" s="5" t="inlineStr"/>
      <c r="AB1244" s="5" t="inlineStr"/>
      <c r="AC1244" s="5" t="inlineStr"/>
      <c r="AD1244" s="5" t="inlineStr"/>
      <c r="AE1244" s="5" t="inlineStr"/>
      <c r="AF1244" s="5" t="inlineStr"/>
      <c r="AG1244" s="5" t="inlineStr"/>
      <c r="AH1244" s="5" t="inlineStr"/>
      <c r="AI1244" s="5" t="inlineStr"/>
      <c r="AJ1244" s="5" t="inlineStr"/>
    </row>
    <row r="1245">
      <c r="A1245" s="5" t="inlineStr">
        <is>
          <t>son-soz</t>
        </is>
      </c>
      <c r="B1245" s="5" t="n">
        <v>1</v>
      </c>
      <c r="C1245" s="6" t="inlineStr">
        <is>
          <t>'Kombiyi kapattınız mı?'</t>
        </is>
      </c>
      <c r="D1245" s="5" t="inlineStr"/>
      <c r="E1245" s="5" t="inlineStr"/>
      <c r="F1245" s="5" t="inlineStr">
        <is>
          <t>Akıl +1</t>
        </is>
      </c>
      <c r="G1245" s="6" t="inlineStr">
        <is>
          <t>Herkes aynı anda kalktı.</t>
        </is>
      </c>
      <c r="H1245" s="6" t="inlineStr"/>
      <c r="I1245" s="6" t="inlineStr"/>
      <c r="J1245" s="6" t="inlineStr"/>
      <c r="K1245" s="6" t="inlineStr"/>
      <c r="L1245" s="6" t="inlineStr"/>
      <c r="M1245" s="5" t="inlineStr"/>
      <c r="N1245" s="5" t="inlineStr"/>
      <c r="O1245" s="6" t="inlineStr"/>
      <c r="P1245" s="6" t="inlineStr"/>
      <c r="Q1245" s="5" t="inlineStr"/>
      <c r="R1245" s="5" t="inlineStr"/>
      <c r="S1245" s="5" t="inlineStr"/>
      <c r="T1245" s="5" t="inlineStr"/>
      <c r="U1245" s="5" t="inlineStr"/>
      <c r="V1245" s="5" t="inlineStr"/>
      <c r="W1245" s="5" t="inlineStr"/>
      <c r="X1245" s="5" t="inlineStr"/>
      <c r="Y1245" s="5" t="n">
        <v>100</v>
      </c>
      <c r="Z1245" s="6" t="inlineStr">
        <is>
          <t>Son sözü 'Kombiyi kapattınız mı?' oldu. Kapatılmıştı.</t>
        </is>
      </c>
      <c r="AA1245" s="5" t="inlineStr"/>
      <c r="AB1245" s="5" t="inlineStr"/>
      <c r="AC1245" s="5" t="inlineStr"/>
      <c r="AD1245" s="5" t="inlineStr"/>
      <c r="AE1245" s="5" t="inlineStr"/>
      <c r="AF1245" s="5" t="inlineStr"/>
      <c r="AG1245" s="5" t="inlineStr"/>
      <c r="AH1245" s="5" t="inlineStr"/>
      <c r="AI1245" s="5" t="inlineStr"/>
      <c r="AJ1245" s="5" t="inlineStr"/>
    </row>
    <row r="1246">
      <c r="A1246" s="5" t="inlineStr">
        <is>
          <t>son-soz</t>
        </is>
      </c>
      <c r="B1246" s="5" t="n">
        <v>2</v>
      </c>
      <c r="C1246" s="6" t="inlineStr">
        <is>
          <t>'Hepinizi seviyorum. Bazılarınızı daha çok.'</t>
        </is>
      </c>
      <c r="D1246" s="5" t="inlineStr"/>
      <c r="E1246" s="5" t="inlineStr"/>
      <c r="F1246" s="5" t="inlineStr">
        <is>
          <t>Pişkinlik +1</t>
        </is>
      </c>
      <c r="G1246" s="6" t="inlineStr">
        <is>
          <t>Oda bir an sustu, sonra herkes birbirine baktı.</t>
        </is>
      </c>
      <c r="H1246" s="6" t="inlineStr"/>
      <c r="I1246" s="6" t="inlineStr"/>
      <c r="J1246" s="6" t="inlineStr"/>
      <c r="K1246" s="6" t="inlineStr"/>
      <c r="L1246" s="6" t="inlineStr"/>
      <c r="M1246" s="5" t="inlineStr"/>
      <c r="N1246" s="5" t="inlineStr"/>
      <c r="O1246" s="6" t="inlineStr"/>
      <c r="P1246" s="6" t="inlineStr"/>
      <c r="Q1246" s="5" t="inlineStr"/>
      <c r="R1246" s="5" t="inlineStr"/>
      <c r="S1246" s="5" t="inlineStr"/>
      <c r="T1246" s="5" t="inlineStr"/>
      <c r="U1246" s="5" t="inlineStr"/>
      <c r="V1246" s="5" t="inlineStr"/>
      <c r="W1246" s="5" t="inlineStr"/>
      <c r="X1246" s="5" t="inlineStr"/>
      <c r="Y1246" s="5" t="n">
        <v>100</v>
      </c>
      <c r="Z1246" s="6" t="inlineStr">
        <is>
          <t>Son sözü 'Hepinizi seviyorum. Bazılarınızı daha çok.' oldu. Liste açıklanmadı.</t>
        </is>
      </c>
      <c r="AA1246" s="5" t="inlineStr"/>
      <c r="AB1246" s="5" t="inlineStr"/>
      <c r="AC1246" s="5" t="inlineStr"/>
      <c r="AD1246" s="5" t="inlineStr"/>
      <c r="AE1246" s="5" t="inlineStr"/>
      <c r="AF1246" s="5" t="inlineStr"/>
      <c r="AG1246" s="5" t="inlineStr"/>
      <c r="AH1246" s="5" t="inlineStr"/>
      <c r="AI1246" s="5" t="inlineStr"/>
      <c r="AJ1246" s="5" t="inlineStr"/>
    </row>
    <row r="1247">
      <c r="A1247" s="5" t="inlineStr">
        <is>
          <t>son-soz</t>
        </is>
      </c>
      <c r="B1247" s="5" t="n">
        <v>3</v>
      </c>
      <c r="C1247" s="6" t="inlineStr">
        <is>
          <t>'İyi bir hayattı.'</t>
        </is>
      </c>
      <c r="D1247" s="5" t="inlineStr"/>
      <c r="E1247" s="5" t="inlineStr"/>
      <c r="F1247" s="5" t="inlineStr">
        <is>
          <t>İtibar +1</t>
        </is>
      </c>
      <c r="G1247" s="6" t="inlineStr">
        <is>
          <t>Kimse itiraz etmedi.</t>
        </is>
      </c>
      <c r="H1247" s="6" t="inlineStr"/>
      <c r="I1247" s="6" t="inlineStr"/>
      <c r="J1247" s="6" t="inlineStr"/>
      <c r="K1247" s="6" t="inlineStr"/>
      <c r="L1247" s="6" t="inlineStr"/>
      <c r="M1247" s="5" t="inlineStr"/>
      <c r="N1247" s="5" t="inlineStr"/>
      <c r="O1247" s="6" t="inlineStr"/>
      <c r="P1247" s="6" t="inlineStr"/>
      <c r="Q1247" s="5" t="inlineStr"/>
      <c r="R1247" s="5" t="inlineStr"/>
      <c r="S1247" s="5" t="inlineStr"/>
      <c r="T1247" s="5" t="inlineStr"/>
      <c r="U1247" s="5" t="inlineStr"/>
      <c r="V1247" s="5" t="inlineStr"/>
      <c r="W1247" s="5" t="inlineStr"/>
      <c r="X1247" s="5" t="inlineStr"/>
      <c r="Y1247" s="5" t="n">
        <v>100</v>
      </c>
      <c r="Z1247" s="6" t="inlineStr">
        <is>
          <t>Son sözü 'İyi bir hayattı' oldu. İtiraz süresi dolmuştur.</t>
        </is>
      </c>
      <c r="AA1247" s="5" t="inlineStr"/>
      <c r="AB1247" s="5" t="inlineStr"/>
      <c r="AC1247" s="5" t="inlineStr"/>
      <c r="AD1247" s="5" t="inlineStr"/>
      <c r="AE1247" s="5" t="inlineStr"/>
      <c r="AF1247" s="5" t="inlineStr"/>
      <c r="AG1247" s="5" t="inlineStr"/>
      <c r="AH1247" s="5" t="inlineStr"/>
      <c r="AI1247" s="5" t="inlineStr"/>
      <c r="AJ1247" s="5" t="inlineStr"/>
    </row>
    <row r="1248">
      <c r="A1248" s="5" t="inlineStr">
        <is>
          <t>son-soz</t>
        </is>
      </c>
      <c r="B1248" s="5" t="n">
        <v>4</v>
      </c>
      <c r="C1248" s="6" t="inlineStr">
        <is>
          <t>'Vazoyu ben kırdım.'</t>
        </is>
      </c>
      <c r="D1248" s="5" t="inlineStr"/>
      <c r="E1248" s="5" t="inlineStr"/>
      <c r="F1248" s="5" t="inlineStr">
        <is>
          <t>İtibar +2</t>
        </is>
      </c>
      <c r="G1248" s="6" t="inlineStr">
        <is>
          <t>Oda uzun bir süre sessiz kaldı. Sonra biri kediye baktı.</t>
        </is>
      </c>
      <c r="H1248" s="6" t="inlineStr"/>
      <c r="I1248" s="6" t="inlineStr"/>
      <c r="J1248" s="6" t="inlineStr"/>
      <c r="K1248" s="6" t="inlineStr"/>
      <c r="L1248" s="6" t="inlineStr"/>
      <c r="M1248" s="5" t="inlineStr"/>
      <c r="N1248" s="5" t="inlineStr"/>
      <c r="O1248" s="6" t="inlineStr"/>
      <c r="P1248" s="6" t="inlineStr"/>
      <c r="Q1248" s="5" t="inlineStr"/>
      <c r="R1248" s="5" t="inlineStr">
        <is>
          <t>kediSuclu</t>
        </is>
      </c>
      <c r="S1248" s="5" t="inlineStr"/>
      <c r="T1248" s="5" t="inlineStr"/>
      <c r="U1248" s="5" t="inlineStr"/>
      <c r="V1248" s="5" t="inlineStr"/>
      <c r="W1248" s="5" t="inlineStr"/>
      <c r="X1248" s="5" t="inlineStr"/>
      <c r="Y1248" s="5" t="n">
        <v>100</v>
      </c>
      <c r="Z1248" s="6" t="inlineStr">
        <is>
          <t>Son sözü 'Vazoyu ben kırdım' oldu. Kedi, uzun bir aradan sonra aklandı.</t>
        </is>
      </c>
      <c r="AA1248" s="5" t="inlineStr"/>
      <c r="AB1248" s="5" t="inlineStr"/>
      <c r="AC1248" s="5" t="inlineStr"/>
      <c r="AD1248" s="5" t="inlineStr"/>
      <c r="AE1248" s="5" t="inlineStr"/>
      <c r="AF1248" s="5" t="inlineStr"/>
      <c r="AG1248" s="5" t="inlineStr"/>
      <c r="AH1248" s="5" t="inlineStr"/>
      <c r="AI1248" s="5" t="inlineStr"/>
      <c r="AJ1248" s="5" t="inlineStr"/>
    </row>
    <row r="1249">
      <c r="A1249" s="5" t="inlineStr">
        <is>
          <t>son-soz</t>
        </is>
      </c>
      <c r="B1249" s="5" t="n">
        <v>5</v>
      </c>
      <c r="C1249" s="6" t="inlineStr">
        <is>
          <t>'Para...'</t>
        </is>
      </c>
      <c r="D1249" s="5" t="inlineStr"/>
      <c r="E1249" s="5" t="inlineStr"/>
      <c r="F1249" s="5" t="inlineStr">
        <is>
          <t>Kurnazlık +1</t>
        </is>
      </c>
      <c r="G1249" s="6" t="inlineStr">
        <is>
          <t>Herkes öne eğildi. Cümlenin devamı gelmedi.</t>
        </is>
      </c>
      <c r="H1249" s="6" t="inlineStr"/>
      <c r="I1249" s="6" t="inlineStr"/>
      <c r="J1249" s="6" t="inlineStr"/>
      <c r="K1249" s="6" t="inlineStr"/>
      <c r="L1249" s="6" t="inlineStr"/>
      <c r="M1249" s="5" t="inlineStr"/>
      <c r="N1249" s="5" t="inlineStr"/>
      <c r="O1249" s="6" t="inlineStr"/>
      <c r="P1249" s="6" t="inlineStr"/>
      <c r="Q1249" s="5" t="inlineStr"/>
      <c r="R1249" s="5" t="inlineStr">
        <is>
          <t>ilkKelimePara</t>
        </is>
      </c>
      <c r="S1249" s="5" t="inlineStr"/>
      <c r="T1249" s="5" t="inlineStr"/>
      <c r="U1249" s="5" t="inlineStr"/>
      <c r="V1249" s="5" t="inlineStr"/>
      <c r="W1249" s="5" t="inlineStr"/>
      <c r="X1249" s="5" t="inlineStr"/>
      <c r="Y1249" s="5" t="n">
        <v>100</v>
      </c>
      <c r="Z1249" s="6" t="inlineStr">
        <is>
          <t>İlk sözü de son sözü de 'Para' oldu. Arada yaşadıkları kayıt altındadır.</t>
        </is>
      </c>
      <c r="AA1249" s="5" t="inlineStr"/>
      <c r="AB1249" s="5" t="inlineStr"/>
      <c r="AC1249" s="5" t="inlineStr"/>
      <c r="AD1249" s="5" t="inlineStr"/>
      <c r="AE1249" s="5" t="inlineStr"/>
      <c r="AF1249" s="5" t="inlineStr"/>
      <c r="AG1249" s="5" t="inlineStr"/>
      <c r="AH1249" s="5" t="inlineStr"/>
      <c r="AI1249" s="5" t="inlineStr"/>
      <c r="AJ1249" s="5" t="inlineStr"/>
    </row>
    <row r="1250">
      <c r="A1250" s="5" t="inlineStr">
        <is>
          <t>son-soz</t>
        </is>
      </c>
      <c r="B1250" s="5" t="n">
        <v>6</v>
      </c>
      <c r="C1250" s="6" t="inlineStr">
        <is>
          <t>“Tutanağa geçsin.”</t>
        </is>
      </c>
      <c r="D1250" s="5" t="inlineStr"/>
      <c r="E1250" s="5" t="inlineStr"/>
      <c r="F1250" s="5" t="inlineStr">
        <is>
          <t>Sosyal Radar +1</t>
        </is>
      </c>
      <c r="G1250" s="6" t="inlineStr">
        <is>
          <t>Başucundaki biri defterini çıkarıp yazdı; saati de not etti. Bunu senden öğrenmişti.</t>
        </is>
      </c>
      <c r="H1250" s="6" t="inlineStr"/>
      <c r="I1250" s="6" t="inlineStr"/>
      <c r="J1250" s="6" t="inlineStr"/>
      <c r="K1250" s="6" t="inlineStr"/>
      <c r="L1250" s="6" t="inlineStr"/>
      <c r="M1250" s="5" t="inlineStr"/>
      <c r="N1250" s="5" t="inlineStr"/>
      <c r="O1250" s="6" t="inlineStr"/>
      <c r="P1250" s="6" t="inlineStr"/>
      <c r="Q1250" s="5" t="inlineStr"/>
      <c r="R1250" s="5" t="inlineStr">
        <is>
          <t>hat-polis</t>
        </is>
      </c>
      <c r="S1250" s="5" t="inlineStr"/>
      <c r="T1250" s="5" t="inlineStr"/>
      <c r="U1250" s="5" t="inlineStr"/>
      <c r="V1250" s="5" t="inlineStr"/>
      <c r="W1250" s="5" t="inlineStr"/>
      <c r="X1250" s="5" t="inlineStr"/>
      <c r="Y1250" s="5" t="n">
        <v>100</v>
      </c>
      <c r="Z1250" s="6" t="inlineStr">
        <is>
          <t>Son sözü “Tutanağa geçsin” oldu. Geçti.</t>
        </is>
      </c>
      <c r="AA1250" s="5" t="inlineStr"/>
      <c r="AB1250" s="5" t="inlineStr"/>
      <c r="AC1250" s="5" t="inlineStr"/>
      <c r="AD1250" s="5" t="inlineStr"/>
      <c r="AE1250" s="5" t="inlineStr"/>
      <c r="AF1250" s="5" t="inlineStr"/>
      <c r="AG1250" s="5" t="inlineStr"/>
      <c r="AH1250" s="5" t="inlineStr"/>
      <c r="AI1250" s="5" t="inlineStr"/>
      <c r="AJ1250" s="5" t="inlineStr"/>
    </row>
    <row r="1251">
      <c r="A1251" s="5" t="inlineStr">
        <is>
          <t>son-soz</t>
        </is>
      </c>
      <c r="B1251" s="5" t="n">
        <v>7</v>
      </c>
      <c r="C1251" s="6" t="inlineStr">
        <is>
          <t>“Karar kesindir.”</t>
        </is>
      </c>
      <c r="D1251" s="5" t="inlineStr"/>
      <c r="E1251" s="5" t="inlineStr"/>
      <c r="F1251" s="5" t="inlineStr">
        <is>
          <t>İtibar +1</t>
        </is>
      </c>
      <c r="G1251" s="6" t="inlineStr">
        <is>
          <t>Odadakiler bir an ayağa kalkmak istedi. Temyize giden olmadı.</t>
        </is>
      </c>
      <c r="H1251" s="6" t="inlineStr"/>
      <c r="I1251" s="6" t="inlineStr"/>
      <c r="J1251" s="6" t="inlineStr"/>
      <c r="K1251" s="6" t="inlineStr"/>
      <c r="L1251" s="6" t="inlineStr"/>
      <c r="M1251" s="5" t="inlineStr"/>
      <c r="N1251" s="5" t="inlineStr"/>
      <c r="O1251" s="6" t="inlineStr"/>
      <c r="P1251" s="6" t="inlineStr"/>
      <c r="Q1251" s="5" t="inlineStr"/>
      <c r="R1251" s="5" t="inlineStr">
        <is>
          <t>hat-yargi</t>
        </is>
      </c>
      <c r="S1251" s="5" t="inlineStr"/>
      <c r="T1251" s="5" t="inlineStr"/>
      <c r="U1251" s="5" t="inlineStr"/>
      <c r="V1251" s="5" t="inlineStr"/>
      <c r="W1251" s="5" t="inlineStr"/>
      <c r="X1251" s="5" t="inlineStr"/>
      <c r="Y1251" s="5" t="n">
        <v>100</v>
      </c>
      <c r="Z1251" s="6" t="inlineStr">
        <is>
          <t>Son sözü “Karar kesindir” oldu. İtiraz eden çıkmadı.</t>
        </is>
      </c>
      <c r="AA1251" s="5" t="inlineStr"/>
      <c r="AB1251" s="5" t="inlineStr"/>
      <c r="AC1251" s="5" t="inlineStr"/>
      <c r="AD1251" s="5" t="inlineStr"/>
      <c r="AE1251" s="5" t="inlineStr"/>
      <c r="AF1251" s="5" t="inlineStr"/>
      <c r="AG1251" s="5" t="inlineStr"/>
      <c r="AH1251" s="5" t="inlineStr"/>
      <c r="AI1251" s="5" t="inlineStr"/>
      <c r="AJ1251" s="5" t="inlineStr"/>
    </row>
    <row r="1252">
      <c r="A1252" s="5" t="inlineStr">
        <is>
          <t>son-soz</t>
        </is>
      </c>
      <c r="B1252" s="5" t="n">
        <v>8</v>
      </c>
      <c r="C1252" s="6" t="inlineStr">
        <is>
          <t>“Tansiyonunu ölçtürdün mü?”</t>
        </is>
      </c>
      <c r="D1252" s="5" t="inlineStr"/>
      <c r="E1252" s="5" t="inlineStr"/>
      <c r="F1252" s="5" t="inlineStr">
        <is>
          <t>İtibar +1</t>
        </is>
      </c>
      <c r="G1252" s="6" t="inlineStr">
        <is>
          <t>Başucundaki gözlerini kaçırdı. Ertesi gün ölçtürdü; biraz yüksekti.</t>
        </is>
      </c>
      <c r="H1252" s="6" t="inlineStr"/>
      <c r="I1252" s="6" t="inlineStr"/>
      <c r="J1252" s="6" t="inlineStr"/>
      <c r="K1252" s="6" t="inlineStr"/>
      <c r="L1252" s="6" t="inlineStr"/>
      <c r="M1252" s="5" t="inlineStr"/>
      <c r="N1252" s="5" t="inlineStr"/>
      <c r="O1252" s="6" t="inlineStr"/>
      <c r="P1252" s="6" t="inlineStr"/>
      <c r="Q1252" s="5" t="inlineStr"/>
      <c r="R1252" s="5" t="inlineStr">
        <is>
          <t>hat-hekim</t>
        </is>
      </c>
      <c r="S1252" s="5" t="inlineStr"/>
      <c r="T1252" s="5" t="inlineStr"/>
      <c r="U1252" s="5" t="inlineStr"/>
      <c r="V1252" s="5" t="inlineStr"/>
      <c r="W1252" s="5" t="inlineStr"/>
      <c r="X1252" s="5" t="inlineStr"/>
      <c r="Y1252" s="5" t="n">
        <v>100</v>
      </c>
      <c r="Z1252" s="6" t="inlineStr">
        <is>
          <t>Son sözü, başucundakine “Tansiyonunu ölçtürdün mü?” oldu. Ölçtürdü; biraz yüksekti.</t>
        </is>
      </c>
      <c r="AA1252" s="5" t="inlineStr"/>
      <c r="AB1252" s="5" t="inlineStr"/>
      <c r="AC1252" s="5" t="inlineStr"/>
      <c r="AD1252" s="5" t="inlineStr"/>
      <c r="AE1252" s="5" t="inlineStr"/>
      <c r="AF1252" s="5" t="inlineStr"/>
      <c r="AG1252" s="5" t="inlineStr"/>
      <c r="AH1252" s="5" t="inlineStr"/>
      <c r="AI1252" s="5" t="inlineStr"/>
      <c r="AJ1252" s="5" t="inlineStr"/>
    </row>
    <row r="1253">
      <c r="A1253" s="5" t="inlineStr">
        <is>
          <t>son-soz</t>
        </is>
      </c>
      <c r="B1253" s="5" t="n">
        <v>9</v>
      </c>
      <c r="C1253" s="6" t="inlineStr">
        <is>
          <t>“Bu soruyu sevdim.”</t>
        </is>
      </c>
      <c r="D1253" s="5" t="inlineStr"/>
      <c r="E1253" s="5" t="inlineStr"/>
      <c r="F1253" s="5" t="inlineStr">
        <is>
          <t>Çene +1</t>
        </is>
      </c>
      <c r="G1253" s="6" t="inlineStr">
        <is>
          <t>Kimse bir şey sormamıştı. Oda yine de alkışladı; alışkanlık.</t>
        </is>
      </c>
      <c r="H1253" s="6" t="inlineStr"/>
      <c r="I1253" s="6" t="inlineStr"/>
      <c r="J1253" s="6" t="inlineStr"/>
      <c r="K1253" s="6" t="inlineStr"/>
      <c r="L1253" s="6" t="inlineStr"/>
      <c r="M1253" s="5" t="inlineStr"/>
      <c r="N1253" s="5" t="inlineStr"/>
      <c r="O1253" s="6" t="inlineStr"/>
      <c r="P1253" s="6" t="inlineStr"/>
      <c r="Q1253" s="5" t="inlineStr"/>
      <c r="R1253" s="5" t="inlineStr">
        <is>
          <t>hat-politika</t>
        </is>
      </c>
      <c r="S1253" s="5" t="inlineStr"/>
      <c r="T1253" s="5" t="inlineStr"/>
      <c r="U1253" s="5" t="inlineStr"/>
      <c r="V1253" s="5" t="inlineStr"/>
      <c r="W1253" s="5" t="inlineStr"/>
      <c r="X1253" s="5" t="inlineStr"/>
      <c r="Y1253" s="5" t="n">
        <v>100</v>
      </c>
      <c r="Z1253" s="6" t="inlineStr">
        <is>
          <t>Son sözü “Bu soruyu sevdim” oldu. Soruyu kimse hatırlamıyor.</t>
        </is>
      </c>
      <c r="AA1253" s="5" t="inlineStr"/>
      <c r="AB1253" s="5" t="inlineStr"/>
      <c r="AC1253" s="5" t="inlineStr"/>
      <c r="AD1253" s="5" t="inlineStr"/>
      <c r="AE1253" s="5" t="inlineStr"/>
      <c r="AF1253" s="5" t="inlineStr"/>
      <c r="AG1253" s="5" t="inlineStr"/>
      <c r="AH1253" s="5" t="inlineStr"/>
      <c r="AI1253" s="5" t="inlineStr"/>
      <c r="AJ1253" s="5" t="inlineStr"/>
    </row>
    <row r="1254">
      <c r="A1254" s="5" t="inlineStr">
        <is>
          <t>son-soz</t>
        </is>
      </c>
      <c r="B1254" s="5" t="n">
        <v>10</v>
      </c>
      <c r="C1254" s="6" t="inlineStr">
        <is>
          <t>“Kimseye bir şey söylemedim.”</t>
        </is>
      </c>
      <c r="D1254" s="5" t="inlineStr"/>
      <c r="E1254" s="5" t="inlineStr"/>
      <c r="F1254" s="5" t="inlineStr">
        <is>
          <t>Cesaret +1</t>
        </is>
      </c>
      <c r="G1254" s="6" t="inlineStr">
        <is>
          <t>Kapının yanındaki iki adam birbirine baktı, omuzları indi. Doğruydu.</t>
        </is>
      </c>
      <c r="H1254" s="6" t="inlineStr"/>
      <c r="I1254" s="6" t="inlineStr"/>
      <c r="J1254" s="6" t="inlineStr"/>
      <c r="K1254" s="6" t="inlineStr"/>
      <c r="L1254" s="6" t="inlineStr"/>
      <c r="M1254" s="5" t="inlineStr"/>
      <c r="N1254" s="5" t="inlineStr"/>
      <c r="O1254" s="6" t="inlineStr"/>
      <c r="P1254" s="6" t="inlineStr"/>
      <c r="Q1254" s="5" t="inlineStr"/>
      <c r="R1254" s="5" t="inlineStr">
        <is>
          <t>hat-cete</t>
        </is>
      </c>
      <c r="S1254" s="5" t="inlineStr"/>
      <c r="T1254" s="5" t="inlineStr"/>
      <c r="U1254" s="5" t="inlineStr"/>
      <c r="V1254" s="5" t="inlineStr"/>
      <c r="W1254" s="5" t="inlineStr"/>
      <c r="X1254" s="5" t="inlineStr"/>
      <c r="Y1254" s="5" t="n">
        <v>100</v>
      </c>
      <c r="Z1254" s="6" t="inlineStr">
        <is>
          <t>Son sözü “Kimseye bir şey söylemedim” oldu. Doğruydu.</t>
        </is>
      </c>
      <c r="AA1254" s="5" t="inlineStr"/>
      <c r="AB1254" s="5" t="inlineStr"/>
      <c r="AC1254" s="5" t="inlineStr"/>
      <c r="AD1254" s="5" t="inlineStr"/>
      <c r="AE1254" s="5" t="inlineStr"/>
      <c r="AF1254" s="5" t="inlineStr"/>
      <c r="AG1254" s="5" t="inlineStr"/>
      <c r="AH1254" s="5" t="inlineStr"/>
      <c r="AI1254" s="5" t="inlineStr"/>
      <c r="AJ1254" s="5" t="inlineStr"/>
    </row>
    <row r="1255">
      <c r="A1255" s="5" t="inlineStr">
        <is>
          <t>son-soz</t>
        </is>
      </c>
      <c r="B1255" s="5" t="n">
        <v>11</v>
      </c>
      <c r="C1255" s="6" t="inlineStr">
        <is>
          <t>“Aslında bu da bir fırsattı.”</t>
        </is>
      </c>
      <c r="D1255" s="5" t="inlineStr"/>
      <c r="E1255" s="5" t="inlineStr"/>
      <c r="F1255" s="5" t="inlineStr">
        <is>
          <t>Kurnazlık +1</t>
        </is>
      </c>
      <c r="G1255" s="6" t="inlineStr">
        <is>
          <t>Odadakiler refleksle cüzdanlarına el attı. Kapıdaki komşu yavaşça bir adım geri çekildi; bir kez kandırılmıştı.</t>
        </is>
      </c>
      <c r="H1255" s="6" t="inlineStr"/>
      <c r="I1255" s="6" t="inlineStr"/>
      <c r="J1255" s="6" t="inlineStr"/>
      <c r="K1255" s="6" t="inlineStr"/>
      <c r="L1255" s="6" t="inlineStr"/>
      <c r="M1255" s="5" t="inlineStr"/>
      <c r="N1255" s="5" t="inlineStr"/>
      <c r="O1255" s="6" t="inlineStr"/>
      <c r="P1255" s="6" t="inlineStr"/>
      <c r="Q1255" s="5" t="inlineStr"/>
      <c r="R1255" s="5" t="inlineStr">
        <is>
          <t>hat-dolandirici</t>
        </is>
      </c>
      <c r="S1255" s="5" t="inlineStr"/>
      <c r="T1255" s="5" t="inlineStr"/>
      <c r="U1255" s="5" t="inlineStr"/>
      <c r="V1255" s="5" t="inlineStr"/>
      <c r="W1255" s="5" t="inlineStr"/>
      <c r="X1255" s="5" t="inlineStr"/>
      <c r="Y1255" s="5" t="n">
        <v>100</v>
      </c>
      <c r="Z1255" s="6" t="inlineStr">
        <is>
          <t>Son sözü “Aslında bu da bir fırsattı” oldu. Kimse yatırım yapmadı.</t>
        </is>
      </c>
      <c r="AA1255" s="5" t="inlineStr"/>
      <c r="AB1255" s="5" t="inlineStr"/>
      <c r="AC1255" s="5" t="inlineStr"/>
      <c r="AD1255" s="5" t="inlineStr"/>
      <c r="AE1255" s="5" t="inlineStr"/>
      <c r="AF1255" s="5" t="inlineStr"/>
      <c r="AG1255" s="5" t="inlineStr"/>
      <c r="AH1255" s="5" t="inlineStr"/>
      <c r="AI1255" s="5" t="inlineStr"/>
      <c r="AJ1255" s="5" t="inlineStr"/>
    </row>
    <row r="1256">
      <c r="A1256" s="5" t="inlineStr">
        <is>
          <t>son-soz</t>
        </is>
      </c>
      <c r="B1256" s="5" t="n">
        <v>12</v>
      </c>
      <c r="C1256" s="6" t="inlineStr">
        <is>
          <t>“Kamera açık mı?”</t>
        </is>
      </c>
      <c r="D1256" s="5" t="inlineStr"/>
      <c r="E1256" s="5" t="inlineStr"/>
      <c r="F1256" s="5" t="inlineStr">
        <is>
          <t>Pişkinlik +1</t>
        </is>
      </c>
      <c r="G1256" s="6" t="inlineStr">
        <is>
          <t>Biri telefonu biraz daha yaklaştırdı. Açıktı.</t>
        </is>
      </c>
      <c r="H1256" s="6" t="inlineStr"/>
      <c r="I1256" s="6" t="inlineStr"/>
      <c r="J1256" s="6" t="inlineStr"/>
      <c r="K1256" s="6" t="inlineStr"/>
      <c r="L1256" s="6" t="inlineStr"/>
      <c r="M1256" s="5" t="inlineStr"/>
      <c r="N1256" s="5" t="inlineStr"/>
      <c r="O1256" s="6" t="inlineStr"/>
      <c r="P1256" s="6" t="inlineStr"/>
      <c r="Q1256" s="5" t="inlineStr"/>
      <c r="R1256" s="5" t="inlineStr">
        <is>
          <t>hat-sohret</t>
        </is>
      </c>
      <c r="S1256" s="5" t="inlineStr"/>
      <c r="T1256" s="5" t="inlineStr"/>
      <c r="U1256" s="5" t="inlineStr"/>
      <c r="V1256" s="5" t="inlineStr"/>
      <c r="W1256" s="5" t="inlineStr"/>
      <c r="X1256" s="5" t="inlineStr"/>
      <c r="Y1256" s="5" t="n">
        <v>100</v>
      </c>
      <c r="Z1256" s="6" t="inlineStr">
        <is>
          <t>Son sözü “Kamera açık mı?” oldu. Açıktı.</t>
        </is>
      </c>
      <c r="AA1256" s="5" t="inlineStr"/>
      <c r="AB1256" s="5" t="inlineStr"/>
      <c r="AC1256" s="5" t="inlineStr"/>
      <c r="AD1256" s="5" t="inlineStr"/>
      <c r="AE1256" s="5" t="inlineStr"/>
      <c r="AF1256" s="5" t="inlineStr"/>
      <c r="AG1256" s="5" t="inlineStr"/>
      <c r="AH1256" s="5" t="inlineStr"/>
      <c r="AI1256" s="5" t="inlineStr"/>
      <c r="AJ1256" s="5" t="inlineStr"/>
    </row>
    <row r="1257">
      <c r="A1257" s="5" t="inlineStr">
        <is>
          <t>son-soz</t>
        </is>
      </c>
      <c r="B1257" s="5" t="n">
        <v>13</v>
      </c>
      <c r="C1257" s="6" t="inlineStr">
        <is>
          <t>“Yatırım tavsiyesi değildir.”</t>
        </is>
      </c>
      <c r="D1257" s="5" t="inlineStr"/>
      <c r="E1257" s="5" t="inlineStr"/>
      <c r="F1257" s="5" t="inlineStr">
        <is>
          <t>Akıl +1</t>
        </is>
      </c>
      <c r="G1257" s="6" t="inlineStr">
        <is>
          <t>Kapının eşiğindeki eski ortağın sessizce güldü. Not alan olmadı.</t>
        </is>
      </c>
      <c r="H1257" s="6" t="inlineStr"/>
      <c r="I1257" s="6" t="inlineStr"/>
      <c r="J1257" s="6" t="inlineStr"/>
      <c r="K1257" s="6" t="inlineStr"/>
      <c r="L1257" s="6" t="inlineStr"/>
      <c r="M1257" s="5" t="inlineStr"/>
      <c r="N1257" s="5" t="inlineStr"/>
      <c r="O1257" s="6" t="inlineStr"/>
      <c r="P1257" s="6" t="inlineStr"/>
      <c r="Q1257" s="5" t="inlineStr"/>
      <c r="R1257" s="5" t="inlineStr">
        <is>
          <t>hat-girisimci</t>
        </is>
      </c>
      <c r="S1257" s="5" t="inlineStr"/>
      <c r="T1257" s="5" t="inlineStr"/>
      <c r="U1257" s="5" t="inlineStr"/>
      <c r="V1257" s="5" t="inlineStr"/>
      <c r="W1257" s="5" t="inlineStr"/>
      <c r="X1257" s="5" t="inlineStr"/>
      <c r="Y1257" s="5" t="n">
        <v>100</v>
      </c>
      <c r="Z1257" s="6" t="inlineStr">
        <is>
          <t>Son sözü “Yatırım tavsiyesi değildir” oldu. Hukuk departmanı rahatladı.</t>
        </is>
      </c>
      <c r="AA1257" s="5" t="inlineStr"/>
      <c r="AB1257" s="5" t="inlineStr"/>
      <c r="AC1257" s="5" t="inlineStr"/>
      <c r="AD1257" s="5" t="inlineStr"/>
      <c r="AE1257" s="5" t="inlineStr"/>
      <c r="AF1257" s="5" t="inlineStr"/>
      <c r="AG1257" s="5" t="inlineStr"/>
      <c r="AH1257" s="5" t="inlineStr"/>
      <c r="AI1257" s="5" t="inlineStr"/>
      <c r="AJ1257" s="5" t="inlineStr"/>
    </row>
    <row r="1258">
      <c r="A1258" s="5" t="inlineStr">
        <is>
          <t>son-soz</t>
        </is>
      </c>
      <c r="B1258" s="5" t="n">
        <v>14</v>
      </c>
      <c r="C1258" s="6" t="inlineStr">
        <is>
          <t>“Hangi dilde söyleyeyim?”</t>
        </is>
      </c>
      <c r="D1258" s="5" t="inlineStr"/>
      <c r="E1258" s="5" t="inlineStr"/>
      <c r="F1258" s="5" t="inlineStr">
        <is>
          <t>Sosyal Radar +1</t>
        </is>
      </c>
      <c r="G1258" s="6" t="inlineStr">
        <is>
          <t>İki dilde başladın; ikisi de yarım kaldı. Odadaki herkes yine de anladı.</t>
        </is>
      </c>
      <c r="H1258" s="6" t="inlineStr"/>
      <c r="I1258" s="6" t="inlineStr"/>
      <c r="J1258" s="6" t="inlineStr"/>
      <c r="K1258" s="6" t="inlineStr"/>
      <c r="L1258" s="6" t="inlineStr"/>
      <c r="M1258" s="5" t="inlineStr"/>
      <c r="N1258" s="5" t="inlineStr"/>
      <c r="O1258" s="6" t="inlineStr"/>
      <c r="P1258" s="6" t="inlineStr"/>
      <c r="Q1258" s="5" t="inlineStr"/>
      <c r="R1258" s="5" t="inlineStr">
        <is>
          <t>hat-goc</t>
        </is>
      </c>
      <c r="S1258" s="5" t="inlineStr"/>
      <c r="T1258" s="5" t="inlineStr"/>
      <c r="U1258" s="5" t="inlineStr"/>
      <c r="V1258" s="5" t="inlineStr"/>
      <c r="W1258" s="5" t="inlineStr"/>
      <c r="X1258" s="5" t="inlineStr"/>
      <c r="Y1258" s="5" t="n">
        <v>100</v>
      </c>
      <c r="Z1258" s="6" t="inlineStr">
        <is>
          <t>Son sözünü iki dilde söyledi; ikisi de yarım kaldı. Anlamı tamdı.</t>
        </is>
      </c>
      <c r="AA1258" s="5" t="inlineStr"/>
      <c r="AB1258" s="5" t="inlineStr"/>
      <c r="AC1258" s="5" t="inlineStr"/>
      <c r="AD1258" s="5" t="inlineStr"/>
      <c r="AE1258" s="5" t="inlineStr"/>
      <c r="AF1258" s="5" t="inlineStr"/>
      <c r="AG1258" s="5" t="inlineStr"/>
      <c r="AH1258" s="5" t="inlineStr"/>
      <c r="AI1258" s="5" t="inlineStr"/>
      <c r="AJ1258" s="5" t="inlineStr"/>
    </row>
    <row r="1259">
      <c r="A1259" s="5" t="inlineStr">
        <is>
          <t>son-soz</t>
        </is>
      </c>
      <c r="B1259" s="5" t="n">
        <v>15</v>
      </c>
      <c r="C1259" s="6" t="inlineStr">
        <is>
          <t>“Domatesleri sulayın.”</t>
        </is>
      </c>
      <c r="D1259" s="5" t="inlineStr"/>
      <c r="E1259" s="5" t="inlineStr"/>
      <c r="F1259" s="5" t="inlineStr">
        <is>
          <t>İtibar +1</t>
        </is>
      </c>
      <c r="G1259" s="6" t="inlineStr">
        <is>
          <t>Ertesi sabah üç kişi birden bahçeye, hortuma koştu. Sulandı.</t>
        </is>
      </c>
      <c r="H1259" s="6" t="inlineStr"/>
      <c r="I1259" s="6" t="inlineStr"/>
      <c r="J1259" s="6" t="inlineStr"/>
      <c r="K1259" s="6" t="inlineStr"/>
      <c r="L1259" s="6" t="inlineStr"/>
      <c r="M1259" s="5" t="inlineStr"/>
      <c r="N1259" s="5" t="inlineStr"/>
      <c r="O1259" s="6" t="inlineStr"/>
      <c r="P1259" s="6" t="inlineStr"/>
      <c r="Q1259" s="5" t="inlineStr"/>
      <c r="R1259" s="5" t="inlineStr">
        <is>
          <t>hat-koy</t>
        </is>
      </c>
      <c r="S1259" s="5" t="inlineStr"/>
      <c r="T1259" s="5" t="inlineStr"/>
      <c r="U1259" s="5" t="inlineStr"/>
      <c r="V1259" s="5" t="inlineStr"/>
      <c r="W1259" s="5" t="inlineStr"/>
      <c r="X1259" s="5" t="inlineStr"/>
      <c r="Y1259" s="5" t="n">
        <v>100</v>
      </c>
      <c r="Z1259" s="6" t="inlineStr">
        <is>
          <t>Son sözü “Domatesleri sulayın” oldu. Sulandı.</t>
        </is>
      </c>
      <c r="AA1259" s="5" t="inlineStr"/>
      <c r="AB1259" s="5" t="inlineStr"/>
      <c r="AC1259" s="5" t="inlineStr"/>
      <c r="AD1259" s="5" t="inlineStr"/>
      <c r="AE1259" s="5" t="inlineStr"/>
      <c r="AF1259" s="5" t="inlineStr"/>
      <c r="AG1259" s="5" t="inlineStr"/>
      <c r="AH1259" s="5" t="inlineStr"/>
      <c r="AI1259" s="5" t="inlineStr"/>
      <c r="AJ1259" s="5" t="inlineStr"/>
    </row>
    <row r="1260">
      <c r="A1260" s="5" t="inlineStr">
        <is>
          <t>son-soz</t>
        </is>
      </c>
      <c r="B1260" s="5" t="n">
        <v>16</v>
      </c>
      <c r="C1260" s="6" t="inlineStr">
        <is>
          <t>“O ses geçer.”</t>
        </is>
      </c>
      <c r="D1260" s="5" t="inlineStr"/>
      <c r="E1260" s="5" t="inlineStr"/>
      <c r="F1260" s="5" t="inlineStr">
        <is>
          <t>Akıl +1</t>
        </is>
      </c>
      <c r="G1260" s="6" t="inlineStr">
        <is>
          <t>Odada kimse bir ses duymamıştı; herkes yine de kulak kabarttı. Çırağın ertesi gün bunu dükkânın tabelasına yazdırdı.</t>
        </is>
      </c>
      <c r="H1260" s="6" t="inlineStr"/>
      <c r="I1260" s="6" t="inlineStr"/>
      <c r="J1260" s="6" t="inlineStr"/>
      <c r="K1260" s="6" t="inlineStr"/>
      <c r="L1260" s="6" t="inlineStr"/>
      <c r="M1260" s="5" t="inlineStr"/>
      <c r="N1260" s="5" t="inlineStr"/>
      <c r="O1260" s="6" t="inlineStr"/>
      <c r="P1260" s="6" t="inlineStr"/>
      <c r="Q1260" s="5" t="inlineStr"/>
      <c r="R1260" s="5" t="inlineStr">
        <is>
          <t>hat-usta</t>
        </is>
      </c>
      <c r="S1260" s="5" t="inlineStr"/>
      <c r="T1260" s="5" t="inlineStr"/>
      <c r="U1260" s="5" t="inlineStr"/>
      <c r="V1260" s="5" t="inlineStr"/>
      <c r="W1260" s="5" t="inlineStr"/>
      <c r="X1260" s="5" t="inlineStr"/>
      <c r="Y1260" s="5" t="n">
        <v>100</v>
      </c>
      <c r="Z1260" s="6" t="inlineStr">
        <is>
          <t>Son sözü “O ses geçer” oldu. Geçti.</t>
        </is>
      </c>
      <c r="AA1260" s="5" t="inlineStr"/>
      <c r="AB1260" s="5" t="inlineStr"/>
      <c r="AC1260" s="5" t="inlineStr"/>
      <c r="AD1260" s="5" t="inlineStr"/>
      <c r="AE1260" s="5" t="inlineStr"/>
      <c r="AF1260" s="5" t="inlineStr"/>
      <c r="AG1260" s="5" t="inlineStr"/>
      <c r="AH1260" s="5" t="inlineStr"/>
      <c r="AI1260" s="5" t="inlineStr"/>
      <c r="AJ1260" s="5" t="inlineStr"/>
    </row>
    <row r="1261">
      <c r="A1261" s="5" t="inlineStr">
        <is>
          <t>son-soz</t>
        </is>
      </c>
      <c r="B1261" s="5" t="n">
        <v>17</v>
      </c>
      <c r="C1261" s="6" t="inlineStr">
        <is>
          <t>“Evrakım eksiksizdi.”</t>
        </is>
      </c>
      <c r="D1261" s="5" t="inlineStr"/>
      <c r="E1261" s="5" t="inlineStr"/>
      <c r="F1261" s="5" t="inlineStr">
        <is>
          <t>Dayanıklılık +1</t>
        </is>
      </c>
      <c r="G1261" s="6" t="inlineStr">
        <is>
          <t>Odadakiler başını salladı. Ölüm belgesi de ilk seferde onaylandı.</t>
        </is>
      </c>
      <c r="H1261" s="6" t="inlineStr"/>
      <c r="I1261" s="6" t="inlineStr"/>
      <c r="J1261" s="6" t="inlineStr"/>
      <c r="K1261" s="6" t="inlineStr"/>
      <c r="L1261" s="6" t="inlineStr"/>
      <c r="M1261" s="5" t="inlineStr"/>
      <c r="N1261" s="5" t="inlineStr"/>
      <c r="O1261" s="6" t="inlineStr"/>
      <c r="P1261" s="6" t="inlineStr"/>
      <c r="Q1261" s="5" t="inlineStr"/>
      <c r="R1261" s="5" t="inlineStr">
        <is>
          <t>meslek-memur</t>
        </is>
      </c>
      <c r="S1261" s="5" t="inlineStr"/>
      <c r="T1261" s="5" t="inlineStr"/>
      <c r="U1261" s="5" t="inlineStr"/>
      <c r="V1261" s="5" t="inlineStr"/>
      <c r="W1261" s="5" t="inlineStr"/>
      <c r="X1261" s="5" t="inlineStr"/>
      <c r="Y1261" s="5" t="n">
        <v>100</v>
      </c>
      <c r="Z1261" s="6" t="inlineStr">
        <is>
          <t>Son sözü “Evrakım eksiksizdi” oldu. Evrakı gerçekten eksiksizdi.</t>
        </is>
      </c>
      <c r="AA1261" s="5" t="inlineStr"/>
      <c r="AB1261" s="5" t="inlineStr"/>
      <c r="AC1261" s="5" t="inlineStr"/>
      <c r="AD1261" s="5" t="inlineStr"/>
      <c r="AE1261" s="5" t="inlineStr"/>
      <c r="AF1261" s="5" t="inlineStr"/>
      <c r="AG1261" s="5" t="inlineStr"/>
      <c r="AH1261" s="5" t="inlineStr"/>
      <c r="AI1261" s="5" t="inlineStr"/>
      <c r="AJ1261" s="5" t="inlineStr"/>
    </row>
    <row r="1262">
      <c r="A1262" s="5" t="inlineStr">
        <is>
          <t>son-soz</t>
        </is>
      </c>
      <c r="B1262" s="5" t="n">
        <v>18</v>
      </c>
      <c r="C1262" s="6" t="inlineStr">
        <is>
          <t>“Bunu bir toplantıda konuşalım.”</t>
        </is>
      </c>
      <c r="D1262" s="5" t="inlineStr"/>
      <c r="E1262" s="5" t="inlineStr"/>
      <c r="F1262" s="5" t="inlineStr">
        <is>
          <t>Çene +1</t>
        </is>
      </c>
      <c r="G1262" s="6" t="inlineStr">
        <is>
          <t>Odadakiler refleksle takvimlerine baktı. Toplantı hiç yapılmadı.</t>
        </is>
      </c>
      <c r="H1262" s="6" t="inlineStr"/>
      <c r="I1262" s="6" t="inlineStr"/>
      <c r="J1262" s="6" t="inlineStr"/>
      <c r="K1262" s="6" t="inlineStr"/>
      <c r="L1262" s="6" t="inlineStr"/>
      <c r="M1262" s="5" t="inlineStr"/>
      <c r="N1262" s="5" t="inlineStr"/>
      <c r="O1262" s="6" t="inlineStr"/>
      <c r="P1262" s="6" t="inlineStr"/>
      <c r="Q1262" s="5" t="inlineStr"/>
      <c r="R1262" s="5" t="inlineStr">
        <is>
          <t>meslek-beyazyaka</t>
        </is>
      </c>
      <c r="S1262" s="5" t="inlineStr"/>
      <c r="T1262" s="5" t="inlineStr"/>
      <c r="U1262" s="5" t="inlineStr"/>
      <c r="V1262" s="5" t="inlineStr"/>
      <c r="W1262" s="5" t="inlineStr"/>
      <c r="X1262" s="5" t="inlineStr"/>
      <c r="Y1262" s="5" t="n">
        <v>100</v>
      </c>
      <c r="Z1262" s="6" t="inlineStr">
        <is>
          <t>Son sözü “Bunu bir toplantıda konuşalım” oldu. Toplantı ertelendi.</t>
        </is>
      </c>
      <c r="AA1262" s="5" t="inlineStr"/>
      <c r="AB1262" s="5" t="inlineStr"/>
      <c r="AC1262" s="5" t="inlineStr"/>
      <c r="AD1262" s="5" t="inlineStr"/>
      <c r="AE1262" s="5" t="inlineStr"/>
      <c r="AF1262" s="5" t="inlineStr"/>
      <c r="AG1262" s="5" t="inlineStr"/>
      <c r="AH1262" s="5" t="inlineStr"/>
      <c r="AI1262" s="5" t="inlineStr"/>
      <c r="AJ1262" s="5" t="inlineStr"/>
    </row>
    <row r="1263">
      <c r="A1263" s="5" t="inlineStr">
        <is>
          <t>son-soz</t>
        </is>
      </c>
      <c r="B1263" s="5" t="n">
        <v>19</v>
      </c>
      <c r="C1263" s="6" t="inlineStr">
        <is>
          <t>“Veresiye defteri üst rafta.”</t>
        </is>
      </c>
      <c r="D1263" s="5" t="inlineStr"/>
      <c r="E1263" s="5" t="inlineStr"/>
      <c r="F1263" s="5" t="inlineStr">
        <is>
          <t>Kurnazlık +1</t>
        </is>
      </c>
      <c r="G1263" s="6" t="inlineStr">
        <is>
          <t>Defter üst raftan indi. Ertesi gün mahallenin yarısı taziyeye borcunu ödemeye geldi.</t>
        </is>
      </c>
      <c r="H1263" s="6" t="inlineStr"/>
      <c r="I1263" s="6" t="inlineStr"/>
      <c r="J1263" s="6" t="inlineStr"/>
      <c r="K1263" s="6" t="inlineStr"/>
      <c r="L1263" s="6" t="inlineStr"/>
      <c r="M1263" s="5" t="inlineStr"/>
      <c r="N1263" s="5" t="inlineStr"/>
      <c r="O1263" s="6" t="inlineStr"/>
      <c r="P1263" s="6" t="inlineStr"/>
      <c r="Q1263" s="5" t="inlineStr"/>
      <c r="R1263" s="5" t="inlineStr">
        <is>
          <t>meslek-esnaf</t>
        </is>
      </c>
      <c r="S1263" s="5" t="inlineStr"/>
      <c r="T1263" s="5" t="inlineStr"/>
      <c r="U1263" s="5" t="inlineStr"/>
      <c r="V1263" s="5" t="inlineStr"/>
      <c r="W1263" s="5" t="inlineStr"/>
      <c r="X1263" s="5" t="inlineStr"/>
      <c r="Y1263" s="5" t="n">
        <v>100</v>
      </c>
      <c r="Z1263" s="6" t="inlineStr">
        <is>
          <t>Son sözü “Veresiye defteri üst rafta” oldu. Defter bulundu; tahsilat sürüyor.</t>
        </is>
      </c>
      <c r="AA1263" s="5" t="inlineStr"/>
      <c r="AB1263" s="5" t="inlineStr"/>
      <c r="AC1263" s="5" t="inlineStr"/>
      <c r="AD1263" s="5" t="inlineStr"/>
      <c r="AE1263" s="5" t="inlineStr"/>
      <c r="AF1263" s="5" t="inlineStr"/>
      <c r="AG1263" s="5" t="inlineStr"/>
      <c r="AH1263" s="5" t="inlineStr"/>
      <c r="AI1263" s="5" t="inlineStr"/>
      <c r="AJ1263" s="5" t="inlineStr"/>
    </row>
    <row r="1264">
      <c r="A1264" s="5" t="inlineStr">
        <is>
          <t>son-soz</t>
        </is>
      </c>
      <c r="B1264" s="5" t="n">
        <v>20</v>
      </c>
      <c r="C1264" s="6" t="inlineStr">
        <is>
          <t>“Son revizyon buydu, söz.”</t>
        </is>
      </c>
      <c r="D1264" s="5" t="inlineStr"/>
      <c r="E1264" s="5" t="inlineStr"/>
      <c r="F1264" s="5" t="inlineStr">
        <is>
          <t>Pişkinlik +1</t>
        </is>
      </c>
      <c r="G1264" s="6" t="inlineStr">
        <is>
          <t>Odadakiler gülümsedi; kimse inanmadı. Bu sefer gerçekten öyleydi.</t>
        </is>
      </c>
      <c r="H1264" s="6" t="inlineStr"/>
      <c r="I1264" s="6" t="inlineStr"/>
      <c r="J1264" s="6" t="inlineStr"/>
      <c r="K1264" s="6" t="inlineStr"/>
      <c r="L1264" s="6" t="inlineStr"/>
      <c r="M1264" s="5" t="inlineStr"/>
      <c r="N1264" s="5" t="inlineStr"/>
      <c r="O1264" s="6" t="inlineStr"/>
      <c r="P1264" s="6" t="inlineStr"/>
      <c r="Q1264" s="5" t="inlineStr"/>
      <c r="R1264" s="5" t="inlineStr">
        <is>
          <t>meslek-serbest</t>
        </is>
      </c>
      <c r="S1264" s="5" t="inlineStr"/>
      <c r="T1264" s="5" t="inlineStr"/>
      <c r="U1264" s="5" t="inlineStr"/>
      <c r="V1264" s="5" t="inlineStr"/>
      <c r="W1264" s="5" t="inlineStr"/>
      <c r="X1264" s="5" t="inlineStr"/>
      <c r="Y1264" s="5" t="n">
        <v>100</v>
      </c>
      <c r="Z1264" s="6" t="inlineStr">
        <is>
          <t>Son sözü “Son revizyon buydu, söz” oldu. Bu sefer gerçekten öyleydi.</t>
        </is>
      </c>
      <c r="AA1264" s="5" t="inlineStr"/>
      <c r="AB1264" s="5" t="inlineStr"/>
      <c r="AC1264" s="5" t="inlineStr"/>
      <c r="AD1264" s="5" t="inlineStr"/>
      <c r="AE1264" s="5" t="inlineStr"/>
      <c r="AF1264" s="5" t="inlineStr"/>
      <c r="AG1264" s="5" t="inlineStr"/>
      <c r="AH1264" s="5" t="inlineStr"/>
      <c r="AI1264" s="5" t="inlineStr"/>
      <c r="AJ1264" s="5" t="inlineStr"/>
    </row>
    <row r="1265">
      <c r="A1265" s="5" t="inlineStr">
        <is>
          <t>son-soz</t>
        </is>
      </c>
      <c r="B1265" s="5" t="n">
        <v>21</v>
      </c>
      <c r="C1265" s="6" t="inlineStr">
        <is>
          <t>“Dördüncü koğuşun tavla şampiyonuydum.”</t>
        </is>
      </c>
      <c r="D1265" s="5" t="inlineStr"/>
      <c r="E1265" s="5" t="inlineStr"/>
      <c r="F1265" s="5" t="inlineStr">
        <is>
          <t>Pişkinlik +1</t>
        </is>
      </c>
      <c r="G1265" s="6" t="inlineStr">
        <is>
          <t>Köşedeki eski koğuş arkadaşın başını salladı. Rövanş isteyen çıkmadı.</t>
        </is>
      </c>
      <c r="H1265" s="6" t="inlineStr"/>
      <c r="I1265" s="6" t="inlineStr"/>
      <c r="J1265" s="6" t="inlineStr"/>
      <c r="K1265" s="6" t="inlineStr"/>
      <c r="L1265" s="6" t="inlineStr"/>
      <c r="M1265" s="5" t="inlineStr"/>
      <c r="N1265" s="5" t="inlineStr"/>
      <c r="O1265" s="6" t="inlineStr"/>
      <c r="P1265" s="6" t="inlineStr"/>
      <c r="Q1265" s="5" t="inlineStr"/>
      <c r="R1265" s="5" t="inlineStr">
        <is>
          <t>eski-hukumlu</t>
        </is>
      </c>
      <c r="S1265" s="5" t="inlineStr"/>
      <c r="T1265" s="5" t="inlineStr"/>
      <c r="U1265" s="5" t="inlineStr"/>
      <c r="V1265" s="5" t="inlineStr"/>
      <c r="W1265" s="5" t="inlineStr"/>
      <c r="X1265" s="5" t="inlineStr"/>
      <c r="Y1265" s="5" t="n">
        <v>100</v>
      </c>
      <c r="Z1265" s="6" t="inlineStr">
        <is>
          <t>Son sözü “Dördüncü koğuşun tavla şampiyonuydum” oldu. Kimse itiraz etmedi; rövanş da istenmedi.</t>
        </is>
      </c>
      <c r="AA1265" s="5" t="inlineStr"/>
      <c r="AB1265" s="5" t="inlineStr"/>
      <c r="AC1265" s="5" t="inlineStr"/>
      <c r="AD1265" s="5" t="inlineStr"/>
      <c r="AE1265" s="5" t="inlineStr"/>
      <c r="AF1265" s="5" t="inlineStr"/>
      <c r="AG1265" s="5" t="inlineStr"/>
      <c r="AH1265" s="5" t="inlineStr"/>
      <c r="AI1265" s="5" t="inlineStr"/>
      <c r="AJ1265" s="5" t="inlineStr"/>
    </row>
    <row r="1266">
      <c r="A1266" s="5" t="inlineStr">
        <is>
          <t>son-soz</t>
        </is>
      </c>
      <c r="B1266" s="5" t="n">
        <v>22</v>
      </c>
      <c r="C1266" s="6" t="inlineStr">
        <is>
          <t>'Bu sefer son söz senin.'</t>
        </is>
      </c>
      <c r="D1266" s="5" t="inlineStr"/>
      <c r="E1266" s="5" t="inlineStr"/>
      <c r="F1266" s="5" t="inlineStr">
        <is>
          <t>Gönül +1</t>
        </is>
      </c>
      <c r="G1266" s="6" t="inlineStr">
        <is>
          <t>Eşin elini sıktı. Elli yıldır ilk kez son söz onda kaldı; ne dediğini yalnızca sen duydun.</t>
        </is>
      </c>
      <c r="H1266" s="6" t="inlineStr"/>
      <c r="I1266" s="6" t="inlineStr"/>
      <c r="J1266" s="6" t="inlineStr"/>
      <c r="K1266" s="6" t="inlineStr"/>
      <c r="L1266" s="6" t="inlineStr"/>
      <c r="M1266" s="5" t="inlineStr"/>
      <c r="N1266" s="5" t="inlineStr"/>
      <c r="O1266" s="6" t="inlineStr"/>
      <c r="P1266" s="6" t="inlineStr"/>
      <c r="Q1266" s="5" t="inlineStr"/>
      <c r="R1266" s="5" t="inlineStr">
        <is>
          <t>evli</t>
        </is>
      </c>
      <c r="S1266" s="5" t="inlineStr"/>
      <c r="T1266" s="5" t="inlineStr"/>
      <c r="U1266" s="5" t="inlineStr"/>
      <c r="V1266" s="5" t="inlineStr"/>
      <c r="W1266" s="5" t="inlineStr"/>
      <c r="X1266" s="5" t="inlineStr"/>
      <c r="Y1266" s="5" t="n">
        <v>100</v>
      </c>
      <c r="Z1266" s="6" t="inlineStr">
        <is>
          <t>Son sözü eşine bıraktı. Ne dendiğini yalnızca o duydu.</t>
        </is>
      </c>
      <c r="AA1266" s="5" t="inlineStr"/>
      <c r="AB1266" s="5" t="inlineStr"/>
      <c r="AC1266" s="5" t="inlineStr"/>
      <c r="AD1266" s="5" t="inlineStr"/>
      <c r="AE1266" s="5" t="inlineStr"/>
      <c r="AF1266" s="5" t="inlineStr"/>
      <c r="AG1266" s="5" t="inlineStr"/>
      <c r="AH1266" s="5" t="inlineStr"/>
      <c r="AI1266" s="5" t="inlineStr"/>
      <c r="AJ1266" s="5" t="inlineStr"/>
    </row>
    <row r="1267">
      <c r="A1267" s="5" t="inlineStr">
        <is>
          <t>son-soz</t>
        </is>
      </c>
      <c r="B1267" s="5" t="n">
        <v>23</v>
      </c>
      <c r="C1267" s="6" t="inlineStr">
        <is>
          <t>'Geliyorum.'</t>
        </is>
      </c>
      <c r="D1267" s="5" t="inlineStr"/>
      <c r="E1267" s="5" t="inlineStr"/>
      <c r="F1267" s="5" t="inlineStr">
        <is>
          <t>Gönül +1</t>
        </is>
      </c>
      <c r="G1267" s="6" t="inlineStr">
        <is>
          <t>Gözün komodindeki fotoğrafa kaydı. Odadakiler kime söylediğini sormadı.</t>
        </is>
      </c>
      <c r="H1267" s="6" t="inlineStr"/>
      <c r="I1267" s="6" t="inlineStr"/>
      <c r="J1267" s="6" t="inlineStr"/>
      <c r="K1267" s="6" t="inlineStr"/>
      <c r="L1267" s="6" t="inlineStr"/>
      <c r="M1267" s="5" t="inlineStr"/>
      <c r="N1267" s="5" t="inlineStr"/>
      <c r="O1267" s="6" t="inlineStr"/>
      <c r="P1267" s="6" t="inlineStr"/>
      <c r="Q1267" s="5" t="inlineStr"/>
      <c r="R1267" s="5" t="inlineStr">
        <is>
          <t>dul</t>
        </is>
      </c>
      <c r="S1267" s="5" t="inlineStr"/>
      <c r="T1267" s="5" t="inlineStr"/>
      <c r="U1267" s="5" t="inlineStr"/>
      <c r="V1267" s="5" t="inlineStr"/>
      <c r="W1267" s="5" t="inlineStr"/>
      <c r="X1267" s="5" t="inlineStr"/>
      <c r="Y1267" s="5" t="n">
        <v>100</v>
      </c>
      <c r="Z1267" s="6" t="inlineStr">
        <is>
          <t>Son sözü 'Geliyorum' oldu. Kime söylediğini kimse sormadı.</t>
        </is>
      </c>
      <c r="AA1267" s="5" t="inlineStr"/>
      <c r="AB1267" s="5" t="inlineStr"/>
      <c r="AC1267" s="5" t="inlineStr"/>
      <c r="AD1267" s="5" t="inlineStr"/>
      <c r="AE1267" s="5" t="inlineStr"/>
      <c r="AF1267" s="5" t="inlineStr"/>
      <c r="AG1267" s="5" t="inlineStr"/>
      <c r="AH1267" s="5" t="inlineStr"/>
      <c r="AI1267" s="5" t="inlineStr"/>
      <c r="AJ1267" s="5" t="inlineStr"/>
    </row>
    <row r="1268">
      <c r="A1268" s="5" t="inlineStr">
        <is>
          <t>son-soz</t>
        </is>
      </c>
      <c r="B1268" s="5" t="n">
        <v>24</v>
      </c>
      <c r="C1268" s="6" t="inlineStr">
        <is>
          <t>'Kardeşler küsmesin.'</t>
        </is>
      </c>
      <c r="D1268" s="5" t="inlineStr"/>
      <c r="E1268" s="5" t="inlineStr"/>
      <c r="F1268" s="5" t="inlineStr">
        <is>
          <t>Gönül +1</t>
        </is>
      </c>
      <c r="G1268" s="6" t="inlineStr">
        <is>
          <t>Çocukların aynı anda birbirine baktı. Mirasın paylaşımı iki yıl sürdü, ama bayramda hepsi geldi.</t>
        </is>
      </c>
      <c r="H1268" s="6" t="inlineStr"/>
      <c r="I1268" s="6" t="inlineStr"/>
      <c r="J1268" s="6" t="inlineStr"/>
      <c r="K1268" s="6" t="inlineStr"/>
      <c r="L1268" s="6" t="inlineStr"/>
      <c r="M1268" s="5" t="inlineStr"/>
      <c r="N1268" s="5" t="inlineStr"/>
      <c r="O1268" s="6" t="inlineStr"/>
      <c r="P1268" s="6" t="inlineStr"/>
      <c r="Q1268" s="5" t="inlineStr"/>
      <c r="R1268" s="5" t="inlineStr">
        <is>
          <t>cocuklu</t>
        </is>
      </c>
      <c r="S1268" s="5" t="inlineStr"/>
      <c r="T1268" s="5" t="inlineStr"/>
      <c r="U1268" s="5" t="inlineStr"/>
      <c r="V1268" s="5" t="inlineStr"/>
      <c r="W1268" s="5" t="inlineStr"/>
      <c r="X1268" s="5" t="inlineStr"/>
      <c r="Y1268" s="5" t="n">
        <v>100</v>
      </c>
      <c r="Z1268" s="6" t="inlineStr">
        <is>
          <t>Son sözü 'Kardeşler küsmesin' oldu. Bayramda hepsi geldi.</t>
        </is>
      </c>
      <c r="AA1268" s="5" t="inlineStr"/>
      <c r="AB1268" s="5" t="inlineStr"/>
      <c r="AC1268" s="5" t="inlineStr"/>
      <c r="AD1268" s="5" t="inlineStr"/>
      <c r="AE1268" s="5" t="inlineStr"/>
      <c r="AF1268" s="5" t="inlineStr"/>
      <c r="AG1268" s="5" t="inlineStr"/>
      <c r="AH1268" s="5" t="inlineStr"/>
      <c r="AI1268" s="5" t="inlineStr"/>
      <c r="AJ1268" s="5" t="inlineStr"/>
    </row>
    <row r="1269">
      <c r="A1269" s="5" t="inlineStr">
        <is>
          <t>sokak-mi-ekran-mi</t>
        </is>
      </c>
      <c r="B1269" s="5" t="n">
        <v>1</v>
      </c>
      <c r="C1269" s="6" t="inlineStr">
        <is>
          <t>Sokağa koş</t>
        </is>
      </c>
      <c r="D1269" s="5" t="inlineStr">
        <is>
          <t>Cesaret</t>
        </is>
      </c>
      <c r="E1269" s="5" t="inlineStr">
        <is>
          <t>Kolay</t>
        </is>
      </c>
      <c r="F1269" s="5" t="inlineStr"/>
      <c r="G1269" s="6" t="inlineStr"/>
      <c r="H1269" s="6" t="inlineStr">
        <is>
          <t>Merdivenleri ikişer ikişer indin. Akşama kadar dizlerin yara bandı, ceplerin çakıl taşı doldu.</t>
        </is>
      </c>
      <c r="I1269" s="6" t="inlineStr">
        <is>
          <t>İlk gün kaleye geçtin, ikinci gün takım kaptanı oldun. Mahalle seni adınla çağırmaya başladı.</t>
        </is>
      </c>
      <c r="J1269" s="6" t="inlineStr">
        <is>
          <t>Aşağı indin ama oyun çoktan kurulmuştu. Kenardan izledin; yine de oradaydın.</t>
        </is>
      </c>
      <c r="K1269" s="6" t="inlineStr">
        <is>
          <t>Merdivenleri koşarak inerken ayakkabının teki ikinci katta kaldı. Maçın ortasına tek ayakkabıyla daldın. Bakkal kapıya çıkıp bağırdı: “Gelin bakın, Tek Ayakkabı geldi!” Ayakkabıyı kapıcı getirdi; ad kaldı.</t>
        </is>
      </c>
      <c r="L1269" s="6" t="inlineStr"/>
      <c r="M1269" s="5" t="inlineStr"/>
      <c r="N1269" s="5" t="inlineStr"/>
      <c r="O1269" s="6" t="inlineStr"/>
      <c r="P1269" s="6" t="inlineStr"/>
      <c r="Q1269" s="5" t="inlineStr"/>
      <c r="R1269" s="5" t="inlineStr"/>
      <c r="S1269" s="5" t="inlineStr"/>
      <c r="T1269" s="5" t="inlineStr"/>
      <c r="U1269" s="5" t="inlineStr">
        <is>
          <t>mahalle-cocugu</t>
        </is>
      </c>
      <c r="V1269" s="5" t="inlineStr"/>
      <c r="W1269" s="5" t="inlineStr"/>
      <c r="X1269" s="5" t="inlineStr"/>
      <c r="Y1269" s="5" t="inlineStr"/>
      <c r="Z1269" s="6" t="inlineStr"/>
      <c r="AA1269" s="5" t="inlineStr"/>
      <c r="AB1269" s="5" t="inlineStr"/>
      <c r="AC1269" s="5" t="inlineStr"/>
      <c r="AD1269" s="5" t="inlineStr"/>
      <c r="AE1269" s="5" t="inlineStr"/>
      <c r="AF1269" s="5" t="inlineStr"/>
      <c r="AG1269" s="5" t="inlineStr"/>
      <c r="AH1269" s="5" t="inlineStr"/>
      <c r="AI1269" s="5" t="inlineStr">
        <is>
          <t>Tek Ayakkabı</t>
        </is>
      </c>
      <c r="AJ1269" s="5" t="inlineStr"/>
    </row>
    <row r="1270">
      <c r="A1270" s="5" t="inlineStr">
        <is>
          <t>sokak-mi-ekran-mi</t>
        </is>
      </c>
      <c r="B1270" s="5" t="n">
        <v>2</v>
      </c>
      <c r="C1270" s="6" t="inlineStr">
        <is>
          <t>Tableti al</t>
        </is>
      </c>
      <c r="D1270" s="5" t="inlineStr">
        <is>
          <t>Kurnazlık</t>
        </is>
      </c>
      <c r="E1270" s="5" t="inlineStr">
        <is>
          <t>Kolay</t>
        </is>
      </c>
      <c r="F1270" s="5" t="inlineStr"/>
      <c r="G1270" s="6" t="inlineStr"/>
      <c r="H1270" s="6" t="inlineStr">
        <is>
          <t>Şifreyi annenden önce öğrendin. Akşam yemeğine kadar üç oyun bitirdin, birini baştan.</t>
        </is>
      </c>
      <c r="I1270" s="6" t="inlineStr">
        <is>
          <t>Ebeveyn ayarını kimse fark etmeden değiştirdin. Ekran süresini artık sen belirliyorsun.</t>
        </is>
      </c>
      <c r="J1270" s="6" t="inlineStr">
        <is>
          <t>Tablet açıldı ama şarj seni yarı yolda bıraktı. Kabloyu bulana kadar akşam oldu.</t>
        </is>
      </c>
      <c r="K1270" s="6" t="inlineStr">
        <is>
          <t>Tableti kanepeden düşürdün. Ekranın köşesinde artık bir örümcek ağı var; her açışında hatırlıyorsun.</t>
        </is>
      </c>
      <c r="L1270" s="6" t="inlineStr"/>
      <c r="M1270" s="5" t="inlineStr"/>
      <c r="N1270" s="5" t="inlineStr"/>
      <c r="O1270" s="6" t="inlineStr"/>
      <c r="P1270" s="6" t="inlineStr"/>
      <c r="Q1270" s="5" t="inlineStr"/>
      <c r="R1270" s="5" t="inlineStr"/>
      <c r="S1270" s="5" t="inlineStr"/>
      <c r="T1270" s="5" t="inlineStr"/>
      <c r="U1270" s="5" t="inlineStr">
        <is>
          <t>ekran-cocugu</t>
        </is>
      </c>
      <c r="V1270" s="5" t="inlineStr"/>
      <c r="W1270" s="5" t="inlineStr"/>
      <c r="X1270" s="5" t="inlineStr"/>
      <c r="Y1270" s="5" t="inlineStr"/>
      <c r="Z1270" s="6" t="inlineStr"/>
      <c r="AA1270" s="5" t="inlineStr"/>
      <c r="AB1270" s="5" t="inlineStr"/>
      <c r="AC1270" s="5" t="inlineStr"/>
      <c r="AD1270" s="5" t="inlineStr"/>
      <c r="AE1270" s="5" t="inlineStr"/>
      <c r="AF1270" s="5" t="inlineStr"/>
      <c r="AG1270" s="5" t="inlineStr"/>
      <c r="AH1270" s="5" t="inlineStr"/>
      <c r="AI1270" s="5" t="inlineStr"/>
      <c r="AJ1270" s="5" t="inlineStr"/>
    </row>
    <row r="1271">
      <c r="A1271" s="5" t="inlineStr">
        <is>
          <t>sokak-mi-ekran-mi</t>
        </is>
      </c>
      <c r="B1271" s="5" t="n">
        <v>3</v>
      </c>
      <c r="C1271" s="6" t="inlineStr">
        <is>
          <t>Tableti sokağa indir</t>
        </is>
      </c>
      <c r="D1271" s="5" t="inlineStr">
        <is>
          <t>Çene</t>
        </is>
      </c>
      <c r="E1271" s="5" t="inlineStr">
        <is>
          <t>Zor</t>
        </is>
      </c>
      <c r="F1271" s="5" t="inlineStr"/>
      <c r="G1271" s="6" t="inlineStr"/>
      <c r="H1271" s="6" t="inlineStr">
        <is>
          <t>Tableti aşağı indirdin; mahalle bir anda seyirciye dönüştü. Hem sokağın hem ekranın çocuğusun.</t>
        </is>
      </c>
      <c r="I1271" s="6" t="inlineStr">
        <is>
          <t>Tabletle mahallede oyun turnuvası kurdun. Giriş ücreti bir bisküvi, sıra hep sende.</t>
        </is>
      </c>
      <c r="J1271" s="6" t="inlineStr">
        <is>
          <t>Tableti indirdin ama güneş ekranı okunmaz yaptı. Herkes topa döndü, sen de.</t>
        </is>
      </c>
      <c r="K1271" s="6" t="inlineStr">
        <is>
          <t>Tablet top gibi elden ele dolaştı. Sonunda bir kedinin altında bulundu; kedi memnundu.</t>
        </is>
      </c>
      <c r="L1271" s="6" t="inlineStr"/>
      <c r="M1271" s="5" t="inlineStr"/>
      <c r="N1271" s="5" t="inlineStr"/>
      <c r="O1271" s="6" t="inlineStr"/>
      <c r="P1271" s="6" t="inlineStr"/>
      <c r="Q1271" s="5" t="inlineStr"/>
      <c r="R1271" s="5" t="inlineStr"/>
      <c r="S1271" s="5" t="inlineStr"/>
      <c r="T1271" s="5" t="inlineStr"/>
      <c r="U1271" s="5" t="inlineStr">
        <is>
          <t>mahalle-cocugu</t>
        </is>
      </c>
      <c r="V1271" s="5" t="inlineStr">
        <is>
          <t>ekran-cocugu</t>
        </is>
      </c>
      <c r="W1271" s="5" t="inlineStr"/>
      <c r="X1271" s="5" t="inlineStr"/>
      <c r="Y1271" s="5" t="inlineStr"/>
      <c r="Z1271" s="6" t="inlineStr"/>
      <c r="AA1271" s="5" t="inlineStr"/>
      <c r="AB1271" s="5" t="inlineStr"/>
      <c r="AC1271" s="5" t="inlineStr"/>
      <c r="AD1271" s="5" t="inlineStr"/>
      <c r="AE1271" s="5" t="inlineStr"/>
      <c r="AF1271" s="5" t="inlineStr"/>
      <c r="AG1271" s="5" t="inlineStr"/>
      <c r="AH1271" s="5" t="inlineStr"/>
      <c r="AI1271" s="5" t="inlineStr"/>
      <c r="AJ1271" s="5" t="inlineStr"/>
    </row>
    <row r="1272">
      <c r="A1272" s="5" t="inlineStr">
        <is>
          <t>sokak-mi-ekran-mi</t>
        </is>
      </c>
      <c r="B1272" s="5" t="n">
        <v>4</v>
      </c>
      <c r="C1272" s="6" t="inlineStr">
        <is>
          <t>Pencereden ikisini de izle</t>
        </is>
      </c>
      <c r="D1272" s="5" t="inlineStr"/>
      <c r="E1272" s="5" t="inlineStr"/>
      <c r="F1272" s="5" t="inlineStr">
        <is>
          <t>Sosyal Radar +1</t>
        </is>
      </c>
      <c r="G1272" s="6" t="inlineStr">
        <is>
          <t>Pencerenin önüne tabure çektin; bir aşağıdaki maça, bir tablete baktın. Akşam baban “Bugün ne yaptın?” diye sordu; maçın skorunu ve oyunun bölümünü aynı nefeste anlattın. Annen “Bu çocuk spiker olur” dedi.</t>
        </is>
      </c>
      <c r="H1272" s="6" t="inlineStr"/>
      <c r="I1272" s="6" t="inlineStr"/>
      <c r="J1272" s="6" t="inlineStr"/>
      <c r="K1272" s="6" t="inlineStr"/>
      <c r="L1272" s="6" t="inlineStr"/>
      <c r="M1272" s="5" t="inlineStr"/>
      <c r="N1272" s="5" t="inlineStr"/>
      <c r="O1272" s="6" t="inlineStr"/>
      <c r="P1272" s="6" t="inlineStr"/>
      <c r="Q1272" s="5" t="inlineStr"/>
      <c r="R1272" s="5" t="inlineStr"/>
      <c r="S1272" s="5" t="inlineStr"/>
      <c r="T1272" s="5" t="inlineStr"/>
      <c r="U1272" s="5" t="inlineStr"/>
      <c r="V1272" s="5" t="inlineStr"/>
      <c r="W1272" s="5" t="inlineStr"/>
      <c r="X1272" s="5" t="inlineStr"/>
      <c r="Y1272" s="5" t="inlineStr"/>
      <c r="Z1272" s="6" t="inlineStr"/>
      <c r="AA1272" s="5" t="inlineStr"/>
      <c r="AB1272" s="5" t="inlineStr"/>
      <c r="AC1272" s="5" t="inlineStr"/>
      <c r="AD1272" s="5" t="inlineStr"/>
      <c r="AE1272" s="5" t="inlineStr"/>
      <c r="AF1272" s="5" t="inlineStr"/>
      <c r="AG1272" s="5" t="inlineStr"/>
      <c r="AH1272" s="5" t="inlineStr"/>
      <c r="AI1272" s="5" t="inlineStr"/>
      <c r="AJ1272" s="5" t="inlineStr"/>
    </row>
    <row r="1273">
      <c r="A1273" s="5" t="inlineStr">
        <is>
          <t>b5-sehir-secimi</t>
        </is>
      </c>
      <c r="B1273" s="5" t="n">
        <v>1</v>
      </c>
      <c r="C1273" s="6" t="inlineStr">
        <is>
          <t>Başka şehri yaz</t>
        </is>
      </c>
      <c r="D1273" s="5" t="inlineStr"/>
      <c r="E1273" s="5" t="inlineStr"/>
      <c r="F1273" s="5" t="inlineStr">
        <is>
          <t>Cesaret +1, Dayanıklılık +1</t>
        </is>
      </c>
      <c r="G1273" s="6" t="inlineStr">
        <is>
          <t>Başka şehri yazdın. Annen valize üç kavanoz reçel, bir yorgan ve bir torba kuru nane sıkıştırdı. Valiz kapanmadı; baban üstüne oturdu.</t>
        </is>
      </c>
      <c r="H1273" s="6" t="inlineStr"/>
      <c r="I1273" s="6" t="inlineStr"/>
      <c r="J1273" s="6" t="inlineStr"/>
      <c r="K1273" s="6" t="inlineStr"/>
      <c r="L1273" s="6" t="inlineStr"/>
      <c r="M1273" s="5" t="inlineStr"/>
      <c r="N1273" s="5" t="inlineStr"/>
      <c r="O1273" s="6" t="inlineStr"/>
      <c r="P1273" s="6" t="inlineStr"/>
      <c r="Q1273" s="5" t="inlineStr"/>
      <c r="R1273" s="5" t="inlineStr"/>
      <c r="S1273" s="5" t="inlineStr"/>
      <c r="T1273" s="5" t="inlineStr"/>
      <c r="U1273" s="5" t="inlineStr">
        <is>
          <t>baska-sehir</t>
        </is>
      </c>
      <c r="V1273" s="5" t="inlineStr"/>
      <c r="W1273" s="5" t="inlineStr"/>
      <c r="X1273" s="5" t="inlineStr"/>
      <c r="Y1273" s="5" t="inlineStr"/>
      <c r="Z1273" s="6" t="inlineStr"/>
      <c r="AA1273" s="5" t="inlineStr">
        <is>
          <t>Keskin -1, Yalçın -1, Şen -1, Tan +1, Erdem +1</t>
        </is>
      </c>
      <c r="AB1273" s="5" t="inlineStr"/>
      <c r="AC1273" s="5" t="inlineStr"/>
      <c r="AD1273" s="5" t="inlineStr"/>
      <c r="AE1273" s="5" t="inlineStr"/>
      <c r="AF1273" s="5" t="inlineStr"/>
      <c r="AG1273" s="5" t="inlineStr"/>
      <c r="AH1273" s="5" t="inlineStr"/>
      <c r="AI1273" s="5" t="inlineStr"/>
      <c r="AJ1273" s="5" t="inlineStr"/>
    </row>
    <row r="1274">
      <c r="A1274" s="5" t="inlineStr">
        <is>
          <t>b5-sehir-secimi</t>
        </is>
      </c>
      <c r="B1274" s="5" t="n">
        <v>2</v>
      </c>
      <c r="C1274" s="6" t="inlineStr">
        <is>
          <t>Evden gidebileceğin okulu yaz</t>
        </is>
      </c>
      <c r="D1274" s="5" t="inlineStr"/>
      <c r="E1274" s="5" t="inlineStr"/>
      <c r="F1274" s="5" t="inlineStr">
        <is>
          <t>İtibar +1, Kurnazlık +1</t>
        </is>
      </c>
      <c r="G1274" s="6" t="inlineStr">
        <is>
          <t>Aynı şehri yazdın. Üniversitelisin ama sokağa çıkma saatin hâlâ 22:00. Buzdolabı en büyük bursun.</t>
        </is>
      </c>
      <c r="H1274" s="6" t="inlineStr"/>
      <c r="I1274" s="6" t="inlineStr"/>
      <c r="J1274" s="6" t="inlineStr"/>
      <c r="K1274" s="6" t="inlineStr"/>
      <c r="L1274" s="6" t="inlineStr"/>
      <c r="M1274" s="5" t="inlineStr"/>
      <c r="N1274" s="5" t="inlineStr"/>
      <c r="O1274" s="6" t="inlineStr"/>
      <c r="P1274" s="6" t="inlineStr"/>
      <c r="Q1274" s="5" t="inlineStr"/>
      <c r="R1274" s="5" t="inlineStr"/>
      <c r="S1274" s="5" t="inlineStr"/>
      <c r="T1274" s="5" t="inlineStr"/>
      <c r="U1274" s="5" t="inlineStr">
        <is>
          <t>ayni-sehir</t>
        </is>
      </c>
      <c r="V1274" s="5" t="inlineStr"/>
      <c r="W1274" s="5" t="inlineStr"/>
      <c r="X1274" s="5" t="inlineStr"/>
      <c r="Y1274" s="5" t="inlineStr"/>
      <c r="Z1274" s="6" t="inlineStr"/>
      <c r="AA1274" s="5" t="inlineStr">
        <is>
          <t>Şen +1, Yalçın +1</t>
        </is>
      </c>
      <c r="AB1274" s="5" t="inlineStr"/>
      <c r="AC1274" s="5" t="inlineStr"/>
      <c r="AD1274" s="5" t="inlineStr"/>
      <c r="AE1274" s="5" t="inlineStr"/>
      <c r="AF1274" s="5" t="inlineStr"/>
      <c r="AG1274" s="5" t="inlineStr"/>
      <c r="AH1274" s="5" t="inlineStr"/>
      <c r="AI1274" s="5" t="inlineStr"/>
      <c r="AJ1274" s="5" t="inlineStr"/>
    </row>
    <row r="1275">
      <c r="A1275" s="5" t="inlineStr">
        <is>
          <t>b5-sehir-secimi</t>
        </is>
      </c>
      <c r="B1275" s="5" t="n">
        <v>3</v>
      </c>
      <c r="C1275" s="6" t="inlineStr">
        <is>
          <t>Kura çek</t>
        </is>
      </c>
      <c r="D1275" s="5" t="inlineStr">
        <is>
          <t>Pişkinlik</t>
        </is>
      </c>
      <c r="E1275" s="5" t="inlineStr">
        <is>
          <t>Orta</t>
        </is>
      </c>
      <c r="F1275" s="5" t="inlineStr"/>
      <c r="G1275" s="6" t="inlineStr"/>
      <c r="H1275" s="6" t="inlineStr">
        <is>
          <t>Kura başka şehri gösterdi. Annen kâğıdı üç kez okudu, “Kader” dedi ve reçel kavanozlarını saymaya başladı.</t>
        </is>
      </c>
      <c r="I1275" s="6" t="inlineStr">
        <is>
          <t>Kura başka şehri gösterdi. Annen dayını aradı; daha derdini anlatmadan dayın bağırdı: “Yurt parası benden!” Bir hafta içinde yurt ayarlandı.</t>
        </is>
      </c>
      <c r="J1275" s="6" t="inlineStr">
        <is>
          <t>Kura evi gösterdi. Kaderle tartışmadın; kader zaten annenin tarafındaydı.</t>
        </is>
      </c>
      <c r="K1275" s="6" t="inlineStr">
        <is>
          <t>Kurayı çekerken fark ettin: kâğıtları annen hazırlamıştı. İkisinde de aynı şehir yazıyordu.</t>
        </is>
      </c>
      <c r="L1275" s="6" t="inlineStr"/>
      <c r="M1275" s="5" t="inlineStr"/>
      <c r="N1275" s="5" t="inlineStr"/>
      <c r="O1275" s="6" t="inlineStr"/>
      <c r="P1275" s="6" t="inlineStr"/>
      <c r="Q1275" s="5" t="inlineStr"/>
      <c r="R1275" s="5" t="inlineStr"/>
      <c r="S1275" s="5" t="inlineStr"/>
      <c r="T1275" s="5" t="inlineStr"/>
      <c r="U1275" s="5" t="inlineStr"/>
      <c r="V1275" s="5" t="inlineStr">
        <is>
          <t>baska-sehir</t>
        </is>
      </c>
      <c r="W1275" s="5" t="inlineStr"/>
      <c r="X1275" s="5" t="inlineStr"/>
      <c r="Y1275" s="5" t="inlineStr"/>
      <c r="Z1275" s="6" t="inlineStr"/>
      <c r="AA1275" s="5" t="inlineStr"/>
      <c r="AB1275" s="5" t="inlineStr">
        <is>
          <t>ayni-sehir</t>
        </is>
      </c>
      <c r="AC1275" s="5" t="inlineStr"/>
      <c r="AD1275" s="5" t="inlineStr"/>
      <c r="AE1275" s="5" t="inlineStr"/>
      <c r="AF1275" s="5" t="inlineStr"/>
      <c r="AG1275" s="5" t="inlineStr"/>
      <c r="AH1275" s="5" t="inlineStr"/>
      <c r="AI1275" s="5" t="inlineStr"/>
      <c r="AJ1275" s="5" t="inlineStr"/>
    </row>
    <row r="1276">
      <c r="A1276" s="5" t="inlineStr">
        <is>
          <t>b5-kazanamayinca</t>
        </is>
      </c>
      <c r="B1276" s="5" t="n">
        <v>1</v>
      </c>
      <c r="C1276" s="6" t="inlineStr">
        <is>
          <t>Mezuna kal, bir yıl daha</t>
        </is>
      </c>
      <c r="D1276" s="5" t="inlineStr"/>
      <c r="E1276" s="5" t="inlineStr"/>
      <c r="F1276" s="5" t="inlineStr">
        <is>
          <t>Dayanıklılık +1, Akıl +1</t>
        </is>
      </c>
      <c r="G1276" s="6" t="inlineStr">
        <is>
          <t>Bir yıl daha dershaneye yazıldın. Bayramda akrabalar artık “Ne olacaksın?” diye sormuyor; “Bu sene olacak mı?” diye soruyor. Kimliğinde yazmıyor ama herkes biliyor: mezunsun.</t>
        </is>
      </c>
      <c r="H1276" s="6" t="inlineStr"/>
      <c r="I1276" s="6" t="inlineStr"/>
      <c r="J1276" s="6" t="inlineStr"/>
      <c r="K1276" s="6" t="inlineStr"/>
      <c r="L1276" s="6" t="inlineStr"/>
      <c r="M1276" s="5" t="inlineStr"/>
      <c r="N1276" s="5" t="inlineStr"/>
      <c r="O1276" s="6" t="inlineStr"/>
      <c r="P1276" s="6" t="inlineStr"/>
      <c r="Q1276" s="5" t="inlineStr"/>
      <c r="R1276" s="5" t="inlineStr"/>
      <c r="S1276" s="5" t="inlineStr"/>
      <c r="T1276" s="5" t="inlineStr"/>
      <c r="U1276" s="5" t="inlineStr">
        <is>
          <t>mezuna-kaldi</t>
        </is>
      </c>
      <c r="V1276" s="5" t="inlineStr"/>
      <c r="W1276" s="5" t="inlineStr"/>
      <c r="X1276" s="5" t="inlineStr"/>
      <c r="Y1276" s="5" t="inlineStr"/>
      <c r="Z1276" s="6" t="inlineStr"/>
      <c r="AA1276" s="5" t="inlineStr">
        <is>
          <t>Erdem +1, Tan +1</t>
        </is>
      </c>
      <c r="AB1276" s="5" t="inlineStr"/>
      <c r="AC1276" s="5" t="inlineStr"/>
      <c r="AD1276" s="5" t="inlineStr"/>
      <c r="AE1276" s="5" t="inlineStr"/>
      <c r="AF1276" s="5" t="inlineStr"/>
      <c r="AG1276" s="5" t="inlineStr"/>
      <c r="AH1276" s="5" t="inlineStr"/>
      <c r="AI1276" s="5" t="inlineStr"/>
      <c r="AJ1276" s="5" t="inlineStr"/>
    </row>
    <row r="1277">
      <c r="A1277" s="5" t="inlineStr">
        <is>
          <t>b5-kazanamayinca</t>
        </is>
      </c>
      <c r="B1277" s="5" t="n">
        <v>2</v>
      </c>
      <c r="C1277" s="6" t="inlineStr">
        <is>
          <t>Kuzeninin dükkânında tezgâha geç</t>
        </is>
      </c>
      <c r="D1277" s="5" t="inlineStr"/>
      <c r="E1277" s="5" t="inlineStr"/>
      <c r="F1277" s="5" t="inlineStr">
        <is>
          <t>Kurnazlık +1, Çene +1</t>
        </is>
      </c>
      <c r="G1277" s="6" t="inlineStr">
        <is>
          <t>Kuzeninin dükkânında tezgâha geçtin. İlk pazarlıkta ikinci oldun; birinci müşteriydi.</t>
        </is>
      </c>
      <c r="H1277" s="6" t="inlineStr"/>
      <c r="I1277" s="6" t="inlineStr"/>
      <c r="J1277" s="6" t="inlineStr"/>
      <c r="K1277" s="6" t="inlineStr"/>
      <c r="L1277" s="6" t="inlineStr"/>
      <c r="M1277" s="5" t="inlineStr"/>
      <c r="N1277" s="5" t="inlineStr"/>
      <c r="O1277" s="6" t="inlineStr"/>
      <c r="P1277" s="6" t="inlineStr"/>
      <c r="Q1277" s="5" t="inlineStr"/>
      <c r="R1277" s="5" t="inlineStr"/>
      <c r="S1277" s="5" t="inlineStr"/>
      <c r="T1277" s="5" t="inlineStr"/>
      <c r="U1277" s="5" t="inlineStr">
        <is>
          <t>tezgah</t>
        </is>
      </c>
      <c r="V1277" s="5" t="inlineStr"/>
      <c r="W1277" s="5" t="inlineStr"/>
      <c r="X1277" s="5" t="inlineStr"/>
      <c r="Y1277" s="5" t="inlineStr"/>
      <c r="Z1277" s="6" t="inlineStr"/>
      <c r="AA1277" s="5" t="inlineStr">
        <is>
          <t>Keskin +1, Tan -1, Erdem -1</t>
        </is>
      </c>
      <c r="AB1277" s="5" t="inlineStr"/>
      <c r="AC1277" s="5" t="inlineStr"/>
      <c r="AD1277" s="5" t="inlineStr"/>
      <c r="AE1277" s="5" t="inlineStr"/>
      <c r="AF1277" s="5" t="inlineStr"/>
      <c r="AG1277" s="5" t="inlineStr"/>
      <c r="AH1277" s="5" t="inlineStr"/>
      <c r="AI1277" s="5" t="inlineStr"/>
      <c r="AJ1277" s="5" t="inlineStr"/>
    </row>
    <row r="1278">
      <c r="A1278" s="5" t="inlineStr">
        <is>
          <t>b5-kazanamayinca</t>
        </is>
      </c>
      <c r="B1278" s="5" t="n">
        <v>3</v>
      </c>
      <c r="C1278" s="6" t="inlineStr">
        <is>
          <t>Erken askere git</t>
        </is>
      </c>
      <c r="D1278" s="5" t="inlineStr"/>
      <c r="E1278" s="5" t="inlineStr"/>
      <c r="F1278" s="5" t="inlineStr">
        <is>
          <t>Cesaret +1, Dayanıklılık +1</t>
        </is>
      </c>
      <c r="G1278" s="6" t="inlineStr">
        <is>
          <t>Kararsızlığı en Makaryalı yoldan çözdün: askerlik şubesine gittin. Görevli kimliğine baktı: “On sekizini doldur, öyle gel.” Doldurduğun hafta mahalle seni davulla, omuzlarda uğurladı.</t>
        </is>
      </c>
      <c r="H1278" s="6" t="inlineStr"/>
      <c r="I1278" s="6" t="inlineStr"/>
      <c r="J1278" s="6" t="inlineStr"/>
      <c r="K1278" s="6" t="inlineStr"/>
      <c r="L1278" s="6" t="inlineStr"/>
      <c r="M1278" s="5" t="inlineStr"/>
      <c r="N1278" s="5" t="inlineStr"/>
      <c r="O1278" s="6" t="inlineStr"/>
      <c r="P1278" s="6" t="inlineStr"/>
      <c r="Q1278" s="5" t="inlineStr"/>
      <c r="R1278" s="5" t="inlineStr"/>
      <c r="S1278" s="5" t="inlineStr"/>
      <c r="T1278" s="5" t="inlineStr"/>
      <c r="U1278" s="5" t="inlineStr">
        <is>
          <t>erken-askerlik</t>
        </is>
      </c>
      <c r="V1278" s="5" t="inlineStr"/>
      <c r="W1278" s="5" t="inlineStr"/>
      <c r="X1278" s="5" t="inlineStr"/>
      <c r="Y1278" s="5" t="inlineStr"/>
      <c r="Z1278" s="6" t="inlineStr"/>
      <c r="AA1278" s="5" t="inlineStr"/>
      <c r="AB1278" s="5" t="inlineStr"/>
      <c r="AC1278" s="5" t="inlineStr"/>
      <c r="AD1278" s="5" t="inlineStr"/>
      <c r="AE1278" s="5" t="inlineStr"/>
      <c r="AF1278" s="5" t="inlineStr"/>
      <c r="AG1278" s="5" t="inlineStr"/>
      <c r="AH1278" s="5" t="inlineStr"/>
      <c r="AI1278" s="5" t="inlineStr"/>
      <c r="AJ1278" s="5" t="inlineStr">
        <is>
          <t>erkek</t>
        </is>
      </c>
    </row>
    <row r="1279">
      <c r="A1279" s="5" t="inlineStr">
        <is>
          <t>b5-kazanamayinca</t>
        </is>
      </c>
      <c r="B1279" s="5" t="n">
        <v>4</v>
      </c>
      <c r="C1279" s="6" t="inlineStr">
        <is>
          <t>Abinin yanında işe başla</t>
        </is>
      </c>
      <c r="D1279" s="5" t="inlineStr"/>
      <c r="E1279" s="5" t="inlineStr"/>
      <c r="F1279" s="5" t="inlineStr">
        <is>
          <t>Pişkinlik +1</t>
        </is>
      </c>
      <c r="G1279" s="6" t="inlineStr">
        <is>
          <t>Abi “Sende iş var” dedi. İlk görevin çay taşımaktı; bardaklar sayılıyordu.</t>
        </is>
      </c>
      <c r="H1279" s="6" t="inlineStr"/>
      <c r="I1279" s="6" t="inlineStr"/>
      <c r="J1279" s="6" t="inlineStr"/>
      <c r="K1279" s="6" t="inlineStr"/>
      <c r="L1279" s="6" t="inlineStr"/>
      <c r="M1279" s="5" t="inlineStr"/>
      <c r="N1279" s="5" t="inlineStr"/>
      <c r="O1279" s="6" t="inlineStr"/>
      <c r="P1279" s="6" t="inlineStr"/>
      <c r="Q1279" s="5" t="inlineStr"/>
      <c r="R1279" s="5" t="inlineStr">
        <is>
          <t>mahalle-abileri</t>
        </is>
      </c>
      <c r="S1279" s="5" t="inlineStr"/>
      <c r="T1279" s="5" t="inlineStr"/>
      <c r="U1279" s="5" t="inlineStr">
        <is>
          <t>abinin-adami</t>
        </is>
      </c>
      <c r="V1279" s="5" t="inlineStr"/>
      <c r="W1279" s="5" t="inlineStr"/>
      <c r="X1279" s="5" t="inlineStr"/>
      <c r="Y1279" s="5" t="inlineStr"/>
      <c r="Z1279" s="6" t="inlineStr"/>
      <c r="AA1279" s="5" t="inlineStr">
        <is>
          <t>hepsi -1</t>
        </is>
      </c>
      <c r="AB1279" s="5" t="inlineStr"/>
      <c r="AC1279" s="5" t="inlineStr"/>
      <c r="AD1279" s="5" t="inlineStr"/>
      <c r="AE1279" s="5" t="inlineStr"/>
      <c r="AF1279" s="5" t="inlineStr"/>
      <c r="AG1279" s="5" t="inlineStr"/>
      <c r="AH1279" s="5" t="inlineStr"/>
      <c r="AI1279" s="5" t="inlineStr"/>
      <c r="AJ1279" s="5" t="inlineStr"/>
    </row>
    <row r="1280">
      <c r="A1280" s="5" t="inlineStr">
        <is>
          <t>b5-havalimani</t>
        </is>
      </c>
      <c r="B1280" s="5" t="n">
        <v>1</v>
      </c>
      <c r="C1280" s="6" t="inlineStr">
        <is>
          <t>Herkesle tek tek vedalaş</t>
        </is>
      </c>
      <c r="D1280" s="5" t="inlineStr"/>
      <c r="E1280" s="5" t="inlineStr"/>
      <c r="F1280" s="5" t="inlineStr">
        <is>
          <t>Sosyal Radar +1, Gönül +1</t>
        </is>
      </c>
      <c r="G1280" s="6" t="inlineStr">
        <is>
          <t>On iki akrabayla tek tek vedalaştın. Kapı kapanmak üzereyken on üçüncüsü geldi. Kim olduğunu hâlâ bilmiyorsun.</t>
        </is>
      </c>
      <c r="H1280" s="6" t="inlineStr"/>
      <c r="I1280" s="6" t="inlineStr"/>
      <c r="J1280" s="6" t="inlineStr"/>
      <c r="K1280" s="6" t="inlineStr"/>
      <c r="L1280" s="6" t="inlineStr"/>
      <c r="M1280" s="5" t="inlineStr"/>
      <c r="N1280" s="5" t="inlineStr"/>
      <c r="O1280" s="6" t="inlineStr"/>
      <c r="P1280" s="6" t="inlineStr"/>
      <c r="Q1280" s="5" t="inlineStr"/>
      <c r="R1280" s="5" t="inlineStr"/>
      <c r="S1280" s="5" t="inlineStr"/>
      <c r="T1280" s="5" t="inlineStr"/>
      <c r="U1280" s="5" t="inlineStr"/>
      <c r="V1280" s="5" t="inlineStr"/>
      <c r="W1280" s="5" t="inlineStr"/>
      <c r="X1280" s="5" t="inlineStr"/>
      <c r="Y1280" s="5" t="inlineStr"/>
      <c r="Z1280" s="6" t="inlineStr"/>
      <c r="AA1280" s="5" t="inlineStr"/>
      <c r="AB1280" s="5" t="inlineStr"/>
      <c r="AC1280" s="5" t="inlineStr"/>
      <c r="AD1280" s="5" t="inlineStr"/>
      <c r="AE1280" s="5" t="inlineStr"/>
      <c r="AF1280" s="5" t="inlineStr"/>
      <c r="AG1280" s="5" t="inlineStr"/>
      <c r="AH1280" s="5" t="inlineStr"/>
      <c r="AI1280" s="5" t="inlineStr"/>
      <c r="AJ1280" s="5" t="inlineStr"/>
    </row>
    <row r="1281">
      <c r="A1281" s="5" t="inlineStr">
        <is>
          <t>b5-havalimani</t>
        </is>
      </c>
      <c r="B1281" s="5" t="n">
        <v>2</v>
      </c>
      <c r="C1281" s="6" t="inlineStr">
        <is>
          <t>Ağlamamaya çalış</t>
        </is>
      </c>
      <c r="D1281" s="5" t="inlineStr">
        <is>
          <t>Dayanıklılık</t>
        </is>
      </c>
      <c r="E1281" s="5" t="inlineStr">
        <is>
          <t>Orta</t>
        </is>
      </c>
      <c r="F1281" s="5" t="inlineStr"/>
      <c r="G1281" s="6" t="inlineStr"/>
      <c r="H1281" s="6" t="inlineStr">
        <is>
          <t>Ağlamadın. Pasaport kontrolünden sonra ağladın; orada seni kimse tanımıyordu.</t>
        </is>
      </c>
      <c r="I1281" s="6" t="inlineStr">
        <is>
          <t>Ağlamadın; annenin gözyaşını da sen sildin. Babaannen “Büyümüş” dedi ve bu kez o ağladı.</t>
        </is>
      </c>
      <c r="J1281" s="6" t="inlineStr">
        <is>
          <t>Güvenlik kontrolünde ağladın. Görevli sana mendil verdi ve çantanı yine de açtı.</t>
        </is>
      </c>
      <c r="K1281" s="6" t="inlineStr">
        <is>
          <t>Herkesten önce sen ağladın. Babaannen seni teselli etmek için uçağa binmeye kalktı.</t>
        </is>
      </c>
      <c r="L1281" s="6" t="inlineStr"/>
      <c r="M1281" s="5" t="inlineStr"/>
      <c r="N1281" s="5" t="inlineStr"/>
      <c r="O1281" s="6" t="inlineStr"/>
      <c r="P1281" s="6" t="inlineStr"/>
      <c r="Q1281" s="5" t="inlineStr"/>
      <c r="R1281" s="5" t="inlineStr"/>
      <c r="S1281" s="5" t="inlineStr"/>
      <c r="T1281" s="5" t="inlineStr"/>
      <c r="U1281" s="5" t="inlineStr"/>
      <c r="V1281" s="5" t="inlineStr"/>
      <c r="W1281" s="5" t="inlineStr"/>
      <c r="X1281" s="5" t="inlineStr"/>
      <c r="Y1281" s="5" t="inlineStr"/>
      <c r="Z1281" s="6" t="inlineStr"/>
      <c r="AA1281" s="5" t="inlineStr"/>
      <c r="AB1281" s="5" t="inlineStr"/>
      <c r="AC1281" s="5" t="inlineStr"/>
      <c r="AD1281" s="5" t="inlineStr"/>
      <c r="AE1281" s="5" t="inlineStr"/>
      <c r="AF1281" s="5" t="inlineStr"/>
      <c r="AG1281" s="5" t="inlineStr"/>
      <c r="AH1281" s="5" t="inlineStr"/>
      <c r="AI1281" s="5" t="inlineStr"/>
      <c r="AJ1281" s="5" t="inlineStr"/>
    </row>
    <row r="1282">
      <c r="A1282" s="5" t="inlineStr">
        <is>
          <t>b5-havalimani</t>
        </is>
      </c>
      <c r="B1282" s="5" t="n">
        <v>3</v>
      </c>
      <c r="C1282" s="6" t="inlineStr">
        <is>
          <t>Reçelleri kabine sığdır</t>
        </is>
      </c>
      <c r="D1282" s="5" t="inlineStr">
        <is>
          <t>Kurnazlık</t>
        </is>
      </c>
      <c r="E1282" s="5" t="inlineStr">
        <is>
          <t>Orta</t>
        </is>
      </c>
      <c r="F1282" s="5" t="inlineStr"/>
      <c r="G1282" s="6" t="inlineStr"/>
      <c r="H1282" s="6" t="inlineStr">
        <is>
          <t>Üç kavanozu kabin sınırının altında paketledin. Öte Diyar'a Makarya'nın en tatlı kaçakçılığı yapıldı.</t>
        </is>
      </c>
      <c r="I1282" s="6" t="inlineStr">
        <is>
          <t>Reçelleri sınıra tam sığdırdın. Güvenlikteki görevli kavanoza bakıp “Vişne mi?” dedi. “Annemin” dedin; geçirdi.</t>
        </is>
      </c>
      <c r="J1282" s="6" t="inlineStr">
        <is>
          <t>Kavanozlardan biri güvenlikte kaldı. Görevli onu kendi masasına koydu.</t>
        </is>
      </c>
      <c r="K1282" s="6" t="inlineStr">
        <is>
          <t>Kavanoz valizde patladı. Öte Diyar'a vişne kokulu bir öğrenci indi.</t>
        </is>
      </c>
      <c r="L1282" s="6" t="inlineStr"/>
      <c r="M1282" s="5" t="inlineStr"/>
      <c r="N1282" s="5" t="inlineStr"/>
      <c r="O1282" s="6" t="inlineStr"/>
      <c r="P1282" s="6" t="inlineStr"/>
      <c r="Q1282" s="5" t="inlineStr"/>
      <c r="R1282" s="5" t="inlineStr"/>
      <c r="S1282" s="5" t="inlineStr"/>
      <c r="T1282" s="5" t="inlineStr"/>
      <c r="U1282" s="5" t="inlineStr"/>
      <c r="V1282" s="5" t="inlineStr"/>
      <c r="W1282" s="5" t="inlineStr"/>
      <c r="X1282" s="5" t="inlineStr"/>
      <c r="Y1282" s="5" t="inlineStr"/>
      <c r="Z1282" s="6" t="inlineStr"/>
      <c r="AA1282" s="5" t="inlineStr"/>
      <c r="AB1282" s="5" t="inlineStr"/>
      <c r="AC1282" s="5" t="inlineStr"/>
      <c r="AD1282" s="5" t="inlineStr"/>
      <c r="AE1282" s="5" t="inlineStr"/>
      <c r="AF1282" s="5" t="inlineStr"/>
      <c r="AG1282" s="5" t="inlineStr"/>
      <c r="AH1282" s="5" t="inlineStr"/>
      <c r="AI1282" s="5" t="inlineStr"/>
      <c r="AJ1282" s="5" t="inlineStr"/>
    </row>
    <row r="1283">
      <c r="A1283" s="5" t="inlineStr">
        <is>
          <t>b5-atolye-staji</t>
        </is>
      </c>
      <c r="B1283" s="5" t="n">
        <v>1</v>
      </c>
      <c r="C1283" s="6" t="inlineStr">
        <is>
          <t>Şefi izle</t>
        </is>
      </c>
      <c r="D1283" s="5" t="inlineStr"/>
      <c r="E1283" s="5" t="inlineStr"/>
      <c r="F1283" s="5" t="inlineStr">
        <is>
          <t>Dayanıklılık +1, Sosyal Radar +1</t>
        </is>
      </c>
      <c r="G1283" s="6" t="inlineStr">
        <is>
          <t>Bir ay izledin. Şef “Gözün alışmış” dedi; atölyede bu bir ödül.</t>
        </is>
      </c>
      <c r="H1283" s="6" t="inlineStr"/>
      <c r="I1283" s="6" t="inlineStr"/>
      <c r="J1283" s="6" t="inlineStr"/>
      <c r="K1283" s="6" t="inlineStr"/>
      <c r="L1283" s="6" t="inlineStr"/>
      <c r="M1283" s="5" t="inlineStr"/>
      <c r="N1283" s="5" t="inlineStr"/>
      <c r="O1283" s="6" t="inlineStr"/>
      <c r="P1283" s="6" t="inlineStr"/>
      <c r="Q1283" s="5" t="inlineStr"/>
      <c r="R1283" s="5" t="inlineStr"/>
      <c r="S1283" s="5" t="inlineStr"/>
      <c r="T1283" s="5" t="inlineStr"/>
      <c r="U1283" s="5" t="inlineStr"/>
      <c r="V1283" s="5" t="inlineStr"/>
      <c r="W1283" s="5" t="inlineStr"/>
      <c r="X1283" s="5" t="inlineStr"/>
      <c r="Y1283" s="5" t="inlineStr"/>
      <c r="Z1283" s="6" t="inlineStr"/>
      <c r="AA1283" s="5" t="inlineStr"/>
      <c r="AB1283" s="5" t="inlineStr"/>
      <c r="AC1283" s="5" t="inlineStr"/>
      <c r="AD1283" s="5" t="inlineStr"/>
      <c r="AE1283" s="5" t="inlineStr"/>
      <c r="AF1283" s="5" t="inlineStr"/>
      <c r="AG1283" s="5" t="inlineStr"/>
      <c r="AH1283" s="5" t="inlineStr"/>
      <c r="AI1283" s="5" t="inlineStr"/>
      <c r="AJ1283" s="5" t="inlineStr"/>
    </row>
    <row r="1284">
      <c r="A1284" s="5" t="inlineStr">
        <is>
          <t>b5-atolye-staji</t>
        </is>
      </c>
      <c r="B1284" s="5" t="n">
        <v>2</v>
      </c>
      <c r="C1284" s="6" t="inlineStr">
        <is>
          <t>Arızayı sen bul</t>
        </is>
      </c>
      <c r="D1284" s="5" t="inlineStr">
        <is>
          <t>Akıl</t>
        </is>
      </c>
      <c r="E1284" s="5" t="inlineStr">
        <is>
          <t>Orta</t>
        </is>
      </c>
      <c r="F1284" s="5" t="inlineStr"/>
      <c r="G1284" s="6" t="inlineStr"/>
      <c r="H1284" s="6" t="inlineStr">
        <is>
          <t>Şef anlatmadan arızayı buldun. Staj defterine ilk yıldızın düştü.</t>
        </is>
      </c>
      <c r="I1284" s="6" t="inlineStr">
        <is>
          <t>Arızayı buldun, parçayı değiştirdin, faturayı sen kestin. Şef seni mezuniyetten sonra işe çağırdı.</t>
        </is>
      </c>
      <c r="J1284" s="6" t="inlineStr">
        <is>
          <t>Arızayı ararken yanlış kabloyu tuttun. Bütün atölyenin ışığı söndü. Karanlıkta şefin sesi geldi: “Bozma dedim, yeter dedim.”</t>
        </is>
      </c>
      <c r="K1284" s="6" t="inlineStr">
        <is>
          <t>“Buldum!” deyip bir kabloyu söktün. Atölyenin değil, şefin çay makinesinin kablosuymuş. Bir hafta boyunca şef her sabah boş bardağını senin tezgâhına koydu: “Tamir ettin mi?”</t>
        </is>
      </c>
      <c r="L1284" s="6" t="inlineStr"/>
      <c r="M1284" s="5" t="inlineStr"/>
      <c r="N1284" s="5" t="inlineStr"/>
      <c r="O1284" s="6" t="inlineStr"/>
      <c r="P1284" s="6" t="inlineStr"/>
      <c r="Q1284" s="5" t="inlineStr"/>
      <c r="R1284" s="5" t="inlineStr"/>
      <c r="S1284" s="5" t="inlineStr"/>
      <c r="T1284" s="5" t="inlineStr"/>
      <c r="U1284" s="5" t="inlineStr"/>
      <c r="V1284" s="5" t="inlineStr">
        <is>
          <t>usta-eli</t>
        </is>
      </c>
      <c r="W1284" s="5" t="inlineStr"/>
      <c r="X1284" s="5" t="inlineStr"/>
      <c r="Y1284" s="5" t="inlineStr"/>
      <c r="Z1284" s="6" t="inlineStr"/>
      <c r="AA1284" s="5" t="inlineStr"/>
      <c r="AB1284" s="5" t="inlineStr"/>
      <c r="AC1284" s="5" t="inlineStr"/>
      <c r="AD1284" s="5" t="inlineStr"/>
      <c r="AE1284" s="5" t="inlineStr"/>
      <c r="AF1284" s="5" t="inlineStr"/>
      <c r="AG1284" s="5" t="inlineStr"/>
      <c r="AH1284" s="5" t="inlineStr"/>
      <c r="AI1284" s="5" t="inlineStr"/>
      <c r="AJ1284" s="5" t="inlineStr"/>
    </row>
    <row r="1285">
      <c r="A1285" s="5" t="inlineStr">
        <is>
          <t>b5-atolye-staji</t>
        </is>
      </c>
      <c r="B1285" s="5" t="n">
        <v>3</v>
      </c>
      <c r="C1285" s="6" t="inlineStr">
        <is>
          <t>Artan malzemeyi biriktirip sat</t>
        </is>
      </c>
      <c r="D1285" s="5" t="inlineStr">
        <is>
          <t>Kurnazlık</t>
        </is>
      </c>
      <c r="E1285" s="5" t="inlineStr">
        <is>
          <t>Zor</t>
        </is>
      </c>
      <c r="F1285" s="5" t="inlineStr"/>
      <c r="G1285" s="6" t="inlineStr"/>
      <c r="H1285" s="6" t="inlineStr">
        <is>
          <t>Artan kabloları biriktirip sanayiye sattın. Kâr küçük ama düzenli.</t>
        </is>
      </c>
      <c r="I1285" s="6" t="inlineStr">
        <is>
          <t>Artan malzemeyle küçük bir tamir işi kurdun; mahallenin priz ustası oldun.</t>
        </is>
      </c>
      <c r="J1285" s="6" t="inlineStr">
        <is>
          <t>Malzemeyi sattın; alıcı atölye şefinin kardeşi çıktı.</t>
        </is>
      </c>
      <c r="K1285" s="6" t="inlineStr">
        <is>
          <t>Artırdığın kablolar aslında yarının işiymiş. Sayımda eksik çıktı; şef bütün atölyenin önünde çantanı açtırdı. Kablolar oradaydı, sen kıpkırmızıydın.</t>
        </is>
      </c>
      <c r="L1285" s="6" t="inlineStr"/>
      <c r="M1285" s="5" t="inlineStr"/>
      <c r="N1285" s="5" t="inlineStr"/>
      <c r="O1285" s="6" t="inlineStr"/>
      <c r="P1285" s="6" t="inlineStr"/>
      <c r="Q1285" s="5" t="inlineStr"/>
      <c r="R1285" s="5" t="inlineStr"/>
      <c r="S1285" s="5" t="inlineStr"/>
      <c r="T1285" s="5" t="inlineStr"/>
      <c r="U1285" s="5" t="inlineStr"/>
      <c r="V1285" s="5" t="inlineStr">
        <is>
          <t>teneffus-tuccari</t>
        </is>
      </c>
      <c r="W1285" s="5" t="inlineStr"/>
      <c r="X1285" s="5" t="inlineStr"/>
      <c r="Y1285" s="5" t="inlineStr"/>
      <c r="Z1285" s="6" t="inlineStr"/>
      <c r="AA1285" s="5" t="inlineStr"/>
      <c r="AB1285" s="5" t="inlineStr"/>
      <c r="AC1285" s="5" t="inlineStr"/>
      <c r="AD1285" s="5" t="inlineStr"/>
      <c r="AE1285" s="5" t="inlineStr"/>
      <c r="AF1285" s="5" t="inlineStr"/>
      <c r="AG1285" s="5" t="inlineStr"/>
      <c r="AH1285" s="5" t="inlineStr"/>
      <c r="AI1285" s="5" t="inlineStr"/>
      <c r="AJ1285" s="5" t="inlineStr"/>
    </row>
    <row r="1286">
      <c r="A1286" s="5" t="inlineStr">
        <is>
          <t>b5-cay-ocagi</t>
        </is>
      </c>
      <c r="B1286" s="5" t="n">
        <v>1</v>
      </c>
      <c r="C1286" s="6" t="inlineStr">
        <is>
          <t>Tepsiyi taşı, sus</t>
        </is>
      </c>
      <c r="D1286" s="5" t="inlineStr"/>
      <c r="E1286" s="5" t="inlineStr"/>
      <c r="F1286" s="5" t="inlineStr">
        <is>
          <t>Dayanıklılık +1</t>
        </is>
      </c>
      <c r="G1286" s="6" t="inlineStr">
        <is>
          <t>Günde üç yüz çay taşıdın. Kimse adını sormadı ama herkes şekerini nasıl içtiğini söyledi.</t>
        </is>
      </c>
      <c r="H1286" s="6" t="inlineStr"/>
      <c r="I1286" s="6" t="inlineStr"/>
      <c r="J1286" s="6" t="inlineStr"/>
      <c r="K1286" s="6" t="inlineStr"/>
      <c r="L1286" s="6" t="inlineStr"/>
      <c r="M1286" s="5" t="inlineStr"/>
      <c r="N1286" s="5" t="inlineStr"/>
      <c r="O1286" s="6" t="inlineStr"/>
      <c r="P1286" s="6" t="inlineStr"/>
      <c r="Q1286" s="5" t="inlineStr"/>
      <c r="R1286" s="5" t="inlineStr"/>
      <c r="S1286" s="5" t="inlineStr"/>
      <c r="T1286" s="5" t="inlineStr"/>
      <c r="U1286" s="5" t="inlineStr"/>
      <c r="V1286" s="5" t="inlineStr"/>
      <c r="W1286" s="5" t="inlineStr"/>
      <c r="X1286" s="5" t="inlineStr"/>
      <c r="Y1286" s="5" t="inlineStr"/>
      <c r="Z1286" s="6" t="inlineStr"/>
      <c r="AA1286" s="5" t="inlineStr"/>
      <c r="AB1286" s="5" t="inlineStr"/>
      <c r="AC1286" s="5" t="inlineStr"/>
      <c r="AD1286" s="5" t="inlineStr"/>
      <c r="AE1286" s="5" t="inlineStr"/>
      <c r="AF1286" s="5" t="inlineStr"/>
      <c r="AG1286" s="5" t="inlineStr"/>
      <c r="AH1286" s="5" t="inlineStr"/>
      <c r="AI1286" s="5" t="inlineStr"/>
      <c r="AJ1286" s="5" t="inlineStr"/>
    </row>
    <row r="1287">
      <c r="A1287" s="5" t="inlineStr">
        <is>
          <t>b5-cay-ocagi</t>
        </is>
      </c>
      <c r="B1287" s="5" t="n">
        <v>2</v>
      </c>
      <c r="C1287" s="6" t="inlineStr">
        <is>
          <t>Kimin kime borçlu olduğunu not et</t>
        </is>
      </c>
      <c r="D1287" s="5" t="inlineStr">
        <is>
          <t>Sosyal Radar</t>
        </is>
      </c>
      <c r="E1287" s="5" t="inlineStr">
        <is>
          <t>Orta</t>
        </is>
      </c>
      <c r="F1287" s="5" t="inlineStr"/>
      <c r="G1287" s="6" t="inlineStr"/>
      <c r="H1287" s="6" t="inlineStr">
        <is>
          <t>Çay ocağında kimin kime borçlu olduğunu bir deftere yazmaya başladın. Bir hafta sonra kasap kendi borcunu sana sordu. Abi deftere şöyle bir baktı: “Bunu sana kim öğretti?”</t>
        </is>
      </c>
      <c r="I1287" s="6" t="inlineStr">
        <is>
          <t>Defterin çarşının ikinci veresiye defteri oldu. Esnaf alacağını sormaya artık abiye değil sana geliyor; abi bile bir karar vermeden önce “Deftere bak” diyor.</t>
        </is>
      </c>
      <c r="J1287" s="6" t="inlineStr">
        <is>
          <t>Not tuttun ama isimleri karıştırdın. Borçlu biri alacaklı sanıldı; çarşı bir hafta karıştı.</t>
        </is>
      </c>
      <c r="K1287" s="6" t="inlineStr">
        <is>
          <t>Defterini tezgâhta unuttun. Akşama kadar çarşının yarısı okudu; kimin kime borçlu olduğu ortaya döküldü. İki dükkân küstü, abi defteri semaverin ateşine attı.</t>
        </is>
      </c>
      <c r="L1287" s="6" t="inlineStr"/>
      <c r="M1287" s="5" t="inlineStr"/>
      <c r="N1287" s="5" t="inlineStr"/>
      <c r="O1287" s="6" t="inlineStr"/>
      <c r="P1287" s="6" t="inlineStr"/>
      <c r="Q1287" s="5" t="inlineStr"/>
      <c r="R1287" s="5" t="inlineStr"/>
      <c r="S1287" s="5" t="inlineStr"/>
      <c r="T1287" s="5" t="inlineStr"/>
      <c r="U1287" s="5" t="inlineStr"/>
      <c r="V1287" s="5" t="inlineStr">
        <is>
          <t>abinin-adami</t>
        </is>
      </c>
      <c r="W1287" s="5" t="inlineStr"/>
      <c r="X1287" s="5" t="inlineStr"/>
      <c r="Y1287" s="5" t="inlineStr"/>
      <c r="Z1287" s="6" t="inlineStr"/>
      <c r="AA1287" s="5" t="inlineStr"/>
      <c r="AB1287" s="5" t="inlineStr"/>
      <c r="AC1287" s="5" t="inlineStr"/>
      <c r="AD1287" s="5" t="inlineStr"/>
      <c r="AE1287" s="5" t="inlineStr"/>
      <c r="AF1287" s="5" t="inlineStr"/>
      <c r="AG1287" s="5" t="inlineStr"/>
      <c r="AH1287" s="5" t="inlineStr"/>
      <c r="AI1287" s="5" t="inlineStr"/>
      <c r="AJ1287" s="5" t="inlineStr"/>
    </row>
    <row r="1288">
      <c r="A1288" s="5" t="inlineStr">
        <is>
          <t>b5-cay-ocagi</t>
        </is>
      </c>
      <c r="B1288" s="5" t="n">
        <v>3</v>
      </c>
      <c r="C1288" s="6" t="inlineStr">
        <is>
          <t>Bahşişleri kendine sakla</t>
        </is>
      </c>
      <c r="D1288" s="5" t="inlineStr">
        <is>
          <t>Kurnazlık</t>
        </is>
      </c>
      <c r="E1288" s="5" t="inlineStr">
        <is>
          <t>Zor</t>
        </is>
      </c>
      <c r="F1288" s="5" t="inlineStr"/>
      <c r="G1288" s="6" t="inlineStr"/>
      <c r="H1288" s="6" t="inlineStr">
        <is>
          <t>Bahşişin tamamını cebe attın, abilere “Bugün kimse vermedi” dedin. Abi kapıdan çarşıya bağırdı: “Ayıp size, çocuğa beş kuruş bırakmamışsınız!” Ertesi gün esnaf iki kat bahşiş bıraktı; onu da sen aldın.</t>
        </is>
      </c>
      <c r="I1288" s="6" t="inlineStr">
        <is>
          <t>Bahşişleri gizlice biriktirip üç ayda bir bisiklet aldın. Abiler bisikletin nereden geldiğini hâlâ tartışıyor.</t>
        </is>
      </c>
      <c r="J1288" s="6" t="inlineStr">
        <is>
          <t>Bahşişi cebine attın ama yürürken cebin şıngırdadı. Abi tek kelime etmeden elini uzattı; sen de tek kelime etmeden verdin.</t>
        </is>
      </c>
      <c r="K1288" s="6" t="inlineStr">
        <is>
          <t>Bahşişleri şeker kavanozunun dibine sakladın. Abi kasabın çayına iki kaşık şeker attı; bardaktan bozukluk çıktı. Kasap parayı havaya kaldırdı: “Çaydan piyango çıkıyor!” Bir ay bahşişsiz çalıştın.</t>
        </is>
      </c>
      <c r="L1288" s="6" t="inlineStr"/>
      <c r="M1288" s="5" t="inlineStr"/>
      <c r="N1288" s="5" t="inlineStr"/>
      <c r="O1288" s="6" t="inlineStr"/>
      <c r="P1288" s="6" t="inlineStr"/>
      <c r="Q1288" s="5" t="inlineStr"/>
      <c r="R1288" s="5" t="inlineStr"/>
      <c r="S1288" s="5" t="inlineStr"/>
      <c r="T1288" s="5" t="inlineStr"/>
      <c r="U1288" s="5" t="inlineStr"/>
      <c r="V1288" s="5" t="inlineStr"/>
      <c r="W1288" s="5" t="inlineStr"/>
      <c r="X1288" s="5" t="inlineStr"/>
      <c r="Y1288" s="5" t="inlineStr"/>
      <c r="Z1288" s="6" t="inlineStr"/>
      <c r="AA1288" s="5" t="inlineStr"/>
      <c r="AB1288" s="5" t="inlineStr"/>
      <c r="AC1288" s="5" t="inlineStr"/>
      <c r="AD1288" s="5" t="inlineStr"/>
      <c r="AE1288" s="5" t="inlineStr"/>
      <c r="AF1288" s="5" t="inlineStr"/>
      <c r="AG1288" s="5" t="inlineStr"/>
      <c r="AH1288" s="5" t="inlineStr"/>
      <c r="AI1288" s="5" t="inlineStr"/>
      <c r="AJ1288" s="5" t="inlineStr"/>
    </row>
    <row r="1289">
      <c r="A1289" s="5" t="inlineStr">
        <is>
          <t>b5-sanayi-ciragi</t>
        </is>
      </c>
      <c r="B1289" s="5" t="n">
        <v>1</v>
      </c>
      <c r="C1289" s="6" t="inlineStr">
        <is>
          <t>Çay demle, izle</t>
        </is>
      </c>
      <c r="D1289" s="5" t="inlineStr"/>
      <c r="E1289" s="5" t="inlineStr"/>
      <c r="F1289" s="5" t="inlineStr">
        <is>
          <t>Dayanıklılık +1, Sosyal Radar +1</t>
        </is>
      </c>
      <c r="G1289" s="6" t="inlineStr">
        <is>
          <t>Bir ay çay demledin, bir ay izledin. Üçüncü ay usta sana ilk kez bir anahtar uzattı. Annen o akşam sofraya tatlı koydu.</t>
        </is>
      </c>
      <c r="H1289" s="6" t="inlineStr"/>
      <c r="I1289" s="6" t="inlineStr"/>
      <c r="J1289" s="6" t="inlineStr"/>
      <c r="K1289" s="6" t="inlineStr"/>
      <c r="L1289" s="6" t="inlineStr"/>
      <c r="M1289" s="5" t="inlineStr"/>
      <c r="N1289" s="5" t="inlineStr"/>
      <c r="O1289" s="6" t="inlineStr"/>
      <c r="P1289" s="6" t="inlineStr"/>
      <c r="Q1289" s="5" t="inlineStr"/>
      <c r="R1289" s="5" t="inlineStr"/>
      <c r="S1289" s="5" t="inlineStr"/>
      <c r="T1289" s="5" t="inlineStr"/>
      <c r="U1289" s="5" t="inlineStr"/>
      <c r="V1289" s="5" t="inlineStr"/>
      <c r="W1289" s="5" t="inlineStr"/>
      <c r="X1289" s="5" t="inlineStr"/>
      <c r="Y1289" s="5" t="inlineStr"/>
      <c r="Z1289" s="6" t="inlineStr"/>
      <c r="AA1289" s="5" t="inlineStr">
        <is>
          <t>hepsi +1</t>
        </is>
      </c>
      <c r="AB1289" s="5" t="inlineStr"/>
      <c r="AC1289" s="5" t="inlineStr"/>
      <c r="AD1289" s="5" t="inlineStr"/>
      <c r="AE1289" s="5" t="inlineStr"/>
      <c r="AF1289" s="5" t="inlineStr"/>
      <c r="AG1289" s="5" t="inlineStr"/>
      <c r="AH1289" s="5" t="inlineStr"/>
      <c r="AI1289" s="5" t="inlineStr"/>
      <c r="AJ1289" s="5" t="inlineStr"/>
    </row>
    <row r="1290">
      <c r="A1290" s="5" t="inlineStr">
        <is>
          <t>b5-sanayi-ciragi</t>
        </is>
      </c>
      <c r="B1290" s="5" t="n">
        <v>2</v>
      </c>
      <c r="C1290" s="6" t="inlineStr">
        <is>
          <t>Ustanın elinden anahtarı kap</t>
        </is>
      </c>
      <c r="D1290" s="5" t="inlineStr">
        <is>
          <t>Akıl</t>
        </is>
      </c>
      <c r="E1290" s="5" t="inlineStr">
        <is>
          <t>Orta</t>
        </is>
      </c>
      <c r="F1290" s="5" t="inlineStr"/>
      <c r="G1290" s="6" t="inlineStr"/>
      <c r="H1290" s="6" t="inlineStr">
        <is>
          <t>Usta anlatmadan arızayı sen buldun. “Sen bu işi yaparsın” dedi; sanayide bu madalya demek.</t>
        </is>
      </c>
      <c r="I1290" s="6" t="inlineStr">
        <is>
          <t>Arızayı buldun, parçayı söküp taktın. Usta ellerini bezle silerken müşteriye seni gösterdi: “Benim çırak.” Sanayide bundan büyük diploma yok; o akşam annen telefonu ilk çalışta açtı.</t>
        </is>
      </c>
      <c r="J1290" s="6" t="inlineStr">
        <is>
          <t>Anahtarı kaptın, yanlış cıvatayı söktün. Usta anahtarı elinden geri aldı: “Önce çay.”</t>
        </is>
      </c>
      <c r="K1290" s="6" t="inlineStr">
        <is>
          <t>Anahtarı kaptın ve müşterinin arabasının yan aynasını söktün. Araba yağ değişimine gelmişti. Müşteri aynasız arabasına baktı: “Yağ dedim evladım, ayna demedim!” Aynanın parasını usta senin cebinden aldı.</t>
        </is>
      </c>
      <c r="L1290" s="6" t="inlineStr"/>
      <c r="M1290" s="5" t="inlineStr"/>
      <c r="N1290" s="5" t="inlineStr"/>
      <c r="O1290" s="6" t="inlineStr"/>
      <c r="P1290" s="6" t="inlineStr"/>
      <c r="Q1290" s="5" t="inlineStr"/>
      <c r="R1290" s="5" t="inlineStr"/>
      <c r="S1290" s="5" t="inlineStr"/>
      <c r="T1290" s="5" t="inlineStr"/>
      <c r="U1290" s="5" t="inlineStr"/>
      <c r="V1290" s="5" t="inlineStr">
        <is>
          <t>usta-eli</t>
        </is>
      </c>
      <c r="W1290" s="5" t="inlineStr"/>
      <c r="X1290" s="5" t="inlineStr"/>
      <c r="Y1290" s="5" t="inlineStr"/>
      <c r="Z1290" s="6" t="inlineStr"/>
      <c r="AA1290" s="5" t="inlineStr"/>
      <c r="AB1290" s="5" t="inlineStr"/>
      <c r="AC1290" s="5" t="inlineStr"/>
      <c r="AD1290" s="5" t="inlineStr"/>
      <c r="AE1290" s="5" t="inlineStr"/>
      <c r="AF1290" s="5" t="inlineStr"/>
      <c r="AG1290" s="5" t="inlineStr"/>
      <c r="AH1290" s="5" t="inlineStr"/>
      <c r="AI1290" s="5" t="inlineStr"/>
      <c r="AJ1290" s="5" t="inlineStr"/>
    </row>
    <row r="1291">
      <c r="A1291" s="5" t="inlineStr">
        <is>
          <t>b5-sanayi-ciragi</t>
        </is>
      </c>
      <c r="B1291" s="5" t="n">
        <v>3</v>
      </c>
      <c r="C1291" s="6" t="inlineStr">
        <is>
          <t>Abilere geri dön</t>
        </is>
      </c>
      <c r="D1291" s="5" t="inlineStr"/>
      <c r="E1291" s="5" t="inlineStr"/>
      <c r="F1291" s="5" t="inlineStr">
        <is>
          <t>Pişkinlik +1</t>
        </is>
      </c>
      <c r="G1291" s="6" t="inlineStr">
        <is>
          <t>İkinci gün sanayiden kaçıp çay ocağına döndün. Abiler seni alkışladı. Annen telefonu açmadı.</t>
        </is>
      </c>
      <c r="H1291" s="6" t="inlineStr"/>
      <c r="I1291" s="6" t="inlineStr"/>
      <c r="J1291" s="6" t="inlineStr"/>
      <c r="K1291" s="6" t="inlineStr"/>
      <c r="L1291" s="6" t="inlineStr"/>
      <c r="M1291" s="5" t="inlineStr"/>
      <c r="N1291" s="5" t="inlineStr"/>
      <c r="O1291" s="6" t="inlineStr"/>
      <c r="P1291" s="6" t="inlineStr"/>
      <c r="Q1291" s="5" t="inlineStr"/>
      <c r="R1291" s="5" t="inlineStr"/>
      <c r="S1291" s="5" t="inlineStr"/>
      <c r="T1291" s="5" t="inlineStr"/>
      <c r="U1291" s="5" t="inlineStr"/>
      <c r="V1291" s="5" t="inlineStr"/>
      <c r="W1291" s="5" t="inlineStr"/>
      <c r="X1291" s="5" t="inlineStr"/>
      <c r="Y1291" s="5" t="inlineStr"/>
      <c r="Z1291" s="6" t="inlineStr"/>
      <c r="AA1291" s="5" t="inlineStr">
        <is>
          <t>hepsi -1</t>
        </is>
      </c>
      <c r="AB1291" s="5" t="inlineStr"/>
      <c r="AC1291" s="5" t="inlineStr"/>
      <c r="AD1291" s="5" t="inlineStr"/>
      <c r="AE1291" s="5" t="inlineStr"/>
      <c r="AF1291" s="5" t="inlineStr"/>
      <c r="AG1291" s="5" t="inlineStr"/>
      <c r="AH1291" s="5" t="inlineStr"/>
      <c r="AI1291" s="5" t="inlineStr"/>
      <c r="AJ1291" s="5" t="inlineStr"/>
    </row>
    <row r="1292">
      <c r="A1292" s="5" t="inlineStr">
        <is>
          <t>b5-bilet-karaborsasi</t>
        </is>
      </c>
      <c r="B1292" s="5" t="n">
        <v>1</v>
      </c>
      <c r="C1292" s="6" t="inlineStr">
        <is>
          <t>Abinin fiyatından sat</t>
        </is>
      </c>
      <c r="D1292" s="5" t="inlineStr">
        <is>
          <t>Çene</t>
        </is>
      </c>
      <c r="E1292" s="5" t="inlineStr">
        <is>
          <t>Orta</t>
        </is>
      </c>
      <c r="F1292" s="5" t="inlineStr"/>
      <c r="G1292" s="6" t="inlineStr"/>
      <c r="H1292" s="6" t="inlineStr">
        <is>
          <t>Yirmi bileti yarım saatte bitirdin. Abi parayı saydı, eksiksiz. Artık sana güveniyor; bu da bir tür borç.</t>
        </is>
      </c>
      <c r="I1292" s="6" t="inlineStr">
        <is>
          <t>Biletleri bitirdin, üstüne kuyrukta bekleyenlere “garantili koltuk” sattın. Koltuk yok ama kuyruk mutlu.</t>
        </is>
      </c>
      <c r="J1292" s="6" t="inlineStr">
        <is>
          <t>Biletlerin yarısını sattın. Maç başladı; kalan on bilet artık sadece hatıra.</t>
        </is>
      </c>
      <c r="K1292" s="6" t="inlineStr">
        <is>
          <t>Sattığın ilk bilet stat görevlisinin oğluna gitti. Biletler toplandı; sen de toplandın. Seni karakoldan annen aldı; apartmanın kapısında komşuya “Maça gitmişti” dedi.</t>
        </is>
      </c>
      <c r="L1292" s="6" t="inlineStr"/>
      <c r="M1292" s="5" t="inlineStr"/>
      <c r="N1292" s="5" t="inlineStr"/>
      <c r="O1292" s="6" t="inlineStr"/>
      <c r="P1292" s="6" t="inlineStr"/>
      <c r="Q1292" s="5" t="inlineStr"/>
      <c r="R1292" s="5" t="inlineStr"/>
      <c r="S1292" s="5" t="inlineStr"/>
      <c r="T1292" s="5" t="inlineStr"/>
      <c r="U1292" s="5" t="inlineStr"/>
      <c r="V1292" s="5" t="inlineStr">
        <is>
          <t>abinin-adami</t>
        </is>
      </c>
      <c r="W1292" s="5" t="inlineStr"/>
      <c r="X1292" s="5" t="inlineStr"/>
      <c r="Y1292" s="5" t="inlineStr"/>
      <c r="Z1292" s="6" t="inlineStr"/>
      <c r="AA1292" s="5" t="inlineStr"/>
      <c r="AB1292" s="5" t="inlineStr"/>
      <c r="AC1292" s="5" t="inlineStr"/>
      <c r="AD1292" s="5" t="inlineStr"/>
      <c r="AE1292" s="5" t="inlineStr"/>
      <c r="AF1292" s="5" t="inlineStr"/>
      <c r="AG1292" s="5" t="inlineStr"/>
      <c r="AH1292" s="5" t="inlineStr"/>
      <c r="AI1292" s="5" t="inlineStr"/>
      <c r="AJ1292" s="5" t="inlineStr"/>
    </row>
    <row r="1293">
      <c r="A1293" s="5" t="inlineStr">
        <is>
          <t>b5-bilet-karaborsasi</t>
        </is>
      </c>
      <c r="B1293" s="5" t="n">
        <v>2</v>
      </c>
      <c r="C1293" s="6" t="inlineStr">
        <is>
          <t>Kendi fiyatını koy</t>
        </is>
      </c>
      <c r="D1293" s="5" t="inlineStr">
        <is>
          <t>Kurnazlık</t>
        </is>
      </c>
      <c r="E1293" s="5" t="inlineStr">
        <is>
          <t>Zor</t>
        </is>
      </c>
      <c r="F1293" s="5" t="inlineStr"/>
      <c r="G1293" s="6" t="inlineStr"/>
      <c r="H1293" s="6" t="inlineStr">
        <is>
          <t>Abinin fiyatının üstüne kendi payını ekledin. Maç berabere bitti, sen galip.</t>
        </is>
      </c>
      <c r="I1293" s="6" t="inlineStr">
        <is>
          <t>Maçtan önce fiyatı ikiye katladın, devre arasında yarıya indirdin. Abi hesabı görünce seni yanına kasa olarak aldı.</t>
        </is>
      </c>
      <c r="J1293" s="6" t="inlineStr">
        <is>
          <t>Fiyatı yükselttin, kimse almadı. Son on dakikada biletleri bedavaya dağıttın.</t>
        </is>
      </c>
      <c r="K1293" s="6" t="inlineStr">
        <is>
          <t>Kendi fiyatını koydun, farkı cebe attın. Abi stadın çıkışında bekliyordu; telefonunda sattığın biletin fotoğrafı vardı. Bir ay çay ocağında bedavaya çalıştın.</t>
        </is>
      </c>
      <c r="L1293" s="6" t="inlineStr"/>
      <c r="M1293" s="5" t="inlineStr"/>
      <c r="N1293" s="5" t="inlineStr"/>
      <c r="O1293" s="6" t="inlineStr"/>
      <c r="P1293" s="6" t="inlineStr"/>
      <c r="Q1293" s="5" t="inlineStr"/>
      <c r="R1293" s="5" t="inlineStr"/>
      <c r="S1293" s="5" t="inlineStr"/>
      <c r="T1293" s="5" t="inlineStr"/>
      <c r="U1293" s="5" t="inlineStr"/>
      <c r="V1293" s="5" t="inlineStr">
        <is>
          <t>karaborsaci</t>
        </is>
      </c>
      <c r="W1293" s="5" t="inlineStr"/>
      <c r="X1293" s="5" t="inlineStr"/>
      <c r="Y1293" s="5" t="inlineStr"/>
      <c r="Z1293" s="6" t="inlineStr"/>
      <c r="AA1293" s="5" t="inlineStr"/>
      <c r="AB1293" s="5" t="inlineStr"/>
      <c r="AC1293" s="5" t="inlineStr"/>
      <c r="AD1293" s="5" t="inlineStr"/>
      <c r="AE1293" s="5" t="inlineStr"/>
      <c r="AF1293" s="5" t="inlineStr"/>
      <c r="AG1293" s="5" t="inlineStr"/>
      <c r="AH1293" s="5" t="inlineStr"/>
      <c r="AI1293" s="5" t="inlineStr"/>
      <c r="AJ1293" s="5" t="inlineStr"/>
    </row>
    <row r="1294">
      <c r="A1294" s="5" t="inlineStr">
        <is>
          <t>b5-bilet-karaborsasi</t>
        </is>
      </c>
      <c r="B1294" s="5" t="n">
        <v>3</v>
      </c>
      <c r="C1294" s="6" t="inlineStr">
        <is>
          <t>Biletleri geri ver, eve dön</t>
        </is>
      </c>
      <c r="D1294" s="5" t="inlineStr"/>
      <c r="E1294" s="5" t="inlineStr"/>
      <c r="F1294" s="5" t="inlineStr">
        <is>
          <t>Gönül +1</t>
        </is>
      </c>
      <c r="G1294" s="6" t="inlineStr">
        <is>
          <t>Biletleri abiye geri verdin ve eve döndün. Abi omuz silkti, annen sarıldı. Maçı televizyondan izledin; berabere bitti.</t>
        </is>
      </c>
      <c r="H1294" s="6" t="inlineStr"/>
      <c r="I1294" s="6" t="inlineStr"/>
      <c r="J1294" s="6" t="inlineStr"/>
      <c r="K1294" s="6" t="inlineStr"/>
      <c r="L1294" s="6" t="inlineStr"/>
      <c r="M1294" s="5" t="inlineStr"/>
      <c r="N1294" s="5" t="inlineStr"/>
      <c r="O1294" s="6" t="inlineStr"/>
      <c r="P1294" s="6" t="inlineStr"/>
      <c r="Q1294" s="5" t="inlineStr"/>
      <c r="R1294" s="5" t="inlineStr"/>
      <c r="S1294" s="5" t="inlineStr"/>
      <c r="T1294" s="5" t="inlineStr"/>
      <c r="U1294" s="5" t="inlineStr"/>
      <c r="V1294" s="5" t="inlineStr"/>
      <c r="W1294" s="5" t="inlineStr"/>
      <c r="X1294" s="5" t="inlineStr"/>
      <c r="Y1294" s="5" t="inlineStr"/>
      <c r="Z1294" s="6" t="inlineStr"/>
      <c r="AA1294" s="5" t="inlineStr">
        <is>
          <t>hepsi +1</t>
        </is>
      </c>
      <c r="AB1294" s="5" t="inlineStr"/>
      <c r="AC1294" s="5" t="inlineStr"/>
      <c r="AD1294" s="5" t="inlineStr"/>
      <c r="AE1294" s="5" t="inlineStr"/>
      <c r="AF1294" s="5" t="inlineStr"/>
      <c r="AG1294" s="5" t="inlineStr"/>
      <c r="AH1294" s="5" t="inlineStr"/>
      <c r="AI1294" s="5" t="inlineStr"/>
      <c r="AJ1294" s="5" t="inlineStr"/>
    </row>
    <row r="1295">
      <c r="A1295" s="5" t="inlineStr">
        <is>
          <t>b5-acik-lise</t>
        </is>
      </c>
      <c r="B1295" s="5" t="n">
        <v>1</v>
      </c>
      <c r="C1295" s="6" t="inlineStr">
        <is>
          <t>Kaydol, akşamları oku</t>
        </is>
      </c>
      <c r="D1295" s="5" t="inlineStr"/>
      <c r="E1295" s="5" t="inlineStr"/>
      <c r="F1295" s="5" t="inlineStr">
        <is>
          <t>Dayanıklılık +1, Akıl +1</t>
        </is>
      </c>
      <c r="G1295" s="6" t="inlineStr">
        <is>
          <t>Gündüz çalıştın, akşam okudun. Annen broşürü mıknatısla buzdolabına astı; misafir gelince ilk onu gösteriyor.</t>
        </is>
      </c>
      <c r="H1295" s="6" t="inlineStr"/>
      <c r="I1295" s="6" t="inlineStr"/>
      <c r="J1295" s="6" t="inlineStr"/>
      <c r="K1295" s="6" t="inlineStr"/>
      <c r="L1295" s="6" t="inlineStr"/>
      <c r="M1295" s="5" t="inlineStr"/>
      <c r="N1295" s="5" t="inlineStr"/>
      <c r="O1295" s="6" t="inlineStr"/>
      <c r="P1295" s="6" t="inlineStr"/>
      <c r="Q1295" s="5" t="inlineStr"/>
      <c r="R1295" s="5" t="inlineStr"/>
      <c r="S1295" s="5" t="inlineStr"/>
      <c r="T1295" s="5" t="inlineStr"/>
      <c r="U1295" s="5" t="inlineStr">
        <is>
          <t>acik-lise</t>
        </is>
      </c>
      <c r="V1295" s="5" t="inlineStr"/>
      <c r="W1295" s="5" t="inlineStr"/>
      <c r="X1295" s="5" t="inlineStr">
        <is>
          <t>okulu-birakti</t>
        </is>
      </c>
      <c r="Y1295" s="5" t="inlineStr"/>
      <c r="Z1295" s="6" t="inlineStr"/>
      <c r="AA1295" s="5" t="inlineStr">
        <is>
          <t>hepsi +1</t>
        </is>
      </c>
      <c r="AB1295" s="5" t="inlineStr"/>
      <c r="AC1295" s="5" t="inlineStr"/>
      <c r="AD1295" s="5" t="inlineStr"/>
      <c r="AE1295" s="5" t="inlineStr"/>
      <c r="AF1295" s="5" t="inlineStr"/>
      <c r="AG1295" s="5" t="inlineStr"/>
      <c r="AH1295" s="5" t="inlineStr"/>
      <c r="AI1295" s="5" t="inlineStr"/>
      <c r="AJ1295" s="5" t="inlineStr"/>
    </row>
    <row r="1296">
      <c r="A1296" s="5" t="inlineStr">
        <is>
          <t>b5-acik-lise</t>
        </is>
      </c>
      <c r="B1296" s="5" t="n">
        <v>2</v>
      </c>
      <c r="C1296" s="6" t="inlineStr">
        <is>
          <t>Broşürü abilere göster</t>
        </is>
      </c>
      <c r="D1296" s="5" t="inlineStr">
        <is>
          <t>Pişkinlik</t>
        </is>
      </c>
      <c r="E1296" s="5" t="inlineStr">
        <is>
          <t>Orta</t>
        </is>
      </c>
      <c r="F1296" s="5" t="inlineStr"/>
      <c r="G1296" s="6" t="inlineStr"/>
      <c r="H1296" s="6" t="inlineStr">
        <is>
          <t>Broşürü abilere gösterdin. En yaşlı abi iki kez okudu, katlayıp cebine koydu. Kimseye bir şey demedi.</t>
        </is>
      </c>
      <c r="I1296" s="6" t="inlineStr">
        <is>
          <t>Üç abi birden kaydoldu. Çay ocağında akşamları test çözülüyor.</t>
        </is>
      </c>
      <c r="J1296" s="6" t="inlineStr">
        <is>
          <t>Abiler broşürü okudu, güldü ve çay altlığı yaptı.</t>
        </is>
      </c>
      <c r="K1296" s="6" t="inlineStr">
        <is>
          <t>Abiler broşürü okudu ve sana “Okumuş” demeye başladı. Çarşıda artık çaylar “Okumuş”a söyleniyor. Okumadığın hâlde.</t>
        </is>
      </c>
      <c r="L1296" s="6" t="inlineStr"/>
      <c r="M1296" s="5" t="inlineStr"/>
      <c r="N1296" s="5" t="inlineStr"/>
      <c r="O1296" s="6" t="inlineStr"/>
      <c r="P1296" s="6" t="inlineStr"/>
      <c r="Q1296" s="5" t="inlineStr"/>
      <c r="R1296" s="5" t="inlineStr"/>
      <c r="S1296" s="5" t="inlineStr"/>
      <c r="T1296" s="5" t="inlineStr"/>
      <c r="U1296" s="5" t="inlineStr"/>
      <c r="V1296" s="5" t="inlineStr"/>
      <c r="W1296" s="5" t="inlineStr"/>
      <c r="X1296" s="5" t="inlineStr"/>
      <c r="Y1296" s="5" t="inlineStr"/>
      <c r="Z1296" s="6" t="inlineStr"/>
      <c r="AA1296" s="5" t="inlineStr"/>
      <c r="AB1296" s="5" t="inlineStr"/>
      <c r="AC1296" s="5" t="inlineStr"/>
      <c r="AD1296" s="5" t="inlineStr"/>
      <c r="AE1296" s="5" t="inlineStr"/>
      <c r="AF1296" s="5" t="inlineStr"/>
      <c r="AG1296" s="5" t="inlineStr"/>
      <c r="AH1296" s="5" t="inlineStr"/>
      <c r="AI1296" s="5" t="inlineStr"/>
      <c r="AJ1296" s="5" t="inlineStr"/>
    </row>
    <row r="1297">
      <c r="A1297" s="5" t="inlineStr">
        <is>
          <t>b5-acik-lise</t>
        </is>
      </c>
      <c r="B1297" s="5" t="n">
        <v>3</v>
      </c>
      <c r="C1297" s="6" t="inlineStr">
        <is>
          <t>Broşürü çöpe at</t>
        </is>
      </c>
      <c r="D1297" s="5" t="inlineStr"/>
      <c r="E1297" s="5" t="inlineStr"/>
      <c r="F1297" s="5" t="inlineStr">
        <is>
          <t>Pişkinlik +1</t>
        </is>
      </c>
      <c r="G1297" s="6" t="inlineStr">
        <is>
          <t>Broşürü çöpe attın. Annen ertesi gün onu çöpten çıkarıp yeniden masaya koydu. Masa bu konuda kararlı.</t>
        </is>
      </c>
      <c r="H1297" s="6" t="inlineStr"/>
      <c r="I1297" s="6" t="inlineStr"/>
      <c r="J1297" s="6" t="inlineStr"/>
      <c r="K1297" s="6" t="inlineStr"/>
      <c r="L1297" s="6" t="inlineStr"/>
      <c r="M1297" s="5" t="inlineStr"/>
      <c r="N1297" s="5" t="inlineStr"/>
      <c r="O1297" s="6" t="inlineStr"/>
      <c r="P1297" s="6" t="inlineStr"/>
      <c r="Q1297" s="5" t="inlineStr"/>
      <c r="R1297" s="5" t="inlineStr"/>
      <c r="S1297" s="5" t="inlineStr"/>
      <c r="T1297" s="5" t="inlineStr"/>
      <c r="U1297" s="5" t="inlineStr"/>
      <c r="V1297" s="5" t="inlineStr"/>
      <c r="W1297" s="5" t="inlineStr"/>
      <c r="X1297" s="5" t="inlineStr"/>
      <c r="Y1297" s="5" t="inlineStr"/>
      <c r="Z1297" s="6" t="inlineStr"/>
      <c r="AA1297" s="5" t="inlineStr"/>
      <c r="AB1297" s="5" t="inlineStr"/>
      <c r="AC1297" s="5" t="inlineStr"/>
      <c r="AD1297" s="5" t="inlineStr"/>
      <c r="AE1297" s="5" t="inlineStr"/>
      <c r="AF1297" s="5" t="inlineStr"/>
      <c r="AG1297" s="5" t="inlineStr"/>
      <c r="AH1297" s="5" t="inlineStr"/>
      <c r="AI1297" s="5" t="inlineStr"/>
      <c r="AJ1297" s="5" t="inlineStr"/>
    </row>
    <row r="1298">
      <c r="A1298" s="5" t="inlineStr">
        <is>
          <t>b6-askerlik-mezun</t>
        </is>
      </c>
      <c r="B1298" s="5" t="n">
        <v>1</v>
      </c>
      <c r="C1298" s="6" t="inlineStr">
        <is>
          <t>Kısa dönem git, çavuşluğa talip ol</t>
        </is>
      </c>
      <c r="D1298" s="5" t="inlineStr">
        <is>
          <t>Akıl</t>
        </is>
      </c>
      <c r="E1298" s="5" t="inlineStr">
        <is>
          <t>Orta</t>
        </is>
      </c>
      <c r="F1298" s="5" t="inlineStr"/>
      <c r="G1298" s="6" t="inlineStr"/>
      <c r="H1298" s="6" t="inlineStr">
        <is>
          <t>Altı ayda bölüğün bütün evrakı senden geçti. Çavuş oldun; yetkin, kantin sırasında öne geçmekle sınırlıydı.</t>
        </is>
      </c>
      <c r="I1298" s="6" t="inlineStr">
        <is>
          <t>Komutan seni eğitim birliğine öğretmen yaptı. Er arkadaşlarına okuma yazma öğrettin; biri sana mektup yazdı, ilk mektubuydu.</t>
        </is>
      </c>
      <c r="J1298" s="6" t="inlineStr">
        <is>
          <t>Çavuşluk başkasına gitti. Sen de altı ay boyunca başkasının çavuşluğunu dinledin.</t>
        </is>
      </c>
      <c r="K1298" s="6" t="inlineStr">
        <is>
          <t>İlk içtimada yanlış bölüğe katıldın. Bir hafta orada yemek yedin, nöbet tuttun; kimse fark etmedi. Sekizinci gün kendi bölüğün seni firari diye arıyordu. Bulduklarında öbür bölüğün bayrağını taşıyordun.</t>
        </is>
      </c>
      <c r="L1298" s="6" t="inlineStr"/>
      <c r="M1298" s="5" t="inlineStr"/>
      <c r="N1298" s="5" t="inlineStr"/>
      <c r="O1298" s="6" t="inlineStr"/>
      <c r="P1298" s="6" t="inlineStr"/>
      <c r="Q1298" s="5" t="inlineStr"/>
      <c r="R1298" s="5" t="inlineStr"/>
      <c r="S1298" s="5" t="inlineStr"/>
      <c r="T1298" s="5" t="inlineStr"/>
      <c r="U1298" s="5" t="inlineStr">
        <is>
          <t>askerlik-yapti</t>
        </is>
      </c>
      <c r="V1298" s="5" t="inlineStr"/>
      <c r="W1298" s="5" t="inlineStr"/>
      <c r="X1298" s="5" t="inlineStr"/>
      <c r="Y1298" s="5" t="inlineStr"/>
      <c r="Z1298" s="6" t="inlineStr"/>
      <c r="AA1298" s="5" t="inlineStr"/>
      <c r="AB1298" s="5" t="inlineStr"/>
      <c r="AC1298" s="5" t="inlineStr"/>
      <c r="AD1298" s="5" t="inlineStr"/>
      <c r="AE1298" s="5" t="inlineStr"/>
      <c r="AF1298" s="5" t="inlineStr"/>
      <c r="AG1298" s="5" t="inlineStr"/>
      <c r="AH1298" s="5" t="inlineStr"/>
      <c r="AI1298" s="5" t="inlineStr"/>
      <c r="AJ1298" s="5" t="inlineStr"/>
    </row>
    <row r="1299">
      <c r="A1299" s="5" t="inlineStr">
        <is>
          <t>b6-askerlik-mezun</t>
        </is>
      </c>
      <c r="B1299" s="5" t="n">
        <v>2</v>
      </c>
      <c r="C1299" s="6" t="inlineStr">
        <is>
          <t>Bedelli öde</t>
        </is>
      </c>
      <c r="D1299" s="5" t="inlineStr"/>
      <c r="E1299" s="5" t="inlineStr"/>
      <c r="F1299" s="5" t="inlineStr">
        <is>
          <t>Pişkinlik +1</t>
        </is>
      </c>
      <c r="G1299" s="6" t="inlineStr">
        <is>
          <t>Parayı yatırdın, üç haftalık temel eğitime gittin, döndün. Arkadaşların “Bu da askerlik mi?” dedi. Sen de “Evet” dedin; çoğunlukla.</t>
        </is>
      </c>
      <c r="H1299" s="6" t="inlineStr"/>
      <c r="I1299" s="6" t="inlineStr"/>
      <c r="J1299" s="6" t="inlineStr"/>
      <c r="K1299" s="6" t="inlineStr"/>
      <c r="L1299" s="6" t="inlineStr"/>
      <c r="M1299" s="5" t="inlineStr"/>
      <c r="N1299" s="5" t="inlineStr"/>
      <c r="O1299" s="6" t="inlineStr"/>
      <c r="P1299" s="6" t="inlineStr"/>
      <c r="Q1299" s="5" t="inlineStr"/>
      <c r="R1299" s="5" t="inlineStr"/>
      <c r="S1299" s="5" t="inlineStr"/>
      <c r="T1299" s="5" t="inlineStr"/>
      <c r="U1299" s="5" t="inlineStr">
        <is>
          <t>bedelli</t>
        </is>
      </c>
      <c r="V1299" s="5" t="inlineStr"/>
      <c r="W1299" s="5" t="inlineStr"/>
      <c r="X1299" s="5" t="inlineStr"/>
      <c r="Y1299" s="5" t="inlineStr"/>
      <c r="Z1299" s="6" t="inlineStr"/>
      <c r="AA1299" s="5" t="inlineStr">
        <is>
          <t>Yalçın -1, Şen -1</t>
        </is>
      </c>
      <c r="AB1299" s="5" t="inlineStr"/>
      <c r="AC1299" s="5" t="inlineStr">
        <is>
          <t>Orta</t>
        </is>
      </c>
      <c r="AD1299" s="5" t="inlineStr"/>
      <c r="AE1299" s="5" t="inlineStr"/>
      <c r="AF1299" s="5" t="inlineStr"/>
      <c r="AG1299" s="5" t="inlineStr"/>
      <c r="AH1299" s="5" t="inlineStr"/>
      <c r="AI1299" s="5" t="inlineStr"/>
      <c r="AJ1299" s="5" t="inlineStr"/>
    </row>
    <row r="1300">
      <c r="A1300" s="5" t="inlineStr">
        <is>
          <t>b6-askerlik-mezun</t>
        </is>
      </c>
      <c r="B1300" s="5" t="n">
        <v>3</v>
      </c>
      <c r="C1300" s="6" t="inlineStr">
        <is>
          <t>Heyette düztabanlığını anlat</t>
        </is>
      </c>
      <c r="D1300" s="5" t="inlineStr">
        <is>
          <t>Kurnazlık</t>
        </is>
      </c>
      <c r="E1300" s="5" t="inlineStr">
        <is>
          <t>Zor</t>
        </is>
      </c>
      <c r="F1300" s="5" t="inlineStr"/>
      <c r="G1300" s="6" t="inlineStr"/>
      <c r="H1300" s="6" t="inlineStr">
        <is>
          <t>Heyete öyle bir düztaban hikâyesi anlattın ki doktor kendi ayağına baktı. Rapor çıktı: “Elverişsiz.”</t>
        </is>
      </c>
      <c r="I1300" s="6" t="inlineStr">
        <is>
          <t>Heyet ayaklarını tek tek inceledi; doktor kendi tabanlığını çıkarıp sana gösterdi. Rapor elinde. O günden beri her yokuşta biraz topallıyorsun; kim izliyor belli olmaz.</t>
        </is>
      </c>
      <c r="J1300" s="6" t="inlineStr">
        <is>
          <t>Heyet dinledi, not aldı, seni haritanın en ucundaki birliğe yazdı. “Diplomanı da al gel” dediler; orada okuma yazma kursu varmış.</t>
        </is>
      </c>
      <c r="K1300" s="6" t="inlineStr">
        <is>
          <t>Hangi ayağın düz olduğunu karıştırdın. Heyet kâğıdına “Acil celp” yazdı; bir de altını çizdi.</t>
        </is>
      </c>
      <c r="L1300" s="6" t="inlineStr"/>
      <c r="M1300" s="5" t="inlineStr"/>
      <c r="N1300" s="5" t="inlineStr"/>
      <c r="O1300" s="6" t="inlineStr"/>
      <c r="P1300" s="6" t="inlineStr"/>
      <c r="Q1300" s="5" t="inlineStr"/>
      <c r="R1300" s="5" t="inlineStr">
        <is>
          <t>yalanci</t>
        </is>
      </c>
      <c r="S1300" s="5" t="inlineStr"/>
      <c r="T1300" s="5" t="inlineStr"/>
      <c r="U1300" s="5" t="inlineStr"/>
      <c r="V1300" s="5" t="inlineStr">
        <is>
          <t>curuk-rapor</t>
        </is>
      </c>
      <c r="W1300" s="5" t="inlineStr"/>
      <c r="X1300" s="5" t="inlineStr"/>
      <c r="Y1300" s="5" t="inlineStr"/>
      <c r="Z1300" s="6" t="inlineStr"/>
      <c r="AA1300" s="5" t="inlineStr">
        <is>
          <t>hepsi -1</t>
        </is>
      </c>
      <c r="AB1300" s="5" t="inlineStr">
        <is>
          <t>askerlik-yapti</t>
        </is>
      </c>
      <c r="AC1300" s="5" t="inlineStr"/>
      <c r="AD1300" s="5" t="inlineStr"/>
      <c r="AE1300" s="5" t="inlineStr"/>
      <c r="AF1300" s="5" t="inlineStr"/>
      <c r="AG1300" s="5" t="inlineStr"/>
      <c r="AH1300" s="5" t="inlineStr"/>
      <c r="AI1300" s="5" t="inlineStr"/>
      <c r="AJ1300" s="5" t="inlineStr"/>
    </row>
    <row r="1301">
      <c r="A1301" s="5" t="inlineStr">
        <is>
          <t>b6-kisla</t>
        </is>
      </c>
      <c r="B1301" s="5" t="n">
        <v>1</v>
      </c>
      <c r="C1301" s="6" t="inlineStr">
        <is>
          <t>Gece nöbetinde uyanık kal</t>
        </is>
      </c>
      <c r="D1301" s="5" t="inlineStr">
        <is>
          <t>Dayanıklılık</t>
        </is>
      </c>
      <c r="E1301" s="5" t="inlineStr">
        <is>
          <t>Zor</t>
        </is>
      </c>
      <c r="F1301" s="5" t="inlineStr"/>
      <c r="G1301" s="6" t="inlineStr"/>
      <c r="H1301" s="6" t="inlineStr">
        <is>
          <t>Saat üçte uyanıktın. Yıldızları saydın: altmış dört. Nöbeti devralan “Ben altmış üç saydım” dedi; biri uçakmış.</t>
        </is>
      </c>
      <c r="I1301" s="6" t="inlineStr">
        <is>
          <t>Tek bir kez esnemedin. Nöbet çizelgesinde adının yanına 'örnek' yazıldı. Ödülün bir nöbet daha.</t>
        </is>
      </c>
      <c r="J1301" s="6" t="inlineStr">
        <is>
          <t>Nöbette uyudun. Seni komutanın köpeği yüzünü yalayarak uyandırdı ve kimseye söylemedi. Ertesi sabah kahvaltıda ekmeğinin yarısı onundu.</t>
        </is>
      </c>
      <c r="K1301" s="6" t="inlineStr">
        <is>
          <t>Nöbette uyuyakaldın. Komutan seni uyandırmadı; fotoğrafını çekip annene gönderdi: “Evladınız burada da rahat.” Annen fotoğrafı aile grubuna attı; gururla mı, utançla mı, hâlâ belli değil.</t>
        </is>
      </c>
      <c r="L1301" s="6" t="inlineStr"/>
      <c r="M1301" s="5" t="inlineStr"/>
      <c r="N1301" s="5" t="inlineStr"/>
      <c r="O1301" s="6" t="inlineStr"/>
      <c r="P1301" s="6" t="inlineStr"/>
      <c r="Q1301" s="5" t="inlineStr"/>
      <c r="R1301" s="5" t="inlineStr"/>
      <c r="S1301" s="5" t="inlineStr"/>
      <c r="T1301" s="5" t="inlineStr">
        <is>
          <t>Nöbet Disiplini</t>
        </is>
      </c>
      <c r="U1301" s="5" t="inlineStr"/>
      <c r="V1301" s="5" t="inlineStr"/>
      <c r="W1301" s="5" t="inlineStr"/>
      <c r="X1301" s="5" t="inlineStr"/>
      <c r="Y1301" s="5" t="inlineStr"/>
      <c r="Z1301" s="6" t="inlineStr"/>
      <c r="AA1301" s="5" t="inlineStr"/>
      <c r="AB1301" s="5" t="inlineStr"/>
      <c r="AC1301" s="5" t="inlineStr"/>
      <c r="AD1301" s="5" t="inlineStr"/>
      <c r="AE1301" s="5" t="inlineStr"/>
      <c r="AF1301" s="5" t="inlineStr"/>
      <c r="AG1301" s="5" t="inlineStr"/>
      <c r="AH1301" s="5" t="inlineStr"/>
      <c r="AI1301" s="5" t="inlineStr"/>
      <c r="AJ1301" s="5" t="inlineStr"/>
    </row>
    <row r="1302">
      <c r="A1302" s="5" t="inlineStr">
        <is>
          <t>b6-kisla</t>
        </is>
      </c>
      <c r="B1302" s="5" t="n">
        <v>2</v>
      </c>
      <c r="C1302" s="6" t="inlineStr">
        <is>
          <t>Komutanın köpeğini gezdirmeye gönüllü ol</t>
        </is>
      </c>
      <c r="D1302" s="5" t="inlineStr">
        <is>
          <t>Sosyal Radar</t>
        </is>
      </c>
      <c r="E1302" s="5" t="inlineStr">
        <is>
          <t>Kolay</t>
        </is>
      </c>
      <c r="F1302" s="5" t="inlineStr"/>
      <c r="G1302" s="6" t="inlineStr"/>
      <c r="H1302" s="6" t="inlineStr">
        <is>
          <t>Köpek seni sevdi. Komutan da köpeğin sevdiğini sevdi. Nöbetlerin gündüze kaydı.</t>
        </is>
      </c>
      <c r="I1302" s="6" t="inlineStr">
        <is>
          <t>Köpek yalnızca seninle yürüyor. Terhis günü kapıya kadar geldi. Komutan da.</t>
        </is>
      </c>
      <c r="J1302" s="6" t="inlineStr">
        <is>
          <t>Köpek seni gezdirdi. Kışlanın çevresini üç kez koşarak turladınız.</t>
        </is>
      </c>
      <c r="K1302" s="6" t="inlineStr">
        <is>
          <t>Tasmayı bıraktın. Bütün bölük iki saat köpeği aradı. Köpek komutanın odasında, komutanın koltuğunda uyuyordu; sen o gece ek nöbetteydin.</t>
        </is>
      </c>
      <c r="L1302" s="6" t="inlineStr"/>
      <c r="M1302" s="5" t="inlineStr"/>
      <c r="N1302" s="5" t="inlineStr"/>
      <c r="O1302" s="6" t="inlineStr"/>
      <c r="P1302" s="6" t="inlineStr"/>
      <c r="Q1302" s="5" t="inlineStr"/>
      <c r="R1302" s="5" t="inlineStr"/>
      <c r="S1302" s="5" t="inlineStr">
        <is>
          <t>Sosyal Radar</t>
        </is>
      </c>
      <c r="T1302" s="5" t="inlineStr"/>
      <c r="U1302" s="5" t="inlineStr"/>
      <c r="V1302" s="5" t="inlineStr"/>
      <c r="W1302" s="5" t="inlineStr"/>
      <c r="X1302" s="5" t="inlineStr"/>
      <c r="Y1302" s="5" t="inlineStr"/>
      <c r="Z1302" s="6" t="inlineStr"/>
      <c r="AA1302" s="5" t="inlineStr"/>
      <c r="AB1302" s="5" t="inlineStr"/>
      <c r="AC1302" s="5" t="inlineStr"/>
      <c r="AD1302" s="5" t="inlineStr"/>
      <c r="AE1302" s="5" t="inlineStr"/>
      <c r="AF1302" s="5" t="inlineStr"/>
      <c r="AG1302" s="5" t="inlineStr"/>
      <c r="AH1302" s="5" t="inlineStr"/>
      <c r="AI1302" s="5" t="inlineStr"/>
      <c r="AJ1302" s="5" t="inlineStr"/>
    </row>
    <row r="1303">
      <c r="A1303" s="5" t="inlineStr">
        <is>
          <t>b6-kisla</t>
        </is>
      </c>
      <c r="B1303" s="5" t="n">
        <v>3</v>
      </c>
      <c r="C1303" s="6" t="inlineStr">
        <is>
          <t>Kantin sırasını düzene sok</t>
        </is>
      </c>
      <c r="D1303" s="5" t="inlineStr">
        <is>
          <t>Akıl</t>
        </is>
      </c>
      <c r="E1303" s="5" t="inlineStr">
        <is>
          <t>Orta</t>
        </is>
      </c>
      <c r="F1303" s="5" t="inlineStr"/>
      <c r="G1303" s="6" t="inlineStr"/>
      <c r="H1303" s="6" t="inlineStr">
        <is>
          <t>Numaratör sistemi kurdun. Bekleme yarıya indi. Kantinci sana bedava tost verdi.</t>
        </is>
      </c>
      <c r="I1303" s="6" t="inlineStr">
        <is>
          <t>Numaratör bütün kışlaya yayıldı. Bölük komutanı da tost için numara aldı; sırası gelince sana uzattı: “Bu iyi oldu asker.”</t>
        </is>
      </c>
      <c r="J1303" s="6" t="inlineStr">
        <is>
          <t>İlk gün numaralar karıştı. İki kişi aynı tostu istedi, ikisi de sana baktı.</t>
        </is>
      </c>
      <c r="K1303" s="6" t="inlineStr">
        <is>
          <t>Numara kâğıtlarını rüzgârlı bir sabah dağıttın. Kâğıtlar içtima alanına uçtu, bölük peşinden koştu. Komutan yerden birini aldı: “Bir numara.” Sonra sana uzattı: “Ek nöbette bir numara sensin.”</t>
        </is>
      </c>
      <c r="L1303" s="6" t="inlineStr"/>
      <c r="M1303" s="5" t="inlineStr"/>
      <c r="N1303" s="5" t="inlineStr"/>
      <c r="O1303" s="6" t="inlineStr"/>
      <c r="P1303" s="6" t="inlineStr"/>
      <c r="Q1303" s="5" t="inlineStr">
        <is>
          <t>Kuralı Koyan</t>
        </is>
      </c>
      <c r="R1303" s="5" t="inlineStr"/>
      <c r="S1303" s="5" t="inlineStr"/>
      <c r="T1303" s="5" t="inlineStr"/>
      <c r="U1303" s="5" t="inlineStr"/>
      <c r="V1303" s="5" t="inlineStr"/>
      <c r="W1303" s="5" t="inlineStr"/>
      <c r="X1303" s="5" t="inlineStr"/>
      <c r="Y1303" s="5" t="inlineStr"/>
      <c r="Z1303" s="6" t="inlineStr"/>
      <c r="AA1303" s="5" t="inlineStr"/>
      <c r="AB1303" s="5" t="inlineStr"/>
      <c r="AC1303" s="5" t="inlineStr"/>
      <c r="AD1303" s="5" t="inlineStr"/>
      <c r="AE1303" s="5" t="inlineStr"/>
      <c r="AF1303" s="5" t="inlineStr"/>
      <c r="AG1303" s="5" t="inlineStr"/>
      <c r="AH1303" s="5" t="inlineStr"/>
      <c r="AI1303" s="5" t="inlineStr"/>
      <c r="AJ1303" s="5" t="inlineStr"/>
    </row>
    <row r="1304">
      <c r="A1304" s="5" t="inlineStr">
        <is>
          <t>b6-kisla</t>
        </is>
      </c>
      <c r="B1304" s="5" t="n">
        <v>4</v>
      </c>
      <c r="C1304" s="6" t="inlineStr">
        <is>
          <t>Yazıcılığa gönüllü ol</t>
        </is>
      </c>
      <c r="D1304" s="5" t="inlineStr">
        <is>
          <t>Kurnazlık</t>
        </is>
      </c>
      <c r="E1304" s="5" t="inlineStr">
        <is>
          <t>Orta</t>
        </is>
      </c>
      <c r="F1304" s="5" t="inlineStr"/>
      <c r="G1304" s="6" t="inlineStr"/>
      <c r="H1304" s="6" t="inlineStr">
        <is>
          <t>İzin kâğıtlarının hepsi artık senin masandan geçiyor. Bölükte herkes sana kantinden bir şey getiriyor; aç olmadığını bile bile.</t>
        </is>
      </c>
      <c r="I1304" s="6" t="inlineStr">
        <is>
          <t>İzin kâğıtları senden geçiyor diye bölük sana hediye yağdırdı: tost, ayran, annelerin yolladığı kurabiyeler. Kışladan kilo alarak dönen tek asker sensin.</t>
        </is>
      </c>
      <c r="J1304" s="6" t="inlineStr">
        <is>
          <t>Mührü ters bastın. Yüz izin belgesi yeniden basıldı.</t>
        </is>
      </c>
      <c r="K1304" s="6" t="inlineStr">
        <is>
          <t>Kendi izin belgeni yanlış tarihe bastın. Kapıdan çıktın, kapıdan geri döndün.</t>
        </is>
      </c>
      <c r="L1304" s="6" t="inlineStr"/>
      <c r="M1304" s="5" t="inlineStr"/>
      <c r="N1304" s="5" t="inlineStr"/>
      <c r="O1304" s="6" t="inlineStr"/>
      <c r="P1304" s="6" t="inlineStr"/>
      <c r="Q1304" s="5" t="inlineStr"/>
      <c r="R1304" s="5" t="inlineStr"/>
      <c r="S1304" s="5" t="inlineStr"/>
      <c r="T1304" s="5" t="inlineStr"/>
      <c r="U1304" s="5" t="inlineStr"/>
      <c r="V1304" s="5" t="inlineStr"/>
      <c r="W1304" s="5" t="inlineStr"/>
      <c r="X1304" s="5" t="inlineStr"/>
      <c r="Y1304" s="5" t="inlineStr"/>
      <c r="Z1304" s="6" t="inlineStr"/>
      <c r="AA1304" s="5" t="inlineStr"/>
      <c r="AB1304" s="5" t="inlineStr"/>
      <c r="AC1304" s="5" t="inlineStr"/>
      <c r="AD1304" s="5" t="inlineStr"/>
      <c r="AE1304" s="5" t="inlineStr"/>
      <c r="AF1304" s="5" t="inlineStr"/>
      <c r="AG1304" s="5" t="inlineStr"/>
      <c r="AH1304" s="5" t="inlineStr"/>
      <c r="AI1304" s="5" t="inlineStr"/>
      <c r="AJ1304" s="5" t="inlineStr"/>
    </row>
    <row r="1305">
      <c r="A1305" s="5" t="inlineStr">
        <is>
          <t>b6-kisla</t>
        </is>
      </c>
      <c r="B1305" s="5" t="n">
        <v>5</v>
      </c>
      <c r="C1305" s="6" t="inlineStr">
        <is>
          <t>Nöbetleri tut, mektup yaz</t>
        </is>
      </c>
      <c r="D1305" s="5" t="inlineStr"/>
      <c r="E1305" s="5" t="inlineStr"/>
      <c r="F1305" s="5" t="inlineStr">
        <is>
          <t>Dayanıklılık +1, Gönül +1</t>
        </is>
      </c>
      <c r="G1305" s="6" t="inlineStr">
        <is>
          <t>Her nöbette bir mektup yazdın. Annen hepsini bir kutuda saklıyor. Kutunun üstünde “Evladımın romanı” yazıyor.</t>
        </is>
      </c>
      <c r="H1305" s="6" t="inlineStr"/>
      <c r="I1305" s="6" t="inlineStr"/>
      <c r="J1305" s="6" t="inlineStr"/>
      <c r="K1305" s="6" t="inlineStr"/>
      <c r="L1305" s="6" t="inlineStr"/>
      <c r="M1305" s="5" t="inlineStr"/>
      <c r="N1305" s="5" t="inlineStr"/>
      <c r="O1305" s="6" t="inlineStr"/>
      <c r="P1305" s="6" t="inlineStr"/>
      <c r="Q1305" s="5" t="inlineStr"/>
      <c r="R1305" s="5" t="inlineStr"/>
      <c r="S1305" s="5" t="inlineStr"/>
      <c r="T1305" s="5" t="inlineStr"/>
      <c r="U1305" s="5" t="inlineStr"/>
      <c r="V1305" s="5" t="inlineStr"/>
      <c r="W1305" s="5" t="inlineStr"/>
      <c r="X1305" s="5" t="inlineStr"/>
      <c r="Y1305" s="5" t="inlineStr"/>
      <c r="Z1305" s="6" t="inlineStr"/>
      <c r="AA1305" s="5" t="inlineStr"/>
      <c r="AB1305" s="5" t="inlineStr"/>
      <c r="AC1305" s="5" t="inlineStr"/>
      <c r="AD1305" s="5" t="inlineStr"/>
      <c r="AE1305" s="5" t="inlineStr"/>
      <c r="AF1305" s="5" t="inlineStr"/>
      <c r="AG1305" s="5" t="inlineStr"/>
      <c r="AH1305" s="5" t="inlineStr"/>
      <c r="AI1305" s="5" t="inlineStr"/>
      <c r="AJ1305" s="5" t="inlineStr"/>
    </row>
    <row r="1306">
      <c r="A1306" s="5" t="inlineStr">
        <is>
          <t>b6-erken-askerlik</t>
        </is>
      </c>
      <c r="B1306" s="5" t="n">
        <v>1</v>
      </c>
      <c r="C1306" s="6" t="inlineStr">
        <is>
          <t>Nöbetleri tut, günleri say</t>
        </is>
      </c>
      <c r="D1306" s="5" t="inlineStr"/>
      <c r="E1306" s="5" t="inlineStr"/>
      <c r="F1306" s="5" t="inlineStr">
        <is>
          <t>Dayanıklılık +1</t>
        </is>
      </c>
      <c r="G1306" s="6" t="inlineStr">
        <is>
          <t>Her gece ranzanın tahtasına yazdın: “Şafak 360”, “Şafak 359”… Terhis sabahı tahtada “Şafak 1” kaldı. Fotoğrafını annene gönderdin; annen büyütüp çerçeveletti.</t>
        </is>
      </c>
      <c r="H1306" s="6" t="inlineStr"/>
      <c r="I1306" s="6" t="inlineStr"/>
      <c r="J1306" s="6" t="inlineStr"/>
      <c r="K1306" s="6" t="inlineStr"/>
      <c r="L1306" s="6" t="inlineStr"/>
      <c r="M1306" s="5" t="inlineStr"/>
      <c r="N1306" s="5" t="inlineStr"/>
      <c r="O1306" s="6" t="inlineStr"/>
      <c r="P1306" s="6" t="inlineStr"/>
      <c r="Q1306" s="5" t="inlineStr"/>
      <c r="R1306" s="5" t="inlineStr"/>
      <c r="S1306" s="5" t="inlineStr"/>
      <c r="T1306" s="5" t="inlineStr"/>
      <c r="U1306" s="5" t="inlineStr">
        <is>
          <t>askerlik-yapti</t>
        </is>
      </c>
      <c r="V1306" s="5" t="inlineStr"/>
      <c r="W1306" s="5" t="inlineStr"/>
      <c r="X1306" s="5" t="inlineStr"/>
      <c r="Y1306" s="5" t="inlineStr"/>
      <c r="Z1306" s="6" t="inlineStr"/>
      <c r="AA1306" s="5" t="inlineStr"/>
      <c r="AB1306" s="5" t="inlineStr"/>
      <c r="AC1306" s="5" t="inlineStr"/>
      <c r="AD1306" s="5" t="inlineStr"/>
      <c r="AE1306" s="5" t="inlineStr"/>
      <c r="AF1306" s="5" t="inlineStr"/>
      <c r="AG1306" s="5" t="inlineStr"/>
      <c r="AH1306" s="5" t="inlineStr"/>
      <c r="AI1306" s="5" t="inlineStr"/>
      <c r="AJ1306" s="5" t="inlineStr"/>
    </row>
    <row r="1307">
      <c r="A1307" s="5" t="inlineStr">
        <is>
          <t>b6-erken-askerlik</t>
        </is>
      </c>
      <c r="B1307" s="5" t="n">
        <v>2</v>
      </c>
      <c r="C1307" s="6" t="inlineStr">
        <is>
          <t>Kışla arkadaşlarıyla dönüş planı kur</t>
        </is>
      </c>
      <c r="D1307" s="5" t="inlineStr">
        <is>
          <t>Çene</t>
        </is>
      </c>
      <c r="E1307" s="5" t="inlineStr">
        <is>
          <t>Orta</t>
        </is>
      </c>
      <c r="F1307" s="5" t="inlineStr"/>
      <c r="G1307" s="6" t="inlineStr"/>
      <c r="H1307" s="6" t="inlineStr">
        <is>
          <t>Nöbette dört kişi bir plan kurdunuz: dönünce birlikte iş. Kimse plana inanmadı; siz inandınız.</t>
        </is>
      </c>
      <c r="I1307" s="6" t="inlineStr">
        <is>
          <t>Planın o kadar sağlamdı ki bölük komutanı da katılmak istedi. Emekliliğine üç yıl var; bekliyorsunuz.</t>
        </is>
      </c>
      <c r="J1307" s="6" t="inlineStr">
        <is>
          <t>Plan kuruldu, sonra kantinde dağıldı. Bir kişi dayısının yanına gidecekmiş, biri evlenecekmiş.</t>
        </is>
      </c>
      <c r="K1307" s="6" t="inlineStr">
        <is>
          <t>Planı yüksek sesle anlattın. Nöbetçi subay duydu; planın ilk maddesi ek nöbet oldu.</t>
        </is>
      </c>
      <c r="L1307" s="6" t="inlineStr"/>
      <c r="M1307" s="5" t="inlineStr"/>
      <c r="N1307" s="5" t="inlineStr"/>
      <c r="O1307" s="6" t="inlineStr"/>
      <c r="P1307" s="6" t="inlineStr"/>
      <c r="Q1307" s="5" t="inlineStr"/>
      <c r="R1307" s="5" t="inlineStr"/>
      <c r="S1307" s="5" t="inlineStr"/>
      <c r="T1307" s="5" t="inlineStr"/>
      <c r="U1307" s="5" t="inlineStr">
        <is>
          <t>askerlik-yapti</t>
        </is>
      </c>
      <c r="V1307" s="5" t="inlineStr">
        <is>
          <t>kisla-kankasi</t>
        </is>
      </c>
      <c r="W1307" s="5" t="inlineStr"/>
      <c r="X1307" s="5" t="inlineStr"/>
      <c r="Y1307" s="5" t="inlineStr"/>
      <c r="Z1307" s="6" t="inlineStr"/>
      <c r="AA1307" s="5" t="inlineStr"/>
      <c r="AB1307" s="5" t="inlineStr"/>
      <c r="AC1307" s="5" t="inlineStr"/>
      <c r="AD1307" s="5" t="inlineStr"/>
      <c r="AE1307" s="5" t="inlineStr"/>
      <c r="AF1307" s="5" t="inlineStr"/>
      <c r="AG1307" s="5" t="inlineStr"/>
      <c r="AH1307" s="5" t="inlineStr"/>
      <c r="AI1307" s="5" t="inlineStr"/>
      <c r="AJ1307" s="5" t="inlineStr"/>
    </row>
    <row r="1308">
      <c r="A1308" s="5" t="inlineStr">
        <is>
          <t>b6-erken-askerlik</t>
        </is>
      </c>
      <c r="B1308" s="5" t="n">
        <v>3</v>
      </c>
      <c r="C1308" s="6" t="inlineStr">
        <is>
          <t>Gece nöbetinde uyanık kal</t>
        </is>
      </c>
      <c r="D1308" s="5" t="inlineStr">
        <is>
          <t>Dayanıklılık</t>
        </is>
      </c>
      <c r="E1308" s="5" t="inlineStr">
        <is>
          <t>Zor</t>
        </is>
      </c>
      <c r="F1308" s="5" t="inlineStr"/>
      <c r="G1308" s="6" t="inlineStr"/>
      <c r="H1308" s="6" t="inlineStr">
        <is>
          <t>Saat üçte uyanıktın. Yıldızları saydın: altmış dört. Nöbeti devralan “Ben altmış üç saydım” dedi; biri uçakmış.</t>
        </is>
      </c>
      <c r="I1308" s="6" t="inlineStr">
        <is>
          <t>Tek bir kez esnemedin. Nöbet çizelgesinde adının yanına “örnek” yazıldı. Ödülün bir nöbet daha.</t>
        </is>
      </c>
      <c r="J1308" s="6" t="inlineStr">
        <is>
          <t>Nöbette uyudun. Seni komutanın köpeği yüzünü yalayarak uyandırdı ve kimseye söylemedi. Ertesi sabah kahvaltıda ekmeğinin yarısı onundu.</t>
        </is>
      </c>
      <c r="K1308" s="6" t="inlineStr">
        <is>
          <t>Nöbette uyudun. Uyandığında kulübenin önünde komutan duruyordu, yanında köpeği. Köpek ayaktaydı; sen değil. Bir ay boyunca nöbetini köpekle birlikte tuttun; o uyudu.</t>
        </is>
      </c>
      <c r="L1308" s="6" t="inlineStr"/>
      <c r="M1308" s="5" t="inlineStr"/>
      <c r="N1308" s="5" t="inlineStr"/>
      <c r="O1308" s="6" t="inlineStr"/>
      <c r="P1308" s="6" t="inlineStr"/>
      <c r="Q1308" s="5" t="inlineStr"/>
      <c r="R1308" s="5" t="inlineStr"/>
      <c r="S1308" s="5" t="inlineStr"/>
      <c r="T1308" s="5" t="inlineStr">
        <is>
          <t>Nöbet Disiplini</t>
        </is>
      </c>
      <c r="U1308" s="5" t="inlineStr">
        <is>
          <t>askerlik-yapti</t>
        </is>
      </c>
      <c r="V1308" s="5" t="inlineStr"/>
      <c r="W1308" s="5" t="inlineStr"/>
      <c r="X1308" s="5" t="inlineStr"/>
      <c r="Y1308" s="5" t="inlineStr"/>
      <c r="Z1308" s="6" t="inlineStr"/>
      <c r="AA1308" s="5" t="inlineStr"/>
      <c r="AB1308" s="5" t="inlineStr"/>
      <c r="AC1308" s="5" t="inlineStr"/>
      <c r="AD1308" s="5" t="inlineStr"/>
      <c r="AE1308" s="5" t="inlineStr"/>
      <c r="AF1308" s="5" t="inlineStr"/>
      <c r="AG1308" s="5" t="inlineStr"/>
      <c r="AH1308" s="5" t="inlineStr"/>
      <c r="AI1308" s="5" t="inlineStr"/>
      <c r="AJ1308" s="5" t="inlineStr"/>
    </row>
    <row r="1309">
      <c r="A1309" s="5" t="inlineStr">
        <is>
          <t>b6-erken-askerlik</t>
        </is>
      </c>
      <c r="B1309" s="5" t="n">
        <v>4</v>
      </c>
      <c r="C1309" s="6" t="inlineStr">
        <is>
          <t>Komutanın köpeğini gezdirmeye gönüllü ol</t>
        </is>
      </c>
      <c r="D1309" s="5" t="inlineStr">
        <is>
          <t>Sosyal Radar</t>
        </is>
      </c>
      <c r="E1309" s="5" t="inlineStr">
        <is>
          <t>Kolay</t>
        </is>
      </c>
      <c r="F1309" s="5" t="inlineStr"/>
      <c r="G1309" s="6" t="inlineStr"/>
      <c r="H1309" s="6" t="inlineStr">
        <is>
          <t>Köpek seni sevdi, komutan da köpeğin sevdiğini. Nöbetlerin gündüze kaydı; bölükte buna “köpek torpili” diyorlar.</t>
        </is>
      </c>
      <c r="I1309" s="6" t="inlineStr">
        <is>
          <t>Köpek yalnızca seninle yürüyor. Terhis günü kapıya kadar geldi; arkasından komutan da. “Yavrum” dedi; bu sefer bağırmadı.</t>
        </is>
      </c>
      <c r="J1309" s="6" t="inlineStr">
        <is>
          <t>Köpek seni gezdirdi. Kışlanın çevresini üç kez koşarak turladınız; içtimaya nefes nefese yetiştin.</t>
        </is>
      </c>
      <c r="K1309" s="6" t="inlineStr">
        <is>
          <t>Tasmayı bıraktın. Bütün bölük iki saat köpeği aradı. Köpek komutanın odasında uyuyordu; sen o gece ek nöbetteydin.</t>
        </is>
      </c>
      <c r="L1309" s="6" t="inlineStr"/>
      <c r="M1309" s="5" t="inlineStr"/>
      <c r="N1309" s="5" t="inlineStr"/>
      <c r="O1309" s="6" t="inlineStr"/>
      <c r="P1309" s="6" t="inlineStr"/>
      <c r="Q1309" s="5" t="inlineStr"/>
      <c r="R1309" s="5" t="inlineStr"/>
      <c r="S1309" s="5" t="inlineStr">
        <is>
          <t>Sosyal Radar</t>
        </is>
      </c>
      <c r="T1309" s="5" t="inlineStr"/>
      <c r="U1309" s="5" t="inlineStr">
        <is>
          <t>askerlik-yapti</t>
        </is>
      </c>
      <c r="V1309" s="5" t="inlineStr"/>
      <c r="W1309" s="5" t="inlineStr"/>
      <c r="X1309" s="5" t="inlineStr"/>
      <c r="Y1309" s="5" t="inlineStr"/>
      <c r="Z1309" s="6" t="inlineStr"/>
      <c r="AA1309" s="5" t="inlineStr"/>
      <c r="AB1309" s="5" t="inlineStr"/>
      <c r="AC1309" s="5" t="inlineStr"/>
      <c r="AD1309" s="5" t="inlineStr"/>
      <c r="AE1309" s="5" t="inlineStr"/>
      <c r="AF1309" s="5" t="inlineStr"/>
      <c r="AG1309" s="5" t="inlineStr"/>
      <c r="AH1309" s="5" t="inlineStr"/>
      <c r="AI1309" s="5" t="inlineStr"/>
      <c r="AJ1309" s="5" t="inlineStr"/>
    </row>
    <row r="1310">
      <c r="A1310" s="5" t="inlineStr">
        <is>
          <t>b6-tezkere</t>
        </is>
      </c>
      <c r="B1310" s="5" t="n">
        <v>1</v>
      </c>
      <c r="C1310" s="6" t="inlineStr">
        <is>
          <t>Kapıda sürpriz yap</t>
        </is>
      </c>
      <c r="D1310" s="5" t="inlineStr"/>
      <c r="E1310" s="5" t="inlineStr"/>
      <c r="F1310" s="5" t="inlineStr">
        <is>
          <t>Sosyal Radar +1, Gönül +1</t>
        </is>
      </c>
      <c r="G1310" s="6" t="inlineStr">
        <is>
          <t>Kapıyı çaldın. Annen açtı, baktı, kapattı, sonra tekrar açtı. İkinci açışta ağladı. Baban “Zayıflamışsın” dedi; kendisi de zayıflamıştı.</t>
        </is>
      </c>
      <c r="H1310" s="6" t="inlineStr"/>
      <c r="I1310" s="6" t="inlineStr"/>
      <c r="J1310" s="6" t="inlineStr"/>
      <c r="K1310" s="6" t="inlineStr"/>
      <c r="L1310" s="6" t="inlineStr"/>
      <c r="M1310" s="5" t="inlineStr"/>
      <c r="N1310" s="5" t="inlineStr"/>
      <c r="O1310" s="6" t="inlineStr"/>
      <c r="P1310" s="6" t="inlineStr"/>
      <c r="Q1310" s="5" t="inlineStr"/>
      <c r="R1310" s="5" t="inlineStr"/>
      <c r="S1310" s="5" t="inlineStr"/>
      <c r="T1310" s="5" t="inlineStr"/>
      <c r="U1310" s="5" t="inlineStr"/>
      <c r="V1310" s="5" t="inlineStr"/>
      <c r="W1310" s="5" t="inlineStr"/>
      <c r="X1310" s="5" t="inlineStr"/>
      <c r="Y1310" s="5" t="inlineStr"/>
      <c r="Z1310" s="6" t="inlineStr"/>
      <c r="AA1310" s="5" t="inlineStr"/>
      <c r="AB1310" s="5" t="inlineStr"/>
      <c r="AC1310" s="5" t="inlineStr"/>
      <c r="AD1310" s="5" t="inlineStr"/>
      <c r="AE1310" s="5" t="inlineStr"/>
      <c r="AF1310" s="5" t="inlineStr"/>
      <c r="AG1310" s="5" t="inlineStr"/>
      <c r="AH1310" s="5" t="inlineStr"/>
      <c r="AI1310" s="5" t="inlineStr"/>
      <c r="AJ1310" s="5" t="inlineStr"/>
    </row>
    <row r="1311">
      <c r="A1311" s="5" t="inlineStr">
        <is>
          <t>b6-tezkere</t>
        </is>
      </c>
      <c r="B1311" s="5" t="n">
        <v>2</v>
      </c>
      <c r="C1311" s="6" t="inlineStr">
        <is>
          <t>Kışla arkadaşlarıyla iş kur</t>
        </is>
      </c>
      <c r="D1311" s="5" t="inlineStr">
        <is>
          <t>Kurnazlık</t>
        </is>
      </c>
      <c r="E1311" s="5" t="inlineStr">
        <is>
          <t>Orta</t>
        </is>
      </c>
      <c r="F1311" s="5" t="inlineStr"/>
      <c r="G1311" s="6" t="inlineStr"/>
      <c r="H1311" s="6" t="inlineStr">
        <is>
          <t>Dört kişi bir nakliye minibüsü kiraladınız. Adı “Tezkere Taşımacılık.” İlk ay üç ev taşıdınız, bir buzdolabını kurtaramadınız.</t>
        </is>
      </c>
      <c r="I1311" s="6" t="inlineStr">
        <is>
          <t>İşler öyle iyi gitti ki ikinci minibüsü aldınız. Şoförlerin hepsi aynı bölükten; araçta marş çalıyor.</t>
        </is>
      </c>
      <c r="J1311" s="6" t="inlineStr">
        <is>
          <t>Minibüsün kirasını ödediniz, iş gelmedi. Bir ay boyunca birbirinizi taşıdınız.</t>
        </is>
      </c>
      <c r="K1311" s="6" t="inlineStr">
        <is>
          <t>İlk taşımada üçlü koltuğu dördüncü katın merdiveninde sıkıştırdınız. Kışla alışkanlığıyla “Bir, iki, kaldır!” diye bağırdınız; bütün apartman kapıya çıktı. Koltuk hâlâ orada; komşular üstüne oturup ayakkabı bağlıyor.</t>
        </is>
      </c>
      <c r="L1311" s="6" t="inlineStr"/>
      <c r="M1311" s="5" t="inlineStr"/>
      <c r="N1311" s="5" t="inlineStr"/>
      <c r="O1311" s="6" t="inlineStr"/>
      <c r="P1311" s="6" t="inlineStr"/>
      <c r="Q1311" s="5" t="inlineStr"/>
      <c r="R1311" s="5" t="inlineStr">
        <is>
          <t>kisla-kankasi</t>
        </is>
      </c>
      <c r="S1311" s="5" t="inlineStr"/>
      <c r="T1311" s="5" t="inlineStr"/>
      <c r="U1311" s="5" t="inlineStr"/>
      <c r="V1311" s="5" t="inlineStr"/>
      <c r="W1311" s="5" t="inlineStr"/>
      <c r="X1311" s="5" t="inlineStr"/>
      <c r="Y1311" s="5" t="inlineStr"/>
      <c r="Z1311" s="6" t="inlineStr"/>
      <c r="AA1311" s="5" t="inlineStr"/>
      <c r="AB1311" s="5" t="inlineStr"/>
      <c r="AC1311" s="5" t="inlineStr"/>
      <c r="AD1311" s="5" t="inlineStr"/>
      <c r="AE1311" s="5" t="inlineStr"/>
      <c r="AF1311" s="5" t="inlineStr"/>
      <c r="AG1311" s="5" t="inlineStr"/>
      <c r="AH1311" s="5" t="inlineStr"/>
      <c r="AI1311" s="5" t="inlineStr"/>
      <c r="AJ1311" s="5" t="inlineStr"/>
    </row>
    <row r="1312">
      <c r="A1312" s="5" t="inlineStr">
        <is>
          <t>b6-tezkere</t>
        </is>
      </c>
      <c r="B1312" s="5" t="n">
        <v>3</v>
      </c>
      <c r="C1312" s="6" t="inlineStr">
        <is>
          <t>Ertesi gün iş aramaya çık</t>
        </is>
      </c>
      <c r="D1312" s="5" t="inlineStr">
        <is>
          <t>Dayanıklılık</t>
        </is>
      </c>
      <c r="E1312" s="5" t="inlineStr">
        <is>
          <t>Orta</t>
        </is>
      </c>
      <c r="F1312" s="5" t="inlineStr"/>
      <c r="G1312" s="6" t="inlineStr"/>
      <c r="H1312" s="6" t="inlineStr">
        <is>
          <t>Askerliğini yapmış olman kapıları açtı. “Askerlik yapıldı mı?” sorusuna gülerek cevap verdin; işe alındın.</t>
        </is>
      </c>
      <c r="I1312" s="6" t="inlineStr">
        <is>
          <t>İlk girdiğin yerde müdür, eski bölük komutanının kardeşi çıktı. Telefonu açtı, abisine sordu: “Bu çocuk nasıldı?” Cevabı duyamadın; müdür kalkıp sana kendi çayını verdi.</t>
        </is>
      </c>
      <c r="J1312" s="6" t="inlineStr">
        <is>
          <t>Her yer “Tecrübe?” diye sordu. Tecrüben var: nöbet. Özgeçmişe nasıl yazılacağını kimse bilmiyor.</t>
        </is>
      </c>
      <c r="K1312" s="6" t="inlineStr">
        <is>
          <t>Mülakatçı “Rahat olun” dedi. Refleksle “Rahat!” diye bağırıp topuk vurdun. Yan odadaki herkes ayağa kalktı. Görüşme orada bitti.</t>
        </is>
      </c>
      <c r="L1312" s="6" t="inlineStr"/>
      <c r="M1312" s="5" t="inlineStr"/>
      <c r="N1312" s="5" t="inlineStr"/>
      <c r="O1312" s="6" t="inlineStr"/>
      <c r="P1312" s="6" t="inlineStr"/>
      <c r="Q1312" s="5" t="inlineStr"/>
      <c r="R1312" s="5" t="inlineStr"/>
      <c r="S1312" s="5" t="inlineStr"/>
      <c r="T1312" s="5" t="inlineStr"/>
      <c r="U1312" s="5" t="inlineStr"/>
      <c r="V1312" s="5" t="inlineStr"/>
      <c r="W1312" s="5" t="inlineStr"/>
      <c r="X1312" s="5" t="inlineStr"/>
      <c r="Y1312" s="5" t="inlineStr"/>
      <c r="Z1312" s="6" t="inlineStr"/>
      <c r="AA1312" s="5" t="inlineStr"/>
      <c r="AB1312" s="5" t="inlineStr"/>
      <c r="AC1312" s="5" t="inlineStr"/>
      <c r="AD1312" s="5" t="inlineStr"/>
      <c r="AE1312" s="5" t="inlineStr"/>
      <c r="AF1312" s="5" t="inlineStr"/>
      <c r="AG1312" s="5" t="inlineStr"/>
      <c r="AH1312" s="5" t="inlineStr"/>
      <c r="AI1312" s="5" t="inlineStr"/>
      <c r="AJ1312" s="5" t="inlineStr"/>
    </row>
    <row r="1313">
      <c r="A1313" s="5" t="inlineStr">
        <is>
          <t>b6-ikinci-sinav</t>
        </is>
      </c>
      <c r="B1313" s="5" t="n">
        <v>1</v>
      </c>
      <c r="C1313" s="6" t="inlineStr">
        <is>
          <t>Bu sefer sırayla, sakince çöz</t>
        </is>
      </c>
      <c r="D1313" s="5" t="inlineStr">
        <is>
          <t>Akıl</t>
        </is>
      </c>
      <c r="E1313" s="5" t="inlineStr">
        <is>
          <t>Orta</t>
        </is>
      </c>
      <c r="F1313" s="5" t="inlineStr"/>
      <c r="G1313" s="6" t="inlineStr"/>
      <c r="H1313" s="6" t="inlineStr">
        <is>
          <t>Bu sefer eller titremedi. Sonuç açıklandığında adın listedeydi. Annen aynı mesajı aile grubuna iki kez gönderdi.</t>
        </is>
      </c>
      <c r="I1313" s="6" t="inlineStr">
        <is>
          <t>Bu sefer kalem bile titremedi. Puanın geçen yılın neredeyse iki katı. Dershane seni afişe bastı: “Bir yılda neler değişir?” Annen afişin önünde fotoğraf çektirdi, duraktaki herkese de gösterdi.</t>
        </is>
      </c>
      <c r="J1313" s="6" t="inlineStr">
        <is>
          <t>Bir yıl daha çalıştın; yine olmadı. Aile grubu bu sefer sessiz. Akşam annen odana çay getirdi, bir şey demeden bıraktı, çıktı.</t>
        </is>
      </c>
      <c r="K1313" s="6" t="inlineStr">
        <is>
          <t>Optik formu yine kaydırdın. Bu sefer iki satır. Dershane seni afişe bastı; “Yapmayın” başlığıyla.</t>
        </is>
      </c>
      <c r="L1313" s="6" t="inlineStr"/>
      <c r="M1313" s="5" t="inlineStr"/>
      <c r="N1313" s="5" t="inlineStr"/>
      <c r="O1313" s="6" t="inlineStr"/>
      <c r="P1313" s="6" t="inlineStr"/>
      <c r="Q1313" s="5" t="inlineStr"/>
      <c r="R1313" s="5" t="inlineStr"/>
      <c r="S1313" s="5" t="inlineStr"/>
      <c r="T1313" s="5" t="inlineStr"/>
      <c r="U1313" s="5" t="inlineStr"/>
      <c r="V1313" s="5" t="inlineStr">
        <is>
          <t>universiteli</t>
        </is>
      </c>
      <c r="W1313" s="5" t="inlineStr"/>
      <c r="X1313" s="5" t="inlineStr"/>
      <c r="Y1313" s="5" t="inlineStr"/>
      <c r="Z1313" s="6" t="inlineStr"/>
      <c r="AA1313" s="5" t="inlineStr">
        <is>
          <t>Erdem +1, Tan +1</t>
        </is>
      </c>
      <c r="AB1313" s="5" t="inlineStr">
        <is>
          <t>universitesiz</t>
        </is>
      </c>
      <c r="AC1313" s="5" t="inlineStr"/>
      <c r="AD1313" s="5" t="inlineStr"/>
      <c r="AE1313" s="5" t="inlineStr"/>
      <c r="AF1313" s="5" t="inlineStr"/>
      <c r="AG1313" s="5" t="inlineStr"/>
      <c r="AH1313" s="5" t="inlineStr"/>
      <c r="AI1313" s="5" t="inlineStr"/>
      <c r="AJ1313" s="5" t="inlineStr"/>
    </row>
    <row r="1314">
      <c r="A1314" s="5" t="inlineStr">
        <is>
          <t>b6-ikinci-sinav</t>
        </is>
      </c>
      <c r="B1314" s="5" t="n">
        <v>2</v>
      </c>
      <c r="C1314" s="6" t="inlineStr">
        <is>
          <t>Deneme tecrübene yaslan</t>
        </is>
      </c>
      <c r="D1314" s="5" t="inlineStr">
        <is>
          <t>Dayanıklılık</t>
        </is>
      </c>
      <c r="E1314" s="5" t="inlineStr">
        <is>
          <t>Kolay</t>
        </is>
      </c>
      <c r="F1314" s="5" t="inlineStr"/>
      <c r="G1314" s="6" t="inlineStr"/>
      <c r="H1314" s="6" t="inlineStr">
        <is>
          <t>Yüzlerce denemeden sonra bu sadece bir tane daha. Sonuç gecesi annen listedeki adına bakıp “Bu sen misin?” dedi; üç kez okuttu.</t>
        </is>
      </c>
      <c r="I1314" s="6" t="inlineStr">
        <is>
          <t>Salondaki gözetmen seni hatırladı: “Sen hep erken bitirirdin.” Bu sefer de erken bitirdin; bu sefer doğru.</t>
        </is>
      </c>
      <c r="J1314" s="6" t="inlineStr">
        <is>
          <t>Denemelerde hep tutan taktiklerin bu sefer tutmadı. Dershanedeki hocan sonucu görünce “Ama denemelerde…” dedi; cümleyi kimse bitiremedi.</t>
        </is>
      </c>
      <c r="K1314" s="6" t="inlineStr">
        <is>
          <t>Denemelerdeki gibi son yarım saati masada uyuyarak geçirdin. Dershanede seni hocan dürterdi; burada gözetmen dürttü, “Süre bitti” demek için.</t>
        </is>
      </c>
      <c r="L1314" s="6" t="inlineStr"/>
      <c r="M1314" s="5" t="inlineStr"/>
      <c r="N1314" s="5" t="inlineStr"/>
      <c r="O1314" s="6" t="inlineStr"/>
      <c r="P1314" s="6" t="inlineStr"/>
      <c r="Q1314" s="5" t="inlineStr">
        <is>
          <t>Deneme Kurdu</t>
        </is>
      </c>
      <c r="R1314" s="5" t="inlineStr"/>
      <c r="S1314" s="5" t="inlineStr"/>
      <c r="T1314" s="5" t="inlineStr"/>
      <c r="U1314" s="5" t="inlineStr"/>
      <c r="V1314" s="5" t="inlineStr">
        <is>
          <t>universiteli</t>
        </is>
      </c>
      <c r="W1314" s="5" t="inlineStr"/>
      <c r="X1314" s="5" t="inlineStr"/>
      <c r="Y1314" s="5" t="inlineStr"/>
      <c r="Z1314" s="6" t="inlineStr"/>
      <c r="AA1314" s="5" t="inlineStr"/>
      <c r="AB1314" s="5" t="inlineStr">
        <is>
          <t>universitesiz</t>
        </is>
      </c>
      <c r="AC1314" s="5" t="inlineStr"/>
      <c r="AD1314" s="5" t="inlineStr"/>
      <c r="AE1314" s="5" t="inlineStr"/>
      <c r="AF1314" s="5" t="inlineStr"/>
      <c r="AG1314" s="5" t="inlineStr"/>
      <c r="AH1314" s="5" t="inlineStr"/>
      <c r="AI1314" s="5" t="inlineStr"/>
      <c r="AJ1314" s="5" t="inlineStr"/>
    </row>
    <row r="1315">
      <c r="A1315" s="5" t="inlineStr">
        <is>
          <t>b6-ikinci-sinav</t>
        </is>
      </c>
      <c r="B1315" s="5" t="n">
        <v>3</v>
      </c>
      <c r="C1315" s="6" t="inlineStr">
        <is>
          <t>Sınava girme, çalışmaya başla</t>
        </is>
      </c>
      <c r="D1315" s="5" t="inlineStr"/>
      <c r="E1315" s="5" t="inlineStr"/>
      <c r="F1315" s="5" t="inlineStr">
        <is>
          <t>Cesaret +1, Dayanıklılık +1</t>
        </is>
      </c>
      <c r="G1315" s="6" t="inlineStr">
        <is>
          <t>Sınav sabahı işe gittin. Dershane arkandan üç mesaj attı, sonra vazgeçti. Annen o akşam “Sen bilirsin” dedi; bu cümle evde en ağır cümledir.</t>
        </is>
      </c>
      <c r="H1315" s="6" t="inlineStr"/>
      <c r="I1315" s="6" t="inlineStr"/>
      <c r="J1315" s="6" t="inlineStr"/>
      <c r="K1315" s="6" t="inlineStr"/>
      <c r="L1315" s="6" t="inlineStr"/>
      <c r="M1315" s="5" t="inlineStr"/>
      <c r="N1315" s="5" t="inlineStr"/>
      <c r="O1315" s="6" t="inlineStr"/>
      <c r="P1315" s="6" t="inlineStr"/>
      <c r="Q1315" s="5" t="inlineStr"/>
      <c r="R1315" s="5" t="inlineStr"/>
      <c r="S1315" s="5" t="inlineStr"/>
      <c r="T1315" s="5" t="inlineStr"/>
      <c r="U1315" s="5" t="inlineStr">
        <is>
          <t>universitesiz</t>
        </is>
      </c>
      <c r="V1315" s="5" t="inlineStr"/>
      <c r="W1315" s="5" t="inlineStr"/>
      <c r="X1315" s="5" t="inlineStr"/>
      <c r="Y1315" s="5" t="inlineStr"/>
      <c r="Z1315" s="6" t="inlineStr"/>
      <c r="AA1315" s="5" t="inlineStr">
        <is>
          <t>Erdem -1, Tan -1</t>
        </is>
      </c>
      <c r="AB1315" s="5" t="inlineStr"/>
      <c r="AC1315" s="5" t="inlineStr"/>
      <c r="AD1315" s="5" t="inlineStr"/>
      <c r="AE1315" s="5" t="inlineStr"/>
      <c r="AF1315" s="5" t="inlineStr"/>
      <c r="AG1315" s="5" t="inlineStr"/>
      <c r="AH1315" s="5" t="inlineStr"/>
      <c r="AI1315" s="5" t="inlineStr"/>
      <c r="AJ1315" s="5" t="inlineStr"/>
    </row>
    <row r="1316">
      <c r="A1316" s="5" t="inlineStr">
        <is>
          <t>b6-ikinci-tercih</t>
        </is>
      </c>
      <c r="B1316" s="5" t="n">
        <v>1</v>
      </c>
      <c r="C1316" s="6" t="inlineStr">
        <is>
          <t>Hukuk</t>
        </is>
      </c>
      <c r="D1316" s="5" t="inlineStr"/>
      <c r="E1316" s="5" t="inlineStr"/>
      <c r="F1316" s="5" t="inlineStr">
        <is>
          <t>Çene +1, Akıl +1</t>
        </is>
      </c>
      <c r="G1316" s="6" t="inlineStr">
        <is>
          <t>Hukuk yazdın. Annen hemen bir akrabayı aradı: “Bizimki avukat oluyor.” Daha birinci sınıf bile değilsin; akraba ise bir davası için randevu istedi.</t>
        </is>
      </c>
      <c r="H1316" s="6" t="inlineStr"/>
      <c r="I1316" s="6" t="inlineStr"/>
      <c r="J1316" s="6" t="inlineStr"/>
      <c r="K1316" s="6" t="inlineStr"/>
      <c r="L1316" s="6" t="inlineStr"/>
      <c r="M1316" s="5" t="inlineStr"/>
      <c r="N1316" s="5" t="inlineStr"/>
      <c r="O1316" s="6" t="inlineStr"/>
      <c r="P1316" s="6" t="inlineStr"/>
      <c r="Q1316" s="5" t="inlineStr"/>
      <c r="R1316" s="5" t="inlineStr"/>
      <c r="S1316" s="5" t="inlineStr"/>
      <c r="T1316" s="5" t="inlineStr"/>
      <c r="U1316" s="5" t="inlineStr">
        <is>
          <t>bolum-hukuk</t>
        </is>
      </c>
      <c r="V1316" s="5" t="inlineStr"/>
      <c r="W1316" s="5" t="inlineStr"/>
      <c r="X1316" s="5" t="inlineStr"/>
      <c r="Y1316" s="5" t="inlineStr"/>
      <c r="Z1316" s="6" t="inlineStr"/>
      <c r="AA1316" s="5" t="inlineStr"/>
      <c r="AB1316" s="5" t="inlineStr"/>
      <c r="AC1316" s="5" t="inlineStr"/>
      <c r="AD1316" s="5" t="inlineStr"/>
      <c r="AE1316" s="5" t="inlineStr"/>
      <c r="AF1316" s="5" t="inlineStr"/>
      <c r="AG1316" s="5" t="inlineStr"/>
      <c r="AH1316" s="5" t="inlineStr"/>
      <c r="AI1316" s="5" t="inlineStr"/>
      <c r="AJ1316" s="5" t="inlineStr"/>
    </row>
    <row r="1317">
      <c r="A1317" s="5" t="inlineStr">
        <is>
          <t>b6-ikinci-tercih</t>
        </is>
      </c>
      <c r="B1317" s="5" t="n">
        <v>2</v>
      </c>
      <c r="C1317" s="6" t="inlineStr">
        <is>
          <t>Polis okulu</t>
        </is>
      </c>
      <c r="D1317" s="5" t="inlineStr"/>
      <c r="E1317" s="5" t="inlineStr"/>
      <c r="F1317" s="5" t="inlineStr">
        <is>
          <t>Cesaret +1, İtibar +1</t>
        </is>
      </c>
      <c r="G1317" s="6" t="inlineStr">
        <is>
          <t>Polis okulunu yazdın. Baban seni ilk kez bir üniformanın içinde hayal etti ve gözleri doldu; sonra sesli sesli “Saçını kestir” dedi.</t>
        </is>
      </c>
      <c r="H1317" s="6" t="inlineStr"/>
      <c r="I1317" s="6" t="inlineStr"/>
      <c r="J1317" s="6" t="inlineStr"/>
      <c r="K1317" s="6" t="inlineStr"/>
      <c r="L1317" s="6" t="inlineStr"/>
      <c r="M1317" s="5" t="inlineStr"/>
      <c r="N1317" s="5" t="inlineStr"/>
      <c r="O1317" s="6" t="inlineStr"/>
      <c r="P1317" s="6" t="inlineStr"/>
      <c r="Q1317" s="5" t="inlineStr"/>
      <c r="R1317" s="5" t="inlineStr"/>
      <c r="S1317" s="5" t="inlineStr"/>
      <c r="T1317" s="5" t="inlineStr"/>
      <c r="U1317" s="5" t="inlineStr">
        <is>
          <t>bolum-emniyet</t>
        </is>
      </c>
      <c r="V1317" s="5" t="inlineStr"/>
      <c r="W1317" s="5" t="inlineStr"/>
      <c r="X1317" s="5" t="inlineStr"/>
      <c r="Y1317" s="5" t="inlineStr"/>
      <c r="Z1317" s="6" t="inlineStr"/>
      <c r="AA1317" s="5" t="inlineStr"/>
      <c r="AB1317" s="5" t="inlineStr"/>
      <c r="AC1317" s="5" t="inlineStr"/>
      <c r="AD1317" s="5" t="inlineStr"/>
      <c r="AE1317" s="5" t="inlineStr"/>
      <c r="AF1317" s="5" t="inlineStr"/>
      <c r="AG1317" s="5" t="inlineStr"/>
      <c r="AH1317" s="5" t="inlineStr"/>
      <c r="AI1317" s="5" t="inlineStr"/>
      <c r="AJ1317" s="5" t="inlineStr"/>
    </row>
    <row r="1318">
      <c r="A1318" s="5" t="inlineStr">
        <is>
          <t>b6-ikinci-tercih</t>
        </is>
      </c>
      <c r="B1318" s="5" t="n">
        <v>3</v>
      </c>
      <c r="C1318" s="6" t="inlineStr">
        <is>
          <t>Mühendislik</t>
        </is>
      </c>
      <c r="D1318" s="5" t="inlineStr"/>
      <c r="E1318" s="5" t="inlineStr"/>
      <c r="F1318" s="5" t="inlineStr">
        <is>
          <t>Akıl +1, Dayanıklılık +1</t>
        </is>
      </c>
      <c r="G1318" s="6" t="inlineStr">
        <is>
          <t>Mühendislik yazdın. O günden sonra evde bozulan her şey sana soruldu. Kombi, televizyon, bir de babanın ruh hâli.</t>
        </is>
      </c>
      <c r="H1318" s="6" t="inlineStr"/>
      <c r="I1318" s="6" t="inlineStr"/>
      <c r="J1318" s="6" t="inlineStr"/>
      <c r="K1318" s="6" t="inlineStr"/>
      <c r="L1318" s="6" t="inlineStr"/>
      <c r="M1318" s="5" t="inlineStr"/>
      <c r="N1318" s="5" t="inlineStr"/>
      <c r="O1318" s="6" t="inlineStr"/>
      <c r="P1318" s="6" t="inlineStr"/>
      <c r="Q1318" s="5" t="inlineStr"/>
      <c r="R1318" s="5" t="inlineStr"/>
      <c r="S1318" s="5" t="inlineStr"/>
      <c r="T1318" s="5" t="inlineStr"/>
      <c r="U1318" s="5" t="inlineStr">
        <is>
          <t>bolum-muhendislik</t>
        </is>
      </c>
      <c r="V1318" s="5" t="inlineStr"/>
      <c r="W1318" s="5" t="inlineStr"/>
      <c r="X1318" s="5" t="inlineStr"/>
      <c r="Y1318" s="5" t="inlineStr"/>
      <c r="Z1318" s="6" t="inlineStr"/>
      <c r="AA1318" s="5" t="inlineStr"/>
      <c r="AB1318" s="5" t="inlineStr"/>
      <c r="AC1318" s="5" t="inlineStr"/>
      <c r="AD1318" s="5" t="inlineStr"/>
      <c r="AE1318" s="5" t="inlineStr"/>
      <c r="AF1318" s="5" t="inlineStr"/>
      <c r="AG1318" s="5" t="inlineStr"/>
      <c r="AH1318" s="5" t="inlineStr"/>
      <c r="AI1318" s="5" t="inlineStr"/>
      <c r="AJ1318" s="5" t="inlineStr"/>
    </row>
    <row r="1319">
      <c r="A1319" s="5" t="inlineStr">
        <is>
          <t>b6-ikinci-tercih</t>
        </is>
      </c>
      <c r="B1319" s="5" t="n">
        <v>4</v>
      </c>
      <c r="C1319" s="6" t="inlineStr">
        <is>
          <t>İşletme</t>
        </is>
      </c>
      <c r="D1319" s="5" t="inlineStr"/>
      <c r="E1319" s="5" t="inlineStr"/>
      <c r="F1319" s="5" t="inlineStr">
        <is>
          <t>Kurnazlık +1, Akıl +1</t>
        </is>
      </c>
      <c r="G1319" s="6" t="inlineStr">
        <is>
          <t>İşletme yazdın. Amcan “İşletme ne işletir?” diye sordu. Dört yıl boyunca aynı soruyu cevaplayacaksın.</t>
        </is>
      </c>
      <c r="H1319" s="6" t="inlineStr"/>
      <c r="I1319" s="6" t="inlineStr"/>
      <c r="J1319" s="6" t="inlineStr"/>
      <c r="K1319" s="6" t="inlineStr"/>
      <c r="L1319" s="6" t="inlineStr"/>
      <c r="M1319" s="5" t="inlineStr"/>
      <c r="N1319" s="5" t="inlineStr"/>
      <c r="O1319" s="6" t="inlineStr"/>
      <c r="P1319" s="6" t="inlineStr"/>
      <c r="Q1319" s="5" t="inlineStr"/>
      <c r="R1319" s="5" t="inlineStr"/>
      <c r="S1319" s="5" t="inlineStr"/>
      <c r="T1319" s="5" t="inlineStr"/>
      <c r="U1319" s="5" t="inlineStr">
        <is>
          <t>bolum-isletme</t>
        </is>
      </c>
      <c r="V1319" s="5" t="inlineStr"/>
      <c r="W1319" s="5" t="inlineStr"/>
      <c r="X1319" s="5" t="inlineStr"/>
      <c r="Y1319" s="5" t="inlineStr"/>
      <c r="Z1319" s="6" t="inlineStr"/>
      <c r="AA1319" s="5" t="inlineStr"/>
      <c r="AB1319" s="5" t="inlineStr"/>
      <c r="AC1319" s="5" t="inlineStr"/>
      <c r="AD1319" s="5" t="inlineStr"/>
      <c r="AE1319" s="5" t="inlineStr"/>
      <c r="AF1319" s="5" t="inlineStr"/>
      <c r="AG1319" s="5" t="inlineStr"/>
      <c r="AH1319" s="5" t="inlineStr"/>
      <c r="AI1319" s="5" t="inlineStr"/>
      <c r="AJ1319" s="5" t="inlineStr"/>
    </row>
    <row r="1320">
      <c r="A1320" s="5" t="inlineStr">
        <is>
          <t>b6-ikinci-tercih</t>
        </is>
      </c>
      <c r="B1320" s="5" t="n">
        <v>5</v>
      </c>
      <c r="C1320" s="6" t="inlineStr">
        <is>
          <t>İletişim ya da konservatuvar</t>
        </is>
      </c>
      <c r="D1320" s="5" t="inlineStr"/>
      <c r="E1320" s="5" t="inlineStr"/>
      <c r="F1320" s="5" t="inlineStr">
        <is>
          <t>Pişkinlik +1, Çene +1</t>
        </is>
      </c>
      <c r="G1320" s="6" t="inlineStr">
        <is>
          <t>Sahneye giden yolu yazdın. Teyzen “Televizyona çıkınca bizi de söyle” dedi. Listesini şimdiden hazırlamış.</t>
        </is>
      </c>
      <c r="H1320" s="6" t="inlineStr"/>
      <c r="I1320" s="6" t="inlineStr"/>
      <c r="J1320" s="6" t="inlineStr"/>
      <c r="K1320" s="6" t="inlineStr"/>
      <c r="L1320" s="6" t="inlineStr"/>
      <c r="M1320" s="5" t="inlineStr"/>
      <c r="N1320" s="5" t="inlineStr"/>
      <c r="O1320" s="6" t="inlineStr"/>
      <c r="P1320" s="6" t="inlineStr"/>
      <c r="Q1320" s="5" t="inlineStr"/>
      <c r="R1320" s="5" t="inlineStr"/>
      <c r="S1320" s="5" t="inlineStr"/>
      <c r="T1320" s="5" t="inlineStr"/>
      <c r="U1320" s="5" t="inlineStr">
        <is>
          <t>bolum-iletisim</t>
        </is>
      </c>
      <c r="V1320" s="5" t="inlineStr"/>
      <c r="W1320" s="5" t="inlineStr"/>
      <c r="X1320" s="5" t="inlineStr"/>
      <c r="Y1320" s="5" t="inlineStr"/>
      <c r="Z1320" s="6" t="inlineStr"/>
      <c r="AA1320" s="5" t="inlineStr"/>
      <c r="AB1320" s="5" t="inlineStr"/>
      <c r="AC1320" s="5" t="inlineStr"/>
      <c r="AD1320" s="5" t="inlineStr"/>
      <c r="AE1320" s="5" t="inlineStr"/>
      <c r="AF1320" s="5" t="inlineStr"/>
      <c r="AG1320" s="5" t="inlineStr"/>
      <c r="AH1320" s="5" t="inlineStr"/>
      <c r="AI1320" s="5" t="inlineStr"/>
      <c r="AJ1320" s="5" t="inlineStr"/>
    </row>
    <row r="1321">
      <c r="A1321" s="5" t="inlineStr">
        <is>
          <t>b6-ikinci-tercih</t>
        </is>
      </c>
      <c r="B1321" s="5" t="n">
        <v>6</v>
      </c>
      <c r="C1321" s="6" t="inlineStr">
        <is>
          <t>Tıbbı zorla</t>
        </is>
      </c>
      <c r="D1321" s="5" t="inlineStr">
        <is>
          <t>Akıl</t>
        </is>
      </c>
      <c r="E1321" s="5" t="inlineStr">
        <is>
          <t>Zor</t>
        </is>
      </c>
      <c r="F1321" s="5" t="inlineStr"/>
      <c r="G1321" s="6" t="inlineStr"/>
      <c r="H1321" s="6" t="inlineStr">
        <is>
          <t>Tıbba yerleştin. Annen haberi verirken “bir yıl kaybetti” kısmını atladı; artık “bir yıl olgunlaştı” deniyor.</t>
        </is>
      </c>
      <c r="I1321" s="6" t="inlineStr">
        <is>
          <t>Tıbbı bu sefer ilk sıralardan tutturdun. Geçen yıl “Olmadı” diyen teyzen bu yıl ilk röntgenini attı.</t>
        </is>
      </c>
      <c r="J1321" s="6" t="inlineStr">
        <is>
          <t>Puan tıbba yine yetmedi; biyolojiye yerleştin. Teyzen yine de komşulara “Bizimki doktor olacak” diyor; düzeltmekten vazgeçtin.</t>
        </is>
      </c>
      <c r="K1321" s="6" t="inlineStr">
        <is>
          <t>Sıralamayı ters girdin, diş teknikerliğine yerleştin. Aile grubunda artık herkes sana dişini gösteriyor.</t>
        </is>
      </c>
      <c r="L1321" s="6" t="inlineStr"/>
      <c r="M1321" s="5" t="inlineStr"/>
      <c r="N1321" s="5" t="inlineStr"/>
      <c r="O1321" s="6" t="inlineStr"/>
      <c r="P1321" s="6" t="inlineStr"/>
      <c r="Q1321" s="5" t="inlineStr"/>
      <c r="R1321" s="5" t="inlineStr"/>
      <c r="S1321" s="5" t="inlineStr"/>
      <c r="T1321" s="5" t="inlineStr"/>
      <c r="U1321" s="5" t="inlineStr"/>
      <c r="V1321" s="5" t="inlineStr">
        <is>
          <t>bolum-tip</t>
        </is>
      </c>
      <c r="W1321" s="5" t="inlineStr"/>
      <c r="X1321" s="5" t="inlineStr"/>
      <c r="Y1321" s="5" t="inlineStr"/>
      <c r="Z1321" s="6" t="inlineStr"/>
      <c r="AA1321" s="5" t="inlineStr"/>
      <c r="AB1321" s="5" t="inlineStr"/>
      <c r="AC1321" s="5" t="inlineStr"/>
      <c r="AD1321" s="5" t="inlineStr"/>
      <c r="AE1321" s="5" t="inlineStr"/>
      <c r="AF1321" s="5" t="inlineStr"/>
      <c r="AG1321" s="5" t="inlineStr"/>
      <c r="AH1321" s="5" t="inlineStr"/>
      <c r="AI1321" s="5" t="inlineStr"/>
      <c r="AJ1321" s="5" t="inlineStr"/>
    </row>
    <row r="1322">
      <c r="A1322" s="5" t="inlineStr">
        <is>
          <t>b6-tezgah-ilk-yil</t>
        </is>
      </c>
      <c r="B1322" s="5" t="n">
        <v>1</v>
      </c>
      <c r="C1322" s="6" t="inlineStr">
        <is>
          <t>Kuzeni bekle</t>
        </is>
      </c>
      <c r="D1322" s="5" t="inlineStr"/>
      <c r="E1322" s="5" t="inlineStr"/>
      <c r="F1322" s="5" t="inlineStr">
        <is>
          <t>İtibar +1, Dayanıklılık +1</t>
        </is>
      </c>
      <c r="G1322" s="6" t="inlineStr">
        <is>
          <t>Müşteriyi on dakika tuttun; hava durumunu, trafiği ve belediyeyi konuştunuz. Kuzen döndü, sattı. Akşam halana anlattı: “Lafı uzatmayı bizden öğrenmiş.”</t>
        </is>
      </c>
      <c r="H1322" s="6" t="inlineStr"/>
      <c r="I1322" s="6" t="inlineStr"/>
      <c r="J1322" s="6" t="inlineStr"/>
      <c r="K1322" s="6" t="inlineStr"/>
      <c r="L1322" s="6" t="inlineStr"/>
      <c r="M1322" s="5" t="inlineStr"/>
      <c r="N1322" s="5" t="inlineStr"/>
      <c r="O1322" s="6" t="inlineStr"/>
      <c r="P1322" s="6" t="inlineStr"/>
      <c r="Q1322" s="5" t="inlineStr"/>
      <c r="R1322" s="5" t="inlineStr"/>
      <c r="S1322" s="5" t="inlineStr"/>
      <c r="T1322" s="5" t="inlineStr"/>
      <c r="U1322" s="5" t="inlineStr"/>
      <c r="V1322" s="5" t="inlineStr"/>
      <c r="W1322" s="5" t="inlineStr"/>
      <c r="X1322" s="5" t="inlineStr"/>
      <c r="Y1322" s="5" t="inlineStr"/>
      <c r="Z1322" s="6" t="inlineStr"/>
      <c r="AA1322" s="5" t="inlineStr"/>
      <c r="AB1322" s="5" t="inlineStr"/>
      <c r="AC1322" s="5" t="inlineStr"/>
      <c r="AD1322" s="5" t="inlineStr"/>
      <c r="AE1322" s="5" t="inlineStr"/>
      <c r="AF1322" s="5" t="inlineStr"/>
      <c r="AG1322" s="5" t="inlineStr"/>
      <c r="AH1322" s="5" t="inlineStr"/>
      <c r="AI1322" s="5" t="inlineStr"/>
      <c r="AJ1322" s="5" t="inlineStr"/>
    </row>
    <row r="1323">
      <c r="A1323" s="5" t="inlineStr">
        <is>
          <t>b6-tezgah-ilk-yil</t>
        </is>
      </c>
      <c r="B1323" s="5" t="n">
        <v>2</v>
      </c>
      <c r="C1323" s="6" t="inlineStr">
        <is>
          <t>Fiyatı sen söyle</t>
        </is>
      </c>
      <c r="D1323" s="5" t="inlineStr">
        <is>
          <t>Çene</t>
        </is>
      </c>
      <c r="E1323" s="5" t="inlineStr">
        <is>
          <t>Zor</t>
        </is>
      </c>
      <c r="F1323" s="5" t="inlineStr"/>
      <c r="G1323" s="6" t="inlineStr"/>
      <c r="H1323" s="6" t="inlineStr">
        <is>
          <t>Fiyatı söyledin, müşteri pazarlık etti, sen de ettin. Satış oldu. Kuzen tuvaletten çıkınca kasaya baktı, sonra sana baktı.</t>
        </is>
      </c>
      <c r="I1323" s="6" t="inlineStr">
        <is>
          <t>Müşteri iki tane aldı, bir de arkadaşını getirdi. Kuzen o akşam tezgâha ikinci bir sandalye koydu: “Bu senin.”</t>
        </is>
      </c>
      <c r="J1323" s="6" t="inlineStr">
        <is>
          <t>Fiyatı söyledin, müşteri güldü, gitti. Kuzen döndüğünde “Ne dedin?” diye sordu. Söylediğini tekrar etmedin.</t>
        </is>
      </c>
      <c r="K1323" s="6" t="inlineStr">
        <is>
          <t>Fiyat diye alış fiyatını söyledin. Müşteri gözlerine inanamadı, üç kasa aldı, bir de kardeşini aradı. Kuzen tuvaletten çıktığında tezgâh boştu. O hafta seninle konuşmadı; her şeyi halana anlattı.</t>
        </is>
      </c>
      <c r="L1323" s="6" t="inlineStr"/>
      <c r="M1323" s="5" t="inlineStr"/>
      <c r="N1323" s="5" t="inlineStr"/>
      <c r="O1323" s="6" t="inlineStr"/>
      <c r="P1323" s="6" t="inlineStr"/>
      <c r="Q1323" s="5" t="inlineStr"/>
      <c r="R1323" s="5" t="inlineStr"/>
      <c r="S1323" s="5" t="inlineStr"/>
      <c r="T1323" s="5" t="inlineStr">
        <is>
          <t>Tezgâh Ağzı</t>
        </is>
      </c>
      <c r="U1323" s="5" t="inlineStr"/>
      <c r="V1323" s="5" t="inlineStr"/>
      <c r="W1323" s="5" t="inlineStr"/>
      <c r="X1323" s="5" t="inlineStr"/>
      <c r="Y1323" s="5" t="inlineStr"/>
      <c r="Z1323" s="6" t="inlineStr"/>
      <c r="AA1323" s="5" t="inlineStr"/>
      <c r="AB1323" s="5" t="inlineStr"/>
      <c r="AC1323" s="5" t="inlineStr"/>
      <c r="AD1323" s="5" t="inlineStr"/>
      <c r="AE1323" s="5" t="inlineStr"/>
      <c r="AF1323" s="5" t="inlineStr"/>
      <c r="AG1323" s="5" t="inlineStr"/>
      <c r="AH1323" s="5" t="inlineStr"/>
      <c r="AI1323" s="5" t="inlineStr"/>
      <c r="AJ1323" s="5" t="inlineStr"/>
    </row>
    <row r="1324">
      <c r="A1324" s="5" t="inlineStr">
        <is>
          <t>b6-tezgah-ilk-yil</t>
        </is>
      </c>
      <c r="B1324" s="5" t="n">
        <v>3</v>
      </c>
      <c r="C1324" s="6" t="inlineStr">
        <is>
          <t>Kasadan “bahşiş” ayır</t>
        </is>
      </c>
      <c r="D1324" s="5" t="inlineStr">
        <is>
          <t>Kurnazlık</t>
        </is>
      </c>
      <c r="E1324" s="5" t="inlineStr">
        <is>
          <t>Orta</t>
        </is>
      </c>
      <c r="F1324" s="5" t="inlineStr"/>
      <c r="G1324" s="6" t="inlineStr"/>
      <c r="H1324" s="6" t="inlineStr">
        <is>
          <t>Günde biraz ayırdın, kimse fark etmedi. Kasa defterine kuzenin yazısıyla “Fire” diye geçti.</t>
        </is>
      </c>
      <c r="I1324" s="6" t="inlineStr">
        <is>
          <t>Öyle ustaca ayırdın ki ay sonu kasa fazla çıktı. Kuzen bunu bereket sandı; sana bir de zam yaptı.</t>
        </is>
      </c>
      <c r="J1324" s="6" t="inlineStr">
        <is>
          <t>Ayırdın, sonra vicdanın ağır bastı, geri koydun. Kuzen iki kere saydığı kasayı üçüncü kez saydı.</t>
        </is>
      </c>
      <c r="K1324" s="6" t="inlineStr">
        <is>
          <t>Kuzen kasayı sayarken eğildin; cebinden bozuklar şıngır şıngır tezgâha döküldü. Kuzen hepsini tek tek toplayıp kasaya koydu, sonra sana yeni bir önlük uzattı: cepsiz. Bütün çarşı o önlüğün hikâyesini biliyor.</t>
        </is>
      </c>
      <c r="L1324" s="6" t="inlineStr"/>
      <c r="M1324" s="5" t="inlineStr"/>
      <c r="N1324" s="5" t="inlineStr"/>
      <c r="O1324" s="6" t="inlineStr"/>
      <c r="P1324" s="6" t="inlineStr"/>
      <c r="Q1324" s="5" t="inlineStr"/>
      <c r="R1324" s="5" t="inlineStr"/>
      <c r="S1324" s="5" t="inlineStr"/>
      <c r="T1324" s="5" t="inlineStr"/>
      <c r="U1324" s="5" t="inlineStr"/>
      <c r="V1324" s="5" t="inlineStr"/>
      <c r="W1324" s="5" t="inlineStr">
        <is>
          <t>yalanci</t>
        </is>
      </c>
      <c r="X1324" s="5" t="inlineStr"/>
      <c r="Y1324" s="5" t="inlineStr"/>
      <c r="Z1324" s="6" t="inlineStr"/>
      <c r="AA1324" s="5" t="inlineStr"/>
      <c r="AB1324" s="5" t="inlineStr"/>
      <c r="AC1324" s="5" t="inlineStr"/>
      <c r="AD1324" s="5" t="inlineStr"/>
      <c r="AE1324" s="5" t="inlineStr"/>
      <c r="AF1324" s="5" t="inlineStr"/>
      <c r="AG1324" s="5" t="inlineStr"/>
      <c r="AH1324" s="5" t="inlineStr"/>
      <c r="AI1324" s="5" t="inlineStr"/>
      <c r="AJ1324" s="5" t="inlineStr"/>
    </row>
    <row r="1325">
      <c r="A1325" s="5" t="inlineStr">
        <is>
          <t>b6-abinin-cantasi</t>
        </is>
      </c>
      <c r="B1325" s="5" t="n">
        <v>1</v>
      </c>
      <c r="C1325" s="6" t="inlineStr">
        <is>
          <t>Açmadan götür</t>
        </is>
      </c>
      <c r="D1325" s="5" t="inlineStr"/>
      <c r="E1325" s="5" t="inlineStr"/>
      <c r="F1325" s="5" t="inlineStr">
        <is>
          <t>Pişkinlik +1, Dayanıklılık +1</t>
        </is>
      </c>
      <c r="G1325" s="6" t="inlineStr">
        <is>
          <t>Çantayı açmadan bıraktın; kahveci çay ısmarladı, çay bitmeden döndün. Abi sırtını sıvazladı: “Güvenilir adamsın.” Akşam annen “Bugün ne yaptın?” diye sordu; “Hiç” dedin.</t>
        </is>
      </c>
      <c r="H1325" s="6" t="inlineStr"/>
      <c r="I1325" s="6" t="inlineStr"/>
      <c r="J1325" s="6" t="inlineStr"/>
      <c r="K1325" s="6" t="inlineStr"/>
      <c r="L1325" s="6" t="inlineStr"/>
      <c r="M1325" s="5" t="inlineStr"/>
      <c r="N1325" s="5" t="inlineStr"/>
      <c r="O1325" s="6" t="inlineStr"/>
      <c r="P1325" s="6" t="inlineStr"/>
      <c r="Q1325" s="5" t="inlineStr"/>
      <c r="R1325" s="5" t="inlineStr"/>
      <c r="S1325" s="5" t="inlineStr"/>
      <c r="T1325" s="5" t="inlineStr"/>
      <c r="U1325" s="5" t="inlineStr">
        <is>
          <t>abiye-borclu</t>
        </is>
      </c>
      <c r="V1325" s="5" t="inlineStr"/>
      <c r="W1325" s="5" t="inlineStr"/>
      <c r="X1325" s="5" t="inlineStr"/>
      <c r="Y1325" s="5" t="inlineStr"/>
      <c r="Z1325" s="6" t="inlineStr"/>
      <c r="AA1325" s="5" t="inlineStr"/>
      <c r="AB1325" s="5" t="inlineStr"/>
      <c r="AC1325" s="5" t="inlineStr"/>
      <c r="AD1325" s="5" t="inlineStr"/>
      <c r="AE1325" s="5" t="inlineStr"/>
      <c r="AF1325" s="5" t="inlineStr"/>
      <c r="AG1325" s="5" t="inlineStr"/>
      <c r="AH1325" s="5" t="inlineStr"/>
      <c r="AI1325" s="5" t="inlineStr"/>
      <c r="AJ1325" s="5" t="inlineStr"/>
    </row>
    <row r="1326">
      <c r="A1326" s="5" t="inlineStr">
        <is>
          <t>b6-abinin-cantasi</t>
        </is>
      </c>
      <c r="B1326" s="5" t="n">
        <v>2</v>
      </c>
      <c r="C1326" s="6" t="inlineStr">
        <is>
          <t>Yolda içine bak</t>
        </is>
      </c>
      <c r="D1326" s="5" t="inlineStr">
        <is>
          <t>Kurnazlık</t>
        </is>
      </c>
      <c r="E1326" s="5" t="inlineStr">
        <is>
          <t>Orta</t>
        </is>
      </c>
      <c r="F1326" s="5" t="inlineStr"/>
      <c r="G1326" s="6" t="inlineStr"/>
      <c r="H1326" s="6" t="inlineStr">
        <is>
          <t>Çantada tapu fotokopileri, bir tespih ve yarım simit vardı. Neyin fotokopisi olduğunu okudun; şimdi abinin hangi arsalarla ilgilendiğini biliyorsun.</t>
        </is>
      </c>
      <c r="I1326" s="6" t="inlineStr">
        <is>
          <t>Fotokopileri telefonuna da çektin. Abinin bütün arsa işleri artık sende. Bunu kimseye söylemedin; henüz.</t>
        </is>
      </c>
      <c r="J1326" s="6" t="inlineStr">
        <is>
          <t>Fermuarı açarken sıkıştı. Çanta kahveye yarısı açık gitti. Kahveci sana uzun uzun baktı.</t>
        </is>
      </c>
      <c r="K1326" s="6" t="inlineStr">
        <is>
          <t>Fermuarı açtığın an abinin arabası yanında yavaşladı, cam indi. Abi çantaya baktı, sonra sana: “Simit yarımdı, değil mi?” O günden beri seni her görüşünde soruyor: “Simidin öbür yarısı nerede?”</t>
        </is>
      </c>
      <c r="L1326" s="6" t="inlineStr"/>
      <c r="M1326" s="5" t="inlineStr"/>
      <c r="N1326" s="5" t="inlineStr"/>
      <c r="O1326" s="6" t="inlineStr"/>
      <c r="P1326" s="6" t="inlineStr"/>
      <c r="Q1326" s="5" t="inlineStr"/>
      <c r="R1326" s="5" t="inlineStr"/>
      <c r="S1326" s="5" t="inlineStr"/>
      <c r="T1326" s="5" t="inlineStr"/>
      <c r="U1326" s="5" t="inlineStr"/>
      <c r="V1326" s="5" t="inlineStr">
        <is>
          <t>abiye-borclu</t>
        </is>
      </c>
      <c r="W1326" s="5" t="inlineStr">
        <is>
          <t>abiye-borclu</t>
        </is>
      </c>
      <c r="X1326" s="5" t="inlineStr"/>
      <c r="Y1326" s="5" t="inlineStr"/>
      <c r="Z1326" s="6" t="inlineStr"/>
      <c r="AA1326" s="5" t="inlineStr"/>
      <c r="AB1326" s="5" t="inlineStr"/>
      <c r="AC1326" s="5" t="inlineStr"/>
      <c r="AD1326" s="5" t="inlineStr"/>
      <c r="AE1326" s="5" t="inlineStr"/>
      <c r="AF1326" s="5" t="inlineStr"/>
      <c r="AG1326" s="5" t="inlineStr"/>
      <c r="AH1326" s="5" t="inlineStr"/>
      <c r="AI1326" s="5" t="inlineStr"/>
      <c r="AJ1326" s="5" t="inlineStr"/>
    </row>
    <row r="1327">
      <c r="A1327" s="5" t="inlineStr">
        <is>
          <t>b6-abinin-cantasi</t>
        </is>
      </c>
      <c r="B1327" s="5" t="n">
        <v>3</v>
      </c>
      <c r="C1327" s="6" t="inlineStr">
        <is>
          <t>Çantayı karakola bırak</t>
        </is>
      </c>
      <c r="D1327" s="5" t="inlineStr">
        <is>
          <t>Cesaret</t>
        </is>
      </c>
      <c r="E1327" s="5" t="inlineStr">
        <is>
          <t>Zor</t>
        </is>
      </c>
      <c r="F1327" s="5" t="inlineStr"/>
      <c r="G1327" s="6" t="inlineStr"/>
      <c r="H1327" s="6" t="inlineStr">
        <is>
          <t>Komiser çantayı açtı, tapu fotokopilerine baktı, sana baktı. “Otur, çay iç” dedi. O günden sonra abinin kahvesine uğramadın; abi de seni aramadı.</t>
        </is>
      </c>
      <c r="I1327" s="6" t="inlineStr">
        <is>
          <t>Komiser seni bir kenara çekti: “Bizde okuyabilirsin, polis okulunun sınavı var.” Kartvizitini verdi. Abi olanları hiç öğrenmedi.</t>
        </is>
      </c>
      <c r="J1327" s="6" t="inlineStr">
        <is>
          <t>Karakolun kapısında döndün. Çantayı kahveye götürdün, bir saat geç. Abi saati sordu; sen “Trafik” dedin. Yürüyordun.</t>
        </is>
      </c>
      <c r="K1327" s="6" t="inlineStr">
        <is>
          <t>Komiser abinin kuzeni çıktı. Çanta abiye geri döndü; sen de sokağa. Mahallede artık iki yere de gidemiyorsun.</t>
        </is>
      </c>
      <c r="L1327" s="6" t="inlineStr"/>
      <c r="M1327" s="5" t="inlineStr"/>
      <c r="N1327" s="5" t="inlineStr"/>
      <c r="O1327" s="6" t="inlineStr"/>
      <c r="P1327" s="6" t="inlineStr"/>
      <c r="Q1327" s="5" t="inlineStr"/>
      <c r="R1327" s="5" t="inlineStr"/>
      <c r="S1327" s="5" t="inlineStr"/>
      <c r="T1327" s="5" t="inlineStr"/>
      <c r="U1327" s="5" t="inlineStr"/>
      <c r="V1327" s="5" t="inlineStr">
        <is>
          <t>komiser-tanidik</t>
        </is>
      </c>
      <c r="W1327" s="5" t="inlineStr"/>
      <c r="X1327" s="5" t="inlineStr">
        <is>
          <t>abinin-adami</t>
        </is>
      </c>
      <c r="Y1327" s="5" t="inlineStr"/>
      <c r="Z1327" s="6" t="inlineStr"/>
      <c r="AA1327" s="5" t="inlineStr">
        <is>
          <t>hepsi +1</t>
        </is>
      </c>
      <c r="AB1327" s="5" t="inlineStr"/>
      <c r="AC1327" s="5" t="inlineStr"/>
      <c r="AD1327" s="5" t="inlineStr"/>
      <c r="AE1327" s="5" t="inlineStr"/>
      <c r="AF1327" s="5" t="inlineStr"/>
      <c r="AG1327" s="5" t="inlineStr"/>
      <c r="AH1327" s="5" t="inlineStr"/>
      <c r="AI1327" s="5" t="inlineStr"/>
      <c r="AJ1327" s="5" t="inlineStr"/>
    </row>
    <row r="1328">
      <c r="A1328" s="5" t="inlineStr">
        <is>
          <t>b6-karakol-gecesi</t>
        </is>
      </c>
      <c r="B1328" s="5" t="n">
        <v>1</v>
      </c>
      <c r="C1328" s="6" t="inlineStr">
        <is>
          <t>Sus, sabahı bekle</t>
        </is>
      </c>
      <c r="D1328" s="5" t="inlineStr"/>
      <c r="E1328" s="5" t="inlineStr"/>
      <c r="F1328" s="5" t="inlineStr">
        <is>
          <t>Dayanıklılık +1</t>
        </is>
      </c>
      <c r="G1328" s="6" t="inlineStr">
        <is>
          <t>Sabah saat altıda kapı açıldı. “Yanlışlık olmuş” dendi. Yanlışlık gece boyunca senin yanında uyumuştu; davulcuydu.</t>
        </is>
      </c>
      <c r="H1328" s="6" t="inlineStr"/>
      <c r="I1328" s="6" t="inlineStr"/>
      <c r="J1328" s="6" t="inlineStr"/>
      <c r="K1328" s="6" t="inlineStr"/>
      <c r="L1328" s="6" t="inlineStr"/>
      <c r="M1328" s="5" t="inlineStr"/>
      <c r="N1328" s="5" t="inlineStr"/>
      <c r="O1328" s="6" t="inlineStr"/>
      <c r="P1328" s="6" t="inlineStr"/>
      <c r="Q1328" s="5" t="inlineStr"/>
      <c r="R1328" s="5" t="inlineStr"/>
      <c r="S1328" s="5" t="inlineStr"/>
      <c r="T1328" s="5" t="inlineStr"/>
      <c r="U1328" s="5" t="inlineStr"/>
      <c r="V1328" s="5" t="inlineStr"/>
      <c r="W1328" s="5" t="inlineStr"/>
      <c r="X1328" s="5" t="inlineStr"/>
      <c r="Y1328" s="5" t="inlineStr"/>
      <c r="Z1328" s="6" t="inlineStr"/>
      <c r="AA1328" s="5" t="inlineStr"/>
      <c r="AB1328" s="5" t="inlineStr"/>
      <c r="AC1328" s="5" t="inlineStr"/>
      <c r="AD1328" s="5" t="inlineStr"/>
      <c r="AE1328" s="5" t="inlineStr"/>
      <c r="AF1328" s="5" t="inlineStr"/>
      <c r="AG1328" s="5" t="inlineStr"/>
      <c r="AH1328" s="5" t="inlineStr"/>
      <c r="AI1328" s="5" t="inlineStr"/>
      <c r="AJ1328" s="5" t="inlineStr"/>
    </row>
    <row r="1329">
      <c r="A1329" s="5" t="inlineStr">
        <is>
          <t>b6-karakol-gecesi</t>
        </is>
      </c>
      <c r="B1329" s="5" t="n">
        <v>2</v>
      </c>
      <c r="C1329" s="6" t="inlineStr">
        <is>
          <t>Abiyi ara</t>
        </is>
      </c>
      <c r="D1329" s="5" t="inlineStr"/>
      <c r="E1329" s="5" t="inlineStr"/>
      <c r="F1329" s="5" t="inlineStr">
        <is>
          <t>Pişkinlik +1</t>
        </is>
      </c>
      <c r="G1329" s="6" t="inlineStr">
        <is>
          <t>Tek telefon hakkını abiye harcadın. Yirmi dakika sonra serbesttin. Abi seni kapıda bekliyordu: “Bunu da yazdım.”</t>
        </is>
      </c>
      <c r="H1329" s="6" t="inlineStr"/>
      <c r="I1329" s="6" t="inlineStr"/>
      <c r="J1329" s="6" t="inlineStr"/>
      <c r="K1329" s="6" t="inlineStr"/>
      <c r="L1329" s="6" t="inlineStr"/>
      <c r="M1329" s="5" t="inlineStr"/>
      <c r="N1329" s="5" t="inlineStr"/>
      <c r="O1329" s="6" t="inlineStr"/>
      <c r="P1329" s="6" t="inlineStr"/>
      <c r="Q1329" s="5" t="inlineStr"/>
      <c r="R1329" s="5" t="inlineStr">
        <is>
          <t>abinin-adami</t>
        </is>
      </c>
      <c r="S1329" s="5" t="inlineStr"/>
      <c r="T1329" s="5" t="inlineStr"/>
      <c r="U1329" s="5" t="inlineStr">
        <is>
          <t>abiye-borclu</t>
        </is>
      </c>
      <c r="V1329" s="5" t="inlineStr"/>
      <c r="W1329" s="5" t="inlineStr"/>
      <c r="X1329" s="5" t="inlineStr"/>
      <c r="Y1329" s="5" t="inlineStr"/>
      <c r="Z1329" s="6" t="inlineStr"/>
      <c r="AA1329" s="5" t="inlineStr"/>
      <c r="AB1329" s="5" t="inlineStr"/>
      <c r="AC1329" s="5" t="inlineStr"/>
      <c r="AD1329" s="5" t="inlineStr"/>
      <c r="AE1329" s="5" t="inlineStr"/>
      <c r="AF1329" s="5" t="inlineStr"/>
      <c r="AG1329" s="5" t="inlineStr"/>
      <c r="AH1329" s="5" t="inlineStr"/>
      <c r="AI1329" s="5" t="inlineStr"/>
      <c r="AJ1329" s="5" t="inlineStr"/>
    </row>
    <row r="1330">
      <c r="A1330" s="5" t="inlineStr">
        <is>
          <t>b6-karakol-gecesi</t>
        </is>
      </c>
      <c r="B1330" s="5" t="n">
        <v>3</v>
      </c>
      <c r="C1330" s="6" t="inlineStr">
        <is>
          <t>Nöbetçi komiserle sohbet aç</t>
        </is>
      </c>
      <c r="D1330" s="5" t="inlineStr">
        <is>
          <t>Çene</t>
        </is>
      </c>
      <c r="E1330" s="5" t="inlineStr">
        <is>
          <t>Zor</t>
        </is>
      </c>
      <c r="F1330" s="5" t="inlineStr"/>
      <c r="G1330" s="6" t="inlineStr"/>
      <c r="H1330" s="6" t="inlineStr">
        <is>
          <t>Sabaha kadar konuştunuz: futbol, kira, komiserin kızının sınavı. Sabah seni kapıya kadar geçirdi. “Başın sıkışırsa ara” dedi.</t>
        </is>
      </c>
      <c r="I1330" s="6" t="inlineStr">
        <is>
          <t>Komiser o gece hayat hikâyesini anlattı, sen de dinledin. Sabah kapıda elini sıktı: “Senin gibi dinleyen az.” Kartvizitini cüzdanına koydun; annen çamaşırda bulup üç gün kimden olduğunu sordu.</t>
        </is>
      </c>
      <c r="J1330" s="6" t="inlineStr">
        <is>
          <t>Komiser seni dinledi ve bir cümleyle bitirdi: “Otur yerine.” Oturdun; davulcu yerini almıştı.</t>
        </is>
      </c>
      <c r="K1330" s="6" t="inlineStr">
        <is>
          <t>Sohbeti uzattıkça tutanak uzadı; her anlattığın şey bir satır oldu. Sabah imzalaman için önüne üç sayfa koydular. Davulcunun ifadesi yarım sayfaydı.</t>
        </is>
      </c>
      <c r="L1330" s="6" t="inlineStr"/>
      <c r="M1330" s="5" t="inlineStr"/>
      <c r="N1330" s="5" t="inlineStr"/>
      <c r="O1330" s="6" t="inlineStr"/>
      <c r="P1330" s="6" t="inlineStr"/>
      <c r="Q1330" s="5" t="inlineStr"/>
      <c r="R1330" s="5" t="inlineStr"/>
      <c r="S1330" s="5" t="inlineStr"/>
      <c r="T1330" s="5" t="inlineStr"/>
      <c r="U1330" s="5" t="inlineStr"/>
      <c r="V1330" s="5" t="inlineStr">
        <is>
          <t>komiser-tanidik</t>
        </is>
      </c>
      <c r="W1330" s="5" t="inlineStr"/>
      <c r="X1330" s="5" t="inlineStr"/>
      <c r="Y1330" s="5" t="inlineStr"/>
      <c r="Z1330" s="6" t="inlineStr"/>
      <c r="AA1330" s="5" t="inlineStr"/>
      <c r="AB1330" s="5" t="inlineStr"/>
      <c r="AC1330" s="5" t="inlineStr"/>
      <c r="AD1330" s="5" t="inlineStr"/>
      <c r="AE1330" s="5" t="inlineStr"/>
      <c r="AF1330" s="5" t="inlineStr"/>
      <c r="AG1330" s="5" t="inlineStr"/>
      <c r="AH1330" s="5" t="inlineStr"/>
      <c r="AI1330" s="5" t="inlineStr"/>
      <c r="AJ1330" s="5" t="inlineStr"/>
    </row>
    <row r="1331">
      <c r="A1331" s="5" t="inlineStr">
        <is>
          <t>b6-gurbet-ilk-kis</t>
        </is>
      </c>
      <c r="B1331" s="5" t="n">
        <v>1</v>
      </c>
      <c r="C1331" s="6" t="inlineStr">
        <is>
          <t>Memleketten gelenleri bul</t>
        </is>
      </c>
      <c r="D1331" s="5" t="inlineStr"/>
      <c r="E1331" s="5" t="inlineStr"/>
      <c r="F1331" s="5" t="inlineStr">
        <is>
          <t>İtibar +1, Sosyal Radar +1</t>
        </is>
      </c>
      <c r="G1331" s="6" t="inlineStr">
        <is>
          <t>Kampüste Makaryalı öğrencileri buldun. Her cumartesi birinin odasında çay demleniyor; pencereden bakınca kar yağıyor, içeride bayram.</t>
        </is>
      </c>
      <c r="H1331" s="6" t="inlineStr"/>
      <c r="I1331" s="6" t="inlineStr"/>
      <c r="J1331" s="6" t="inlineStr"/>
      <c r="K1331" s="6" t="inlineStr"/>
      <c r="L1331" s="6" t="inlineStr"/>
      <c r="M1331" s="5" t="inlineStr"/>
      <c r="N1331" s="5" t="inlineStr"/>
      <c r="O1331" s="6" t="inlineStr"/>
      <c r="P1331" s="6" t="inlineStr"/>
      <c r="Q1331" s="5" t="inlineStr"/>
      <c r="R1331" s="5" t="inlineStr"/>
      <c r="S1331" s="5" t="inlineStr"/>
      <c r="T1331" s="5" t="inlineStr"/>
      <c r="U1331" s="5" t="inlineStr"/>
      <c r="V1331" s="5" t="inlineStr"/>
      <c r="W1331" s="5" t="inlineStr"/>
      <c r="X1331" s="5" t="inlineStr"/>
      <c r="Y1331" s="5" t="n">
        <v>2</v>
      </c>
      <c r="Z1331" s="6" t="inlineStr">
        <is>
          <t>Öte Diyar'da ilk kış, gece yurda dönerken “Buralı değilsin” diye sataşan bir grubun karşısında durup kavgaya karıştığında. Gruptan biri sonradan özür diledi; çok geç, çok kısa.</t>
        </is>
      </c>
      <c r="AA1331" s="5" t="inlineStr"/>
      <c r="AB1331" s="5" t="inlineStr"/>
      <c r="AC1331" s="5" t="inlineStr"/>
      <c r="AD1331" s="5" t="inlineStr"/>
      <c r="AE1331" s="5" t="inlineStr"/>
      <c r="AF1331" s="5" t="inlineStr"/>
      <c r="AG1331" s="5" t="inlineStr"/>
      <c r="AH1331" s="5" t="inlineStr"/>
      <c r="AI1331" s="5" t="inlineStr"/>
      <c r="AJ1331" s="5" t="inlineStr"/>
    </row>
    <row r="1332">
      <c r="A1332" s="5" t="inlineStr">
        <is>
          <t>b6-gurbet-ilk-kis</t>
        </is>
      </c>
      <c r="B1332" s="5" t="n">
        <v>2</v>
      </c>
      <c r="C1332" s="6" t="inlineStr">
        <is>
          <t>Ortak mutfakta yemek yap, kokusuyla herkesi topla</t>
        </is>
      </c>
      <c r="D1332" s="5" t="inlineStr">
        <is>
          <t>Sosyal Radar</t>
        </is>
      </c>
      <c r="E1332" s="5" t="inlineStr">
        <is>
          <t>Zor</t>
        </is>
      </c>
      <c r="F1332" s="5" t="inlineStr"/>
      <c r="G1332" s="6" t="inlineStr"/>
      <c r="H1332" s="6" t="inlineStr">
        <is>
          <t>Mercimek çorbasının kokusu koridoru sardı. Üç kişi kapıyı çaldı; biri kaşığını kendisi getirmişti. Artık her perşembe çorba günü.</t>
        </is>
      </c>
      <c r="I1332" s="6" t="inlineStr">
        <is>
          <t>Mercimek çorbasının kokusu bütün yurdu mutfağa topladı. Yerli arkadaşların kaşıkla sıraya girdi; biri “Makarya” demeyi öğrendi, biri “Elinize sağlık”ı. İkincisi daha güzel söylüyor.</t>
        </is>
      </c>
      <c r="J1332" s="6" t="inlineStr">
        <is>
          <t>Çorbayı yaptın, koridor memleket koktu. Kimse kapıyı çalmadı. Kâseni pencerenin önünde tek başına içtin; dışarıda kar vardı.</t>
        </is>
      </c>
      <c r="K1332" s="6" t="inlineStr">
        <is>
          <t>Yangın alarmı çaldı, bütün yurt dışarıda üşüdü. Mutfak kapısına adını yazan bir uyarı asıldı. Doğru yazmışlar.</t>
        </is>
      </c>
      <c r="L1332" s="6" t="inlineStr"/>
      <c r="M1332" s="5" t="inlineStr"/>
      <c r="N1332" s="5" t="inlineStr"/>
      <c r="O1332" s="6" t="inlineStr"/>
      <c r="P1332" s="6" t="inlineStr"/>
      <c r="Q1332" s="5" t="inlineStr"/>
      <c r="R1332" s="5" t="inlineStr"/>
      <c r="S1332" s="5" t="inlineStr"/>
      <c r="T1332" s="5" t="inlineStr">
        <is>
          <t>İki Dilli Rüya</t>
        </is>
      </c>
      <c r="U1332" s="5" t="inlineStr"/>
      <c r="V1332" s="5" t="inlineStr">
        <is>
          <t>yabanci-dil</t>
        </is>
      </c>
      <c r="W1332" s="5" t="inlineStr"/>
      <c r="X1332" s="5" t="inlineStr"/>
      <c r="Y1332" s="5" t="inlineStr"/>
      <c r="Z1332" s="6" t="inlineStr"/>
      <c r="AA1332" s="5" t="inlineStr"/>
      <c r="AB1332" s="5" t="inlineStr"/>
      <c r="AC1332" s="5" t="inlineStr"/>
      <c r="AD1332" s="5" t="inlineStr"/>
      <c r="AE1332" s="5" t="inlineStr"/>
      <c r="AF1332" s="5" t="inlineStr"/>
      <c r="AG1332" s="5" t="inlineStr"/>
      <c r="AH1332" s="5" t="inlineStr"/>
      <c r="AI1332" s="5" t="inlineStr"/>
      <c r="AJ1332" s="5" t="inlineStr"/>
    </row>
    <row r="1333">
      <c r="A1333" s="5" t="inlineStr">
        <is>
          <t>b6-gurbet-ilk-kis</t>
        </is>
      </c>
      <c r="B1333" s="5" t="n">
        <v>3</v>
      </c>
      <c r="C1333" s="6" t="inlineStr">
        <is>
          <t>Derslere gömül</t>
        </is>
      </c>
      <c r="D1333" s="5" t="inlineStr">
        <is>
          <t>Akıl</t>
        </is>
      </c>
      <c r="E1333" s="5" t="inlineStr">
        <is>
          <t>Orta</t>
        </is>
      </c>
      <c r="F1333" s="5" t="inlineStr"/>
      <c r="G1333" s="6" t="inlineStr"/>
      <c r="H1333" s="6" t="inlineStr">
        <is>
          <t>İlk dönem notların iyi geldi. Annen telefonda “Yemek yiyor musun?” diye sordu; notları sormadı bile. Biliyordu.</t>
        </is>
      </c>
      <c r="I1333" s="6" t="inlineStr">
        <is>
          <t>Dönem birincisi oldun. Ailen bunu aile grubuna attı; teyzen “Orada da mı sınav var?” diye sordu.</t>
        </is>
      </c>
      <c r="J1333" s="6" t="inlineStr">
        <is>
          <t>Derslere gömüldün ama dil gömülmedi. Sınavda soruyu anlamak yirmi dakikanı aldı.</t>
        </is>
      </c>
      <c r="K1333" s="6" t="inlineStr">
        <is>
          <t>Kütüphanede sabahladın; sınav başladığında masada uyuyordun. Kâğıdına hoca tek satır yazmış: “Uyanınca gel.” Annen telefonda “Orada yatak mı yok?” dedi.</t>
        </is>
      </c>
      <c r="L1333" s="6" t="inlineStr"/>
      <c r="M1333" s="5" t="inlineStr"/>
      <c r="N1333" s="5" t="inlineStr"/>
      <c r="O1333" s="6" t="inlineStr"/>
      <c r="P1333" s="6" t="inlineStr"/>
      <c r="Q1333" s="5" t="inlineStr"/>
      <c r="R1333" s="5" t="inlineStr"/>
      <c r="S1333" s="5" t="inlineStr"/>
      <c r="T1333" s="5" t="inlineStr"/>
      <c r="U1333" s="5" t="inlineStr"/>
      <c r="V1333" s="5" t="inlineStr"/>
      <c r="W1333" s="5" t="inlineStr"/>
      <c r="X1333" s="5" t="inlineStr"/>
      <c r="Y1333" s="5" t="inlineStr"/>
      <c r="Z1333" s="6" t="inlineStr"/>
      <c r="AA1333" s="5" t="inlineStr"/>
      <c r="AB1333" s="5" t="inlineStr"/>
      <c r="AC1333" s="5" t="inlineStr"/>
      <c r="AD1333" s="5" t="inlineStr"/>
      <c r="AE1333" s="5" t="inlineStr"/>
      <c r="AF1333" s="5" t="inlineStr"/>
      <c r="AG1333" s="5" t="inlineStr"/>
      <c r="AH1333" s="5" t="inlineStr"/>
      <c r="AI1333" s="5" t="inlineStr"/>
      <c r="AJ1333" s="5" t="inlineStr"/>
    </row>
    <row r="1334">
      <c r="A1334" s="5" t="inlineStr">
        <is>
          <t>b6-gurbet-garson</t>
        </is>
      </c>
      <c r="B1334" s="5" t="n">
        <v>1</v>
      </c>
      <c r="C1334" s="6" t="inlineStr">
        <is>
          <t>Tabağı taşı, bahşişi topla</t>
        </is>
      </c>
      <c r="D1334" s="5" t="inlineStr"/>
      <c r="E1334" s="5" t="inlineStr"/>
      <c r="F1334" s="5" t="inlineStr">
        <is>
          <t>Dayanıklılık +1</t>
        </is>
      </c>
      <c r="G1334" s="6" t="inlineStr">
        <is>
          <t>Bir dönem boyunca tabak taşıdın. Bahşişlerle bir kış montu aldın. Mont memlekettekinden iki kat pahalı, yarısı kadar sıcak.</t>
        </is>
      </c>
      <c r="H1334" s="6" t="inlineStr"/>
      <c r="I1334" s="6" t="inlineStr"/>
      <c r="J1334" s="6" t="inlineStr"/>
      <c r="K1334" s="6" t="inlineStr"/>
      <c r="L1334" s="6" t="inlineStr"/>
      <c r="M1334" s="5" t="inlineStr"/>
      <c r="N1334" s="5" t="inlineStr"/>
      <c r="O1334" s="6" t="inlineStr"/>
      <c r="P1334" s="6" t="inlineStr"/>
      <c r="Q1334" s="5" t="inlineStr"/>
      <c r="R1334" s="5" t="inlineStr"/>
      <c r="S1334" s="5" t="inlineStr"/>
      <c r="T1334" s="5" t="inlineStr"/>
      <c r="U1334" s="5" t="inlineStr"/>
      <c r="V1334" s="5" t="inlineStr"/>
      <c r="W1334" s="5" t="inlineStr"/>
      <c r="X1334" s="5" t="inlineStr"/>
      <c r="Y1334" s="5" t="inlineStr"/>
      <c r="Z1334" s="6" t="inlineStr"/>
      <c r="AA1334" s="5" t="inlineStr"/>
      <c r="AB1334" s="5" t="inlineStr"/>
      <c r="AC1334" s="5" t="inlineStr"/>
      <c r="AD1334" s="5" t="inlineStr"/>
      <c r="AE1334" s="5" t="inlineStr"/>
      <c r="AF1334" s="5" t="inlineStr"/>
      <c r="AG1334" s="5" t="inlineStr"/>
      <c r="AH1334" s="5" t="inlineStr"/>
      <c r="AI1334" s="5" t="inlineStr"/>
      <c r="AJ1334" s="5" t="inlineStr"/>
    </row>
    <row r="1335">
      <c r="A1335" s="5" t="inlineStr">
        <is>
          <t>b6-gurbet-garson</t>
        </is>
      </c>
      <c r="B1335" s="5" t="n">
        <v>2</v>
      </c>
      <c r="C1335" s="6" t="inlineStr">
        <is>
          <t>Kahveye köpükle desen çizmeyi öğren</t>
        </is>
      </c>
      <c r="D1335" s="5" t="inlineStr">
        <is>
          <t>Akıl</t>
        </is>
      </c>
      <c r="E1335" s="5" t="inlineStr">
        <is>
          <t>Orta</t>
        </is>
      </c>
      <c r="F1335" s="5" t="inlineStr"/>
      <c r="G1335" s="6" t="inlineStr"/>
      <c r="H1335" s="6" t="inlineStr">
        <is>
          <t>Üçüncü haftada köpükle kalp çizdin. Fotoğrafını annene attın, annen aile grubuna. Teyzen “Kalp mi bu, armut mu?” diye yazdı.</t>
        </is>
      </c>
      <c r="I1335" s="6" t="inlineStr">
        <is>
          <t>Köpükle Makarya haritası çizdin. Kafe bunu menüye koydu: “Memleket.” Pahalı.</t>
        </is>
      </c>
      <c r="J1335" s="6" t="inlineStr">
        <is>
          <t>Kalp çizmeye çalıştın; çıkan şey bir patatesti. Müşteri memnun, çünkü patates severmiş.</t>
        </is>
      </c>
      <c r="K1335" s="6" t="inlineStr">
        <is>
          <t>Süt köpürtücüyle eline köpük değil süt püskürttün. Müdür seni bulaşığa aldı; orada desen yok.</t>
        </is>
      </c>
      <c r="L1335" s="6" t="inlineStr"/>
      <c r="M1335" s="5" t="inlineStr"/>
      <c r="N1335" s="5" t="inlineStr"/>
      <c r="O1335" s="6" t="inlineStr"/>
      <c r="P1335" s="6" t="inlineStr"/>
      <c r="Q1335" s="5" t="inlineStr"/>
      <c r="R1335" s="5" t="inlineStr"/>
      <c r="S1335" s="5" t="inlineStr"/>
      <c r="T1335" s="5" t="inlineStr"/>
      <c r="U1335" s="5" t="inlineStr"/>
      <c r="V1335" s="5" t="inlineStr"/>
      <c r="W1335" s="5" t="inlineStr"/>
      <c r="X1335" s="5" t="inlineStr"/>
      <c r="Y1335" s="5" t="inlineStr"/>
      <c r="Z1335" s="6" t="inlineStr"/>
      <c r="AA1335" s="5" t="inlineStr"/>
      <c r="AB1335" s="5" t="inlineStr"/>
      <c r="AC1335" s="5" t="inlineStr"/>
      <c r="AD1335" s="5" t="inlineStr"/>
      <c r="AE1335" s="5" t="inlineStr"/>
      <c r="AF1335" s="5" t="inlineStr"/>
      <c r="AG1335" s="5" t="inlineStr"/>
      <c r="AH1335" s="5" t="inlineStr"/>
      <c r="AI1335" s="5" t="inlineStr"/>
      <c r="AJ1335" s="5" t="inlineStr"/>
    </row>
    <row r="1336">
      <c r="A1336" s="5" t="inlineStr">
        <is>
          <t>b6-gurbet-garson</t>
        </is>
      </c>
      <c r="B1336" s="5" t="n">
        <v>3</v>
      </c>
      <c r="C1336" s="6" t="inlineStr">
        <is>
          <t>Müdürden daha iyi saat pazarlık et</t>
        </is>
      </c>
      <c r="D1336" s="5" t="inlineStr">
        <is>
          <t>Çene</t>
        </is>
      </c>
      <c r="E1336" s="5" t="inlineStr">
        <is>
          <t>Zor</t>
        </is>
      </c>
      <c r="F1336" s="5" t="inlineStr"/>
      <c r="G1336" s="6" t="inlineStr"/>
      <c r="H1336" s="6" t="inlineStr">
        <is>
          <t>Sınav haftası izinli, bayram sabahı da izinli. Müdür bayramın ne olduğunu sordu; anlattın. Ertesi yıl senden önce o hatırladı, bir de baklava istedi.</t>
        </is>
      </c>
      <c r="I1336" s="6" t="inlineStr">
        <is>
          <t>Müdür saatlerini düzeltti, sonra seni vardiya sorumlusu yaptı. İlk gün yeni bir garson senden izin istedi; ağzından müdürün cümlesi çıktı: “Başka kafeler de var.”</t>
        </is>
      </c>
      <c r="J1336" s="6" t="inlineStr">
        <is>
          <t>Müdür seni dinledi ve kafenin broşürünü uzattı: “Başka kafeler de var.”</t>
        </is>
      </c>
      <c r="K1336" s="6" t="inlineStr">
        <is>
          <t>Pazarlığın ortasında iki kelimeyi karıştırdın; “vardiya” diyecekken müdürün annesi hakkında bir şey söylemiş oldun. Önlüğü kapıda bıraktın; kafenin önünden artık karşı kaldırımdan geçiyorsun.</t>
        </is>
      </c>
      <c r="L1336" s="6" t="inlineStr"/>
      <c r="M1336" s="5" t="inlineStr"/>
      <c r="N1336" s="5" t="inlineStr"/>
      <c r="O1336" s="6" t="inlineStr"/>
      <c r="P1336" s="6" t="inlineStr"/>
      <c r="Q1336" s="5" t="inlineStr"/>
      <c r="R1336" s="5" t="inlineStr"/>
      <c r="S1336" s="5" t="inlineStr"/>
      <c r="T1336" s="5" t="inlineStr"/>
      <c r="U1336" s="5" t="inlineStr"/>
      <c r="V1336" s="5" t="inlineStr"/>
      <c r="W1336" s="5" t="inlineStr"/>
      <c r="X1336" s="5" t="inlineStr"/>
      <c r="Y1336" s="5" t="inlineStr"/>
      <c r="Z1336" s="6" t="inlineStr"/>
      <c r="AA1336" s="5" t="inlineStr"/>
      <c r="AB1336" s="5" t="inlineStr"/>
      <c r="AC1336" s="5" t="inlineStr"/>
      <c r="AD1336" s="5" t="inlineStr"/>
      <c r="AE1336" s="5" t="inlineStr"/>
      <c r="AF1336" s="5" t="inlineStr"/>
      <c r="AG1336" s="5" t="inlineStr"/>
      <c r="AH1336" s="5" t="inlineStr"/>
      <c r="AI1336" s="5" t="inlineStr"/>
      <c r="AJ1336" s="5" t="inlineStr"/>
    </row>
    <row r="1337">
      <c r="A1337" s="5" t="inlineStr">
        <is>
          <t>b6-gurbet-bayram</t>
        </is>
      </c>
      <c r="B1337" s="5" t="n">
        <v>1</v>
      </c>
      <c r="C1337" s="6" t="inlineStr">
        <is>
          <t>Herkesle tek tek konuş</t>
        </is>
      </c>
      <c r="D1337" s="5" t="inlineStr"/>
      <c r="E1337" s="5" t="inlineStr"/>
      <c r="F1337" s="5" t="inlineStr">
        <is>
          <t>Gönül +1</t>
        </is>
      </c>
      <c r="G1337" s="6" t="inlineStr">
        <is>
          <t>Kırk dakika boyunca on dört kişiyle konuştun. Dedenin eli ekrana değdi; sen de kendi ekranına. Telefonun ısındı, sen de.</t>
        </is>
      </c>
      <c r="H1337" s="6" t="inlineStr"/>
      <c r="I1337" s="6" t="inlineStr"/>
      <c r="J1337" s="6" t="inlineStr"/>
      <c r="K1337" s="6" t="inlineStr"/>
      <c r="L1337" s="6" t="inlineStr"/>
      <c r="M1337" s="5" t="inlineStr"/>
      <c r="N1337" s="5" t="inlineStr"/>
      <c r="O1337" s="6" t="inlineStr"/>
      <c r="P1337" s="6" t="inlineStr"/>
      <c r="Q1337" s="5" t="inlineStr"/>
      <c r="R1337" s="5" t="inlineStr"/>
      <c r="S1337" s="5" t="inlineStr"/>
      <c r="T1337" s="5" t="inlineStr"/>
      <c r="U1337" s="5" t="inlineStr"/>
      <c r="V1337" s="5" t="inlineStr"/>
      <c r="W1337" s="5" t="inlineStr"/>
      <c r="X1337" s="5" t="inlineStr"/>
      <c r="Y1337" s="5" t="inlineStr"/>
      <c r="Z1337" s="6" t="inlineStr"/>
      <c r="AA1337" s="5" t="inlineStr"/>
      <c r="AB1337" s="5" t="inlineStr"/>
      <c r="AC1337" s="5" t="inlineStr"/>
      <c r="AD1337" s="5" t="inlineStr"/>
      <c r="AE1337" s="5" t="inlineStr"/>
      <c r="AF1337" s="5" t="inlineStr"/>
      <c r="AG1337" s="5" t="inlineStr"/>
      <c r="AH1337" s="5" t="inlineStr"/>
      <c r="AI1337" s="5" t="inlineStr"/>
      <c r="AJ1337" s="5" t="inlineStr"/>
    </row>
    <row r="1338">
      <c r="A1338" s="5" t="inlineStr">
        <is>
          <t>b6-gurbet-bayram</t>
        </is>
      </c>
      <c r="B1338" s="5" t="n">
        <v>2</v>
      </c>
      <c r="C1338" s="6" t="inlineStr">
        <is>
          <t>Uçak bileti bul, sürpriz yap</t>
        </is>
      </c>
      <c r="D1338" s="5" t="inlineStr">
        <is>
          <t>Kurnazlık</t>
        </is>
      </c>
      <c r="E1338" s="5" t="inlineStr">
        <is>
          <t>Zor</t>
        </is>
      </c>
      <c r="F1338" s="5" t="inlineStr"/>
      <c r="G1338" s="6" t="inlineStr"/>
      <c r="H1338" s="6" t="inlineStr">
        <is>
          <t>Gece yarısı indirimli bir bilet buldun, aktarmalı, on dokuz saat. Kapıyı çaldığında annen elindeki tabağı düşürdü; tabak kırıldı, kimse umursamadı.</t>
        </is>
      </c>
      <c r="I1338" s="6" t="inlineStr">
        <is>
          <t>Bilet o kadar ucuzdu ki bir de amcan için aldın. Bayramı iki yerde, iki kez yaşadın; biri memlekette, biri aktarmada.</t>
        </is>
      </c>
      <c r="J1338" s="6" t="inlineStr">
        <is>
          <t>Bilet aradın, bulamadın. Bulduğun tek bilet bayramdan sonraki güne. Annen “Gel yine de” dedi.</t>
        </is>
      </c>
      <c r="K1338" s="6" t="inlineStr">
        <is>
          <t>Bileti aldın, aktarmayı kaçırdın. Bayram sabahı annen telefonu yine sofraya dikti; bu sefer arkanda anons sesi vardı. Annen bir şey demedi, bir tabak doldurup ekranın önüne koydu.</t>
        </is>
      </c>
      <c r="L1338" s="6" t="inlineStr"/>
      <c r="M1338" s="5" t="inlineStr"/>
      <c r="N1338" s="5" t="inlineStr"/>
      <c r="O1338" s="6" t="inlineStr"/>
      <c r="P1338" s="6" t="inlineStr"/>
      <c r="Q1338" s="5" t="inlineStr"/>
      <c r="R1338" s="5" t="inlineStr"/>
      <c r="S1338" s="5" t="inlineStr"/>
      <c r="T1338" s="5" t="inlineStr"/>
      <c r="U1338" s="5" t="inlineStr"/>
      <c r="V1338" s="5" t="inlineStr"/>
      <c r="W1338" s="5" t="inlineStr"/>
      <c r="X1338" s="5" t="inlineStr"/>
      <c r="Y1338" s="5" t="inlineStr"/>
      <c r="Z1338" s="6" t="inlineStr"/>
      <c r="AA1338" s="5" t="inlineStr"/>
      <c r="AB1338" s="5" t="inlineStr"/>
      <c r="AC1338" s="5" t="inlineStr"/>
      <c r="AD1338" s="5" t="inlineStr"/>
      <c r="AE1338" s="5" t="inlineStr"/>
      <c r="AF1338" s="5" t="inlineStr"/>
      <c r="AG1338" s="5" t="inlineStr"/>
      <c r="AH1338" s="5" t="inlineStr"/>
      <c r="AI1338" s="5" t="inlineStr"/>
      <c r="AJ1338" s="5" t="inlineStr"/>
    </row>
    <row r="1339">
      <c r="A1339" s="5" t="inlineStr">
        <is>
          <t>b6-gurbet-bayram</t>
        </is>
      </c>
      <c r="B1339" s="5" t="n">
        <v>3</v>
      </c>
      <c r="C1339" s="6" t="inlineStr">
        <is>
          <t>Aramayı kısa tut, derse dön</t>
        </is>
      </c>
      <c r="D1339" s="5" t="inlineStr"/>
      <c r="E1339" s="5" t="inlineStr"/>
      <c r="F1339" s="5" t="inlineStr">
        <is>
          <t>Akıl +1</t>
        </is>
      </c>
      <c r="G1339" s="6" t="inlineStr">
        <is>
          <t>“Sınavım var” dedin. Doğruydu; ama asıl sebep ekranda ağlayan teyzendi. Teyzen de bunu biliyordu.</t>
        </is>
      </c>
      <c r="H1339" s="6" t="inlineStr"/>
      <c r="I1339" s="6" t="inlineStr"/>
      <c r="J1339" s="6" t="inlineStr"/>
      <c r="K1339" s="6" t="inlineStr"/>
      <c r="L1339" s="6" t="inlineStr"/>
      <c r="M1339" s="5" t="inlineStr"/>
      <c r="N1339" s="5" t="inlineStr"/>
      <c r="O1339" s="6" t="inlineStr"/>
      <c r="P1339" s="6" t="inlineStr"/>
      <c r="Q1339" s="5" t="inlineStr"/>
      <c r="R1339" s="5" t="inlineStr"/>
      <c r="S1339" s="5" t="inlineStr"/>
      <c r="T1339" s="5" t="inlineStr"/>
      <c r="U1339" s="5" t="inlineStr"/>
      <c r="V1339" s="5" t="inlineStr"/>
      <c r="W1339" s="5" t="inlineStr"/>
      <c r="X1339" s="5" t="inlineStr"/>
      <c r="Y1339" s="5" t="inlineStr"/>
      <c r="Z1339" s="6" t="inlineStr"/>
      <c r="AA1339" s="5" t="inlineStr">
        <is>
          <t>Şen -1, Yalçın -1</t>
        </is>
      </c>
      <c r="AB1339" s="5" t="inlineStr"/>
      <c r="AC1339" s="5" t="inlineStr"/>
      <c r="AD1339" s="5" t="inlineStr"/>
      <c r="AE1339" s="5" t="inlineStr"/>
      <c r="AF1339" s="5" t="inlineStr"/>
      <c r="AG1339" s="5" t="inlineStr"/>
      <c r="AH1339" s="5" t="inlineStr"/>
      <c r="AI1339" s="5" t="inlineStr"/>
      <c r="AJ1339" s="5" t="inlineStr"/>
    </row>
    <row r="1340">
      <c r="A1340" s="5" t="inlineStr">
        <is>
          <t>b6-donus-bileti</t>
        </is>
      </c>
      <c r="B1340" s="5" t="n">
        <v>1</v>
      </c>
      <c r="C1340" s="6" t="inlineStr">
        <is>
          <t>Kal, burada iş bul</t>
        </is>
      </c>
      <c r="D1340" s="5" t="inlineStr">
        <is>
          <t>Akıl</t>
        </is>
      </c>
      <c r="E1340" s="5" t="inlineStr">
        <is>
          <t>Zor</t>
        </is>
      </c>
      <c r="F1340" s="5" t="inlineStr"/>
      <c r="G1340" s="6" t="inlineStr"/>
      <c r="H1340" s="6" t="inlineStr">
        <is>
          <t>Üç ayda on dört başvuru, bir teklif. Vizen uzatıldı. Annen haberi aldığında “Aferin” dedi, sonra telefonu kapattı ve ağladı.</t>
        </is>
      </c>
      <c r="I1340" s="6" t="inlineStr">
        <is>
          <t>İki şirket seni istedi. Pazarlık ettin ve kazandın. Maaşını memlekettekilere söylemedin; kur hesabı yapıyorlar.</t>
        </is>
      </c>
      <c r="J1340" s="6" t="inlineStr">
        <is>
          <t>İş çıkmadı ama vize uzadı. Kafeye döndün, bu sefer vardiya sorumlusu olarak. Annen komşulara “Orada müdür olmuş” diye anlattı; kafeyi atladı.</t>
        </is>
      </c>
      <c r="K1340" s="6" t="inlineStr">
        <is>
          <t>Başvuruların hiçbirine cevap gelmedi, vizen de bitmek üzere. Kafede çalışarak kalıyorsun; yarı yasal, tam yorgun.</t>
        </is>
      </c>
      <c r="L1340" s="6" t="inlineStr"/>
      <c r="M1340" s="5" t="inlineStr"/>
      <c r="N1340" s="5" t="inlineStr"/>
      <c r="O1340" s="6" t="inlineStr"/>
      <c r="P1340" s="6" t="inlineStr"/>
      <c r="Q1340" s="5" t="inlineStr"/>
      <c r="R1340" s="5" t="inlineStr"/>
      <c r="S1340" s="5" t="inlineStr"/>
      <c r="T1340" s="5" t="inlineStr"/>
      <c r="U1340" s="5" t="inlineStr"/>
      <c r="V1340" s="5" t="inlineStr">
        <is>
          <t>hat-goc, meslek-beyazyaka</t>
        </is>
      </c>
      <c r="W1340" s="5" t="inlineStr"/>
      <c r="X1340" s="5" t="inlineStr"/>
      <c r="Y1340" s="5" t="inlineStr"/>
      <c r="Z1340" s="6" t="inlineStr"/>
      <c r="AA1340" s="5" t="inlineStr">
        <is>
          <t>Varlı +1, Şen -1, Yalçın -1</t>
        </is>
      </c>
      <c r="AB1340" s="5" t="inlineStr">
        <is>
          <t>hat-goc, meslek-serbest</t>
        </is>
      </c>
      <c r="AC1340" s="5" t="inlineStr"/>
      <c r="AD1340" s="5" t="inlineStr">
        <is>
          <t>Rahat</t>
        </is>
      </c>
      <c r="AE1340" s="5" t="inlineStr"/>
      <c r="AF1340" s="5" t="inlineStr"/>
      <c r="AG1340" s="5" t="inlineStr"/>
      <c r="AH1340" s="5" t="inlineStr"/>
      <c r="AI1340" s="5" t="inlineStr"/>
      <c r="AJ1340" s="5" t="inlineStr"/>
    </row>
    <row r="1341">
      <c r="A1341" s="5" t="inlineStr">
        <is>
          <t>b6-donus-bileti</t>
        </is>
      </c>
      <c r="B1341" s="5" t="n">
        <v>2</v>
      </c>
      <c r="C1341" s="6" t="inlineStr">
        <is>
          <t>Buradaki dostlarının şirketine gir</t>
        </is>
      </c>
      <c r="D1341" s="5" t="inlineStr">
        <is>
          <t>Sosyal Radar</t>
        </is>
      </c>
      <c r="E1341" s="5" t="inlineStr">
        <is>
          <t>Orta</t>
        </is>
      </c>
      <c r="F1341" s="5" t="inlineStr"/>
      <c r="G1341" s="6" t="inlineStr"/>
      <c r="H1341" s="6" t="inlineStr">
        <is>
          <t>Arkadaşının şirketi seni işe aldı. İlk gün seni herkese “Bizim Makaryalı” diye tanıttılar. İsmini öğrenmeleri üç ay sürdü.</t>
        </is>
      </c>
      <c r="I1341" s="6" t="inlineStr">
        <is>
          <t>Arkadaşların seni bir kurucu olarak aldı. Hisse verdiler; değeri şimdilik bir pizza kadar, ama büyük boy.</t>
        </is>
      </c>
      <c r="J1341" s="6" t="inlineStr">
        <is>
          <t>Arkadaşının şirketi batmak üzereydi. Seni işe aldılar, maaşı sonra vereceklermiş. Sonrası hâlâ gelmedi.</t>
        </is>
      </c>
      <c r="K1341" s="6" t="inlineStr">
        <is>
          <t>Şirket seni aldığı hafta battı. Kalmayı seçtin; bu sefer kafede, bu sefer müdür arkadaşın.</t>
        </is>
      </c>
      <c r="L1341" s="6" t="inlineStr"/>
      <c r="M1341" s="5" t="inlineStr"/>
      <c r="N1341" s="5" t="inlineStr"/>
      <c r="O1341" s="6" t="inlineStr"/>
      <c r="P1341" s="6" t="inlineStr"/>
      <c r="Q1341" s="5" t="inlineStr"/>
      <c r="R1341" s="5" t="inlineStr">
        <is>
          <t>yabanci-dil</t>
        </is>
      </c>
      <c r="S1341" s="5" t="inlineStr"/>
      <c r="T1341" s="5" t="inlineStr"/>
      <c r="U1341" s="5" t="inlineStr"/>
      <c r="V1341" s="5" t="inlineStr">
        <is>
          <t>hat-goc, meslek-beyazyaka</t>
        </is>
      </c>
      <c r="W1341" s="5" t="inlineStr"/>
      <c r="X1341" s="5" t="inlineStr"/>
      <c r="Y1341" s="5" t="inlineStr"/>
      <c r="Z1341" s="6" t="inlineStr"/>
      <c r="AA1341" s="5" t="inlineStr"/>
      <c r="AB1341" s="5" t="inlineStr">
        <is>
          <t>hat-goc, meslek-serbest</t>
        </is>
      </c>
      <c r="AC1341" s="5" t="inlineStr"/>
      <c r="AD1341" s="5" t="inlineStr">
        <is>
          <t>Rahat</t>
        </is>
      </c>
      <c r="AE1341" s="5" t="inlineStr"/>
      <c r="AF1341" s="5" t="inlineStr"/>
      <c r="AG1341" s="5" t="inlineStr"/>
      <c r="AH1341" s="5" t="inlineStr"/>
      <c r="AI1341" s="5" t="inlineStr"/>
      <c r="AJ1341" s="5" t="inlineStr"/>
    </row>
    <row r="1342">
      <c r="A1342" s="5" t="inlineStr">
        <is>
          <t>b6-donus-bileti</t>
        </is>
      </c>
      <c r="B1342" s="5" t="n">
        <v>3</v>
      </c>
      <c r="C1342" s="6" t="inlineStr">
        <is>
          <t>Dön, diplomanla plazaya gir</t>
        </is>
      </c>
      <c r="D1342" s="5" t="inlineStr"/>
      <c r="E1342" s="5" t="inlineStr"/>
      <c r="F1342" s="5" t="inlineStr">
        <is>
          <t>İtibar +1, Çene +1</t>
        </is>
      </c>
      <c r="G1342" s="6" t="inlineStr">
        <is>
          <t>Tek yön bilet aldın. Havalimanında on iki akraba seni karşıladı; biri yalnızca havalimanını görmeye gelmişti. İki hafta sonra bir plazada başladın; koridorda adın “Öte Diyar görmüş”.</t>
        </is>
      </c>
      <c r="H1342" s="6" t="inlineStr"/>
      <c r="I1342" s="6" t="inlineStr"/>
      <c r="J1342" s="6" t="inlineStr"/>
      <c r="K1342" s="6" t="inlineStr"/>
      <c r="L1342" s="6" t="inlineStr"/>
      <c r="M1342" s="5" t="inlineStr"/>
      <c r="N1342" s="5" t="inlineStr"/>
      <c r="O1342" s="6" t="inlineStr"/>
      <c r="P1342" s="6" t="inlineStr"/>
      <c r="Q1342" s="5" t="inlineStr"/>
      <c r="R1342" s="5" t="inlineStr"/>
      <c r="S1342" s="5" t="inlineStr"/>
      <c r="T1342" s="5" t="inlineStr"/>
      <c r="U1342" s="5" t="inlineStr">
        <is>
          <t>yurtdan-dondu, meslek-beyazyaka</t>
        </is>
      </c>
      <c r="V1342" s="5" t="inlineStr"/>
      <c r="W1342" s="5" t="inlineStr"/>
      <c r="X1342" s="5" t="inlineStr"/>
      <c r="Y1342" s="5" t="inlineStr"/>
      <c r="Z1342" s="6" t="inlineStr"/>
      <c r="AA1342" s="5" t="inlineStr">
        <is>
          <t>hepsi +1</t>
        </is>
      </c>
      <c r="AB1342" s="5" t="inlineStr"/>
      <c r="AC1342" s="5" t="inlineStr"/>
      <c r="AD1342" s="5" t="inlineStr">
        <is>
          <t>Orta</t>
        </is>
      </c>
      <c r="AE1342" s="5" t="inlineStr"/>
      <c r="AF1342" s="5" t="inlineStr"/>
      <c r="AG1342" s="5" t="inlineStr"/>
      <c r="AH1342" s="5" t="inlineStr"/>
      <c r="AI1342" s="5" t="inlineStr"/>
      <c r="AJ1342" s="5" t="inlineStr"/>
    </row>
    <row r="1343">
      <c r="A1343" s="5" t="inlineStr">
        <is>
          <t>b6-donus-bileti</t>
        </is>
      </c>
      <c r="B1343" s="5" t="n">
        <v>4</v>
      </c>
      <c r="C1343" s="6" t="inlineStr">
        <is>
          <t>Dön, orada gördüğün işi burada kur</t>
        </is>
      </c>
      <c r="D1343" s="5" t="inlineStr">
        <is>
          <t>Kurnazlık</t>
        </is>
      </c>
      <c r="E1343" s="5" t="inlineStr">
        <is>
          <t>Zor</t>
        </is>
      </c>
      <c r="F1343" s="5" t="inlineStr"/>
      <c r="G1343" s="6" t="inlineStr"/>
      <c r="H1343" s="6" t="inlineStr">
        <is>
          <t>Öte Diyar'da her köşede olan bir işi Makarya'da ilk sen açtın. İlk ay kimse ne olduğunu anlamadı, ikinci ay kuyruk vardı.</t>
        </is>
      </c>
      <c r="I1343" s="6" t="inlineStr">
        <is>
          <t>Fikrini bir yatırımcıya anlattın; yatırımcı kendi kuzenine anlattı. Sonunda ikisi de ortağın oldu.</t>
        </is>
      </c>
      <c r="J1343" s="6" t="inlineStr">
        <is>
          <t>İşi kurdun, Makarya anlamadı. Kapattın ve bir plazaya başvurdun; özgeçmişinde “girişimcilik deneyimi” yazıyor.</t>
        </is>
      </c>
      <c r="K1343" s="6" t="inlineStr">
        <is>
          <t>Kurduğun iş, açıldığı hafta karşısında açılan bir kopyasına yenildi. Kopyanın adı seninkinden daha iyiydi.</t>
        </is>
      </c>
      <c r="L1343" s="6" t="inlineStr"/>
      <c r="M1343" s="5" t="inlineStr"/>
      <c r="N1343" s="5" t="inlineStr"/>
      <c r="O1343" s="6" t="inlineStr"/>
      <c r="P1343" s="6" t="inlineStr"/>
      <c r="Q1343" s="5" t="inlineStr"/>
      <c r="R1343" s="5" t="inlineStr"/>
      <c r="S1343" s="5" t="inlineStr"/>
      <c r="T1343" s="5" t="inlineStr"/>
      <c r="U1343" s="5" t="inlineStr"/>
      <c r="V1343" s="5" t="inlineStr">
        <is>
          <t>hat-girisimci, meslek-serbest, yurtdan-dondu</t>
        </is>
      </c>
      <c r="W1343" s="5" t="inlineStr"/>
      <c r="X1343" s="5" t="inlineStr"/>
      <c r="Y1343" s="5" t="inlineStr"/>
      <c r="Z1343" s="6" t="inlineStr"/>
      <c r="AA1343" s="5" t="inlineStr">
        <is>
          <t>hepsi +1</t>
        </is>
      </c>
      <c r="AB1343" s="5" t="inlineStr">
        <is>
          <t>yurtdan-dondu, meslek-beyazyaka</t>
        </is>
      </c>
      <c r="AC1343" s="5" t="inlineStr"/>
      <c r="AD1343" s="5" t="inlineStr">
        <is>
          <t>Orta</t>
        </is>
      </c>
      <c r="AE1343" s="5" t="inlineStr"/>
      <c r="AF1343" s="5" t="inlineStr"/>
      <c r="AG1343" s="5" t="inlineStr"/>
      <c r="AH1343" s="5" t="inlineStr"/>
      <c r="AI1343" s="5" t="inlineStr"/>
      <c r="AJ1343" s="5" t="inlineStr"/>
    </row>
    <row r="1344">
      <c r="A1344" s="5" t="inlineStr">
        <is>
          <t>b6-evden-okul</t>
        </is>
      </c>
      <c r="B1344" s="5" t="n">
        <v>1</v>
      </c>
      <c r="C1344" s="6" t="inlineStr">
        <is>
          <t>Kurala uy, on birde evde ol</t>
        </is>
      </c>
      <c r="D1344" s="5" t="inlineStr"/>
      <c r="E1344" s="5" t="inlineStr"/>
      <c r="F1344" s="5" t="inlineStr">
        <is>
          <t>Dayanıklılık +1, Gönül +1</t>
        </is>
      </c>
      <c r="G1344" s="6" t="inlineStr">
        <is>
          <t>Her akşam on bire beş kala anahtar kilitte döndü. Arkadaşların sana “Külkedisi” diyor. Buzdolabı dolu; Külkedisi'nin böyle bir imkânı yoktu.</t>
        </is>
      </c>
      <c r="H1344" s="6" t="inlineStr"/>
      <c r="I1344" s="6" t="inlineStr"/>
      <c r="J1344" s="6" t="inlineStr"/>
      <c r="K1344" s="6" t="inlineStr"/>
      <c r="L1344" s="6" t="inlineStr"/>
      <c r="M1344" s="5" t="inlineStr"/>
      <c r="N1344" s="5" t="inlineStr"/>
      <c r="O1344" s="6" t="inlineStr"/>
      <c r="P1344" s="6" t="inlineStr"/>
      <c r="Q1344" s="5" t="inlineStr"/>
      <c r="R1344" s="5" t="inlineStr"/>
      <c r="S1344" s="5" t="inlineStr"/>
      <c r="T1344" s="5" t="inlineStr"/>
      <c r="U1344" s="5" t="inlineStr"/>
      <c r="V1344" s="5" t="inlineStr"/>
      <c r="W1344" s="5" t="inlineStr"/>
      <c r="X1344" s="5" t="inlineStr"/>
      <c r="Y1344" s="5" t="inlineStr"/>
      <c r="Z1344" s="6" t="inlineStr"/>
      <c r="AA1344" s="5" t="inlineStr">
        <is>
          <t>hepsi +1</t>
        </is>
      </c>
      <c r="AB1344" s="5" t="inlineStr"/>
      <c r="AC1344" s="5" t="inlineStr"/>
      <c r="AD1344" s="5" t="inlineStr"/>
      <c r="AE1344" s="5" t="inlineStr"/>
      <c r="AF1344" s="5" t="inlineStr"/>
      <c r="AG1344" s="5" t="inlineStr"/>
      <c r="AH1344" s="5" t="inlineStr"/>
      <c r="AI1344" s="5" t="inlineStr"/>
      <c r="AJ1344" s="5" t="inlineStr"/>
    </row>
    <row r="1345">
      <c r="A1345" s="5" t="inlineStr">
        <is>
          <t>b6-evden-okul</t>
        </is>
      </c>
      <c r="B1345" s="5" t="n">
        <v>2</v>
      </c>
      <c r="C1345" s="6" t="inlineStr">
        <is>
          <t>Saati bire çıkarmak için pazarlık et</t>
        </is>
      </c>
      <c r="D1345" s="5" t="inlineStr">
        <is>
          <t>Çene</t>
        </is>
      </c>
      <c r="E1345" s="5" t="inlineStr">
        <is>
          <t>Orta</t>
        </is>
      </c>
      <c r="F1345" s="5" t="inlineStr"/>
      <c r="G1345" s="6" t="inlineStr"/>
      <c r="H1345" s="6" t="inlineStr">
        <is>
          <t>Saat yarım saat esnedi. “Kütüphane” kelimesinin evde bu kadar güçlü olduğunu bilmiyordun.</t>
        </is>
      </c>
      <c r="I1345" s="6" t="inlineStr">
        <is>
          <t>Pazarlık öyle iyi geçti ki cumartesileri saat sınırı kalktı. Annen bunu kendi fikri sandı.</t>
        </is>
      </c>
      <c r="J1345" s="6" t="inlineStr">
        <is>
          <t>Pazarlık bir saat sürdü; saat on bir olarak kaldı, üstüne bir de “Kiminlesin?” sorusu eklendi.</t>
        </is>
      </c>
      <c r="K1345" s="6" t="inlineStr">
        <is>
          <t>Pazarlığın ortasında telefonuna bir mesaj geldi: “Bu gece nereye?” Annen okudu. Saat on oldu.</t>
        </is>
      </c>
      <c r="L1345" s="6" t="inlineStr"/>
      <c r="M1345" s="5" t="inlineStr"/>
      <c r="N1345" s="5" t="inlineStr"/>
      <c r="O1345" s="6" t="inlineStr"/>
      <c r="P1345" s="6" t="inlineStr"/>
      <c r="Q1345" s="5" t="inlineStr"/>
      <c r="R1345" s="5" t="inlineStr"/>
      <c r="S1345" s="5" t="inlineStr"/>
      <c r="T1345" s="5" t="inlineStr"/>
      <c r="U1345" s="5" t="inlineStr"/>
      <c r="V1345" s="5" t="inlineStr"/>
      <c r="W1345" s="5" t="inlineStr"/>
      <c r="X1345" s="5" t="inlineStr"/>
      <c r="Y1345" s="5" t="inlineStr"/>
      <c r="Z1345" s="6" t="inlineStr"/>
      <c r="AA1345" s="5" t="inlineStr"/>
      <c r="AB1345" s="5" t="inlineStr"/>
      <c r="AC1345" s="5" t="inlineStr"/>
      <c r="AD1345" s="5" t="inlineStr"/>
      <c r="AE1345" s="5" t="inlineStr"/>
      <c r="AF1345" s="5" t="inlineStr"/>
      <c r="AG1345" s="5" t="inlineStr"/>
      <c r="AH1345" s="5" t="inlineStr"/>
      <c r="AI1345" s="5" t="inlineStr"/>
      <c r="AJ1345" s="5" t="inlineStr"/>
    </row>
    <row r="1346">
      <c r="A1346" s="5" t="inlineStr">
        <is>
          <t>b6-evden-okul</t>
        </is>
      </c>
      <c r="B1346" s="5" t="n">
        <v>3</v>
      </c>
      <c r="C1346" s="6" t="inlineStr">
        <is>
          <t>Gizlice geç gel</t>
        </is>
      </c>
      <c r="D1346" s="5" t="inlineStr">
        <is>
          <t>Kurnazlık</t>
        </is>
      </c>
      <c r="E1346" s="5" t="inlineStr">
        <is>
          <t>Zor</t>
        </is>
      </c>
      <c r="F1346" s="5" t="inlineStr"/>
      <c r="G1346" s="6" t="inlineStr"/>
      <c r="H1346" s="6" t="inlineStr">
        <is>
          <t>Anahtarı sessizce çevirmeyi, gıcırdayan üçüncü basamağı atlamayı öğrendin. Sabah kahvaltıda baban “Dün erken yattın galiba” dedi; ağzın doluydu, başını salladın.</t>
        </is>
      </c>
      <c r="I1346" s="6" t="inlineStr">
        <is>
          <t>Gece gelişlerinde öyle ustalaştın ki bir gece merdivende annenle karşılaştın; o da ayakkabıları elinde, geç geliyordu. İkiniz de bir şey demediniz. Ertesi hafta saat sınırı kendiliğinden kalktı.</t>
        </is>
      </c>
      <c r="J1346" s="6" t="inlineStr">
        <is>
          <t>Üçüncü basamak gıcırdadı. Işık yandı. Babanın sorusu kısaydı: “Saat?”</t>
        </is>
      </c>
      <c r="K1346" s="6" t="inlineStr">
        <is>
          <t>Kapıyı açtığında salonda annen, baban ve teyzen oturuyordu. Teyzen o gece sizde kalmıştı; tanık olarak.</t>
        </is>
      </c>
      <c r="L1346" s="6" t="inlineStr"/>
      <c r="M1346" s="5" t="inlineStr"/>
      <c r="N1346" s="5" t="inlineStr"/>
      <c r="O1346" s="6" t="inlineStr"/>
      <c r="P1346" s="6" t="inlineStr"/>
      <c r="Q1346" s="5" t="inlineStr"/>
      <c r="R1346" s="5" t="inlineStr"/>
      <c r="S1346" s="5" t="inlineStr"/>
      <c r="T1346" s="5" t="inlineStr"/>
      <c r="U1346" s="5" t="inlineStr"/>
      <c r="V1346" s="5" t="inlineStr"/>
      <c r="W1346" s="5" t="inlineStr"/>
      <c r="X1346" s="5" t="inlineStr"/>
      <c r="Y1346" s="5" t="inlineStr"/>
      <c r="Z1346" s="6" t="inlineStr"/>
      <c r="AA1346" s="5" t="inlineStr"/>
      <c r="AB1346" s="5" t="inlineStr"/>
      <c r="AC1346" s="5" t="inlineStr"/>
      <c r="AD1346" s="5" t="inlineStr"/>
      <c r="AE1346" s="5" t="inlineStr"/>
      <c r="AF1346" s="5" t="inlineStr"/>
      <c r="AG1346" s="5" t="inlineStr"/>
      <c r="AH1346" s="5" t="inlineStr"/>
      <c r="AI1346" s="5" t="inlineStr"/>
      <c r="AJ1346" s="5" t="inlineStr"/>
    </row>
    <row r="1347">
      <c r="A1347" s="5" t="inlineStr">
        <is>
          <t>b6-bolum-ilk-yil</t>
        </is>
      </c>
      <c r="B1347" s="5" t="n">
        <v>1</v>
      </c>
      <c r="C1347" s="6" t="inlineStr">
        <is>
          <t>Derslere gir, not al, çık</t>
        </is>
      </c>
      <c r="D1347" s="5" t="inlineStr"/>
      <c r="E1347" s="5" t="inlineStr"/>
      <c r="F1347" s="5" t="inlineStr">
        <is>
          <t>Akıl +1, Dayanıklılık +1</t>
        </is>
      </c>
      <c r="G1347" s="6" t="inlineStr">
        <is>
          <t>Bir yıl boyunca derslere girdin, çıktın. Annen notlarını sordu; “İyi” dedin. “İyi ne kadar iyi?” dedi. Orta kadar.</t>
        </is>
      </c>
      <c r="H1347" s="6" t="inlineStr"/>
      <c r="I1347" s="6" t="inlineStr"/>
      <c r="J1347" s="6" t="inlineStr"/>
      <c r="K1347" s="6" t="inlineStr"/>
      <c r="L1347" s="6" t="inlineStr"/>
      <c r="M1347" s="5" t="inlineStr"/>
      <c r="N1347" s="5" t="inlineStr"/>
      <c r="O1347" s="6" t="inlineStr"/>
      <c r="P1347" s="6" t="inlineStr"/>
      <c r="Q1347" s="5" t="inlineStr"/>
      <c r="R1347" s="5" t="inlineStr"/>
      <c r="S1347" s="5" t="inlineStr"/>
      <c r="T1347" s="5" t="inlineStr"/>
      <c r="U1347" s="5" t="inlineStr"/>
      <c r="V1347" s="5" t="inlineStr"/>
      <c r="W1347" s="5" t="inlineStr"/>
      <c r="X1347" s="5" t="inlineStr"/>
      <c r="Y1347" s="5" t="inlineStr"/>
      <c r="Z1347" s="6" t="inlineStr"/>
      <c r="AA1347" s="5" t="inlineStr"/>
      <c r="AB1347" s="5" t="inlineStr"/>
      <c r="AC1347" s="5" t="inlineStr"/>
      <c r="AD1347" s="5" t="inlineStr"/>
      <c r="AE1347" s="5" t="inlineStr"/>
      <c r="AF1347" s="5" t="inlineStr"/>
      <c r="AG1347" s="5" t="inlineStr"/>
      <c r="AH1347" s="5" t="inlineStr"/>
      <c r="AI1347" s="5" t="inlineStr"/>
      <c r="AJ1347" s="5" t="inlineStr"/>
    </row>
    <row r="1348">
      <c r="A1348" s="5" t="inlineStr">
        <is>
          <t>b6-bolum-ilk-yil</t>
        </is>
      </c>
      <c r="B1348" s="5" t="n">
        <v>2</v>
      </c>
      <c r="C1348" s="6" t="inlineStr">
        <is>
          <t>Adliyede duruşma izle</t>
        </is>
      </c>
      <c r="D1348" s="5" t="inlineStr">
        <is>
          <t>Sosyal Radar</t>
        </is>
      </c>
      <c r="E1348" s="5" t="inlineStr">
        <is>
          <t>Orta</t>
        </is>
      </c>
      <c r="F1348" s="5" t="inlineStr"/>
      <c r="G1348" s="6" t="inlineStr"/>
      <c r="H1348" s="6" t="inlineStr">
        <is>
          <t>Arka sırada üç duruşma izledin. Hâkimin kalemi masaya vurduğu an, bütün salonun nefesini tuttuğunu gördün. Bu salonu bir gün kendin susturmak istiyorsun.</t>
        </is>
      </c>
      <c r="I1348" s="6" t="inlineStr">
        <is>
          <t>Bir avukat seni fark etti ve dosyasını taşımanı istedi. Dosya ağırdı; teklifi daha da ağırdı: “Yazın stajyerim ol.”</t>
        </is>
      </c>
      <c r="J1348" s="6" t="inlineStr">
        <is>
          <t>Yanlış salona girdin. Bir boşanma davasını sonuna kadar izledin; tarafların ikisi de sana baktı.</t>
        </is>
      </c>
      <c r="K1348" s="6" t="inlineStr">
        <is>
          <t>Duruşmada telefonun çaldı. Hâkim seni “salona saygısızlık” diye uyardı. Tutanaktaki ilk adın bu.</t>
        </is>
      </c>
      <c r="L1348" s="6" t="inlineStr"/>
      <c r="M1348" s="5" t="inlineStr"/>
      <c r="N1348" s="5" t="inlineStr"/>
      <c r="O1348" s="6" t="inlineStr"/>
      <c r="P1348" s="6" t="inlineStr"/>
      <c r="Q1348" s="5" t="inlineStr"/>
      <c r="R1348" s="5" t="inlineStr">
        <is>
          <t>bolum-hukuk</t>
        </is>
      </c>
      <c r="S1348" s="5" t="inlineStr"/>
      <c r="T1348" s="5" t="inlineStr"/>
      <c r="U1348" s="5" t="inlineStr"/>
      <c r="V1348" s="5" t="inlineStr"/>
      <c r="W1348" s="5" t="inlineStr"/>
      <c r="X1348" s="5" t="inlineStr"/>
      <c r="Y1348" s="5" t="inlineStr"/>
      <c r="Z1348" s="6" t="inlineStr"/>
      <c r="AA1348" s="5" t="inlineStr"/>
      <c r="AB1348" s="5" t="inlineStr"/>
      <c r="AC1348" s="5" t="inlineStr"/>
      <c r="AD1348" s="5" t="inlineStr"/>
      <c r="AE1348" s="5" t="inlineStr"/>
      <c r="AF1348" s="5" t="inlineStr"/>
      <c r="AG1348" s="5" t="inlineStr"/>
      <c r="AH1348" s="5" t="inlineStr"/>
      <c r="AI1348" s="5" t="inlineStr"/>
      <c r="AJ1348" s="5" t="inlineStr"/>
    </row>
    <row r="1349">
      <c r="A1349" s="5" t="inlineStr">
        <is>
          <t>b6-bolum-ilk-yil</t>
        </is>
      </c>
      <c r="B1349" s="5" t="n">
        <v>3</v>
      </c>
      <c r="C1349" s="6" t="inlineStr">
        <is>
          <t>İçtimada en önde dur</t>
        </is>
      </c>
      <c r="D1349" s="5" t="inlineStr">
        <is>
          <t>Dayanıklılık</t>
        </is>
      </c>
      <c r="E1349" s="5" t="inlineStr">
        <is>
          <t>Orta</t>
        </is>
      </c>
      <c r="F1349" s="5" t="inlineStr"/>
      <c r="G1349" s="6" t="inlineStr"/>
      <c r="H1349" s="6" t="inlineStr">
        <is>
          <t>Sabah altıda en öndeydin. Komiser amir adını sordu, ertesi gün adınla seslendi. Babana anlattın; baban o akşam iki kez sordu: “Adını mı söyledi?”</t>
        </is>
      </c>
      <c r="I1349" s="6" t="inlineStr">
        <is>
          <t>Bütün yıl hiç geç kalmadın. Tören günü sancağı sen taşıdın; annen fotoğrafı çerçevelettirdi, baban cüzdanına koydu.</t>
        </is>
      </c>
      <c r="J1349" s="6" t="inlineStr">
        <is>
          <t>En önde durdun, sonra bayıldın. Revirde uyandığında hemşire “Kahvaltı?” diye sordu. Yapmamıştın.</t>
        </is>
      </c>
      <c r="K1349" s="6" t="inlineStr">
        <is>
          <t>İçtimada yanlış tarafa döndün. Bütün sıra seninle döndü. Komiser amir “Yeni bir düzen mi?” diye sordu.</t>
        </is>
      </c>
      <c r="L1349" s="6" t="inlineStr"/>
      <c r="M1349" s="5" t="inlineStr"/>
      <c r="N1349" s="5" t="inlineStr"/>
      <c r="O1349" s="6" t="inlineStr"/>
      <c r="P1349" s="6" t="inlineStr"/>
      <c r="Q1349" s="5" t="inlineStr"/>
      <c r="R1349" s="5" t="inlineStr">
        <is>
          <t>bolum-emniyet</t>
        </is>
      </c>
      <c r="S1349" s="5" t="inlineStr"/>
      <c r="T1349" s="5" t="inlineStr"/>
      <c r="U1349" s="5" t="inlineStr"/>
      <c r="V1349" s="5" t="inlineStr"/>
      <c r="W1349" s="5" t="inlineStr"/>
      <c r="X1349" s="5" t="inlineStr"/>
      <c r="Y1349" s="5" t="inlineStr"/>
      <c r="Z1349" s="6" t="inlineStr"/>
      <c r="AA1349" s="5" t="inlineStr"/>
      <c r="AB1349" s="5" t="inlineStr"/>
      <c r="AC1349" s="5" t="inlineStr"/>
      <c r="AD1349" s="5" t="inlineStr"/>
      <c r="AE1349" s="5" t="inlineStr"/>
      <c r="AF1349" s="5" t="inlineStr"/>
      <c r="AG1349" s="5" t="inlineStr"/>
      <c r="AH1349" s="5" t="inlineStr"/>
      <c r="AI1349" s="5" t="inlineStr"/>
      <c r="AJ1349" s="5" t="inlineStr"/>
    </row>
    <row r="1350">
      <c r="A1350" s="5" t="inlineStr">
        <is>
          <t>b6-bolum-ilk-yil</t>
        </is>
      </c>
      <c r="B1350" s="5" t="n">
        <v>4</v>
      </c>
      <c r="C1350" s="6" t="inlineStr">
        <is>
          <t>Laboratuvardaki arızayı sen çöz</t>
        </is>
      </c>
      <c r="D1350" s="5" t="inlineStr">
        <is>
          <t>Akıl</t>
        </is>
      </c>
      <c r="E1350" s="5" t="inlineStr">
        <is>
          <t>Orta</t>
        </is>
      </c>
      <c r="F1350" s="5" t="inlineStr"/>
      <c r="G1350" s="6" t="inlineStr"/>
      <c r="H1350" s="6" t="inlineStr">
        <is>
          <t>Hocanın çözemediği cihazı sen çözdün; kablo takılı değilmiş. Asistan o günden beri sana “Mühendis” diye sesleniyor.</t>
        </is>
      </c>
      <c r="I1350" s="6" t="inlineStr">
        <is>
          <t>Cihazı çözdün, bir de programını düzelttin. Hoca seni araştırma grubuna aldı; maaşı yok, anahtarı var.</t>
        </is>
      </c>
      <c r="J1350" s="6" t="inlineStr">
        <is>
          <t>Cihaz açıldı, ekranda bir hata kodu belirdi. Hocaya gösterdin; hoca da çözemedi. İkiniz cihazı kapattınız ve hiç açılmamış gibi davrandınız.</t>
        </is>
      </c>
      <c r="K1350" s="6" t="inlineStr">
        <is>
          <t>Kabloyu yanlış yere taktın. Bölümün bütün sigortaları attı. Adın panoda: “Bu öğrenci prize yaklaşamaz.”</t>
        </is>
      </c>
      <c r="L1350" s="6" t="inlineStr"/>
      <c r="M1350" s="5" t="inlineStr"/>
      <c r="N1350" s="5" t="inlineStr"/>
      <c r="O1350" s="6" t="inlineStr"/>
      <c r="P1350" s="6" t="inlineStr"/>
      <c r="Q1350" s="5" t="inlineStr"/>
      <c r="R1350" s="5" t="inlineStr">
        <is>
          <t>bolum-muhendislik</t>
        </is>
      </c>
      <c r="S1350" s="5" t="inlineStr"/>
      <c r="T1350" s="5" t="inlineStr"/>
      <c r="U1350" s="5" t="inlineStr"/>
      <c r="V1350" s="5" t="inlineStr"/>
      <c r="W1350" s="5" t="inlineStr"/>
      <c r="X1350" s="5" t="inlineStr"/>
      <c r="Y1350" s="5" t="inlineStr"/>
      <c r="Z1350" s="6" t="inlineStr"/>
      <c r="AA1350" s="5" t="inlineStr"/>
      <c r="AB1350" s="5" t="inlineStr"/>
      <c r="AC1350" s="5" t="inlineStr"/>
      <c r="AD1350" s="5" t="inlineStr"/>
      <c r="AE1350" s="5" t="inlineStr"/>
      <c r="AF1350" s="5" t="inlineStr"/>
      <c r="AG1350" s="5" t="inlineStr"/>
      <c r="AH1350" s="5" t="inlineStr"/>
      <c r="AI1350" s="5" t="inlineStr"/>
      <c r="AJ1350" s="5" t="inlineStr"/>
    </row>
    <row r="1351">
      <c r="A1351" s="5" t="inlineStr">
        <is>
          <t>b6-bolum-ilk-yil</t>
        </is>
      </c>
      <c r="B1351" s="5" t="n">
        <v>5</v>
      </c>
      <c r="C1351" s="6" t="inlineStr">
        <is>
          <t>İlk seçmeye gir</t>
        </is>
      </c>
      <c r="D1351" s="5" t="inlineStr">
        <is>
          <t>Pişkinlik</t>
        </is>
      </c>
      <c r="E1351" s="5" t="inlineStr">
        <is>
          <t>Orta</t>
        </is>
      </c>
      <c r="F1351" s="5" t="inlineStr"/>
      <c r="G1351" s="6" t="inlineStr"/>
      <c r="H1351" s="6" t="inlineStr">
        <is>
          <t>Sahnede üç dakikan vardı; iki dakika elli saniye kullandın. Jüri seni hatırladı; bir de ismini.</t>
        </is>
      </c>
      <c r="I1351" s="6" t="inlineStr">
        <is>
          <t>Jüri seni bir reklam filminin setine önerdi. İlk rolün: “Çayını yudumlayan mutlu genç.” Çay soğuktu.</t>
        </is>
      </c>
      <c r="J1351" s="6" t="inlineStr">
        <is>
          <t>Seçmede metni unuttun ve doğaçlama yaptın. Jüri “Bu metinde öyle bir sahne yok” dedi.</t>
        </is>
      </c>
      <c r="K1351" s="6" t="inlineStr">
        <is>
          <t>Sahneye çıkarken perdeye takıldın; perde rayıyla birlikte indi. Jüri ayağa kalkıp alkışladı, sonra not kâğıdına baktı: “Bu bir dram seçmesiydi.”</t>
        </is>
      </c>
      <c r="L1351" s="6" t="inlineStr"/>
      <c r="M1351" s="5" t="inlineStr"/>
      <c r="N1351" s="5" t="inlineStr"/>
      <c r="O1351" s="6" t="inlineStr"/>
      <c r="P1351" s="6" t="inlineStr"/>
      <c r="Q1351" s="5" t="inlineStr"/>
      <c r="R1351" s="5" t="inlineStr">
        <is>
          <t>bolum-iletisim</t>
        </is>
      </c>
      <c r="S1351" s="5" t="inlineStr"/>
      <c r="T1351" s="5" t="inlineStr"/>
      <c r="U1351" s="5" t="inlineStr"/>
      <c r="V1351" s="5" t="inlineStr"/>
      <c r="W1351" s="5" t="inlineStr"/>
      <c r="X1351" s="5" t="inlineStr"/>
      <c r="Y1351" s="5" t="inlineStr"/>
      <c r="Z1351" s="6" t="inlineStr"/>
      <c r="AA1351" s="5" t="inlineStr"/>
      <c r="AB1351" s="5" t="inlineStr"/>
      <c r="AC1351" s="5" t="inlineStr"/>
      <c r="AD1351" s="5" t="inlineStr"/>
      <c r="AE1351" s="5" t="inlineStr"/>
      <c r="AF1351" s="5" t="inlineStr"/>
      <c r="AG1351" s="5" t="inlineStr"/>
      <c r="AH1351" s="5" t="inlineStr"/>
      <c r="AI1351" s="5" t="inlineStr"/>
      <c r="AJ1351" s="5" t="inlineStr"/>
    </row>
    <row r="1352">
      <c r="A1352" s="5" t="inlineStr">
        <is>
          <t>b6-bolum-ilk-yil</t>
        </is>
      </c>
      <c r="B1352" s="5" t="n">
        <v>6</v>
      </c>
      <c r="C1352" s="6" t="inlineStr">
        <is>
          <t>Kantinde vaka analizi yap</t>
        </is>
      </c>
      <c r="D1352" s="5" t="inlineStr">
        <is>
          <t>Kurnazlık</t>
        </is>
      </c>
      <c r="E1352" s="5" t="inlineStr">
        <is>
          <t>Orta</t>
        </is>
      </c>
      <c r="F1352" s="5" t="inlineStr"/>
      <c r="G1352" s="6" t="inlineStr"/>
      <c r="H1352" s="6" t="inlineStr">
        <is>
          <t>Kantincinin tost fiyatlarını analiz ettin ve yeni bir menü önerdin. Kantinci uyguladı; kârın yüzde onu sana tost olarak dönüyor.</t>
        </is>
      </c>
      <c r="I1352" s="6" t="inlineStr">
        <is>
          <t>Analizini ödev diye teslim ettin; hoca derste örnek diye okudu. Kantinci de duydu, ertesi gün tezgâha senin fiyat listeni astı. Altında: “Hocamızın tavsiyesidir.”</t>
        </is>
      </c>
      <c r="J1352" s="6" t="inlineStr">
        <is>
          <t>Kantinciye analizini anlattın. Sonuna kadar dinledi, sonra tostunu uzattı: “Sen bunu ye, ben otuz yıldır tost satıyorum.”</t>
        </is>
      </c>
      <c r="K1352" s="6" t="inlineStr">
        <is>
          <t>Analizini kantinin duvarına astın. Ertesi gün tost fiyatı arttı ve bütün bölüm seni suçladı. Kantinci artık sana “Hocam” diyor; tostunu da en son veriyor.</t>
        </is>
      </c>
      <c r="L1352" s="6" t="inlineStr"/>
      <c r="M1352" s="5" t="inlineStr"/>
      <c r="N1352" s="5" t="inlineStr"/>
      <c r="O1352" s="6" t="inlineStr"/>
      <c r="P1352" s="6" t="inlineStr"/>
      <c r="Q1352" s="5" t="inlineStr"/>
      <c r="R1352" s="5" t="inlineStr">
        <is>
          <t>bolum-isletme</t>
        </is>
      </c>
      <c r="S1352" s="5" t="inlineStr"/>
      <c r="T1352" s="5" t="inlineStr"/>
      <c r="U1352" s="5" t="inlineStr"/>
      <c r="V1352" s="5" t="inlineStr"/>
      <c r="W1352" s="5" t="inlineStr"/>
      <c r="X1352" s="5" t="inlineStr"/>
      <c r="Y1352" s="5" t="inlineStr"/>
      <c r="Z1352" s="6" t="inlineStr"/>
      <c r="AA1352" s="5" t="inlineStr"/>
      <c r="AB1352" s="5" t="inlineStr"/>
      <c r="AC1352" s="5" t="inlineStr"/>
      <c r="AD1352" s="5" t="inlineStr"/>
      <c r="AE1352" s="5" t="inlineStr"/>
      <c r="AF1352" s="5" t="inlineStr"/>
      <c r="AG1352" s="5" t="inlineStr"/>
      <c r="AH1352" s="5" t="inlineStr"/>
      <c r="AI1352" s="5" t="inlineStr"/>
      <c r="AJ1352" s="5" t="inlineStr"/>
    </row>
    <row r="1353">
      <c r="A1353" s="5" t="inlineStr">
        <is>
          <t>b6-bolum-ilk-yil</t>
        </is>
      </c>
      <c r="B1353" s="5" t="n">
        <v>7</v>
      </c>
      <c r="C1353" s="6" t="inlineStr">
        <is>
          <t>Kadavra dersinde ayakta kal</t>
        </is>
      </c>
      <c r="D1353" s="5" t="inlineStr">
        <is>
          <t>Dayanıklılık</t>
        </is>
      </c>
      <c r="E1353" s="5" t="inlineStr">
        <is>
          <t>Orta</t>
        </is>
      </c>
      <c r="F1353" s="5" t="inlineStr"/>
      <c r="G1353" s="6" t="inlineStr"/>
      <c r="H1353" s="6" t="inlineStr">
        <is>
          <t>Herkes birer birer dışarı çıkarken sen kaldın. Hoca sana başıyla onay verdi; tıp fakültesinde bu bir alkıştır.</t>
        </is>
      </c>
      <c r="I1353" s="6" t="inlineStr">
        <is>
          <t>Dersin sonunda hoca seni asistanı yaptı. Aile grubunda artık her semptom sana soruluyor; teyzen fotoğraf da atıyor.</t>
        </is>
      </c>
      <c r="J1353" s="6" t="inlineStr">
        <is>
          <t>Ayakta kaldın ama rengin kalmadı. Hoca seni koridora çıkardı: “Bir çay iç, sonra gel.” Gelmedin.</t>
        </is>
      </c>
      <c r="K1353" s="6" t="inlineStr">
        <is>
          <t>Bayıldın; üstelik yanındaki arkadaşının üstüne. O da bayıldı, arkasındaki de. Fakültede adın artık “Domino”.</t>
        </is>
      </c>
      <c r="L1353" s="6" t="inlineStr">
        <is>
          <t>Ayakta kaldın ama dersin yarısını tavana bakarak dinledin. Notların daha çok tavanla ilgili.</t>
        </is>
      </c>
      <c r="M1353" s="5" t="inlineStr">
        <is>
          <t>timing</t>
        </is>
      </c>
      <c r="N1353" s="5" t="inlineStr">
        <is>
          <t>Derin Nefes</t>
        </is>
      </c>
      <c r="O1353" s="6" t="inlineStr">
        <is>
          <t>İbre yeşil alandayken DURDUR'a bas. Art arda tutturdukça kombo kazanırsın.</t>
        </is>
      </c>
      <c r="P1353" s="6" t="n"/>
      <c r="Q1353" s="5" t="inlineStr"/>
      <c r="R1353" s="5" t="inlineStr">
        <is>
          <t>bolum-tip</t>
        </is>
      </c>
      <c r="S1353" s="5" t="inlineStr"/>
      <c r="T1353" s="5" t="inlineStr"/>
      <c r="U1353" s="5" t="inlineStr"/>
      <c r="V1353" s="5" t="inlineStr"/>
      <c r="W1353" s="5" t="inlineStr"/>
      <c r="X1353" s="5" t="inlineStr"/>
      <c r="Y1353" s="5" t="inlineStr"/>
      <c r="Z1353" s="6" t="inlineStr"/>
      <c r="AA1353" s="5" t="inlineStr"/>
      <c r="AB1353" s="5" t="inlineStr"/>
      <c r="AC1353" s="5" t="inlineStr"/>
      <c r="AD1353" s="5" t="inlineStr"/>
      <c r="AE1353" s="5" t="inlineStr"/>
      <c r="AF1353" s="5" t="inlineStr"/>
      <c r="AG1353" s="5" t="inlineStr"/>
      <c r="AH1353" s="5" t="inlineStr"/>
      <c r="AI1353" s="5" t="inlineStr">
        <is>
          <t>Domino</t>
        </is>
      </c>
      <c r="AJ1353" s="5" t="inlineStr"/>
    </row>
    <row r="1354">
      <c r="A1354" s="5" t="inlineStr">
        <is>
          <t>b6-evden-cikis</t>
        </is>
      </c>
      <c r="B1354" s="5" t="n">
        <v>1</v>
      </c>
      <c r="C1354" s="6" t="inlineStr">
        <is>
          <t>Ailenin yanında kal</t>
        </is>
      </c>
      <c r="D1354" s="5" t="inlineStr"/>
      <c r="E1354" s="5" t="inlineStr"/>
      <c r="F1354" s="5" t="inlineStr">
        <is>
          <t>Kurnazlık +1, Gönül +1</t>
        </is>
      </c>
      <c r="G1354" s="6" t="inlineStr">
        <is>
          <t>Kalmaya karar verdin. Annen o akşam en sevdiğin yemeği yaptı; baban da televizyonun kumandasını ilk kez sana uzattı. Kira yok, ama akşam dokuzda “Nereye?” var.</t>
        </is>
      </c>
      <c r="H1354" s="6" t="inlineStr"/>
      <c r="I1354" s="6" t="inlineStr"/>
      <c r="J1354" s="6" t="inlineStr"/>
      <c r="K1354" s="6" t="inlineStr"/>
      <c r="L1354" s="6" t="inlineStr"/>
      <c r="M1354" s="5" t="inlineStr"/>
      <c r="N1354" s="5" t="inlineStr"/>
      <c r="O1354" s="6" t="inlineStr"/>
      <c r="P1354" s="6" t="inlineStr"/>
      <c r="Q1354" s="5" t="inlineStr"/>
      <c r="R1354" s="5" t="inlineStr"/>
      <c r="S1354" s="5" t="inlineStr"/>
      <c r="T1354" s="5" t="inlineStr"/>
      <c r="U1354" s="5" t="inlineStr">
        <is>
          <t>evde-kaldi</t>
        </is>
      </c>
      <c r="V1354" s="5" t="inlineStr"/>
      <c r="W1354" s="5" t="inlineStr"/>
      <c r="X1354" s="5" t="inlineStr"/>
      <c r="Y1354" s="5" t="inlineStr"/>
      <c r="Z1354" s="6" t="inlineStr"/>
      <c r="AA1354" s="5" t="inlineStr">
        <is>
          <t>hepsi +1</t>
        </is>
      </c>
      <c r="AB1354" s="5" t="inlineStr"/>
      <c r="AC1354" s="5" t="inlineStr"/>
      <c r="AD1354" s="5" t="inlineStr"/>
      <c r="AE1354" s="5" t="inlineStr"/>
      <c r="AF1354" s="5" t="inlineStr"/>
      <c r="AG1354" s="5" t="inlineStr"/>
      <c r="AH1354" s="5" t="inlineStr"/>
      <c r="AI1354" s="5" t="inlineStr"/>
      <c r="AJ1354" s="5" t="inlineStr"/>
    </row>
    <row r="1355">
      <c r="A1355" s="5" t="inlineStr">
        <is>
          <t>b6-evden-cikis</t>
        </is>
      </c>
      <c r="B1355" s="5" t="n">
        <v>2</v>
      </c>
      <c r="C1355" s="6" t="inlineStr">
        <is>
          <t>Tek başına kiraya çık</t>
        </is>
      </c>
      <c r="D1355" s="5" t="inlineStr">
        <is>
          <t>Cesaret</t>
        </is>
      </c>
      <c r="E1355" s="5" t="inlineStr">
        <is>
          <t>Orta</t>
        </is>
      </c>
      <c r="F1355" s="5" t="inlineStr"/>
      <c r="G1355" s="6" t="inlineStr"/>
      <c r="H1355" s="6" t="inlineStr">
        <is>
          <t>Anahtarı aldın. İlk gece boş evde yankılanan kendi sesine alıştın. Buzdolabında sadece su var; su senin.</t>
        </is>
      </c>
      <c r="I1355" s="6" t="inlineStr">
        <is>
          <t>İlk ev şansına iyi çıktı: güneş alıyor, komşu sessiz, ev sahibi Öte Diyar'da. Böyle bir üçlü mahallede efsanedir; annen bile “Kıymetini bil” dedi.</t>
        </is>
      </c>
      <c r="J1355" s="6" t="inlineStr">
        <is>
          <t>Kontrat aşamasında depozito, emlakçı payı ve iki kira birden istendi. Cebine baktın; odana döndün.</t>
        </is>
      </c>
      <c r="K1355" s="6" t="inlineStr">
        <is>
          <t>Kontratı imzalamak üzereyken annen emlakçıyı aradı. Emlakçı annenin okul arkadaşı çıktı; kontrat yırtıldı, sana da çay koydular. Akşam annen odanı havalandırdı; “Ben demiştim” demedi, gözleri dedi.</t>
        </is>
      </c>
      <c r="L1355" s="6" t="inlineStr"/>
      <c r="M1355" s="5" t="inlineStr"/>
      <c r="N1355" s="5" t="inlineStr"/>
      <c r="O1355" s="6" t="inlineStr"/>
      <c r="P1355" s="6" t="inlineStr"/>
      <c r="Q1355" s="5" t="inlineStr"/>
      <c r="R1355" s="5" t="inlineStr"/>
      <c r="S1355" s="5" t="inlineStr"/>
      <c r="T1355" s="5" t="inlineStr"/>
      <c r="U1355" s="5" t="inlineStr"/>
      <c r="V1355" s="5" t="inlineStr">
        <is>
          <t>kiraci</t>
        </is>
      </c>
      <c r="W1355" s="5" t="inlineStr"/>
      <c r="X1355" s="5" t="inlineStr"/>
      <c r="Y1355" s="5" t="n">
        <v>1</v>
      </c>
      <c r="Z1355" s="6" t="inlineStr">
        <is>
          <t>Yeni evin eski kombisini ilk kez yakmaya çalışırken. Ev sahibi “Normal” demişti.</t>
        </is>
      </c>
      <c r="AA1355" s="5" t="inlineStr">
        <is>
          <t>Şen -1, Yalçın -1, Tan +1</t>
        </is>
      </c>
      <c r="AB1355" s="5" t="inlineStr">
        <is>
          <t>evde-kaldi</t>
        </is>
      </c>
      <c r="AC1355" s="5" t="inlineStr">
        <is>
          <t>Kıt</t>
        </is>
      </c>
      <c r="AD1355" s="5" t="inlineStr"/>
      <c r="AE1355" s="5" t="inlineStr"/>
      <c r="AF1355" s="5" t="inlineStr"/>
      <c r="AG1355" s="5" t="inlineStr"/>
      <c r="AH1355" s="5" t="inlineStr"/>
      <c r="AI1355" s="5" t="inlineStr"/>
      <c r="AJ1355" s="5" t="inlineStr"/>
    </row>
    <row r="1356">
      <c r="A1356" s="5" t="inlineStr">
        <is>
          <t>b6-evden-cikis</t>
        </is>
      </c>
      <c r="B1356" s="5" t="n">
        <v>3</v>
      </c>
      <c r="C1356" s="6" t="inlineStr">
        <is>
          <t>Bir arkadaşla ev tut</t>
        </is>
      </c>
      <c r="D1356" s="5" t="inlineStr">
        <is>
          <t>Çene</t>
        </is>
      </c>
      <c r="E1356" s="5" t="inlineStr">
        <is>
          <t>Kolay</t>
        </is>
      </c>
      <c r="F1356" s="5" t="inlineStr"/>
      <c r="G1356" s="6" t="inlineStr"/>
      <c r="H1356" s="6" t="inlineStr">
        <is>
          <t>Arkadaşınla iki odalı bir yer tuttunuz. Kira yarı yarıya, buzdolabı rafı yarı yarıya; kavga tam.</t>
        </is>
      </c>
      <c r="I1356" s="6" t="inlineStr">
        <is>
          <t>Ev arkadaşın yemek yapıyor, sen bulaşığı. Annen ilk ziyarette buzdolabını açtı, uzun uzun baktı, kapattı. Hayatında ilk kez söyleyecek bir şey bulamadı.</t>
        </is>
      </c>
      <c r="J1356" s="6" t="inlineStr">
        <is>
          <t>Arkadaşın son anda sevgilisiyle taşınmaya karar verdi. Evin anahtarı elinde kaldı, kontrat onun adına. Odana döndün.</t>
        </is>
      </c>
      <c r="K1356" s="6" t="inlineStr">
        <is>
          <t>Evi tuttunuz. Arkadaşın ilk ay kirayı ödemedi, ikinci ay buzdolabındaki yoğurdunla birlikte ortadan kayboldu. Aile evine döndün; annen kapıda bir şey sormadı, sadece valizini aldı.</t>
        </is>
      </c>
      <c r="L1356" s="6" t="inlineStr"/>
      <c r="M1356" s="5" t="inlineStr"/>
      <c r="N1356" s="5" t="inlineStr"/>
      <c r="O1356" s="6" t="inlineStr"/>
      <c r="P1356" s="6" t="inlineStr"/>
      <c r="Q1356" s="5" t="inlineStr"/>
      <c r="R1356" s="5" t="inlineStr"/>
      <c r="S1356" s="5" t="inlineStr"/>
      <c r="T1356" s="5" t="inlineStr"/>
      <c r="U1356" s="5" t="inlineStr"/>
      <c r="V1356" s="5" t="inlineStr">
        <is>
          <t>ev-arkadasli</t>
        </is>
      </c>
      <c r="W1356" s="5" t="inlineStr"/>
      <c r="X1356" s="5" t="inlineStr"/>
      <c r="Y1356" s="5" t="inlineStr"/>
      <c r="Z1356" s="6" t="inlineStr"/>
      <c r="AA1356" s="5" t="inlineStr"/>
      <c r="AB1356" s="5" t="inlineStr">
        <is>
          <t>evde-kaldi</t>
        </is>
      </c>
      <c r="AC1356" s="5" t="inlineStr"/>
      <c r="AD1356" s="5" t="inlineStr"/>
      <c r="AE1356" s="5" t="inlineStr"/>
      <c r="AF1356" s="5" t="inlineStr"/>
      <c r="AG1356" s="5" t="inlineStr"/>
      <c r="AH1356" s="5" t="inlineStr"/>
      <c r="AI1356" s="5" t="inlineStr"/>
      <c r="AJ1356" s="5" t="inlineStr"/>
    </row>
    <row r="1357">
      <c r="A1357" s="5" t="inlineStr">
        <is>
          <t>b6-evden-cikis</t>
        </is>
      </c>
      <c r="B1357" s="5" t="n">
        <v>4</v>
      </c>
      <c r="C1357" s="6" t="inlineStr">
        <is>
          <t>Yurttan öğrenci evine geç</t>
        </is>
      </c>
      <c r="D1357" s="5" t="inlineStr"/>
      <c r="E1357" s="5" t="inlineStr"/>
      <c r="F1357" s="5" t="inlineStr">
        <is>
          <t>Sosyal Radar +1, Dayanıklılık +1</t>
        </is>
      </c>
      <c r="G1357" s="6" t="inlineStr">
        <is>
          <t>Dört kişi, üç oda, bir banyo. Salon aynı zamanda birinin yatak odası; misafir gelince o da misafir oluyor. Kapıda dört isim yazılı; kargocu her seferinde “Hanginiz?” diye soruyor.</t>
        </is>
      </c>
      <c r="H1357" s="6" t="inlineStr"/>
      <c r="I1357" s="6" t="inlineStr"/>
      <c r="J1357" s="6" t="inlineStr"/>
      <c r="K1357" s="6" t="inlineStr"/>
      <c r="L1357" s="6" t="inlineStr"/>
      <c r="M1357" s="5" t="inlineStr"/>
      <c r="N1357" s="5" t="inlineStr"/>
      <c r="O1357" s="6" t="inlineStr"/>
      <c r="P1357" s="6" t="inlineStr"/>
      <c r="Q1357" s="5" t="inlineStr"/>
      <c r="R1357" s="5" t="inlineStr">
        <is>
          <t>baska-sehir</t>
        </is>
      </c>
      <c r="S1357" s="5" t="inlineStr"/>
      <c r="T1357" s="5" t="inlineStr"/>
      <c r="U1357" s="5" t="inlineStr">
        <is>
          <t>ev-arkadasli</t>
        </is>
      </c>
      <c r="V1357" s="5" t="inlineStr"/>
      <c r="W1357" s="5" t="inlineStr"/>
      <c r="X1357" s="5" t="inlineStr"/>
      <c r="Y1357" s="5" t="inlineStr"/>
      <c r="Z1357" s="6" t="inlineStr"/>
      <c r="AA1357" s="5" t="inlineStr"/>
      <c r="AB1357" s="5" t="inlineStr"/>
      <c r="AC1357" s="5" t="inlineStr"/>
      <c r="AD1357" s="5" t="inlineStr"/>
      <c r="AE1357" s="5" t="inlineStr"/>
      <c r="AF1357" s="5" t="inlineStr"/>
      <c r="AG1357" s="5" t="inlineStr"/>
      <c r="AH1357" s="5" t="inlineStr"/>
      <c r="AI1357" s="5" t="inlineStr"/>
      <c r="AJ1357" s="5" t="inlineStr"/>
    </row>
    <row r="1358">
      <c r="A1358" s="5" t="inlineStr">
        <is>
          <t>b6-evden-cikis</t>
        </is>
      </c>
      <c r="B1358" s="5" t="n">
        <v>5</v>
      </c>
      <c r="C1358" s="6" t="inlineStr">
        <is>
          <t>Abinin ayarladığı eve geç</t>
        </is>
      </c>
      <c r="D1358" s="5" t="inlineStr"/>
      <c r="E1358" s="5" t="inlineStr"/>
      <c r="F1358" s="5" t="inlineStr">
        <is>
          <t>Pişkinlik +1</t>
        </is>
      </c>
      <c r="G1358" s="6" t="inlineStr">
        <is>
          <t>Abi bir telefon açtı, ertesi gün anahtarın vardı. Kira yok dendi; ama her ayın biri kapına biri gelip “Abi selam söyledi” diyor.</t>
        </is>
      </c>
      <c r="H1358" s="6" t="inlineStr"/>
      <c r="I1358" s="6" t="inlineStr"/>
      <c r="J1358" s="6" t="inlineStr"/>
      <c r="K1358" s="6" t="inlineStr"/>
      <c r="L1358" s="6" t="inlineStr"/>
      <c r="M1358" s="5" t="inlineStr"/>
      <c r="N1358" s="5" t="inlineStr"/>
      <c r="O1358" s="6" t="inlineStr"/>
      <c r="P1358" s="6" t="inlineStr"/>
      <c r="Q1358" s="5" t="inlineStr"/>
      <c r="R1358" s="5" t="inlineStr">
        <is>
          <t>abinin-adami</t>
        </is>
      </c>
      <c r="S1358" s="5" t="inlineStr"/>
      <c r="T1358" s="5" t="inlineStr"/>
      <c r="U1358" s="5" t="inlineStr">
        <is>
          <t>kiraci, abiye-borclu</t>
        </is>
      </c>
      <c r="V1358" s="5" t="inlineStr"/>
      <c r="W1358" s="5" t="inlineStr"/>
      <c r="X1358" s="5" t="inlineStr"/>
      <c r="Y1358" s="5" t="inlineStr"/>
      <c r="Z1358" s="6" t="inlineStr"/>
      <c r="AA1358" s="5" t="inlineStr">
        <is>
          <t>hepsi -1</t>
        </is>
      </c>
      <c r="AB1358" s="5" t="inlineStr"/>
      <c r="AC1358" s="5" t="inlineStr"/>
      <c r="AD1358" s="5" t="inlineStr"/>
      <c r="AE1358" s="5" t="inlineStr"/>
      <c r="AF1358" s="5" t="inlineStr"/>
      <c r="AG1358" s="5" t="inlineStr"/>
      <c r="AH1358" s="5" t="inlineStr"/>
      <c r="AI1358" s="5" t="inlineStr"/>
      <c r="AJ1358" s="5" t="inlineStr"/>
    </row>
    <row r="1359">
      <c r="A1359" s="5" t="inlineStr">
        <is>
          <t>b6-evden-cikis</t>
        </is>
      </c>
      <c r="B1359" s="5" t="n">
        <v>6</v>
      </c>
      <c r="C1359" s="6" t="inlineStr">
        <is>
          <t>Ailenin aldığı daireye geç</t>
        </is>
      </c>
      <c r="D1359" s="5" t="inlineStr"/>
      <c r="E1359" s="5" t="inlineStr"/>
      <c r="F1359" s="5" t="inlineStr">
        <is>
          <t>Pişkinlik +1, Cesaret +1</t>
        </is>
      </c>
      <c r="G1359" s="6" t="inlineStr">
        <is>
          <t>Baban tapuyu gösterdi ama vermedi: “Tapu bende, anahtar sende.” Evinde kira yok, ama her pazar ziyaret var; habersiz.</t>
        </is>
      </c>
      <c r="H1359" s="6" t="inlineStr"/>
      <c r="I1359" s="6" t="inlineStr"/>
      <c r="J1359" s="6" t="inlineStr"/>
      <c r="K1359" s="6" t="inlineStr"/>
      <c r="L1359" s="6" t="inlineStr"/>
      <c r="M1359" s="5" t="inlineStr"/>
      <c r="N1359" s="5" t="inlineStr"/>
      <c r="O1359" s="6" t="inlineStr"/>
      <c r="P1359" s="6" t="inlineStr"/>
      <c r="Q1359" s="5" t="inlineStr"/>
      <c r="R1359" s="5" t="inlineStr"/>
      <c r="S1359" s="5" t="inlineStr"/>
      <c r="T1359" s="5" t="inlineStr"/>
      <c r="U1359" s="5" t="inlineStr">
        <is>
          <t>aile-dairesi</t>
        </is>
      </c>
      <c r="V1359" s="5" t="inlineStr"/>
      <c r="W1359" s="5" t="inlineStr"/>
      <c r="X1359" s="5" t="inlineStr"/>
      <c r="Y1359" s="5" t="inlineStr"/>
      <c r="Z1359" s="6" t="inlineStr"/>
      <c r="AA1359" s="5" t="inlineStr"/>
      <c r="AB1359" s="5" t="inlineStr"/>
      <c r="AC1359" s="5" t="inlineStr">
        <is>
          <t>Rahat</t>
        </is>
      </c>
      <c r="AD1359" s="5" t="inlineStr"/>
      <c r="AE1359" s="5" t="inlineStr"/>
      <c r="AF1359" s="5" t="inlineStr"/>
      <c r="AG1359" s="5" t="inlineStr"/>
      <c r="AH1359" s="5" t="inlineStr"/>
      <c r="AI1359" s="5" t="inlineStr"/>
      <c r="AJ1359" s="5" t="inlineStr"/>
    </row>
    <row r="1360">
      <c r="A1360" s="5" t="inlineStr">
        <is>
          <t>b6-evde-kalmak</t>
        </is>
      </c>
      <c r="B1360" s="5" t="n">
        <v>1</v>
      </c>
      <c r="C1360" s="6" t="inlineStr">
        <is>
          <t>Çıkartmayı sök, odayı yetişkinleştir</t>
        </is>
      </c>
      <c r="D1360" s="5" t="inlineStr"/>
      <c r="E1360" s="5" t="inlineStr"/>
      <c r="F1360" s="5" t="inlineStr">
        <is>
          <t>Cesaret +1</t>
        </is>
      </c>
      <c r="G1360" s="6" t="inlineStr">
        <is>
          <t>Çıkartmayı söktün; altından daha eski bir çıkartma çıktı. Annen kapıda durdu, ikisine de baktı: “Onları ben yapıştırmıştım.” İkinciyi sökemedin.</t>
        </is>
      </c>
      <c r="H1360" s="6" t="inlineStr"/>
      <c r="I1360" s="6" t="inlineStr"/>
      <c r="J1360" s="6" t="inlineStr"/>
      <c r="K1360" s="6" t="inlineStr"/>
      <c r="L1360" s="6" t="inlineStr"/>
      <c r="M1360" s="5" t="inlineStr"/>
      <c r="N1360" s="5" t="inlineStr"/>
      <c r="O1360" s="6" t="inlineStr"/>
      <c r="P1360" s="6" t="inlineStr"/>
      <c r="Q1360" s="5" t="inlineStr"/>
      <c r="R1360" s="5" t="inlineStr"/>
      <c r="S1360" s="5" t="inlineStr"/>
      <c r="T1360" s="5" t="inlineStr"/>
      <c r="U1360" s="5" t="inlineStr"/>
      <c r="V1360" s="5" t="inlineStr"/>
      <c r="W1360" s="5" t="inlineStr"/>
      <c r="X1360" s="5" t="inlineStr"/>
      <c r="Y1360" s="5" t="inlineStr"/>
      <c r="Z1360" s="6" t="inlineStr"/>
      <c r="AA1360" s="5" t="inlineStr"/>
      <c r="AB1360" s="5" t="inlineStr"/>
      <c r="AC1360" s="5" t="inlineStr"/>
      <c r="AD1360" s="5" t="inlineStr"/>
      <c r="AE1360" s="5" t="inlineStr"/>
      <c r="AF1360" s="5" t="inlineStr"/>
      <c r="AG1360" s="5" t="inlineStr"/>
      <c r="AH1360" s="5" t="inlineStr"/>
      <c r="AI1360" s="5" t="inlineStr"/>
      <c r="AJ1360" s="5" t="inlineStr"/>
    </row>
    <row r="1361">
      <c r="A1361" s="5" t="inlineStr">
        <is>
          <t>b6-evde-kalmak</t>
        </is>
      </c>
      <c r="B1361" s="5" t="n">
        <v>2</v>
      </c>
      <c r="C1361" s="6" t="inlineStr">
        <is>
          <t>Eve katkı payı ver, söz hakkı iste</t>
        </is>
      </c>
      <c r="D1361" s="5" t="inlineStr">
        <is>
          <t>Çene</t>
        </is>
      </c>
      <c r="E1361" s="5" t="inlineStr">
        <is>
          <t>Orta</t>
        </is>
      </c>
      <c r="F1361" s="5" t="inlineStr"/>
      <c r="G1361" s="6" t="inlineStr"/>
      <c r="H1361" s="6" t="inlineStr">
        <is>
          <t>Her ay zarfı mutfak masasına bıraktın. Karşılığında akşam dokuz sorusu kalktı. Evde ilk kez bir kira sözleşmesi var; sözlü.</t>
        </is>
      </c>
      <c r="I1361" s="6" t="inlineStr">
        <is>
          <t>Katkı payını verdin, annen o parayı senin adına biriktirdi. Yıllar sonra ev peşinatın o zarftan çıkacak.</t>
        </is>
      </c>
      <c r="J1361" s="6" t="inlineStr">
        <is>
          <t>Zarfı bıraktın, annen geri verdi: “Evimizde para mı olur?” Söz hakkı da zarfla birlikte geri döndü.</t>
        </is>
      </c>
      <c r="K1361" s="6" t="inlineStr">
        <is>
          <t>Söz hakkı istedin; mutfakta aile meclisi toplandı. Babaannen telefondan bağlandı, teyzen de. Karar oy birliğiyle çıktı: söz hakkın var; kullanım saati akşam dokuza kadar, cumartesi ona.</t>
        </is>
      </c>
      <c r="L1361" s="6" t="inlineStr"/>
      <c r="M1361" s="5" t="inlineStr"/>
      <c r="N1361" s="5" t="inlineStr"/>
      <c r="O1361" s="6" t="inlineStr"/>
      <c r="P1361" s="6" t="inlineStr"/>
      <c r="Q1361" s="5" t="inlineStr"/>
      <c r="R1361" s="5" t="inlineStr"/>
      <c r="S1361" s="5" t="inlineStr"/>
      <c r="T1361" s="5" t="inlineStr"/>
      <c r="U1361" s="5" t="inlineStr"/>
      <c r="V1361" s="5" t="inlineStr"/>
      <c r="W1361" s="5" t="inlineStr"/>
      <c r="X1361" s="5" t="inlineStr"/>
      <c r="Y1361" s="5" t="inlineStr"/>
      <c r="Z1361" s="6" t="inlineStr"/>
      <c r="AA1361" s="5" t="inlineStr"/>
      <c r="AB1361" s="5" t="inlineStr"/>
      <c r="AC1361" s="5" t="inlineStr"/>
      <c r="AD1361" s="5" t="inlineStr"/>
      <c r="AE1361" s="5" t="inlineStr"/>
      <c r="AF1361" s="5" t="inlineStr"/>
      <c r="AG1361" s="5" t="inlineStr"/>
      <c r="AH1361" s="5" t="inlineStr"/>
      <c r="AI1361" s="5" t="inlineStr"/>
      <c r="AJ1361" s="5" t="inlineStr"/>
    </row>
    <row r="1362">
      <c r="A1362" s="5" t="inlineStr">
        <is>
          <t>b6-evde-kalmak</t>
        </is>
      </c>
      <c r="B1362" s="5" t="n">
        <v>3</v>
      </c>
      <c r="C1362" s="6" t="inlineStr">
        <is>
          <t>Buzdolabı bursunun keyfini çıkar</t>
        </is>
      </c>
      <c r="D1362" s="5" t="inlineStr"/>
      <c r="E1362" s="5" t="inlineStr"/>
      <c r="F1362" s="5" t="inlineStr">
        <is>
          <t>Pişkinlik +1, Dayanıklılık +1</t>
        </is>
      </c>
      <c r="G1362" s="6" t="inlineStr">
        <is>
          <t>Maaşın cebinde, yemeğin masada, çamaşırın katlı. Arkadaşların kira öderken sen bir araba için para biriktiriyorsun. Kimse bunu kıskanmadığını söylüyor.</t>
        </is>
      </c>
      <c r="H1362" s="6" t="inlineStr"/>
      <c r="I1362" s="6" t="inlineStr"/>
      <c r="J1362" s="6" t="inlineStr"/>
      <c r="K1362" s="6" t="inlineStr"/>
      <c r="L1362" s="6" t="inlineStr"/>
      <c r="M1362" s="5" t="inlineStr"/>
      <c r="N1362" s="5" t="inlineStr"/>
      <c r="O1362" s="6" t="inlineStr"/>
      <c r="P1362" s="6" t="inlineStr"/>
      <c r="Q1362" s="5" t="inlineStr"/>
      <c r="R1362" s="5" t="inlineStr"/>
      <c r="S1362" s="5" t="inlineStr"/>
      <c r="T1362" s="5" t="inlineStr"/>
      <c r="U1362" s="5" t="inlineStr"/>
      <c r="V1362" s="5" t="inlineStr"/>
      <c r="W1362" s="5" t="inlineStr"/>
      <c r="X1362" s="5" t="inlineStr"/>
      <c r="Y1362" s="5" t="inlineStr"/>
      <c r="Z1362" s="6" t="inlineStr"/>
      <c r="AA1362" s="5" t="inlineStr">
        <is>
          <t>hepsi +1</t>
        </is>
      </c>
      <c r="AB1362" s="5" t="inlineStr"/>
      <c r="AC1362" s="5" t="inlineStr"/>
      <c r="AD1362" s="5" t="inlineStr"/>
      <c r="AE1362" s="5" t="inlineStr"/>
      <c r="AF1362" s="5" t="inlineStr"/>
      <c r="AG1362" s="5" t="inlineStr"/>
      <c r="AH1362" s="5" t="inlineStr"/>
      <c r="AI1362" s="5" t="inlineStr"/>
      <c r="AJ1362" s="5" t="inlineStr"/>
    </row>
    <row r="1363">
      <c r="A1363" s="5" t="inlineStr">
        <is>
          <t>b6-hayat-yolu</t>
        </is>
      </c>
      <c r="B1363" s="5" t="n">
        <v>1</v>
      </c>
      <c r="C1363" s="6" t="inlineStr">
        <is>
          <t>Kendi tezgâhını aç</t>
        </is>
      </c>
      <c r="D1363" s="5" t="inlineStr">
        <is>
          <t>Kurnazlık</t>
        </is>
      </c>
      <c r="E1363" s="5" t="inlineStr">
        <is>
          <t>Orta</t>
        </is>
      </c>
      <c r="F1363" s="5" t="inlineStr"/>
      <c r="G1363" s="6" t="inlineStr"/>
      <c r="H1363" s="6" t="inlineStr">
        <is>
          <t>Çarşının köşesinde küçük bir yer tuttun. Tabelayı kendin boyadın; bir harfi ters oldu. Müşteriler o harf için geliyor.</t>
        </is>
      </c>
      <c r="I1363" s="6" t="inlineStr">
        <is>
          <t>İlk haftada kira çıktı, ikinci haftada kâr. Karşı dükkân sana kendi çırağını yollayıp fiyat sordurdu.</t>
        </is>
      </c>
      <c r="J1363" s="6" t="inlineStr">
        <is>
          <t>Dükkânı açtın ama sermaye yetmedi; rafların yarısı borçla doldu. Tabela ise tam.</t>
        </is>
      </c>
      <c r="K1363" s="6" t="inlineStr">
        <is>
          <t>Açılışı yaptın; ertesi sabah karşına aynı malı yarı fiyata satan bir zincir mağaza açıldı. Rafları borçla doldurmuştun. Müşterilerin poşetlerini senin önünden taşıdı; biri durup “Kolay gelsin” dedi. En çok o koydu.</t>
        </is>
      </c>
      <c r="L1363" s="6" t="inlineStr"/>
      <c r="M1363" s="5" t="inlineStr"/>
      <c r="N1363" s="5" t="inlineStr"/>
      <c r="O1363" s="6" t="inlineStr"/>
      <c r="P1363" s="6" t="inlineStr"/>
      <c r="Q1363" s="5" t="inlineStr"/>
      <c r="R1363" s="5" t="inlineStr"/>
      <c r="S1363" s="5" t="inlineStr"/>
      <c r="T1363" s="5" t="inlineStr"/>
      <c r="U1363" s="5" t="inlineStr"/>
      <c r="V1363" s="5" t="inlineStr">
        <is>
          <t>meslek-esnaf</t>
        </is>
      </c>
      <c r="W1363" s="5" t="inlineStr"/>
      <c r="X1363" s="5" t="inlineStr"/>
      <c r="Y1363" s="5" t="inlineStr"/>
      <c r="Z1363" s="6" t="inlineStr"/>
      <c r="AA1363" s="5" t="inlineStr">
        <is>
          <t>Keskin +1, Yalçın +1</t>
        </is>
      </c>
      <c r="AB1363" s="5" t="inlineStr">
        <is>
          <t>meslek-esnaf, borclu</t>
        </is>
      </c>
      <c r="AC1363" s="5" t="inlineStr"/>
      <c r="AD1363" s="5" t="inlineStr">
        <is>
          <t>Orta</t>
        </is>
      </c>
      <c r="AE1363" s="5" t="inlineStr"/>
      <c r="AF1363" s="5" t="inlineStr"/>
      <c r="AG1363" s="5" t="inlineStr"/>
      <c r="AH1363" s="5" t="inlineStr"/>
      <c r="AI1363" s="5" t="inlineStr"/>
      <c r="AJ1363" s="5" t="inlineStr"/>
    </row>
    <row r="1364">
      <c r="A1364" s="5" t="inlineStr">
        <is>
          <t>b6-hayat-yolu</t>
        </is>
      </c>
      <c r="B1364" s="5" t="n">
        <v>2</v>
      </c>
      <c r="C1364" s="6" t="inlineStr">
        <is>
          <t>Sanayide kendi ustalığını ilan et</t>
        </is>
      </c>
      <c r="D1364" s="5" t="inlineStr"/>
      <c r="E1364" s="5" t="inlineStr"/>
      <c r="F1364" s="5" t="inlineStr">
        <is>
          <t>Dayanıklılık +1, Akıl +1</t>
        </is>
      </c>
      <c r="G1364" s="6" t="inlineStr">
        <is>
          <t>Ustanın yanından ayrıldın, sanayide kendi kapını açtın. Usta kapıya bir çelenk gönderdi; üstünde “Beni unutma” yazıyor. Unutmayacaksın; çünkü müşterilerinin yarısı ondan.</t>
        </is>
      </c>
      <c r="H1364" s="6" t="inlineStr"/>
      <c r="I1364" s="6" t="inlineStr"/>
      <c r="J1364" s="6" t="inlineStr"/>
      <c r="K1364" s="6" t="inlineStr"/>
      <c r="L1364" s="6" t="inlineStr"/>
      <c r="M1364" s="5" t="inlineStr"/>
      <c r="N1364" s="5" t="inlineStr"/>
      <c r="O1364" s="6" t="inlineStr"/>
      <c r="P1364" s="6" t="inlineStr"/>
      <c r="Q1364" s="5" t="inlineStr"/>
      <c r="R1364" s="5" t="inlineStr">
        <is>
          <t>usta-eli</t>
        </is>
      </c>
      <c r="S1364" s="5" t="inlineStr"/>
      <c r="T1364" s="5" t="inlineStr"/>
      <c r="U1364" s="5" t="inlineStr">
        <is>
          <t>hat-usta, meslek-esnaf</t>
        </is>
      </c>
      <c r="V1364" s="5" t="inlineStr"/>
      <c r="W1364" s="5" t="inlineStr"/>
      <c r="X1364" s="5" t="inlineStr"/>
      <c r="Y1364" s="5" t="inlineStr"/>
      <c r="Z1364" s="6" t="inlineStr"/>
      <c r="AA1364" s="5" t="inlineStr">
        <is>
          <t>hepsi +1</t>
        </is>
      </c>
      <c r="AB1364" s="5" t="inlineStr"/>
      <c r="AC1364" s="5" t="inlineStr"/>
      <c r="AD1364" s="5" t="inlineStr">
        <is>
          <t>Orta</t>
        </is>
      </c>
      <c r="AE1364" s="5" t="inlineStr"/>
      <c r="AF1364" s="5" t="inlineStr"/>
      <c r="AG1364" s="5" t="inlineStr"/>
      <c r="AH1364" s="5" t="inlineStr"/>
      <c r="AI1364" s="5" t="inlineStr"/>
      <c r="AJ1364" s="5" t="inlineStr"/>
    </row>
    <row r="1365">
      <c r="A1365" s="5" t="inlineStr">
        <is>
          <t>b6-hayat-yolu</t>
        </is>
      </c>
      <c r="B1365" s="5" t="n">
        <v>3</v>
      </c>
      <c r="C1365" s="6" t="inlineStr">
        <is>
          <t>Devlet kapısı: kadro sınavına çalış</t>
        </is>
      </c>
      <c r="D1365" s="5" t="inlineStr">
        <is>
          <t>Akıl</t>
        </is>
      </c>
      <c r="E1365" s="5" t="inlineStr">
        <is>
          <t>Zor</t>
        </is>
      </c>
      <c r="F1365" s="5" t="inlineStr"/>
      <c r="G1365" s="6" t="inlineStr"/>
      <c r="H1365" s="6" t="inlineStr">
        <is>
          <t>Lise diplomasıyla sınava girdin ve geçtin. Annen komşulara bunu anlatırken “lise” kelimesini atladı.</t>
        </is>
      </c>
      <c r="I1365" s="6" t="inlineStr">
        <is>
          <t>Derece yaptın. “Okusaydın keşke” diyen teyzen aile grubuna yalnızca bir nazar boncuğu gönderdi. Teyzenden bundan büyük övgü çıkmaz.</t>
        </is>
      </c>
      <c r="J1365" s="6" t="inlineStr">
        <is>
          <t>Sınav olmadı. Çarşıda bir tezgâhın arkasına geçtin; tezgâhın sahibi seni “Bizim memur” diye çağırıyor.</t>
        </is>
      </c>
      <c r="K1365" s="6" t="inlineStr">
        <is>
          <t>Sınavda cevap kâğıdını imzalamadın. Kâğıt geçersiz sayıldı. Tezgâha döndün; orada imza yok, sadece veresiye.</t>
        </is>
      </c>
      <c r="L1365" s="6" t="inlineStr"/>
      <c r="M1365" s="5" t="inlineStr"/>
      <c r="N1365" s="5" t="inlineStr"/>
      <c r="O1365" s="6" t="inlineStr"/>
      <c r="P1365" s="6" t="inlineStr"/>
      <c r="Q1365" s="5" t="inlineStr"/>
      <c r="R1365" s="5" t="inlineStr"/>
      <c r="S1365" s="5" t="inlineStr"/>
      <c r="T1365" s="5" t="inlineStr"/>
      <c r="U1365" s="5" t="inlineStr"/>
      <c r="V1365" s="5" t="inlineStr">
        <is>
          <t>meslek-memur</t>
        </is>
      </c>
      <c r="W1365" s="5" t="inlineStr"/>
      <c r="X1365" s="5" t="inlineStr"/>
      <c r="Y1365" s="5" t="inlineStr"/>
      <c r="Z1365" s="6" t="inlineStr"/>
      <c r="AA1365" s="5" t="inlineStr">
        <is>
          <t>Erdem +1, Yalçın +1</t>
        </is>
      </c>
      <c r="AB1365" s="5" t="inlineStr">
        <is>
          <t>meslek-esnaf</t>
        </is>
      </c>
      <c r="AC1365" s="5" t="inlineStr"/>
      <c r="AD1365" s="5" t="inlineStr">
        <is>
          <t>Orta</t>
        </is>
      </c>
      <c r="AE1365" s="5" t="inlineStr"/>
      <c r="AF1365" s="5" t="inlineStr"/>
      <c r="AG1365" s="5" t="inlineStr"/>
      <c r="AH1365" s="5" t="inlineStr"/>
      <c r="AI1365" s="5" t="inlineStr"/>
      <c r="AJ1365" s="5" t="inlineStr"/>
    </row>
    <row r="1366">
      <c r="A1366" s="5" t="inlineStr">
        <is>
          <t>b6-hayat-yolu</t>
        </is>
      </c>
      <c r="B1366" s="5" t="n">
        <v>4</v>
      </c>
      <c r="C1366" s="6" t="inlineStr">
        <is>
          <t>Abinin işine gir</t>
        </is>
      </c>
      <c r="D1366" s="5" t="inlineStr"/>
      <c r="E1366" s="5" t="inlineStr"/>
      <c r="F1366" s="5" t="inlineStr">
        <is>
          <t>Pişkinlik +1</t>
        </is>
      </c>
      <c r="G1366" s="6" t="inlineStr">
        <is>
          <t>Abi seni bir oto yıkamanın başına geçirdi. Arabalar pek yıkanmıyor ama kasa hep dolu. Nereden dolduğunu sormamayı öğrendin; bu, bu işin ilk ve son dersi.</t>
        </is>
      </c>
      <c r="H1366" s="6" t="inlineStr"/>
      <c r="I1366" s="6" t="inlineStr"/>
      <c r="J1366" s="6" t="inlineStr"/>
      <c r="K1366" s="6" t="inlineStr"/>
      <c r="L1366" s="6" t="inlineStr"/>
      <c r="M1366" s="5" t="inlineStr"/>
      <c r="N1366" s="5" t="inlineStr"/>
      <c r="O1366" s="6" t="inlineStr"/>
      <c r="P1366" s="6" t="inlineStr"/>
      <c r="Q1366" s="5" t="inlineStr"/>
      <c r="R1366" s="5" t="inlineStr">
        <is>
          <t>abinin-adami</t>
        </is>
      </c>
      <c r="S1366" s="5" t="inlineStr"/>
      <c r="T1366" s="5" t="inlineStr"/>
      <c r="U1366" s="5" t="inlineStr">
        <is>
          <t>hat-cete, meslek-esnaf</t>
        </is>
      </c>
      <c r="V1366" s="5" t="inlineStr"/>
      <c r="W1366" s="5" t="inlineStr"/>
      <c r="X1366" s="5" t="inlineStr"/>
      <c r="Y1366" s="5" t="inlineStr"/>
      <c r="Z1366" s="6" t="inlineStr"/>
      <c r="AA1366" s="5" t="inlineStr">
        <is>
          <t>hepsi -1</t>
        </is>
      </c>
      <c r="AB1366" s="5" t="inlineStr"/>
      <c r="AC1366" s="5" t="inlineStr"/>
      <c r="AD1366" s="5" t="inlineStr">
        <is>
          <t>Rahat</t>
        </is>
      </c>
      <c r="AE1366" s="5" t="inlineStr"/>
      <c r="AF1366" s="5" t="inlineStr"/>
      <c r="AG1366" s="5" t="inlineStr"/>
      <c r="AH1366" s="5" t="inlineStr"/>
      <c r="AI1366" s="5" t="inlineStr"/>
      <c r="AJ1366" s="5" t="inlineStr"/>
    </row>
    <row r="1367">
      <c r="A1367" s="5" t="inlineStr">
        <is>
          <t>b6-hayat-yolu</t>
        </is>
      </c>
      <c r="B1367" s="5" t="n">
        <v>5</v>
      </c>
      <c r="C1367" s="6" t="inlineStr">
        <is>
          <t>Takipçilerini işe çevir</t>
        </is>
      </c>
      <c r="D1367" s="5" t="inlineStr">
        <is>
          <t>Pişkinlik</t>
        </is>
      </c>
      <c r="E1367" s="5" t="inlineStr">
        <is>
          <t>Zor</t>
        </is>
      </c>
      <c r="F1367" s="5" t="inlineStr"/>
      <c r="G1367" s="6" t="inlineStr"/>
      <c r="H1367" s="6" t="inlineStr">
        <is>
          <t>Kedinin hesabı artık bir marka. Bir mama firması seninle anlaştı; kedi yüzde yetmiş, sen yüzde otuz alıyorsun.</t>
        </is>
      </c>
      <c r="I1367" s="6" t="inlineStr">
        <is>
          <t>Kedi bir reklam filmine çıktı; sen de arkada. Sokakta insanlar seni kedinin sahibi olarak tanıyor. Bu da bir şöhret.</t>
        </is>
      </c>
      <c r="J1367" s="6" t="inlineStr">
        <is>
          <t>Takipçilerin kediyi seviyor, reklamı sevmiyor. Anlaşmalar gelmedi; düğünlerde fotoğrafçılık yapmaya başladın.</t>
        </is>
      </c>
      <c r="K1367" s="6" t="inlineStr">
        <is>
          <t>Mama reklamını kedinin değil kendi hesabından, sabah suratınla paylaştın. Takipçiler kediyi sana yakıştıramadı, gitti. Kedi o hafta sana sırtını dönüp uyudu. Düğün fotoğrafçılığı seni bekliyor.</t>
        </is>
      </c>
      <c r="L1367" s="6" t="inlineStr"/>
      <c r="M1367" s="5" t="inlineStr"/>
      <c r="N1367" s="5" t="inlineStr"/>
      <c r="O1367" s="6" t="inlineStr"/>
      <c r="P1367" s="6" t="inlineStr"/>
      <c r="Q1367" s="5" t="inlineStr"/>
      <c r="R1367" s="5" t="inlineStr">
        <is>
          <t>fenomen</t>
        </is>
      </c>
      <c r="S1367" s="5" t="inlineStr"/>
      <c r="T1367" s="5" t="inlineStr"/>
      <c r="U1367" s="5" t="inlineStr"/>
      <c r="V1367" s="5" t="inlineStr">
        <is>
          <t>hat-sohret, meslek-serbest</t>
        </is>
      </c>
      <c r="W1367" s="5" t="inlineStr"/>
      <c r="X1367" s="5" t="inlineStr"/>
      <c r="Y1367" s="5" t="inlineStr"/>
      <c r="Z1367" s="6" t="inlineStr"/>
      <c r="AA1367" s="5" t="inlineStr"/>
      <c r="AB1367" s="5" t="inlineStr">
        <is>
          <t>meslek-serbest</t>
        </is>
      </c>
      <c r="AC1367" s="5" t="inlineStr"/>
      <c r="AD1367" s="5" t="inlineStr">
        <is>
          <t>Orta</t>
        </is>
      </c>
      <c r="AE1367" s="5" t="inlineStr"/>
      <c r="AF1367" s="5" t="inlineStr"/>
      <c r="AG1367" s="5" t="inlineStr"/>
      <c r="AH1367" s="5" t="inlineStr"/>
      <c r="AI1367" s="5" t="inlineStr"/>
      <c r="AJ1367" s="5" t="inlineStr"/>
    </row>
    <row r="1368">
      <c r="A1368" s="5" t="inlineStr">
        <is>
          <t>b6-hayat-yolu</t>
        </is>
      </c>
      <c r="B1368" s="5" t="n">
        <v>6</v>
      </c>
      <c r="C1368" s="6" t="inlineStr">
        <is>
          <t>Dedenin köyüne dön, toprağı işle</t>
        </is>
      </c>
      <c r="D1368" s="5" t="inlineStr"/>
      <c r="E1368" s="5" t="inlineStr"/>
      <c r="F1368" s="5" t="inlineStr">
        <is>
          <t>Dayanıklılık +1, İtibar +1</t>
        </is>
      </c>
      <c r="G1368" s="6" t="inlineStr">
        <is>
          <t>Şehri bıraktın, dedenin tarlasına döndün. Deden traktörün anahtarını verdi; kontağın püf noktasını vermedi. Köy kahvesinde adın şimdiden “Şehirli Torun”.</t>
        </is>
      </c>
      <c r="H1368" s="6" t="inlineStr"/>
      <c r="I1368" s="6" t="inlineStr"/>
      <c r="J1368" s="6" t="inlineStr"/>
      <c r="K1368" s="6" t="inlineStr"/>
      <c r="L1368" s="6" t="inlineStr"/>
      <c r="M1368" s="5" t="inlineStr"/>
      <c r="N1368" s="5" t="inlineStr"/>
      <c r="O1368" s="6" t="inlineStr"/>
      <c r="P1368" s="6" t="inlineStr"/>
      <c r="Q1368" s="5" t="inlineStr"/>
      <c r="R1368" s="5" t="inlineStr"/>
      <c r="S1368" s="5" t="inlineStr"/>
      <c r="T1368" s="5" t="inlineStr"/>
      <c r="U1368" s="5" t="inlineStr">
        <is>
          <t>hat-koy, meslek-esnaf</t>
        </is>
      </c>
      <c r="V1368" s="5" t="inlineStr"/>
      <c r="W1368" s="5" t="inlineStr"/>
      <c r="X1368" s="5" t="inlineStr"/>
      <c r="Y1368" s="5" t="inlineStr"/>
      <c r="Z1368" s="6" t="inlineStr"/>
      <c r="AA1368" s="5" t="inlineStr">
        <is>
          <t>Yalçın +1, Şen +1, Tan -1, Varlı -1</t>
        </is>
      </c>
      <c r="AB1368" s="5" t="inlineStr"/>
      <c r="AC1368" s="5" t="inlineStr"/>
      <c r="AD1368" s="5" t="inlineStr">
        <is>
          <t>Kıt</t>
        </is>
      </c>
      <c r="AE1368" s="5" t="inlineStr"/>
      <c r="AF1368" s="5" t="inlineStr"/>
      <c r="AG1368" s="5" t="inlineStr"/>
      <c r="AH1368" s="5" t="inlineStr"/>
      <c r="AI1368" s="5" t="inlineStr"/>
      <c r="AJ1368" s="5" t="inlineStr"/>
    </row>
    <row r="1369">
      <c r="A1369" s="5" t="inlineStr">
        <is>
          <t>b6-hayat-yolu</t>
        </is>
      </c>
      <c r="B1369" s="5" t="n">
        <v>7</v>
      </c>
      <c r="C1369" s="6" t="inlineStr">
        <is>
          <t>Telefonla “yatırım danışmanlığı” yap</t>
        </is>
      </c>
      <c r="D1369" s="5" t="inlineStr">
        <is>
          <t>Kurnazlık</t>
        </is>
      </c>
      <c r="E1369" s="5" t="inlineStr">
        <is>
          <t>Zor</t>
        </is>
      </c>
      <c r="F1369" s="5" t="inlineStr"/>
      <c r="G1369" s="6" t="inlineStr"/>
      <c r="H1369" s="6" t="inlineStr">
        <is>
          <t>Bir masa, üç hat ve “Size özel bir fırsat” cümlesi. İlk ay kazandığını ailene söyleyemedin; ailen de nereden kazandığını sormadı.</t>
        </is>
      </c>
      <c r="I1369" s="6" t="inlineStr">
        <is>
          <t>Sesin o kadar güven verici ki bir banka müdürü seni işe almak istedi. Teşekkür ettin; kendi masan daha kârlı.</t>
        </is>
      </c>
      <c r="J1369" s="6" t="inlineStr">
        <is>
          <t>Telefonu açanların hepsi senden şüphelendi, biri de seni kendi planına davet etti. Bir çağrı merkezinde meşru satış yapmaya başladın.</t>
        </is>
      </c>
      <c r="K1369" s="6" t="inlineStr">
        <is>
          <t>İlk aradığın numara teyzeninmiş. Aile grubunda sesli mesajın dolaşıyor. Meşru bir çağrı merkezine geçtin; teyzen hâlâ dinliyor.</t>
        </is>
      </c>
      <c r="L1369" s="6" t="inlineStr"/>
      <c r="M1369" s="5" t="inlineStr"/>
      <c r="N1369" s="5" t="inlineStr"/>
      <c r="O1369" s="6" t="inlineStr"/>
      <c r="P1369" s="6" t="inlineStr"/>
      <c r="Q1369" s="5" t="inlineStr"/>
      <c r="R1369" s="5" t="inlineStr">
        <is>
          <t>yalanci</t>
        </is>
      </c>
      <c r="S1369" s="5" t="inlineStr"/>
      <c r="T1369" s="5" t="inlineStr"/>
      <c r="U1369" s="5" t="inlineStr"/>
      <c r="V1369" s="5" t="inlineStr">
        <is>
          <t>hat-dolandirici, meslek-serbest</t>
        </is>
      </c>
      <c r="W1369" s="5" t="inlineStr"/>
      <c r="X1369" s="5" t="inlineStr"/>
      <c r="Y1369" s="5" t="inlineStr"/>
      <c r="Z1369" s="6" t="inlineStr"/>
      <c r="AA1369" s="5" t="inlineStr">
        <is>
          <t>hepsi -1</t>
        </is>
      </c>
      <c r="AB1369" s="5" t="inlineStr">
        <is>
          <t>meslek-serbest</t>
        </is>
      </c>
      <c r="AC1369" s="5" t="inlineStr"/>
      <c r="AD1369" s="5" t="inlineStr">
        <is>
          <t>Orta</t>
        </is>
      </c>
      <c r="AE1369" s="5" t="inlineStr"/>
      <c r="AF1369" s="5" t="inlineStr"/>
      <c r="AG1369" s="5" t="inlineStr"/>
      <c r="AH1369" s="5" t="inlineStr"/>
      <c r="AI1369" s="5" t="inlineStr"/>
      <c r="AJ1369" s="5" t="inlineStr"/>
    </row>
    <row r="1370">
      <c r="A1370" s="5" t="inlineStr">
        <is>
          <t>b6-hayat-yolu</t>
        </is>
      </c>
      <c r="B1370" s="5" t="n">
        <v>8</v>
      </c>
      <c r="C1370" s="6" t="inlineStr">
        <is>
          <t>Mahallenin kefaletiyle devlet kapısına gir</t>
        </is>
      </c>
      <c r="D1370" s="5" t="inlineStr">
        <is>
          <t>İtibar</t>
        </is>
      </c>
      <c r="E1370" s="5" t="inlineStr">
        <is>
          <t>Orta</t>
        </is>
      </c>
      <c r="F1370" s="5" t="inlineStr"/>
      <c r="G1370" s="6" t="inlineStr"/>
      <c r="H1370" s="6" t="inlineStr">
        <is>
          <t>Muhtar, mahallenin en yaşlı esnafı ve eski öğretmenin birer satır yazdı. Kadro sınavına o mektuplarla girdin; mülakatta herkes seni sordu.</t>
        </is>
      </c>
      <c r="I1370" s="6" t="inlineStr">
        <is>
          <t>Mülakat heyetindeki memur, kefil mektubundaki öğretmenin eski öğrencisiydi. Görüşme beş dakika sürdü; dördü öğretmeni anmakla geçti.</t>
        </is>
      </c>
      <c r="J1370" s="6" t="inlineStr">
        <is>
          <t>Mektuplar güzeldi, puan yetmedi. Çarşıda bir tezgâhın arkasına geçtin; mektuplar tezgâhın üstünde, çerçevede.</t>
        </is>
      </c>
      <c r="K1370" s="6" t="inlineStr">
        <is>
          <t>Kefil mektubunu yazan esnafın adı, sınav görevlisinin borç defterinde çıktı. Tezgâha döndün; mektup çöpte.</t>
        </is>
      </c>
      <c r="L1370" s="6" t="inlineStr"/>
      <c r="M1370" s="5" t="inlineStr"/>
      <c r="N1370" s="5" t="inlineStr"/>
      <c r="O1370" s="6" t="inlineStr"/>
      <c r="P1370" s="6" t="inlineStr"/>
      <c r="Q1370" s="5" t="inlineStr"/>
      <c r="R1370" s="5" t="inlineStr"/>
      <c r="S1370" s="5" t="inlineStr"/>
      <c r="T1370" s="5" t="inlineStr"/>
      <c r="U1370" s="5" t="inlineStr"/>
      <c r="V1370" s="5" t="inlineStr">
        <is>
          <t>meslek-memur</t>
        </is>
      </c>
      <c r="W1370" s="5" t="inlineStr"/>
      <c r="X1370" s="5" t="inlineStr"/>
      <c r="Y1370" s="5" t="inlineStr"/>
      <c r="Z1370" s="6" t="inlineStr"/>
      <c r="AA1370" s="5" t="inlineStr"/>
      <c r="AB1370" s="5" t="inlineStr">
        <is>
          <t>meslek-esnaf</t>
        </is>
      </c>
      <c r="AC1370" s="5" t="inlineStr"/>
      <c r="AD1370" s="5" t="inlineStr">
        <is>
          <t>Orta</t>
        </is>
      </c>
      <c r="AE1370" s="5" t="inlineStr"/>
      <c r="AF1370" s="5" t="inlineStr"/>
      <c r="AG1370" s="5" t="inlineStr"/>
      <c r="AH1370" s="5" t="inlineStr">
        <is>
          <t>İtibar 40</t>
        </is>
      </c>
      <c r="AI1370" s="5" t="inlineStr"/>
      <c r="AJ1370" s="5" t="inlineStr"/>
    </row>
    <row r="1371">
      <c r="A1371" s="5" t="inlineStr">
        <is>
          <t>b6-hekimlik-yolu</t>
        </is>
      </c>
      <c r="B1371" s="5" t="n">
        <v>1</v>
      </c>
      <c r="C1371" s="6" t="inlineStr">
        <is>
          <t>Devlet hastanesine, mecburi hizmete</t>
        </is>
      </c>
      <c r="D1371" s="5" t="inlineStr"/>
      <c r="E1371" s="5" t="inlineStr"/>
      <c r="F1371" s="5" t="inlineStr">
        <is>
          <t>İtibar +1, Dayanıklılık +1</t>
        </is>
      </c>
      <c r="G1371" s="6" t="inlineStr">
        <is>
          <t>Kura çekildi, bir ilçe hastanesine düştün. Acilde tek hekimsin; gece ikide hem doktor, hem hemşire, hem de hasta yakınlarının psikoloğusun.</t>
        </is>
      </c>
      <c r="H1371" s="6" t="inlineStr"/>
      <c r="I1371" s="6" t="inlineStr"/>
      <c r="J1371" s="6" t="inlineStr"/>
      <c r="K1371" s="6" t="inlineStr"/>
      <c r="L1371" s="6" t="inlineStr"/>
      <c r="M1371" s="5" t="inlineStr"/>
      <c r="N1371" s="5" t="inlineStr"/>
      <c r="O1371" s="6" t="inlineStr"/>
      <c r="P1371" s="6" t="inlineStr"/>
      <c r="Q1371" s="5" t="inlineStr"/>
      <c r="R1371" s="5" t="inlineStr"/>
      <c r="S1371" s="5" t="inlineStr"/>
      <c r="T1371" s="5" t="inlineStr"/>
      <c r="U1371" s="5" t="inlineStr">
        <is>
          <t>hat-hekim, meslek-memur</t>
        </is>
      </c>
      <c r="V1371" s="5" t="inlineStr"/>
      <c r="W1371" s="5" t="inlineStr"/>
      <c r="X1371" s="5" t="inlineStr"/>
      <c r="Y1371" s="5" t="inlineStr"/>
      <c r="Z1371" s="6" t="inlineStr"/>
      <c r="AA1371" s="5" t="inlineStr">
        <is>
          <t>Erdem +1, Yalçın +1</t>
        </is>
      </c>
      <c r="AB1371" s="5" t="inlineStr"/>
      <c r="AC1371" s="5" t="inlineStr"/>
      <c r="AD1371" s="5" t="inlineStr">
        <is>
          <t>Orta</t>
        </is>
      </c>
      <c r="AE1371" s="5" t="inlineStr"/>
      <c r="AF1371" s="5" t="inlineStr"/>
      <c r="AG1371" s="5" t="inlineStr"/>
      <c r="AH1371" s="5" t="inlineStr"/>
      <c r="AI1371" s="5" t="inlineStr"/>
      <c r="AJ1371" s="5" t="inlineStr"/>
    </row>
    <row r="1372">
      <c r="A1372" s="5" t="inlineStr">
        <is>
          <t>b6-hekimlik-yolu</t>
        </is>
      </c>
      <c r="B1372" s="5" t="n">
        <v>2</v>
      </c>
      <c r="C1372" s="6" t="inlineStr">
        <is>
          <t>Uzmanlık sınavına gir</t>
        </is>
      </c>
      <c r="D1372" s="5" t="inlineStr">
        <is>
          <t>Akıl</t>
        </is>
      </c>
      <c r="E1372" s="5" t="inlineStr">
        <is>
          <t>Zor</t>
        </is>
      </c>
      <c r="F1372" s="5" t="inlineStr"/>
      <c r="G1372" s="6" t="inlineStr"/>
      <c r="H1372" s="6" t="inlineStr">
        <is>
          <t>Sınavı geçtin; istediğin branş, istediğin şehir. Beş yıllık asistanlık başlıyor. Annen hemen sordu: “Bayramda gelirsin, değil mi?” Hocan da aynı soruyu sordu; nöbet listesi için.</t>
        </is>
      </c>
      <c r="I1372" s="6" t="inlineStr">
        <is>
          <t>Derece yaptın. Hocalar seni kendi kliniğine istedi. Annen bunu okuduğunda “Hangi hastalığa bakıyorsun?” diye sordu; hepsine.</t>
        </is>
      </c>
      <c r="J1372" s="6" t="inlineStr">
        <is>
          <t>Puan yetmedi. Mecburi hizmete gittin; seneye yine deneyeceksin. Sınav kitapları acildeki masanın altında.</t>
        </is>
      </c>
      <c r="K1372" s="6" t="inlineStr">
        <is>
          <t>Sınavda yanlış branşı işaretledin. Mecburi hizmete gittin; orada branş yok, herkes her şey.</t>
        </is>
      </c>
      <c r="L1372" s="6" t="inlineStr"/>
      <c r="M1372" s="5" t="inlineStr"/>
      <c r="N1372" s="5" t="inlineStr"/>
      <c r="O1372" s="6" t="inlineStr"/>
      <c r="P1372" s="6" t="inlineStr"/>
      <c r="Q1372" s="5" t="inlineStr"/>
      <c r="R1372" s="5" t="inlineStr"/>
      <c r="S1372" s="5" t="inlineStr"/>
      <c r="T1372" s="5" t="inlineStr"/>
      <c r="U1372" s="5" t="inlineStr"/>
      <c r="V1372" s="5" t="inlineStr">
        <is>
          <t>hat-hekim, meslek-memur</t>
        </is>
      </c>
      <c r="W1372" s="5" t="inlineStr"/>
      <c r="X1372" s="5" t="inlineStr"/>
      <c r="Y1372" s="5" t="inlineStr"/>
      <c r="Z1372" s="6" t="inlineStr"/>
      <c r="AA1372" s="5" t="inlineStr"/>
      <c r="AB1372" s="5" t="inlineStr">
        <is>
          <t>hat-hekim, meslek-memur</t>
        </is>
      </c>
      <c r="AC1372" s="5" t="inlineStr"/>
      <c r="AD1372" s="5" t="inlineStr">
        <is>
          <t>Rahat</t>
        </is>
      </c>
      <c r="AE1372" s="5" t="inlineStr"/>
      <c r="AF1372" s="5" t="inlineStr"/>
      <c r="AG1372" s="5" t="inlineStr"/>
      <c r="AH1372" s="5" t="inlineStr"/>
      <c r="AI1372" s="5" t="inlineStr"/>
      <c r="AJ1372" s="5" t="inlineStr"/>
    </row>
    <row r="1373">
      <c r="A1373" s="5" t="inlineStr">
        <is>
          <t>b6-hekimlik-yolu</t>
        </is>
      </c>
      <c r="B1373" s="5" t="n">
        <v>3</v>
      </c>
      <c r="C1373" s="6" t="inlineStr">
        <is>
          <t>Özel hastaneye geç</t>
        </is>
      </c>
      <c r="D1373" s="5" t="inlineStr">
        <is>
          <t>Çene</t>
        </is>
      </c>
      <c r="E1373" s="5" t="inlineStr">
        <is>
          <t>Orta</t>
        </is>
      </c>
      <c r="F1373" s="5" t="inlineStr"/>
      <c r="G1373" s="6" t="inlineStr"/>
      <c r="H1373" s="6" t="inlineStr">
        <is>
          <t>Özel bir hastane seni kadrosuna aldı. Odanda bitki var, hastaların randevulu. Aile grubundaki hastalar da artık randevu istiyor.</t>
        </is>
      </c>
      <c r="I1373" s="6" t="inlineStr">
        <is>
          <t>Hastane seni tanıtım filmine koydu. Gülümseyen doktor sensin; gülümsemek sözleşmede yazıyor.</t>
        </is>
      </c>
      <c r="J1373" s="6" t="inlineStr">
        <is>
          <t>Özel hastane seni aldı ama önce mecburi hizmet dedi. Bir ilçe hastanesinde iki yıl; bitki yok.</t>
        </is>
      </c>
      <c r="K1373" s="6" t="inlineStr">
        <is>
          <t>Görüşmede maaşı sordun, müdür “Biz aileyiz” dedi. Mecburi hizmete gittin; orada da aile yok, hasta var.</t>
        </is>
      </c>
      <c r="L1373" s="6" t="inlineStr"/>
      <c r="M1373" s="5" t="inlineStr"/>
      <c r="N1373" s="5" t="inlineStr"/>
      <c r="O1373" s="6" t="inlineStr"/>
      <c r="P1373" s="6" t="inlineStr"/>
      <c r="Q1373" s="5" t="inlineStr"/>
      <c r="R1373" s="5" t="inlineStr"/>
      <c r="S1373" s="5" t="inlineStr"/>
      <c r="T1373" s="5" t="inlineStr"/>
      <c r="U1373" s="5" t="inlineStr"/>
      <c r="V1373" s="5" t="inlineStr">
        <is>
          <t>hat-hekim, meslek-beyazyaka</t>
        </is>
      </c>
      <c r="W1373" s="5" t="inlineStr"/>
      <c r="X1373" s="5" t="inlineStr"/>
      <c r="Y1373" s="5" t="inlineStr"/>
      <c r="Z1373" s="6" t="inlineStr"/>
      <c r="AA1373" s="5" t="inlineStr"/>
      <c r="AB1373" s="5" t="inlineStr">
        <is>
          <t>hat-hekim, meslek-memur</t>
        </is>
      </c>
      <c r="AC1373" s="5" t="inlineStr"/>
      <c r="AD1373" s="5" t="inlineStr">
        <is>
          <t>Rahat</t>
        </is>
      </c>
      <c r="AE1373" s="5" t="inlineStr"/>
      <c r="AF1373" s="5" t="inlineStr"/>
      <c r="AG1373" s="5" t="inlineStr"/>
      <c r="AH1373" s="5" t="inlineStr"/>
      <c r="AI1373" s="5" t="inlineStr"/>
      <c r="AJ1373" s="5" t="inlineStr"/>
    </row>
    <row r="1374">
      <c r="A1374" s="5" t="inlineStr">
        <is>
          <t>b6-hekimlik-yolu</t>
        </is>
      </c>
      <c r="B1374" s="5" t="n">
        <v>4</v>
      </c>
      <c r="C1374" s="6" t="inlineStr">
        <is>
          <t>Öte Diyar'da hekimlik yap</t>
        </is>
      </c>
      <c r="D1374" s="5" t="inlineStr">
        <is>
          <t>Akıl</t>
        </is>
      </c>
      <c r="E1374" s="5" t="inlineStr">
        <is>
          <t>Zor</t>
        </is>
      </c>
      <c r="F1374" s="5" t="inlineStr"/>
      <c r="G1374" s="6" t="inlineStr"/>
      <c r="H1374" s="6" t="inlineStr">
        <is>
          <t>Dil sınavı, denklik sınavı, bir de mülakat. Hepsini geçtin. Bir kış sabahı Öte Diyar'da bir hastanenin koridorundasın; kimse adını doğru okuyamıyor.</t>
        </is>
      </c>
      <c r="I1374" s="6" t="inlineStr">
        <is>
          <t>Oradaki hastane seni bir yıl içinde uzman yaptı. Memlekete her dönüşünde akrabalar sıraya giriyor; sen de tatildesin, sözde.</t>
        </is>
      </c>
      <c r="J1374" s="6" t="inlineStr">
        <is>
          <t>Denklik sınavı olmadı. Mecburi hizmete gittin. Öte Diyar'ın broşürü acil servis masanın altında.</t>
        </is>
      </c>
      <c r="K1374" s="6" t="inlineStr">
        <is>
          <t>Dil sınavında hasta rolündeki jüri üyesine “Geçmiş olsun” diyecekken başsağlığı diledin. Jüri bir an sustu, sonra kendi nabzını yokladı. Mecburi hizmete gittin; orada herkes seni anlıyor, en azından.</t>
        </is>
      </c>
      <c r="L1374" s="6" t="inlineStr"/>
      <c r="M1374" s="5" t="inlineStr"/>
      <c r="N1374" s="5" t="inlineStr"/>
      <c r="O1374" s="6" t="inlineStr"/>
      <c r="P1374" s="6" t="inlineStr"/>
      <c r="Q1374" s="5" t="inlineStr"/>
      <c r="R1374" s="5" t="inlineStr"/>
      <c r="S1374" s="5" t="inlineStr"/>
      <c r="T1374" s="5" t="inlineStr"/>
      <c r="U1374" s="5" t="inlineStr"/>
      <c r="V1374" s="5" t="inlineStr">
        <is>
          <t>hat-hekim, hat-goc, meslek-beyazyaka</t>
        </is>
      </c>
      <c r="W1374" s="5" t="inlineStr"/>
      <c r="X1374" s="5" t="inlineStr"/>
      <c r="Y1374" s="5" t="inlineStr"/>
      <c r="Z1374" s="6" t="inlineStr"/>
      <c r="AA1374" s="5" t="inlineStr">
        <is>
          <t>Varlı +1, Şen -1, Yalçın -1</t>
        </is>
      </c>
      <c r="AB1374" s="5" t="inlineStr">
        <is>
          <t>hat-hekim, meslek-memur</t>
        </is>
      </c>
      <c r="AC1374" s="5" t="inlineStr"/>
      <c r="AD1374" s="5" t="inlineStr">
        <is>
          <t>Rahat</t>
        </is>
      </c>
      <c r="AE1374" s="5" t="inlineStr"/>
      <c r="AF1374" s="5" t="inlineStr"/>
      <c r="AG1374" s="5" t="inlineStr"/>
      <c r="AH1374" s="5" t="inlineStr"/>
      <c r="AI1374" s="5" t="inlineStr"/>
      <c r="AJ1374" s="5" t="inlineStr"/>
    </row>
    <row r="1375">
      <c r="A1375" s="5" t="inlineStr">
        <is>
          <t>b6-polis-devriye</t>
        </is>
      </c>
      <c r="B1375" s="5" t="n">
        <v>1</v>
      </c>
      <c r="C1375" s="6" t="inlineStr">
        <is>
          <t>Kıdemlinin dediğini yap</t>
        </is>
      </c>
      <c r="D1375" s="5" t="inlineStr"/>
      <c r="E1375" s="5" t="inlineStr"/>
      <c r="F1375" s="5" t="inlineStr">
        <is>
          <t>Dayanıklılık +1, Sosyal Radar +1</t>
        </is>
      </c>
      <c r="G1375" s="6" t="inlineStr">
        <is>
          <t>Kıdemli iki manavı ayırdı, bir kasa domatesi ikiye böldü, işi bitirdi. Sana döndü: “Bu işin yarısı domates bölmektir.” Diğer yarısını sormadın.</t>
        </is>
      </c>
      <c r="H1375" s="6" t="inlineStr"/>
      <c r="I1375" s="6" t="inlineStr"/>
      <c r="J1375" s="6" t="inlineStr"/>
      <c r="K1375" s="6" t="inlineStr"/>
      <c r="L1375" s="6" t="inlineStr"/>
      <c r="M1375" s="5" t="inlineStr"/>
      <c r="N1375" s="5" t="inlineStr"/>
      <c r="O1375" s="6" t="inlineStr"/>
      <c r="P1375" s="6" t="inlineStr"/>
      <c r="Q1375" s="5" t="inlineStr"/>
      <c r="R1375" s="5" t="inlineStr"/>
      <c r="S1375" s="5" t="inlineStr"/>
      <c r="T1375" s="5" t="inlineStr"/>
      <c r="U1375" s="5" t="inlineStr"/>
      <c r="V1375" s="5" t="inlineStr"/>
      <c r="W1375" s="5" t="inlineStr"/>
      <c r="X1375" s="5" t="inlineStr"/>
      <c r="Y1375" s="5" t="inlineStr"/>
      <c r="Z1375" s="6" t="inlineStr"/>
      <c r="AA1375" s="5" t="inlineStr"/>
      <c r="AB1375" s="5" t="inlineStr"/>
      <c r="AC1375" s="5" t="inlineStr"/>
      <c r="AD1375" s="5" t="inlineStr"/>
      <c r="AE1375" s="5" t="inlineStr"/>
      <c r="AF1375" s="5" t="inlineStr"/>
      <c r="AG1375" s="5" t="inlineStr"/>
      <c r="AH1375" s="5" t="inlineStr"/>
      <c r="AI1375" s="5" t="inlineStr"/>
      <c r="AJ1375" s="5" t="inlineStr"/>
    </row>
    <row r="1376">
      <c r="A1376" s="5" t="inlineStr">
        <is>
          <t>b6-polis-devriye</t>
        </is>
      </c>
      <c r="B1376" s="5" t="n">
        <v>2</v>
      </c>
      <c r="C1376" s="6" t="inlineStr">
        <is>
          <t>Kavgayı sen çöz</t>
        </is>
      </c>
      <c r="D1376" s="5" t="inlineStr">
        <is>
          <t>Cesaret</t>
        </is>
      </c>
      <c r="E1376" s="5" t="inlineStr">
        <is>
          <t>Orta</t>
        </is>
      </c>
      <c r="F1376" s="5" t="inlineStr"/>
      <c r="G1376" s="6" t="inlineStr"/>
      <c r="H1376" s="6" t="inlineStr">
        <is>
          <t>İki manavı aynı masaya oturttun, domatesleri tarttırdın. Kavga bir kiloluk fark yüzündenmiş; kantar bozukmuş. Kantarı değiştirdiler; seni de çarşıda tanıdılar.</t>
        </is>
      </c>
      <c r="I1376" s="6" t="inlineStr">
        <is>
          <t>Manavlar barıştı, sana da birer kasa domates yolladılar. Reddettin; karakolda herkes o hafta salata yedi, isimsiz bağış olarak.</t>
        </is>
      </c>
      <c r="J1376" s="6" t="inlineStr">
        <is>
          <t>Kavgayı çözdün sandın; sen gidince yeniden başladı. Bu sefer kantarla.</t>
        </is>
      </c>
      <c r="K1376" s="6" t="inlineStr">
        <is>
          <t>Araya girdin; ilk domates ensene, ikincisi şapkana geldi. Karakola salata gibi döndün. Ertesi sabah dolabında bir kasa domates vardı; üstünde “Hoş geldin Domates” yazıyordu.</t>
        </is>
      </c>
      <c r="L1376" s="6" t="inlineStr"/>
      <c r="M1376" s="5" t="inlineStr"/>
      <c r="N1376" s="5" t="inlineStr"/>
      <c r="O1376" s="6" t="inlineStr"/>
      <c r="P1376" s="6" t="inlineStr"/>
      <c r="Q1376" s="5" t="inlineStr"/>
      <c r="R1376" s="5" t="inlineStr"/>
      <c r="S1376" s="5" t="inlineStr"/>
      <c r="T1376" s="5" t="inlineStr"/>
      <c r="U1376" s="5" t="inlineStr"/>
      <c r="V1376" s="5" t="inlineStr"/>
      <c r="W1376" s="5" t="inlineStr"/>
      <c r="X1376" s="5" t="inlineStr"/>
      <c r="Y1376" s="5" t="inlineStr"/>
      <c r="Z1376" s="6" t="inlineStr"/>
      <c r="AA1376" s="5" t="inlineStr"/>
      <c r="AB1376" s="5" t="inlineStr"/>
      <c r="AC1376" s="5" t="inlineStr"/>
      <c r="AD1376" s="5" t="inlineStr"/>
      <c r="AE1376" s="5" t="inlineStr"/>
      <c r="AF1376" s="5" t="inlineStr"/>
      <c r="AG1376" s="5" t="inlineStr"/>
      <c r="AH1376" s="5" t="inlineStr"/>
      <c r="AI1376" s="5" t="inlineStr">
        <is>
          <t>Domates</t>
        </is>
      </c>
      <c r="AJ1376" s="5" t="inlineStr"/>
    </row>
    <row r="1377">
      <c r="A1377" s="5" t="inlineStr">
        <is>
          <t>b6-polis-devriye</t>
        </is>
      </c>
      <c r="B1377" s="5" t="n">
        <v>3</v>
      </c>
      <c r="C1377" s="6" t="inlineStr">
        <is>
          <t>Kıdemliye usulü hatırlat</t>
        </is>
      </c>
      <c r="D1377" s="5" t="inlineStr">
        <is>
          <t>Cesaret</t>
        </is>
      </c>
      <c r="E1377" s="5" t="inlineStr">
        <is>
          <t>Zor</t>
        </is>
      </c>
      <c r="F1377" s="5" t="inlineStr"/>
      <c r="G1377" s="6" t="inlineStr"/>
      <c r="H1377" s="6" t="inlineStr">
        <is>
          <t>Tutanak tuttun, ifade aldın, usulü işlettin. Kıdemli söylenerek imzaladı; akşam amire “Bu çocuk iyi” dedi.</t>
        </is>
      </c>
      <c r="I1377" s="6" t="inlineStr">
        <is>
          <t>Tuttuğun tutanak karakolda örnek diye dolaştırıldı. Amir seni bir sonraki eğitime yazdı; kıdemli de sana çay ısmarladı, isteksizce.</t>
        </is>
      </c>
      <c r="J1377" s="6" t="inlineStr">
        <is>
          <t>Kıdemli seni dinledi ve telsizi açtı: skor soruyordu. Tutanak cebinde kaldı.</t>
        </is>
      </c>
      <c r="K1377" s="6" t="inlineStr">
        <is>
          <t>Kıdemli seni bütün karakola “Kitap” diye tanıttı. Bir hafta boyunca herkes sana çay ocağında usul sordu; çaya kaç şeker atılacağı dahil.</t>
        </is>
      </c>
      <c r="L1377" s="6" t="inlineStr"/>
      <c r="M1377" s="5" t="inlineStr"/>
      <c r="N1377" s="5" t="inlineStr"/>
      <c r="O1377" s="6" t="inlineStr"/>
      <c r="P1377" s="6" t="inlineStr"/>
      <c r="Q1377" s="5" t="inlineStr"/>
      <c r="R1377" s="5" t="inlineStr"/>
      <c r="S1377" s="5" t="inlineStr"/>
      <c r="T1377" s="5" t="inlineStr"/>
      <c r="U1377" s="5" t="inlineStr"/>
      <c r="V1377" s="5" t="inlineStr"/>
      <c r="W1377" s="5" t="inlineStr"/>
      <c r="X1377" s="5" t="inlineStr"/>
      <c r="Y1377" s="5" t="inlineStr"/>
      <c r="Z1377" s="6" t="inlineStr"/>
      <c r="AA1377" s="5" t="inlineStr"/>
      <c r="AB1377" s="5" t="inlineStr"/>
      <c r="AC1377" s="5" t="inlineStr"/>
      <c r="AD1377" s="5" t="inlineStr"/>
      <c r="AE1377" s="5" t="inlineStr"/>
      <c r="AF1377" s="5" t="inlineStr"/>
      <c r="AG1377" s="5" t="inlineStr"/>
      <c r="AH1377" s="5" t="inlineStr"/>
      <c r="AI1377" s="5" t="inlineStr"/>
      <c r="AJ1377" s="5" t="inlineStr"/>
    </row>
    <row r="1378">
      <c r="A1378" s="5" t="inlineStr">
        <is>
          <t>b6-yargi-kurs</t>
        </is>
      </c>
      <c r="B1378" s="5" t="n">
        <v>1</v>
      </c>
      <c r="C1378" s="6" t="inlineStr">
        <is>
          <t>Not al, sus, izle</t>
        </is>
      </c>
      <c r="D1378" s="5" t="inlineStr"/>
      <c r="E1378" s="5" t="inlineStr"/>
      <c r="F1378" s="5" t="inlineStr">
        <is>
          <t>Akıl +1, Sosyal Radar +1</t>
        </is>
      </c>
      <c r="G1378" s="6" t="inlineStr">
        <is>
          <t>Üç saat not aldın. Kıdemli sonunda sana döndü: “Ne gördün?” “Ceviz” dedin. Kıdemli güldü: “Doğru. Ama asıl dava ceviz değil.”</t>
        </is>
      </c>
      <c r="H1378" s="6" t="inlineStr"/>
      <c r="I1378" s="6" t="inlineStr"/>
      <c r="J1378" s="6" t="inlineStr"/>
      <c r="K1378" s="6" t="inlineStr"/>
      <c r="L1378" s="6" t="inlineStr"/>
      <c r="M1378" s="5" t="inlineStr"/>
      <c r="N1378" s="5" t="inlineStr"/>
      <c r="O1378" s="6" t="inlineStr"/>
      <c r="P1378" s="6" t="inlineStr"/>
      <c r="Q1378" s="5" t="inlineStr"/>
      <c r="R1378" s="5" t="inlineStr"/>
      <c r="S1378" s="5" t="inlineStr"/>
      <c r="T1378" s="5" t="inlineStr"/>
      <c r="U1378" s="5" t="inlineStr"/>
      <c r="V1378" s="5" t="inlineStr"/>
      <c r="W1378" s="5" t="inlineStr"/>
      <c r="X1378" s="5" t="inlineStr"/>
      <c r="Y1378" s="5" t="inlineStr"/>
      <c r="Z1378" s="6" t="inlineStr"/>
      <c r="AA1378" s="5" t="inlineStr"/>
      <c r="AB1378" s="5" t="inlineStr"/>
      <c r="AC1378" s="5" t="inlineStr"/>
      <c r="AD1378" s="5" t="inlineStr"/>
      <c r="AE1378" s="5" t="inlineStr"/>
      <c r="AF1378" s="5" t="inlineStr"/>
      <c r="AG1378" s="5" t="inlineStr"/>
      <c r="AH1378" s="5" t="inlineStr"/>
      <c r="AI1378" s="5" t="inlineStr"/>
      <c r="AJ1378" s="5" t="inlineStr"/>
    </row>
    <row r="1379">
      <c r="A1379" s="5" t="inlineStr">
        <is>
          <t>b6-yargi-kurs</t>
        </is>
      </c>
      <c r="B1379" s="5" t="n">
        <v>2</v>
      </c>
      <c r="C1379" s="6" t="inlineStr">
        <is>
          <t>Keşif için ağaca gitmeyi öner</t>
        </is>
      </c>
      <c r="D1379" s="5" t="inlineStr">
        <is>
          <t>Cesaret</t>
        </is>
      </c>
      <c r="E1379" s="5" t="inlineStr">
        <is>
          <t>Orta</t>
        </is>
      </c>
      <c r="F1379" s="5" t="inlineStr"/>
      <c r="G1379" s="6" t="inlineStr"/>
      <c r="H1379" s="6" t="inlineStr">
        <is>
          <t>Keşfe gittiniz. Ağacın dalı gerçekten sınırı geçiyor; ama kökü de öbür tarafı. Dava ikiye bölündü, komşular hâlâ konuşmuyor ama ceviz topluyor.</t>
        </is>
      </c>
      <c r="I1379" s="6" t="inlineStr">
        <is>
          <t>Keşifte iki komşu ağacın altında çocukken birlikte oynadıklarını hatırladı. Dava düştü. Kıdemli, “Senden olur” dedi.</t>
        </is>
      </c>
      <c r="J1379" s="6" t="inlineStr">
        <is>
          <t>Keşfe gittiniz; ağaç kesilmişti. Dava artık bir kütük davası.</t>
        </is>
      </c>
      <c r="K1379" s="6" t="inlineStr">
        <is>
          <t>Keşifte ceviz başına düştü. Tutanağa “Mahkeme heyetine ceviz isabet etmiştir” yazıldı; adın dipnotta.</t>
        </is>
      </c>
      <c r="L1379" s="6" t="inlineStr"/>
      <c r="M1379" s="5" t="inlineStr"/>
      <c r="N1379" s="5" t="inlineStr"/>
      <c r="O1379" s="6" t="inlineStr"/>
      <c r="P1379" s="6" t="inlineStr"/>
      <c r="Q1379" s="5" t="inlineStr"/>
      <c r="R1379" s="5" t="inlineStr"/>
      <c r="S1379" s="5" t="inlineStr"/>
      <c r="T1379" s="5" t="inlineStr"/>
      <c r="U1379" s="5" t="inlineStr"/>
      <c r="V1379" s="5" t="inlineStr"/>
      <c r="W1379" s="5" t="inlineStr"/>
      <c r="X1379" s="5" t="inlineStr"/>
      <c r="Y1379" s="5" t="inlineStr"/>
      <c r="Z1379" s="6" t="inlineStr"/>
      <c r="AA1379" s="5" t="inlineStr"/>
      <c r="AB1379" s="5" t="inlineStr"/>
      <c r="AC1379" s="5" t="inlineStr"/>
      <c r="AD1379" s="5" t="inlineStr"/>
      <c r="AE1379" s="5" t="inlineStr"/>
      <c r="AF1379" s="5" t="inlineStr"/>
      <c r="AG1379" s="5" t="inlineStr"/>
      <c r="AH1379" s="5" t="inlineStr"/>
      <c r="AI1379" s="5" t="inlineStr"/>
      <c r="AJ1379" s="5" t="inlineStr"/>
    </row>
    <row r="1380">
      <c r="A1380" s="5" t="inlineStr">
        <is>
          <t>b6-yargi-kurs</t>
        </is>
      </c>
      <c r="B1380" s="5" t="n">
        <v>3</v>
      </c>
      <c r="C1380" s="6" t="inlineStr">
        <is>
          <t>Kararı kıdemliden önce tahmin et</t>
        </is>
      </c>
      <c r="D1380" s="5" t="inlineStr">
        <is>
          <t>Akıl</t>
        </is>
      </c>
      <c r="E1380" s="5" t="inlineStr">
        <is>
          <t>Zor</t>
        </is>
      </c>
      <c r="F1380" s="5" t="inlineStr"/>
      <c r="G1380" s="6" t="inlineStr"/>
      <c r="H1380" s="6" t="inlineStr">
        <is>
          <t>Tahminin tuttu. Kıdemli karar metnini yazarken senin cümlelerinden birini kullandı. Adını anmadı; adaylar anılmaz.</t>
        </is>
      </c>
      <c r="I1380" s="6" t="inlineStr">
        <is>
          <t>Tahminin öyle isabetliydi ki kıdemli bir sonraki dosyayı sana verdi: “Taslağı sen yaz.” Taslak neredeyse hiç değişmedi.</t>
        </is>
      </c>
      <c r="J1380" s="6" t="inlineStr">
        <is>
          <t>Tahmin tutmadı. Kıdemli kararı okuduğunda senin notlarındaki cümlenin tam tersini okudu.</t>
        </is>
      </c>
      <c r="K1380" s="6" t="inlineStr">
        <is>
          <t>Tahminini koridorda yüksek sesle söyledin. Davalı komşu duydu, içeri girip kıdemliye sordu: “Karar çıkmış, siz niye hâlâ okuyorsunuz?” Duruşma bir saat uzadı; kıdemli o bir saat sana hiç bakmadı.</t>
        </is>
      </c>
      <c r="L1380" s="6" t="inlineStr"/>
      <c r="M1380" s="5" t="inlineStr"/>
      <c r="N1380" s="5" t="inlineStr"/>
      <c r="O1380" s="6" t="inlineStr"/>
      <c r="P1380" s="6" t="inlineStr"/>
      <c r="Q1380" s="5" t="inlineStr"/>
      <c r="R1380" s="5" t="inlineStr"/>
      <c r="S1380" s="5" t="inlineStr"/>
      <c r="T1380" s="5" t="inlineStr">
        <is>
          <t>Mevzuat Kalkanı</t>
        </is>
      </c>
      <c r="U1380" s="5" t="inlineStr"/>
      <c r="V1380" s="5" t="inlineStr"/>
      <c r="W1380" s="5" t="inlineStr"/>
      <c r="X1380" s="5" t="inlineStr"/>
      <c r="Y1380" s="5" t="inlineStr"/>
      <c r="Z1380" s="6" t="inlineStr"/>
      <c r="AA1380" s="5" t="inlineStr"/>
      <c r="AB1380" s="5" t="inlineStr"/>
      <c r="AC1380" s="5" t="inlineStr"/>
      <c r="AD1380" s="5" t="inlineStr"/>
      <c r="AE1380" s="5" t="inlineStr"/>
      <c r="AF1380" s="5" t="inlineStr"/>
      <c r="AG1380" s="5" t="inlineStr"/>
      <c r="AH1380" s="5" t="inlineStr"/>
      <c r="AI1380" s="5" t="inlineStr"/>
      <c r="AJ1380" s="5" t="inlineStr"/>
    </row>
    <row r="1381">
      <c r="A1381" s="5" t="inlineStr">
        <is>
          <t>b6-hekim-ilk-nobet</t>
        </is>
      </c>
      <c r="B1381" s="5" t="n">
        <v>1</v>
      </c>
      <c r="C1381" s="6" t="inlineStr">
        <is>
          <t>Önce amcaya çay ver</t>
        </is>
      </c>
      <c r="D1381" s="5" t="inlineStr"/>
      <c r="E1381" s="5" t="inlineStr"/>
      <c r="F1381" s="5" t="inlineStr">
        <is>
          <t>İtibar +1</t>
        </is>
      </c>
      <c r="G1381" s="6" t="inlineStr">
        <is>
          <t>Amcaya çay verdin. Amca çayı içti, iyileşti; aslında sadece yalnızmış. Diğer altı hastaya bakarken amca kapıda nöbet tuttu.</t>
        </is>
      </c>
      <c r="H1381" s="6" t="inlineStr"/>
      <c r="I1381" s="6" t="inlineStr"/>
      <c r="J1381" s="6" t="inlineStr"/>
      <c r="K1381" s="6" t="inlineStr"/>
      <c r="L1381" s="6" t="inlineStr"/>
      <c r="M1381" s="5" t="inlineStr"/>
      <c r="N1381" s="5" t="inlineStr"/>
      <c r="O1381" s="6" t="inlineStr"/>
      <c r="P1381" s="6" t="inlineStr"/>
      <c r="Q1381" s="5" t="inlineStr"/>
      <c r="R1381" s="5" t="inlineStr"/>
      <c r="S1381" s="5" t="inlineStr"/>
      <c r="T1381" s="5" t="inlineStr"/>
      <c r="U1381" s="5" t="inlineStr"/>
      <c r="V1381" s="5" t="inlineStr"/>
      <c r="W1381" s="5" t="inlineStr"/>
      <c r="X1381" s="5" t="inlineStr"/>
      <c r="Y1381" s="5" t="inlineStr"/>
      <c r="Z1381" s="6" t="inlineStr"/>
      <c r="AA1381" s="5" t="inlineStr"/>
      <c r="AB1381" s="5" t="inlineStr"/>
      <c r="AC1381" s="5" t="inlineStr"/>
      <c r="AD1381" s="5" t="inlineStr"/>
      <c r="AE1381" s="5" t="inlineStr"/>
      <c r="AF1381" s="5" t="inlineStr"/>
      <c r="AG1381" s="5" t="inlineStr"/>
      <c r="AH1381" s="5" t="inlineStr"/>
      <c r="AI1381" s="5" t="inlineStr"/>
      <c r="AJ1381" s="5" t="inlineStr"/>
    </row>
    <row r="1382">
      <c r="A1382" s="5" t="inlineStr">
        <is>
          <t>b6-hekim-ilk-nobet</t>
        </is>
      </c>
      <c r="B1382" s="5" t="n">
        <v>2</v>
      </c>
      <c r="C1382" s="6" t="inlineStr">
        <is>
          <t>Sırayı aciliyete göre diz</t>
        </is>
      </c>
      <c r="D1382" s="5" t="inlineStr">
        <is>
          <t>Akıl</t>
        </is>
      </c>
      <c r="E1382" s="5" t="inlineStr">
        <is>
          <t>Orta</t>
        </is>
      </c>
      <c r="F1382" s="5" t="inlineStr"/>
      <c r="G1382" s="6" t="inlineStr"/>
      <c r="H1382" s="6" t="inlineStr">
        <is>
          <t>Hastaları doğru sıraya dizdin. Sabaha kadar kimse beklediği için kötüleşmedi. Başhemşire sana ilk kez adınla hitap etti.</t>
        </is>
      </c>
      <c r="I1382" s="6" t="inlineStr">
        <is>
          <t>Sabah vizitinde hoca nöbet defterine baktı ve bir kelime yazdı: “Düzgün.” Tıpta bundan büyük iltifat yok.</t>
        </is>
      </c>
      <c r="J1382" s="6" t="inlineStr">
        <is>
          <t>Sırayı dizdin ama “internette okudum” hastası sırayı üç kez bozdu. Sabah yorgundun; ama herkes hayattaydı.</t>
        </is>
      </c>
      <c r="K1382" s="6" t="inlineStr">
        <is>
          <t>Dosyaları karıştırdın; kaygılı hastaya ağrı kesici, ağrılı hastaya sakinleştirici önerdin. İkisi de iyi hissetti. Hoca hissetmedi.</t>
        </is>
      </c>
      <c r="L1382" s="6" t="inlineStr"/>
      <c r="M1382" s="5" t="inlineStr"/>
      <c r="N1382" s="5" t="inlineStr"/>
      <c r="O1382" s="6" t="inlineStr"/>
      <c r="P1382" s="6" t="inlineStr"/>
      <c r="Q1382" s="5" t="inlineStr"/>
      <c r="R1382" s="5" t="inlineStr"/>
      <c r="S1382" s="5" t="inlineStr"/>
      <c r="T1382" s="5" t="inlineStr">
        <is>
          <t>Gözüne Uyku Girmez</t>
        </is>
      </c>
      <c r="U1382" s="5" t="inlineStr"/>
      <c r="V1382" s="5" t="inlineStr"/>
      <c r="W1382" s="5" t="inlineStr"/>
      <c r="X1382" s="5" t="inlineStr"/>
      <c r="Y1382" s="5" t="inlineStr"/>
      <c r="Z1382" s="6" t="inlineStr"/>
      <c r="AA1382" s="5" t="inlineStr"/>
      <c r="AB1382" s="5" t="inlineStr"/>
      <c r="AC1382" s="5" t="inlineStr"/>
      <c r="AD1382" s="5" t="inlineStr"/>
      <c r="AE1382" s="5" t="inlineStr"/>
      <c r="AF1382" s="5" t="inlineStr"/>
      <c r="AG1382" s="5" t="inlineStr"/>
      <c r="AH1382" s="5" t="inlineStr"/>
      <c r="AI1382" s="5" t="inlineStr"/>
      <c r="AJ1382" s="5" t="inlineStr"/>
    </row>
    <row r="1383">
      <c r="A1383" s="5" t="inlineStr">
        <is>
          <t>b6-hekim-ilk-nobet</t>
        </is>
      </c>
      <c r="B1383" s="5" t="n">
        <v>3</v>
      </c>
      <c r="C1383" s="6" t="inlineStr">
        <is>
          <t>“İnternette okudum” hastasını ikna et</t>
        </is>
      </c>
      <c r="D1383" s="5" t="inlineStr">
        <is>
          <t>Çene</t>
        </is>
      </c>
      <c r="E1383" s="5" t="inlineStr">
        <is>
          <t>Zor</t>
        </is>
      </c>
      <c r="F1383" s="5" t="inlineStr"/>
      <c r="G1383" s="6" t="inlineStr"/>
      <c r="H1383" s="6" t="inlineStr">
        <is>
          <t>Hastaya internetin neyi yanlış okuduğunu anlattın. Hasta sana teşekkür etti ve bir daha arama motoruna değil sana soracağını söyledi. Numaranı istedi; vermedin.</t>
        </is>
      </c>
      <c r="I1383" s="6" t="inlineStr">
        <is>
          <t>Hasta öyle ikna oldu ki kendi forumunda senin hakkında övgü yazdı. Ertesi hafta acile üç kişi “O doktoru” soruyordu.</t>
        </is>
      </c>
      <c r="J1383" s="6" t="inlineStr">
        <is>
          <t>Hasta telefonunu uzattı: “Ama burada başka yazıyor.” Sabaha kadar tartıştınız. Taburcu olurken yorum yazdı: “Doktor kibar ama internetten habersiz.”</t>
        </is>
      </c>
      <c r="K1383" s="6" t="inlineStr">
        <is>
          <t>Hastayı ikna edemedin; o seni ikna etti. Sabaha karşı bir an kendi semptomlarını aradın.</t>
        </is>
      </c>
      <c r="L1383" s="6" t="inlineStr"/>
      <c r="M1383" s="5" t="inlineStr"/>
      <c r="N1383" s="5" t="inlineStr"/>
      <c r="O1383" s="6" t="inlineStr"/>
      <c r="P1383" s="6" t="inlineStr"/>
      <c r="Q1383" s="5" t="inlineStr"/>
      <c r="R1383" s="5" t="inlineStr"/>
      <c r="S1383" s="5" t="inlineStr"/>
      <c r="T1383" s="5" t="inlineStr"/>
      <c r="U1383" s="5" t="inlineStr"/>
      <c r="V1383" s="5" t="inlineStr"/>
      <c r="W1383" s="5" t="inlineStr"/>
      <c r="X1383" s="5" t="inlineStr"/>
      <c r="Y1383" s="5" t="inlineStr"/>
      <c r="Z1383" s="6" t="inlineStr"/>
      <c r="AA1383" s="5" t="inlineStr"/>
      <c r="AB1383" s="5" t="inlineStr"/>
      <c r="AC1383" s="5" t="inlineStr"/>
      <c r="AD1383" s="5" t="inlineStr"/>
      <c r="AE1383" s="5" t="inlineStr"/>
      <c r="AF1383" s="5" t="inlineStr"/>
      <c r="AG1383" s="5" t="inlineStr"/>
      <c r="AH1383" s="5" t="inlineStr"/>
      <c r="AI1383" s="5" t="inlineStr"/>
      <c r="AJ1383" s="5" t="inlineStr"/>
    </row>
    <row r="1384">
      <c r="A1384" s="5" t="inlineStr">
        <is>
          <t>b6-cete-paravan</t>
        </is>
      </c>
      <c r="B1384" s="5" t="n">
        <v>1</v>
      </c>
      <c r="C1384" s="6" t="inlineStr">
        <is>
          <t>Doğru defteri aç, gerisini abiye bırak</t>
        </is>
      </c>
      <c r="D1384" s="5" t="inlineStr"/>
      <c r="E1384" s="5" t="inlineStr"/>
      <c r="F1384" s="5" t="inlineStr">
        <is>
          <t>Pişkinlik +1, Dayanıklılık +1</t>
        </is>
      </c>
      <c r="G1384" s="6" t="inlineStr">
        <is>
          <t>Müfettiş vergi defterine baktı, bir çay içti, bir araba yıkattı; parasını ödedi. Abi akşam aradı: “Öğreniyorsun.” Neyi öğrendiğini düşünmek istemiyorsun.</t>
        </is>
      </c>
      <c r="H1384" s="6" t="inlineStr"/>
      <c r="I1384" s="6" t="inlineStr"/>
      <c r="J1384" s="6" t="inlineStr"/>
      <c r="K1384" s="6" t="inlineStr"/>
      <c r="L1384" s="6" t="inlineStr"/>
      <c r="M1384" s="5" t="inlineStr"/>
      <c r="N1384" s="5" t="inlineStr"/>
      <c r="O1384" s="6" t="inlineStr"/>
      <c r="P1384" s="6" t="inlineStr"/>
      <c r="Q1384" s="5" t="inlineStr"/>
      <c r="R1384" s="5" t="inlineStr"/>
      <c r="S1384" s="5" t="inlineStr"/>
      <c r="T1384" s="5" t="inlineStr"/>
      <c r="U1384" s="5" t="inlineStr"/>
      <c r="V1384" s="5" t="inlineStr"/>
      <c r="W1384" s="5" t="inlineStr"/>
      <c r="X1384" s="5" t="inlineStr"/>
      <c r="Y1384" s="5" t="inlineStr"/>
      <c r="Z1384" s="6" t="inlineStr"/>
      <c r="AA1384" s="5" t="inlineStr"/>
      <c r="AB1384" s="5" t="inlineStr"/>
      <c r="AC1384" s="5" t="inlineStr"/>
      <c r="AD1384" s="5" t="inlineStr"/>
      <c r="AE1384" s="5" t="inlineStr"/>
      <c r="AF1384" s="5" t="inlineStr"/>
      <c r="AG1384" s="5" t="inlineStr"/>
      <c r="AH1384" s="5" t="inlineStr"/>
      <c r="AI1384" s="5" t="inlineStr"/>
      <c r="AJ1384" s="5" t="inlineStr"/>
    </row>
    <row r="1385">
      <c r="A1385" s="5" t="inlineStr">
        <is>
          <t>b6-cete-paravan</t>
        </is>
      </c>
      <c r="B1385" s="5" t="n">
        <v>2</v>
      </c>
      <c r="C1385" s="6" t="inlineStr">
        <is>
          <t>Oto yıkamayı gerçekten oto yıkama yap</t>
        </is>
      </c>
      <c r="D1385" s="5" t="inlineStr">
        <is>
          <t>Akıl</t>
        </is>
      </c>
      <c r="E1385" s="5" t="inlineStr">
        <is>
          <t>Zor</t>
        </is>
      </c>
      <c r="F1385" s="5" t="inlineStr"/>
      <c r="G1385" s="6" t="inlineStr"/>
      <c r="H1385" s="6" t="inlineStr">
        <is>
          <t>Köpüklü yıkama, iç temizlik, jant parlatma. Üç ayda gerçek müşteri geldi. Abinin defteri inceldi, seninki kalınlaştı.</t>
        </is>
      </c>
      <c r="I1385" s="6" t="inlineStr">
        <is>
          <t>Dükkân o kadar iyi işledi ki abi bile arabasını getirdi; üstelik ödedi. Mahallede artık “Abinin adamı” değil, “Yıkamacı” diye biliniyorsun.</t>
        </is>
      </c>
      <c r="J1385" s="6" t="inlineStr">
        <is>
          <t>Gerçek müşteriler geldi ama abinin müşterileri de gelmeye devam etti. İki defter şimdi üç oldu.</t>
        </is>
      </c>
      <c r="K1385" s="6" t="inlineStr">
        <is>
          <t>Gerçek bir yıkama yaparken abinin arabasının bagajını açtın. Ne gördüğünü söylemeyeceksin; abi de sana söylememeni söyledi.</t>
        </is>
      </c>
      <c r="L1385" s="6" t="inlineStr"/>
      <c r="M1385" s="5" t="inlineStr"/>
      <c r="N1385" s="5" t="inlineStr"/>
      <c r="O1385" s="6" t="inlineStr"/>
      <c r="P1385" s="6" t="inlineStr"/>
      <c r="Q1385" s="5" t="inlineStr"/>
      <c r="R1385" s="5" t="inlineStr"/>
      <c r="S1385" s="5" t="inlineStr"/>
      <c r="T1385" s="5" t="inlineStr"/>
      <c r="U1385" s="5" t="inlineStr"/>
      <c r="V1385" s="5" t="inlineStr">
        <is>
          <t>abiden-koptu</t>
        </is>
      </c>
      <c r="W1385" s="5" t="inlineStr"/>
      <c r="X1385" s="5" t="inlineStr"/>
      <c r="Y1385" s="5" t="inlineStr"/>
      <c r="Z1385" s="6" t="inlineStr"/>
      <c r="AA1385" s="5" t="inlineStr"/>
      <c r="AB1385" s="5" t="inlineStr"/>
      <c r="AC1385" s="5" t="inlineStr"/>
      <c r="AD1385" s="5" t="inlineStr"/>
      <c r="AE1385" s="5" t="inlineStr"/>
      <c r="AF1385" s="5" t="inlineStr"/>
      <c r="AG1385" s="5" t="inlineStr"/>
      <c r="AH1385" s="5" t="inlineStr"/>
      <c r="AI1385" s="5" t="inlineStr"/>
      <c r="AJ1385" s="5" t="inlineStr"/>
    </row>
    <row r="1386">
      <c r="A1386" s="5" t="inlineStr">
        <is>
          <t>b6-cete-paravan</t>
        </is>
      </c>
      <c r="B1386" s="5" t="n">
        <v>3</v>
      </c>
      <c r="C1386" s="6" t="inlineStr">
        <is>
          <t>Abinin defterini kendine sakla</t>
        </is>
      </c>
      <c r="D1386" s="5" t="inlineStr">
        <is>
          <t>Kurnazlık</t>
        </is>
      </c>
      <c r="E1386" s="5" t="inlineStr">
        <is>
          <t>Çok Zor</t>
        </is>
      </c>
      <c r="F1386" s="5" t="inlineStr"/>
      <c r="G1386" s="6" t="inlineStr"/>
      <c r="H1386" s="6" t="inlineStr">
        <is>
          <t>Abinin defterinin bir fotokopisini aldın ve bir kasaya koydun. Kasanın anahtarı ayakkabında. Artık abi senin için değil, sen abi için bir sigortasın.</t>
        </is>
      </c>
      <c r="I1386" s="6" t="inlineStr">
        <is>
          <t>Fotokopiyi gören tek kişi abinin rakibiydi; seni yemeğe çağırdı. Şimdi iki abinin masasına birden oturan tek kişisin. İki tarafa da aynı gülümsemeyi yapıyorsun; yanakların yoruldu.</t>
        </is>
      </c>
      <c r="J1386" s="6" t="inlineStr">
        <is>
          <t>Fotokopi makinesi kâğıt sıkıştırdı. Defterin üç sayfası makinenin içinde kaldı. Makine artık bir delil.</t>
        </is>
      </c>
      <c r="K1386" s="6" t="inlineStr">
        <is>
          <t>Abi, fotokopi kuyruğunda arkanda duruyordu. “Bir tane de bana çek” dedi. O günden sonra oto yıkamada kamera var.</t>
        </is>
      </c>
      <c r="L1386" s="6" t="inlineStr"/>
      <c r="M1386" s="5" t="inlineStr"/>
      <c r="N1386" s="5" t="inlineStr"/>
      <c r="O1386" s="6" t="inlineStr"/>
      <c r="P1386" s="6" t="inlineStr"/>
      <c r="Q1386" s="5" t="inlineStr"/>
      <c r="R1386" s="5" t="inlineStr"/>
      <c r="S1386" s="5" t="inlineStr"/>
      <c r="T1386" s="5" t="inlineStr"/>
      <c r="U1386" s="5" t="inlineStr"/>
      <c r="V1386" s="5" t="inlineStr">
        <is>
          <t>abiye-karsi-sigorta</t>
        </is>
      </c>
      <c r="W1386" s="5" t="inlineStr"/>
      <c r="X1386" s="5" t="inlineStr"/>
      <c r="Y1386" s="5" t="inlineStr"/>
      <c r="Z1386" s="6" t="inlineStr"/>
      <c r="AA1386" s="5" t="inlineStr"/>
      <c r="AB1386" s="5" t="inlineStr"/>
      <c r="AC1386" s="5" t="inlineStr"/>
      <c r="AD1386" s="5" t="inlineStr"/>
      <c r="AE1386" s="5" t="inlineStr"/>
      <c r="AF1386" s="5" t="inlineStr"/>
      <c r="AG1386" s="5" t="inlineStr"/>
      <c r="AH1386" s="5" t="inlineStr"/>
      <c r="AI1386" s="5" t="inlineStr"/>
      <c r="AJ1386" s="5" t="inlineStr"/>
    </row>
    <row r="1387">
      <c r="A1387" s="5" t="inlineStr">
        <is>
          <t>b6-sohret-ilk-rol</t>
        </is>
      </c>
      <c r="B1387" s="5" t="n">
        <v>1</v>
      </c>
      <c r="C1387" s="6" t="inlineStr">
        <is>
          <t>On beşinci tekrarı çek, sesini çıkarma</t>
        </is>
      </c>
      <c r="D1387" s="5" t="inlineStr"/>
      <c r="E1387" s="5" t="inlineStr"/>
      <c r="F1387" s="5" t="inlineStr">
        <is>
          <t>Dayanıklılık +1</t>
        </is>
      </c>
      <c r="G1387" s="6" t="inlineStr">
        <is>
          <t>On beşinci tekrarda yönetmen “Tamam” dedi. Sonra aynı sahneyi başka açıdan on dört kez daha çektiniz. Hesabı kimse ödemedi.</t>
        </is>
      </c>
      <c r="H1387" s="6" t="inlineStr"/>
      <c r="I1387" s="6" t="inlineStr"/>
      <c r="J1387" s="6" t="inlineStr"/>
      <c r="K1387" s="6" t="inlineStr"/>
      <c r="L1387" s="6" t="inlineStr"/>
      <c r="M1387" s="5" t="inlineStr"/>
      <c r="N1387" s="5" t="inlineStr"/>
      <c r="O1387" s="6" t="inlineStr"/>
      <c r="P1387" s="6" t="inlineStr"/>
      <c r="Q1387" s="5" t="inlineStr"/>
      <c r="R1387" s="5" t="inlineStr"/>
      <c r="S1387" s="5" t="inlineStr"/>
      <c r="T1387" s="5" t="inlineStr"/>
      <c r="U1387" s="5" t="inlineStr"/>
      <c r="V1387" s="5" t="inlineStr"/>
      <c r="W1387" s="5" t="inlineStr"/>
      <c r="X1387" s="5" t="inlineStr"/>
      <c r="Y1387" s="5" t="inlineStr"/>
      <c r="Z1387" s="6" t="inlineStr"/>
      <c r="AA1387" s="5" t="inlineStr"/>
      <c r="AB1387" s="5" t="inlineStr"/>
      <c r="AC1387" s="5" t="inlineStr"/>
      <c r="AD1387" s="5" t="inlineStr"/>
      <c r="AE1387" s="5" t="inlineStr"/>
      <c r="AF1387" s="5" t="inlineStr"/>
      <c r="AG1387" s="5" t="inlineStr"/>
      <c r="AH1387" s="5" t="inlineStr"/>
      <c r="AI1387" s="5" t="inlineStr"/>
      <c r="AJ1387" s="5" t="inlineStr"/>
    </row>
    <row r="1388">
      <c r="A1388" s="5" t="inlineStr">
        <is>
          <t>b6-sohret-ilk-rol</t>
        </is>
      </c>
      <c r="B1388" s="5" t="n">
        <v>2</v>
      </c>
      <c r="C1388" s="6" t="inlineStr">
        <is>
          <t>Repliğe bir doğaçlama ekle</t>
        </is>
      </c>
      <c r="D1388" s="5" t="inlineStr">
        <is>
          <t>Pişkinlik</t>
        </is>
      </c>
      <c r="E1388" s="5" t="inlineStr">
        <is>
          <t>Zor</t>
        </is>
      </c>
      <c r="F1388" s="5" t="inlineStr"/>
      <c r="G1388" s="6" t="inlineStr"/>
      <c r="H1388" s="6" t="inlineStr">
        <is>
          <t>“Hesap lütfen… bir de sizin telefonunuz.” Yönetmen güldü, sahne kaldı. Dizide ikinci bölümde de varsın.</t>
        </is>
      </c>
      <c r="I1388" s="6" t="inlineStr">
        <is>
          <t>Doğaçlama sosyal medyada kısa video oldu. İki milyon izlenme; herkes kafedeki genci soruyor. Menajerin yok; artık lazım.</t>
        </is>
      </c>
      <c r="J1388" s="6" t="inlineStr">
        <is>
          <t>Doğaçlamanı kimse sevmedi. Sahne kurgu masasında kesildi; dizide sadece ensen var.</t>
        </is>
      </c>
      <c r="K1388" s="6" t="inlineStr">
        <is>
          <t>Doğaçlama yaparken başrol oyuncusunun repliğini söyledin. Başrol seni o günden beri tanımıyor, bilerek.</t>
        </is>
      </c>
      <c r="L1388" s="6" t="inlineStr"/>
      <c r="M1388" s="5" t="inlineStr"/>
      <c r="N1388" s="5" t="inlineStr"/>
      <c r="O1388" s="6" t="inlineStr"/>
      <c r="P1388" s="6" t="inlineStr"/>
      <c r="Q1388" s="5" t="inlineStr"/>
      <c r="R1388" s="5" t="inlineStr"/>
      <c r="S1388" s="5" t="inlineStr"/>
      <c r="T1388" s="5" t="inlineStr"/>
      <c r="U1388" s="5" t="inlineStr"/>
      <c r="V1388" s="5" t="inlineStr">
        <is>
          <t>serbest-viral-oldu</t>
        </is>
      </c>
      <c r="W1388" s="5" t="inlineStr"/>
      <c r="X1388" s="5" t="inlineStr"/>
      <c r="Y1388" s="5" t="inlineStr"/>
      <c r="Z1388" s="6" t="inlineStr"/>
      <c r="AA1388" s="5" t="inlineStr"/>
      <c r="AB1388" s="5" t="inlineStr"/>
      <c r="AC1388" s="5" t="inlineStr"/>
      <c r="AD1388" s="5" t="inlineStr"/>
      <c r="AE1388" s="5" t="inlineStr"/>
      <c r="AF1388" s="5" t="inlineStr"/>
      <c r="AG1388" s="5" t="inlineStr"/>
      <c r="AH1388" s="5" t="inlineStr"/>
      <c r="AI1388" s="5" t="inlineStr"/>
      <c r="AJ1388" s="5" t="inlineStr"/>
    </row>
    <row r="1389">
      <c r="A1389" s="5" t="inlineStr">
        <is>
          <t>b6-sohret-ilk-rol</t>
        </is>
      </c>
      <c r="B1389" s="5" t="n">
        <v>3</v>
      </c>
      <c r="C1389" s="6" t="inlineStr">
        <is>
          <t>Başrolün yanına otur, sohbet et</t>
        </is>
      </c>
      <c r="D1389" s="5" t="inlineStr">
        <is>
          <t>Sosyal Radar</t>
        </is>
      </c>
      <c r="E1389" s="5" t="inlineStr">
        <is>
          <t>Orta</t>
        </is>
      </c>
      <c r="F1389" s="5" t="inlineStr"/>
      <c r="G1389" s="6" t="inlineStr"/>
      <c r="H1389" s="6" t="inlineStr">
        <is>
          <t>Başrol oyuncusu seninle kahve içti. Sete girişin ertesi gün bir karavanla yapıldı; karavan senin değil ama kapısını açabiliyorsun.</t>
        </is>
      </c>
      <c r="I1389" s="6" t="inlineStr">
        <is>
          <t>Başrol seni menajerine tanıttı. Menajer ilk bakışta “Yüzün bir şey diyor” dedi. Ne dediğini henüz söylemedi.</t>
        </is>
      </c>
      <c r="J1389" s="6" t="inlineStr">
        <is>
          <t>Başrol oyuncusu kulaklığını çıkarmadı. Sohbet tek taraflı oldu; sen bunu da bir sahne sandın.</t>
        </is>
      </c>
      <c r="K1389" s="6" t="inlineStr">
        <is>
          <t>Başrolün kahvesini gömleğine döktün; sahne kahve lekeli gömlekle çekildi. Ertesi gün sete “Kahve dökülmez” tabelası asıldı. Altına biri küçük harflerle senin adını yazmıştı.</t>
        </is>
      </c>
      <c r="L1389" s="6" t="inlineStr"/>
      <c r="M1389" s="5" t="inlineStr"/>
      <c r="N1389" s="5" t="inlineStr"/>
      <c r="O1389" s="6" t="inlineStr"/>
      <c r="P1389" s="6" t="inlineStr"/>
      <c r="Q1389" s="5" t="inlineStr"/>
      <c r="R1389" s="5" t="inlineStr"/>
      <c r="S1389" s="5" t="inlineStr"/>
      <c r="T1389" s="5" t="inlineStr"/>
      <c r="U1389" s="5" t="inlineStr"/>
      <c r="V1389" s="5" t="inlineStr"/>
      <c r="W1389" s="5" t="inlineStr"/>
      <c r="X1389" s="5" t="inlineStr"/>
      <c r="Y1389" s="5" t="inlineStr"/>
      <c r="Z1389" s="6" t="inlineStr"/>
      <c r="AA1389" s="5" t="inlineStr"/>
      <c r="AB1389" s="5" t="inlineStr"/>
      <c r="AC1389" s="5" t="inlineStr"/>
      <c r="AD1389" s="5" t="inlineStr"/>
      <c r="AE1389" s="5" t="inlineStr"/>
      <c r="AF1389" s="5" t="inlineStr"/>
      <c r="AG1389" s="5" t="inlineStr"/>
      <c r="AH1389" s="5" t="inlineStr"/>
      <c r="AI1389" s="5" t="inlineStr"/>
      <c r="AJ1389" s="5" t="inlineStr"/>
    </row>
    <row r="1390">
      <c r="A1390" s="5" t="inlineStr">
        <is>
          <t>b6-koy-ilk-hasat</t>
        </is>
      </c>
      <c r="B1390" s="5" t="n">
        <v>1</v>
      </c>
      <c r="C1390" s="6" t="inlineStr">
        <is>
          <t>Komisyoncuya ver, işi bitir</t>
        </is>
      </c>
      <c r="D1390" s="5" t="inlineStr"/>
      <c r="E1390" s="5" t="inlineStr"/>
      <c r="F1390" s="5" t="inlineStr">
        <is>
          <t>Dayanıklılık +1</t>
        </is>
      </c>
      <c r="G1390" s="6" t="inlineStr">
        <is>
          <t>Komisyoncu kamyonla geldi, domatesleri tarttı, fiyatı söyledi, gitti. Aynı domatesler üç gün sonra şehirde dört katına satıldı. Deden “Hep böyleydi” dedi.</t>
        </is>
      </c>
      <c r="H1390" s="6" t="inlineStr"/>
      <c r="I1390" s="6" t="inlineStr"/>
      <c r="J1390" s="6" t="inlineStr"/>
      <c r="K1390" s="6" t="inlineStr"/>
      <c r="L1390" s="6" t="inlineStr"/>
      <c r="M1390" s="5" t="inlineStr"/>
      <c r="N1390" s="5" t="inlineStr"/>
      <c r="O1390" s="6" t="inlineStr"/>
      <c r="P1390" s="6" t="inlineStr"/>
      <c r="Q1390" s="5" t="inlineStr"/>
      <c r="R1390" s="5" t="inlineStr"/>
      <c r="S1390" s="5" t="inlineStr"/>
      <c r="T1390" s="5" t="inlineStr"/>
      <c r="U1390" s="5" t="inlineStr"/>
      <c r="V1390" s="5" t="inlineStr"/>
      <c r="W1390" s="5" t="inlineStr"/>
      <c r="X1390" s="5" t="inlineStr"/>
      <c r="Y1390" s="5" t="inlineStr"/>
      <c r="Z1390" s="6" t="inlineStr"/>
      <c r="AA1390" s="5" t="inlineStr"/>
      <c r="AB1390" s="5" t="inlineStr"/>
      <c r="AC1390" s="5" t="inlineStr"/>
      <c r="AD1390" s="5" t="inlineStr"/>
      <c r="AE1390" s="5" t="inlineStr"/>
      <c r="AF1390" s="5" t="inlineStr"/>
      <c r="AG1390" s="5" t="inlineStr"/>
      <c r="AH1390" s="5" t="inlineStr"/>
      <c r="AI1390" s="5" t="inlineStr"/>
      <c r="AJ1390" s="5" t="inlineStr"/>
    </row>
    <row r="1391">
      <c r="A1391" s="5" t="inlineStr">
        <is>
          <t>b6-koy-ilk-hasat</t>
        </is>
      </c>
      <c r="B1391" s="5" t="n">
        <v>2</v>
      </c>
      <c r="C1391" s="6" t="inlineStr">
        <is>
          <t>Şehirde pazara kendin taşı</t>
        </is>
      </c>
      <c r="D1391" s="5" t="inlineStr">
        <is>
          <t>Dayanıklılık</t>
        </is>
      </c>
      <c r="E1391" s="5" t="inlineStr">
        <is>
          <t>Zor</t>
        </is>
      </c>
      <c r="F1391" s="5" t="inlineStr"/>
      <c r="G1391" s="6" t="inlineStr"/>
      <c r="H1391" s="6" t="inlineStr">
        <is>
          <t>Sabah dörtte yola çıktın, altıda tezgâhı kurdun, öğlen bitirdin. Kazandığın para komisyoncunun verdiğinin üç katı. Belin de üç kat ağrıyor.</t>
        </is>
      </c>
      <c r="I1391" s="6" t="inlineStr">
        <is>
          <t>Pazardaki müşteriler seni “Köylü Genç” diye çağırmaya başladı. Hafta sonları kuyruk var; domates sırası.</t>
        </is>
      </c>
      <c r="J1391" s="6" t="inlineStr">
        <is>
          <t>Pazara gittin ama tezgâh yerin yoktu. Kaldırımda sattın, zabıta seni kaldırdı. Domatesler sana kaldı; salata çok.</t>
        </is>
      </c>
      <c r="K1391" s="6" t="inlineStr">
        <is>
          <t>Traktör yolda, tam köprünün üstünde bozuldu. Arkanda kilometrelerce korna; domatesleri yol kenarına indirip kamyonculara sattın, fiyatı onlar söyledi. Akşam deden traktörü çekiciyle getirtti, sana tek şey dedi: “Kontağın püf noktası buydu işte.”</t>
        </is>
      </c>
      <c r="L1391" s="6" t="inlineStr"/>
      <c r="M1391" s="5" t="inlineStr"/>
      <c r="N1391" s="5" t="inlineStr"/>
      <c r="O1391" s="6" t="inlineStr"/>
      <c r="P1391" s="6" t="inlineStr"/>
      <c r="Q1391" s="5" t="inlineStr"/>
      <c r="R1391" s="5" t="inlineStr"/>
      <c r="S1391" s="5" t="inlineStr"/>
      <c r="T1391" s="5" t="inlineStr"/>
      <c r="U1391" s="5" t="inlineStr"/>
      <c r="V1391" s="5" t="inlineStr"/>
      <c r="W1391" s="5" t="inlineStr"/>
      <c r="X1391" s="5" t="inlineStr"/>
      <c r="Y1391" s="5" t="inlineStr"/>
      <c r="Z1391" s="6" t="inlineStr"/>
      <c r="AA1391" s="5" t="inlineStr"/>
      <c r="AB1391" s="5" t="inlineStr"/>
      <c r="AC1391" s="5" t="inlineStr"/>
      <c r="AD1391" s="5" t="inlineStr"/>
      <c r="AE1391" s="5" t="inlineStr"/>
      <c r="AF1391" s="5" t="inlineStr"/>
      <c r="AG1391" s="5" t="inlineStr"/>
      <c r="AH1391" s="5" t="inlineStr"/>
      <c r="AI1391" s="5" t="inlineStr"/>
      <c r="AJ1391" s="5" t="inlineStr"/>
    </row>
    <row r="1392">
      <c r="A1392" s="5" t="inlineStr">
        <is>
          <t>b6-koy-ilk-hasat</t>
        </is>
      </c>
      <c r="B1392" s="5" t="n">
        <v>3</v>
      </c>
      <c r="C1392" s="6" t="inlineStr">
        <is>
          <t>Domatesleri internetten sat</t>
        </is>
      </c>
      <c r="D1392" s="5" t="inlineStr">
        <is>
          <t>Kurnazlık</t>
        </is>
      </c>
      <c r="E1392" s="5" t="inlineStr">
        <is>
          <t>Orta</t>
        </is>
      </c>
      <c r="F1392" s="5" t="inlineStr"/>
      <c r="G1392" s="6" t="inlineStr"/>
      <c r="H1392" s="6" t="inlineStr">
        <is>
          <t>Domateslerin fotoğrafını çektin, “Köyden sofraya” yazdın. Şehirden sipariş yağdı. Kargo pahalı ama domatesin fiyatı daha pahalı.</t>
        </is>
      </c>
      <c r="I1392" s="6" t="inlineStr">
        <is>
          <t>Siparişler o kadar arttı ki komşu köylülerin domateslerini de satmaya başladın. Köyde artık sana “Aracı” diyorlar; ama kibarca.</t>
        </is>
      </c>
      <c r="J1392" s="6" t="inlineStr">
        <is>
          <t>Siparişler geldi, kargo gecikti. Domatesler müşterilere salça olarak ulaştı. Yorumlar karışık.</t>
        </is>
      </c>
      <c r="K1392" s="6" t="inlineStr">
        <is>
          <t>Fotoğraftaki domatesler internetten bulduğun bir görselmiş. Bir müşteri iki fotoğrafı yan yana paylaştı: “Beklenti / gerçek.” Deden de paylaştı; domatesini beğendiler sandı.</t>
        </is>
      </c>
      <c r="L1392" s="6" t="inlineStr"/>
      <c r="M1392" s="5" t="inlineStr"/>
      <c r="N1392" s="5" t="inlineStr"/>
      <c r="O1392" s="6" t="inlineStr"/>
      <c r="P1392" s="6" t="inlineStr"/>
      <c r="Q1392" s="5" t="inlineStr"/>
      <c r="R1392" s="5" t="inlineStr"/>
      <c r="S1392" s="5" t="inlineStr"/>
      <c r="T1392" s="5" t="inlineStr"/>
      <c r="U1392" s="5" t="inlineStr"/>
      <c r="V1392" s="5" t="inlineStr"/>
      <c r="W1392" s="5" t="inlineStr"/>
      <c r="X1392" s="5" t="inlineStr"/>
      <c r="Y1392" s="5" t="inlineStr"/>
      <c r="Z1392" s="6" t="inlineStr"/>
      <c r="AA1392" s="5" t="inlineStr"/>
      <c r="AB1392" s="5" t="inlineStr"/>
      <c r="AC1392" s="5" t="inlineStr"/>
      <c r="AD1392" s="5" t="inlineStr"/>
      <c r="AE1392" s="5" t="inlineStr"/>
      <c r="AF1392" s="5" t="inlineStr"/>
      <c r="AG1392" s="5" t="inlineStr"/>
      <c r="AH1392" s="5" t="inlineStr"/>
      <c r="AI1392" s="5" t="inlineStr"/>
      <c r="AJ1392" s="5" t="inlineStr"/>
    </row>
    <row r="1393">
      <c r="A1393" s="5" t="inlineStr">
        <is>
          <t>b6-usta-kendi-tezgahi</t>
        </is>
      </c>
      <c r="B1393" s="5" t="n">
        <v>1</v>
      </c>
      <c r="C1393" s="6" t="inlineStr">
        <is>
          <t>Ustanı ara, sor</t>
        </is>
      </c>
      <c r="D1393" s="5" t="inlineStr"/>
      <c r="E1393" s="5" t="inlineStr"/>
      <c r="F1393" s="5" t="inlineStr">
        <is>
          <t>İtibar +1, Sosyal Radar +1</t>
        </is>
      </c>
      <c r="G1393" s="6" t="inlineStr">
        <is>
          <t>Ustan telefonda sesi dinledi: “Triger.” Haklıydı. Taksici sana teşekkür etti; ustana da bir kutu lokum götürdü. Hesap böyle kapanır.</t>
        </is>
      </c>
      <c r="H1393" s="6" t="inlineStr"/>
      <c r="I1393" s="6" t="inlineStr"/>
      <c r="J1393" s="6" t="inlineStr"/>
      <c r="K1393" s="6" t="inlineStr"/>
      <c r="L1393" s="6" t="inlineStr"/>
      <c r="M1393" s="5" t="inlineStr"/>
      <c r="N1393" s="5" t="inlineStr"/>
      <c r="O1393" s="6" t="inlineStr"/>
      <c r="P1393" s="6" t="inlineStr"/>
      <c r="Q1393" s="5" t="inlineStr"/>
      <c r="R1393" s="5" t="inlineStr"/>
      <c r="S1393" s="5" t="inlineStr"/>
      <c r="T1393" s="5" t="inlineStr"/>
      <c r="U1393" s="5" t="inlineStr"/>
      <c r="V1393" s="5" t="inlineStr"/>
      <c r="W1393" s="5" t="inlineStr"/>
      <c r="X1393" s="5" t="inlineStr"/>
      <c r="Y1393" s="5" t="inlineStr"/>
      <c r="Z1393" s="6" t="inlineStr"/>
      <c r="AA1393" s="5" t="inlineStr"/>
      <c r="AB1393" s="5" t="inlineStr"/>
      <c r="AC1393" s="5" t="inlineStr"/>
      <c r="AD1393" s="5" t="inlineStr"/>
      <c r="AE1393" s="5" t="inlineStr"/>
      <c r="AF1393" s="5" t="inlineStr"/>
      <c r="AG1393" s="5" t="inlineStr"/>
      <c r="AH1393" s="5" t="inlineStr"/>
      <c r="AI1393" s="5" t="inlineStr"/>
      <c r="AJ1393" s="5" t="inlineStr"/>
    </row>
    <row r="1394">
      <c r="A1394" s="5" t="inlineStr">
        <is>
          <t>b6-usta-kendi-tezgahi</t>
        </is>
      </c>
      <c r="B1394" s="5" t="n">
        <v>2</v>
      </c>
      <c r="C1394" s="6" t="inlineStr">
        <is>
          <t>Sesi kendin bul</t>
        </is>
      </c>
      <c r="D1394" s="5" t="inlineStr">
        <is>
          <t>Akıl</t>
        </is>
      </c>
      <c r="E1394" s="5" t="inlineStr">
        <is>
          <t>Orta</t>
        </is>
      </c>
      <c r="F1394" s="5" t="inlineStr"/>
      <c r="G1394" s="6" t="inlineStr"/>
      <c r="H1394" s="6" t="inlineStr">
        <is>
          <t>Kaputu açtın, dinledin, buldun. Taksici arabayı çalıştırdığında ses yoktu. Taksi durağında adın bir hafta içinde yayıldı.</t>
        </is>
      </c>
      <c r="I1394" s="6" t="inlineStr">
        <is>
          <t>Sesi buldun, bir de taksicinin fark etmediği ikinci arızayı. Taksi durağı artık sana geliyor; sanayide kıskananlar da.</t>
        </is>
      </c>
      <c r="J1394" s="6" t="inlineStr">
        <is>
          <t>Üç parça söktün, ses devam etti. Dördüncüyü sökünce ses durdu, araba da durdu.</t>
        </is>
      </c>
      <c r="K1394" s="6" t="inlineStr">
        <is>
          <t>Parçayı yanlış taktın. Ses değişti: “Vıyyy, sonra tık tık tık.” Taksici bunu da kaydetti.</t>
        </is>
      </c>
      <c r="L1394" s="6" t="inlineStr"/>
      <c r="M1394" s="5" t="inlineStr"/>
      <c r="N1394" s="5" t="inlineStr"/>
      <c r="O1394" s="6" t="inlineStr"/>
      <c r="P1394" s="6" t="inlineStr"/>
      <c r="Q1394" s="5" t="inlineStr"/>
      <c r="R1394" s="5" t="inlineStr"/>
      <c r="S1394" s="5" t="inlineStr"/>
      <c r="T1394" s="5" t="inlineStr">
        <is>
          <t>Kilit Kırıcı</t>
        </is>
      </c>
      <c r="U1394" s="5" t="inlineStr"/>
      <c r="V1394" s="5" t="inlineStr"/>
      <c r="W1394" s="5" t="inlineStr"/>
      <c r="X1394" s="5" t="inlineStr"/>
      <c r="Y1394" s="5" t="inlineStr"/>
      <c r="Z1394" s="6" t="inlineStr"/>
      <c r="AA1394" s="5" t="inlineStr"/>
      <c r="AB1394" s="5" t="inlineStr"/>
      <c r="AC1394" s="5" t="inlineStr"/>
      <c r="AD1394" s="5" t="inlineStr"/>
      <c r="AE1394" s="5" t="inlineStr"/>
      <c r="AF1394" s="5" t="inlineStr"/>
      <c r="AG1394" s="5" t="inlineStr"/>
      <c r="AH1394" s="5" t="inlineStr"/>
      <c r="AI1394" s="5" t="inlineStr"/>
      <c r="AJ1394" s="5" t="inlineStr"/>
    </row>
    <row r="1395">
      <c r="A1395" s="5" t="inlineStr">
        <is>
          <t>b6-usta-kendi-tezgahi</t>
        </is>
      </c>
      <c r="B1395" s="5" t="n">
        <v>3</v>
      </c>
      <c r="C1395" s="6" t="inlineStr">
        <is>
          <t>Pazarlıkla işi büyüt</t>
        </is>
      </c>
      <c r="D1395" s="5" t="inlineStr">
        <is>
          <t>Çene</t>
        </is>
      </c>
      <c r="E1395" s="5" t="inlineStr">
        <is>
          <t>Orta</t>
        </is>
      </c>
      <c r="F1395" s="5" t="inlineStr"/>
      <c r="G1395" s="6" t="inlineStr"/>
      <c r="H1395" s="6" t="inlineStr">
        <is>
          <t>Taksiciye bütün durağın bakımını önerdin. Taksici telsizi açtı: “Beyler, sanayide yeni bir usta var, eli hafif.” Ertesi sabah kapında dört taksi vardı; biri sadece çay içmeye gelmişti.</t>
        </is>
      </c>
      <c r="I1395" s="6" t="inlineStr">
        <is>
          <t>Durak kabul etti, bir de karşı durak. Dükkânın önünde sabah taksi kuyruğu var; sanayinin en kalabalık kapısı senin.</t>
        </is>
      </c>
      <c r="J1395" s="6" t="inlineStr">
        <is>
          <t>Taksici “Önce bunu yap, sonra konuşuruz” dedi. Konuşmak hâlâ sırada.</t>
        </is>
      </c>
      <c r="K1395" s="6" t="inlineStr">
        <is>
          <t>Pazarlıkta öyle indirim yaptın ki bütün durak geldi, karşı durak da. Sabah yedide kapında on taksi, akşam kasada çay parası. Annen telefonda “İşler nasıl?” diye soruyor. Çok.</t>
        </is>
      </c>
      <c r="L1395" s="6" t="inlineStr"/>
      <c r="M1395" s="5" t="inlineStr"/>
      <c r="N1395" s="5" t="inlineStr"/>
      <c r="O1395" s="6" t="inlineStr"/>
      <c r="P1395" s="6" t="inlineStr"/>
      <c r="Q1395" s="5" t="inlineStr"/>
      <c r="R1395" s="5" t="inlineStr"/>
      <c r="S1395" s="5" t="inlineStr"/>
      <c r="T1395" s="5" t="inlineStr"/>
      <c r="U1395" s="5" t="inlineStr"/>
      <c r="V1395" s="5" t="inlineStr"/>
      <c r="W1395" s="5" t="inlineStr"/>
      <c r="X1395" s="5" t="inlineStr"/>
      <c r="Y1395" s="5" t="inlineStr"/>
      <c r="Z1395" s="6" t="inlineStr"/>
      <c r="AA1395" s="5" t="inlineStr"/>
      <c r="AB1395" s="5" t="inlineStr"/>
      <c r="AC1395" s="5" t="inlineStr"/>
      <c r="AD1395" s="5" t="inlineStr"/>
      <c r="AE1395" s="5" t="inlineStr"/>
      <c r="AF1395" s="5" t="inlineStr"/>
      <c r="AG1395" s="5" t="inlineStr"/>
      <c r="AH1395" s="5" t="inlineStr"/>
      <c r="AI1395" s="5" t="inlineStr"/>
      <c r="AJ1395" s="5" t="inlineStr"/>
    </row>
    <row r="1396">
      <c r="A1396" s="5" t="inlineStr">
        <is>
          <t>b6-dolandirici-ilk-is</t>
        </is>
      </c>
      <c r="B1396" s="5" t="n">
        <v>1</v>
      </c>
      <c r="C1396" s="6" t="inlineStr">
        <is>
          <t>Telefonu kapat, bu kişiyi arama</t>
        </is>
      </c>
      <c r="D1396" s="5" t="inlineStr"/>
      <c r="E1396" s="5" t="inlineStr"/>
      <c r="F1396" s="5" t="inlineStr">
        <is>
          <t>İtibar +1</t>
        </is>
      </c>
      <c r="G1396" s="6" t="inlineStr">
        <is>
          <t>Telefonu kapattın. Bütün gün posterdeki “Başarı” yazısına baktın. Akşam anneni aradın; sebepsizce. Annen de sebebini sormadı.</t>
        </is>
      </c>
      <c r="H1396" s="6" t="inlineStr"/>
      <c r="I1396" s="6" t="inlineStr"/>
      <c r="J1396" s="6" t="inlineStr"/>
      <c r="K1396" s="6" t="inlineStr"/>
      <c r="L1396" s="6" t="inlineStr"/>
      <c r="M1396" s="5" t="inlineStr"/>
      <c r="N1396" s="5" t="inlineStr"/>
      <c r="O1396" s="6" t="inlineStr"/>
      <c r="P1396" s="6" t="inlineStr"/>
      <c r="Q1396" s="5" t="inlineStr"/>
      <c r="R1396" s="5" t="inlineStr"/>
      <c r="S1396" s="5" t="inlineStr"/>
      <c r="T1396" s="5" t="inlineStr"/>
      <c r="U1396" s="5" t="inlineStr">
        <is>
          <t>vicdan-sesi</t>
        </is>
      </c>
      <c r="V1396" s="5" t="inlineStr"/>
      <c r="W1396" s="5" t="inlineStr"/>
      <c r="X1396" s="5" t="inlineStr"/>
      <c r="Y1396" s="5" t="inlineStr"/>
      <c r="Z1396" s="6" t="inlineStr"/>
      <c r="AA1396" s="5" t="inlineStr"/>
      <c r="AB1396" s="5" t="inlineStr"/>
      <c r="AC1396" s="5" t="inlineStr"/>
      <c r="AD1396" s="5" t="inlineStr"/>
      <c r="AE1396" s="5" t="inlineStr"/>
      <c r="AF1396" s="5" t="inlineStr"/>
      <c r="AG1396" s="5" t="inlineStr"/>
      <c r="AH1396" s="5" t="inlineStr"/>
      <c r="AI1396" s="5" t="inlineStr"/>
      <c r="AJ1396" s="5" t="inlineStr"/>
    </row>
    <row r="1397">
      <c r="A1397" s="5" t="inlineStr">
        <is>
          <t>b6-dolandirici-ilk-is</t>
        </is>
      </c>
      <c r="B1397" s="5" t="n">
        <v>2</v>
      </c>
      <c r="C1397" s="6" t="inlineStr">
        <is>
          <t>Senaryoyu oku, kapat</t>
        </is>
      </c>
      <c r="D1397" s="5" t="inlineStr">
        <is>
          <t>Pişkinlik</t>
        </is>
      </c>
      <c r="E1397" s="5" t="inlineStr">
        <is>
          <t>Zor</t>
        </is>
      </c>
      <c r="F1397" s="5" t="inlineStr"/>
      <c r="G1397" s="6" t="inlineStr"/>
      <c r="H1397" s="6" t="inlineStr">
        <is>
          <t>Senaryoyu okudun, öğretmen “Düşüneyim” dedi, sonra aradı: “Tamam.” Ayın en büyük satışı senin. Posterin altında fotoğrafın asılı.</t>
        </is>
      </c>
      <c r="I1397" s="6" t="inlineStr">
        <is>
          <t>Öğretmen iki arkadaşını da önerdi. Ayın rekoru kırıldı. Kutlamada herkes sana kadeh kaldırdı; kimse öğretmenin adını söylemedi.</t>
        </is>
      </c>
      <c r="J1397" s="6" t="inlineStr">
        <is>
          <t>Öğretmen senaryonun ortasında durdu: “Evladım, sen bu işi sevmiyorsun.” Kapattı. Haklıydı.</t>
        </is>
      </c>
      <c r="K1397" s="6" t="inlineStr">
        <is>
          <t>Öğretmen konuşmayı kaydetmiş ve yerel bir tüketici grubuna göndermiş. Sesin bir haber sitesinde. Adın yok; sesin var.</t>
        </is>
      </c>
      <c r="L1397" s="6" t="inlineStr"/>
      <c r="M1397" s="5" t="inlineStr"/>
      <c r="N1397" s="5" t="inlineStr"/>
      <c r="O1397" s="6" t="inlineStr"/>
      <c r="P1397" s="6" t="inlineStr"/>
      <c r="Q1397" s="5" t="inlineStr"/>
      <c r="R1397" s="5" t="inlineStr"/>
      <c r="S1397" s="5" t="inlineStr"/>
      <c r="T1397" s="5" t="inlineStr"/>
      <c r="U1397" s="5" t="inlineStr"/>
      <c r="V1397" s="5" t="inlineStr"/>
      <c r="W1397" s="5" t="inlineStr">
        <is>
          <t>ifsa-oldu</t>
        </is>
      </c>
      <c r="X1397" s="5" t="inlineStr"/>
      <c r="Y1397" s="5" t="inlineStr"/>
      <c r="Z1397" s="6" t="inlineStr"/>
      <c r="AA1397" s="5" t="inlineStr"/>
      <c r="AB1397" s="5" t="inlineStr"/>
      <c r="AC1397" s="5" t="inlineStr"/>
      <c r="AD1397" s="5" t="inlineStr"/>
      <c r="AE1397" s="5" t="inlineStr"/>
      <c r="AF1397" s="5" t="inlineStr"/>
      <c r="AG1397" s="5" t="inlineStr"/>
      <c r="AH1397" s="5" t="inlineStr"/>
      <c r="AI1397" s="5" t="inlineStr"/>
      <c r="AJ1397" s="5" t="inlineStr"/>
    </row>
    <row r="1398">
      <c r="A1398" s="5" t="inlineStr">
        <is>
          <t>b6-dolandirici-ilk-is</t>
        </is>
      </c>
      <c r="B1398" s="5" t="n">
        <v>3</v>
      </c>
      <c r="C1398" s="6" t="inlineStr">
        <is>
          <t>Ona gerçek bir tavsiye ver</t>
        </is>
      </c>
      <c r="D1398" s="5" t="inlineStr">
        <is>
          <t>Akıl</t>
        </is>
      </c>
      <c r="E1398" s="5" t="inlineStr">
        <is>
          <t>Orta</t>
        </is>
      </c>
      <c r="F1398" s="5" t="inlineStr"/>
      <c r="G1398" s="6" t="inlineStr"/>
      <c r="H1398" s="6" t="inlineStr">
        <is>
          <t>Öğretmene birikimini devlet tahviline koymasını söyledin. Teşekkür etti. Patron kaydı dinledi ve seni “eğitim”e aldı.</t>
        </is>
      </c>
      <c r="I1398" s="6" t="inlineStr">
        <is>
          <t>Öğretmen sana öyle güvendi ki emekliler çay bahçesindeki bütün masayı sana yolladı; hepsine aynı dürüst tavsiyeyi verdin. Akşam annen “Bugün ne sattın?” dedi. “Hiçbir şey” dedin; ilk kez gururla.</t>
        </is>
      </c>
      <c r="J1398" s="6" t="inlineStr">
        <is>
          <t>Tavsiyeni verdin, öğretmen anlamadı. Patron anladı. Bir hafta ücretsiz izne çıkarıldın.</t>
        </is>
      </c>
      <c r="K1398" s="6" t="inlineStr">
        <is>
          <t>Gerçek tavsiyeyi kayıtlı hattan verdin. Patron seni kovdu, öğretmen seni aradı: “İyi misin evladım?”</t>
        </is>
      </c>
      <c r="L1398" s="6" t="inlineStr"/>
      <c r="M1398" s="5" t="inlineStr"/>
      <c r="N1398" s="5" t="inlineStr"/>
      <c r="O1398" s="6" t="inlineStr"/>
      <c r="P1398" s="6" t="inlineStr"/>
      <c r="Q1398" s="5" t="inlineStr"/>
      <c r="R1398" s="5" t="inlineStr"/>
      <c r="S1398" s="5" t="inlineStr"/>
      <c r="T1398" s="5" t="inlineStr"/>
      <c r="U1398" s="5" t="inlineStr"/>
      <c r="V1398" s="5" t="inlineStr">
        <is>
          <t>vicdan-sesi</t>
        </is>
      </c>
      <c r="W1398" s="5" t="inlineStr"/>
      <c r="X1398" s="5" t="inlineStr"/>
      <c r="Y1398" s="5" t="inlineStr"/>
      <c r="Z1398" s="6" t="inlineStr"/>
      <c r="AA1398" s="5" t="inlineStr"/>
      <c r="AB1398" s="5" t="inlineStr"/>
      <c r="AC1398" s="5" t="inlineStr"/>
      <c r="AD1398" s="5" t="inlineStr"/>
      <c r="AE1398" s="5" t="inlineStr"/>
      <c r="AF1398" s="5" t="inlineStr"/>
      <c r="AG1398" s="5" t="inlineStr"/>
      <c r="AH1398" s="5" t="inlineStr"/>
      <c r="AI1398" s="5" t="inlineStr"/>
      <c r="AJ1398" s="5" t="inlineStr"/>
    </row>
    <row r="1399">
      <c r="A1399" s="5" t="inlineStr">
        <is>
          <t>b6-girisim-sunumu</t>
        </is>
      </c>
      <c r="B1399" s="5" t="n">
        <v>1</v>
      </c>
      <c r="C1399" s="6" t="inlineStr">
        <is>
          <t>Dürüst ol: “Henüz müşterimiz yok”</t>
        </is>
      </c>
      <c r="D1399" s="5" t="inlineStr"/>
      <c r="E1399" s="5" t="inlineStr"/>
      <c r="F1399" s="5" t="inlineStr">
        <is>
          <t>İtibar +1, Cesaret +1</t>
        </is>
      </c>
      <c r="G1399" s="6" t="inlineStr">
        <is>
          <t>Dürüstlüğün salonu şaşırttı. Yatırımcılardan biri telefonu bıraktı: “İlk kez biri bunu söyledi.” Para vermedi ama akıl verdi; ücretsiz ve bol.</t>
        </is>
      </c>
      <c r="H1399" s="6" t="inlineStr"/>
      <c r="I1399" s="6" t="inlineStr"/>
      <c r="J1399" s="6" t="inlineStr"/>
      <c r="K1399" s="6" t="inlineStr"/>
      <c r="L1399" s="6" t="inlineStr"/>
      <c r="M1399" s="5" t="inlineStr"/>
      <c r="N1399" s="5" t="inlineStr"/>
      <c r="O1399" s="6" t="inlineStr"/>
      <c r="P1399" s="6" t="inlineStr"/>
      <c r="Q1399" s="5" t="inlineStr"/>
      <c r="R1399" s="5" t="inlineStr"/>
      <c r="S1399" s="5" t="inlineStr"/>
      <c r="T1399" s="5" t="inlineStr"/>
      <c r="U1399" s="5" t="inlineStr"/>
      <c r="V1399" s="5" t="inlineStr"/>
      <c r="W1399" s="5" t="inlineStr"/>
      <c r="X1399" s="5" t="inlineStr"/>
      <c r="Y1399" s="5" t="inlineStr"/>
      <c r="Z1399" s="6" t="inlineStr"/>
      <c r="AA1399" s="5" t="inlineStr"/>
      <c r="AB1399" s="5" t="inlineStr"/>
      <c r="AC1399" s="5" t="inlineStr"/>
      <c r="AD1399" s="5" t="inlineStr"/>
      <c r="AE1399" s="5" t="inlineStr"/>
      <c r="AF1399" s="5" t="inlineStr"/>
      <c r="AG1399" s="5" t="inlineStr"/>
      <c r="AH1399" s="5" t="inlineStr"/>
      <c r="AI1399" s="5" t="inlineStr"/>
      <c r="AJ1399" s="5" t="inlineStr"/>
    </row>
    <row r="1400">
      <c r="A1400" s="5" t="inlineStr">
        <is>
          <t>b6-girisim-sunumu</t>
        </is>
      </c>
      <c r="B1400" s="5" t="n">
        <v>2</v>
      </c>
      <c r="C1400" s="6" t="inlineStr">
        <is>
          <t>Rakamları “iyimser” göster</t>
        </is>
      </c>
      <c r="D1400" s="5" t="inlineStr">
        <is>
          <t>Pişkinlik</t>
        </is>
      </c>
      <c r="E1400" s="5" t="inlineStr">
        <is>
          <t>Zor</t>
        </is>
      </c>
      <c r="F1400" s="5" t="inlineStr"/>
      <c r="G1400" s="6" t="inlineStr"/>
      <c r="H1400" s="6" t="inlineStr">
        <is>
          <t>Grafik yukarı gidiyordu; biraz fazla yukarı. Yatırımcılar ikna oldu. O gece grafiği yatağının karşısına astın. Sabah ilk sen ona baktın, sonra o sana.</t>
        </is>
      </c>
      <c r="I1400" s="6" t="inlineStr">
        <is>
          <t>Bir yatırımcı hemen imza attı, diğer ikisi de kaçırmamak için. Şirketin değeri bir sabahta ikiye katlandı; sen hâlâ aynı sandalyedesin.</t>
        </is>
      </c>
      <c r="J1400" s="6" t="inlineStr">
        <is>
          <t>Yatırımcılardan biri grafiğin eksenini sordu. Eksen yoktu. Toplantı kısa sürdü.</t>
        </is>
      </c>
      <c r="K1400" s="6" t="inlineStr">
        <is>
          <t>Yatırımcılardan biri geçen ay aynı grafiği başka bir girişimden görmüştü. Aynı şablondu. Salonda bir sessizlik oldu; senin sessizliğin.</t>
        </is>
      </c>
      <c r="L1400" s="6" t="inlineStr"/>
      <c r="M1400" s="5" t="inlineStr"/>
      <c r="N1400" s="5" t="inlineStr"/>
      <c r="O1400" s="6" t="inlineStr"/>
      <c r="P1400" s="6" t="inlineStr"/>
      <c r="Q1400" s="5" t="inlineStr"/>
      <c r="R1400" s="5" t="inlineStr"/>
      <c r="S1400" s="5" t="inlineStr"/>
      <c r="T1400" s="5" t="inlineStr"/>
      <c r="U1400" s="5" t="inlineStr"/>
      <c r="V1400" s="5" t="inlineStr">
        <is>
          <t>borclu</t>
        </is>
      </c>
      <c r="W1400" s="5" t="inlineStr"/>
      <c r="X1400" s="5" t="inlineStr"/>
      <c r="Y1400" s="5" t="inlineStr"/>
      <c r="Z1400" s="6" t="inlineStr"/>
      <c r="AA1400" s="5" t="inlineStr"/>
      <c r="AB1400" s="5" t="inlineStr"/>
      <c r="AC1400" s="5" t="inlineStr"/>
      <c r="AD1400" s="5" t="inlineStr"/>
      <c r="AE1400" s="5" t="inlineStr"/>
      <c r="AF1400" s="5" t="inlineStr"/>
      <c r="AG1400" s="5" t="inlineStr"/>
      <c r="AH1400" s="5" t="inlineStr"/>
      <c r="AI1400" s="5" t="inlineStr"/>
      <c r="AJ1400" s="5" t="inlineStr"/>
    </row>
    <row r="1401">
      <c r="A1401" s="5" t="inlineStr">
        <is>
          <t>b6-girisim-sunumu</t>
        </is>
      </c>
      <c r="B1401" s="5" t="n">
        <v>3</v>
      </c>
      <c r="C1401" s="6" t="inlineStr">
        <is>
          <t>Ürünü canlı göster</t>
        </is>
      </c>
      <c r="D1401" s="5" t="inlineStr">
        <is>
          <t>Akıl</t>
        </is>
      </c>
      <c r="E1401" s="5" t="inlineStr">
        <is>
          <t>Orta</t>
        </is>
      </c>
      <c r="F1401" s="5" t="inlineStr"/>
      <c r="G1401" s="6" t="inlineStr"/>
      <c r="H1401" s="6" t="inlineStr">
        <is>
          <t>Ürün çalıştı. Yatırımcılar ilk kez başlarını kaldırdı. Birisi “Tekrar göster” dedi; bir daha çalıştı.</t>
        </is>
      </c>
      <c r="I1401" s="6" t="inlineStr">
        <is>
          <t>Canlı gösterimde yatırımcılardan biri ürünü kendi telefonunda denedi ve sunumun ortasında kullanmaya başladı. Anlaşma o akşam yapıldı.</t>
        </is>
      </c>
      <c r="J1401" s="6" t="inlineStr">
        <is>
          <t>Ürün yavaş açıldı. Açılırken bir fıkra anlattın. Fıkra ürünü kurtarmadı.</t>
        </is>
      </c>
      <c r="K1401" s="6" t="inlineStr">
        <is>
          <t>Ürün canlı gösterimde çöktü; ekranda test için yazdığın mesaj belirdi: “Bu yatırımcılar bir şey anlamaz.” Okudular. Üçü de.</t>
        </is>
      </c>
      <c r="L1401" s="6" t="inlineStr"/>
      <c r="M1401" s="5" t="inlineStr"/>
      <c r="N1401" s="5" t="inlineStr"/>
      <c r="O1401" s="6" t="inlineStr"/>
      <c r="P1401" s="6" t="inlineStr"/>
      <c r="Q1401" s="5" t="inlineStr"/>
      <c r="R1401" s="5" t="inlineStr"/>
      <c r="S1401" s="5" t="inlineStr"/>
      <c r="T1401" s="5" t="inlineStr"/>
      <c r="U1401" s="5" t="inlineStr"/>
      <c r="V1401" s="5" t="inlineStr"/>
      <c r="W1401" s="5" t="inlineStr"/>
      <c r="X1401" s="5" t="inlineStr"/>
      <c r="Y1401" s="5" t="inlineStr"/>
      <c r="Z1401" s="6" t="inlineStr"/>
      <c r="AA1401" s="5" t="inlineStr"/>
      <c r="AB1401" s="5" t="inlineStr"/>
      <c r="AC1401" s="5" t="inlineStr"/>
      <c r="AD1401" s="5" t="inlineStr"/>
      <c r="AE1401" s="5" t="inlineStr"/>
      <c r="AF1401" s="5" t="inlineStr"/>
      <c r="AG1401" s="5" t="inlineStr"/>
      <c r="AH1401" s="5" t="inlineStr"/>
      <c r="AI1401" s="5" t="inlineStr"/>
      <c r="AJ1401" s="5" t="inlineStr"/>
    </row>
    <row r="1402">
      <c r="A1402" s="5" t="inlineStr">
        <is>
          <t>b6-goc-ilk-kira</t>
        </is>
      </c>
      <c r="B1402" s="5" t="n">
        <v>1</v>
      </c>
      <c r="C1402" s="6" t="inlineStr">
        <is>
          <t>Hepsini oku, imzala</t>
        </is>
      </c>
      <c r="D1402" s="5" t="inlineStr"/>
      <c r="E1402" s="5" t="inlineStr"/>
      <c r="F1402" s="5" t="inlineStr">
        <is>
          <t>Akıl +1, Dayanıklılık +1</t>
        </is>
      </c>
      <c r="G1402" s="6" t="inlineStr">
        <is>
          <t>Otuz dört sayfayı okudun. Çöpü dört renge ayırıyorsun; komşuların beş. Balkon var ama mangal yok; annen bunu hâlâ kabullenmedi.</t>
        </is>
      </c>
      <c r="H1402" s="6" t="inlineStr"/>
      <c r="I1402" s="6" t="inlineStr"/>
      <c r="J1402" s="6" t="inlineStr"/>
      <c r="K1402" s="6" t="inlineStr"/>
      <c r="L1402" s="6" t="inlineStr"/>
      <c r="M1402" s="5" t="inlineStr"/>
      <c r="N1402" s="5" t="inlineStr"/>
      <c r="O1402" s="6" t="inlineStr"/>
      <c r="P1402" s="6" t="inlineStr"/>
      <c r="Q1402" s="5" t="inlineStr"/>
      <c r="R1402" s="5" t="inlineStr"/>
      <c r="S1402" s="5" t="inlineStr"/>
      <c r="T1402" s="5" t="inlineStr"/>
      <c r="U1402" s="5" t="inlineStr"/>
      <c r="V1402" s="5" t="inlineStr"/>
      <c r="W1402" s="5" t="inlineStr"/>
      <c r="X1402" s="5" t="inlineStr"/>
      <c r="Y1402" s="5" t="inlineStr"/>
      <c r="Z1402" s="6" t="inlineStr"/>
      <c r="AA1402" s="5" t="inlineStr"/>
      <c r="AB1402" s="5" t="inlineStr"/>
      <c r="AC1402" s="5" t="inlineStr"/>
      <c r="AD1402" s="5" t="inlineStr"/>
      <c r="AE1402" s="5" t="inlineStr"/>
      <c r="AF1402" s="5" t="inlineStr"/>
      <c r="AG1402" s="5" t="inlineStr"/>
      <c r="AH1402" s="5" t="inlineStr"/>
      <c r="AI1402" s="5" t="inlineStr"/>
      <c r="AJ1402" s="5" t="inlineStr"/>
    </row>
    <row r="1403">
      <c r="A1403" s="5" t="inlineStr">
        <is>
          <t>b6-goc-ilk-kira</t>
        </is>
      </c>
      <c r="B1403" s="5" t="n">
        <v>2</v>
      </c>
      <c r="C1403" s="6" t="inlineStr">
        <is>
          <t>Memleketten gelenlerle ev tut</t>
        </is>
      </c>
      <c r="D1403" s="5" t="inlineStr">
        <is>
          <t>Sosyal Radar</t>
        </is>
      </c>
      <c r="E1403" s="5" t="inlineStr">
        <is>
          <t>Orta</t>
        </is>
      </c>
      <c r="F1403" s="5" t="inlineStr"/>
      <c r="G1403" s="6" t="inlineStr"/>
      <c r="H1403" s="6" t="inlineStr">
        <is>
          <t>Üç Makaryalı, bir apartman dairesi. Evde çay hiç bitmiyor, bayramlar kalabalık. Öte Diyar'ın ortasında küçük bir mahalle kurdunuz.</t>
        </is>
      </c>
      <c r="I1403" s="6" t="inlineStr">
        <is>
          <t>Ev öyle sevildi ki bütün Makaryalılar pazar kahvaltısına geliyor; menemen tavası iki kez büyüdü. Ev sahibi bir pazar şikâyete geldi; kalktığında ince belli bardağı parmak uçlarıyla tutmayı öğrenmişti.</t>
        </is>
      </c>
      <c r="J1403" s="6" t="inlineStr">
        <is>
          <t>Ev tuttunuz; ev arkadaşlarından biri her gece memleketi aradı, hoparlörden. Uyku artık bir lüks.</t>
        </is>
      </c>
      <c r="K1403" s="6" t="inlineStr">
        <is>
          <t>Ev arkadaşları balkonda mangal yaktı. Sözleşmenin yirminci sayfası devreye girdi. Hepiniz yeni ev arıyorsunuz.</t>
        </is>
      </c>
      <c r="L1403" s="6" t="inlineStr"/>
      <c r="M1403" s="5" t="inlineStr"/>
      <c r="N1403" s="5" t="inlineStr"/>
      <c r="O1403" s="6" t="inlineStr"/>
      <c r="P1403" s="6" t="inlineStr"/>
      <c r="Q1403" s="5" t="inlineStr"/>
      <c r="R1403" s="5" t="inlineStr"/>
      <c r="S1403" s="5" t="inlineStr"/>
      <c r="T1403" s="5" t="inlineStr"/>
      <c r="U1403" s="5" t="inlineStr"/>
      <c r="V1403" s="5" t="inlineStr"/>
      <c r="W1403" s="5" t="inlineStr"/>
      <c r="X1403" s="5" t="inlineStr"/>
      <c r="Y1403" s="5" t="inlineStr"/>
      <c r="Z1403" s="6" t="inlineStr"/>
      <c r="AA1403" s="5" t="inlineStr"/>
      <c r="AB1403" s="5" t="inlineStr"/>
      <c r="AC1403" s="5" t="inlineStr"/>
      <c r="AD1403" s="5" t="inlineStr"/>
      <c r="AE1403" s="5" t="inlineStr"/>
      <c r="AF1403" s="5" t="inlineStr"/>
      <c r="AG1403" s="5" t="inlineStr"/>
      <c r="AH1403" s="5" t="inlineStr"/>
      <c r="AI1403" s="5" t="inlineStr"/>
      <c r="AJ1403" s="5" t="inlineStr"/>
    </row>
    <row r="1404">
      <c r="A1404" s="5" t="inlineStr">
        <is>
          <t>b6-goc-ilk-kira</t>
        </is>
      </c>
      <c r="B1404" s="5" t="n">
        <v>3</v>
      </c>
      <c r="C1404" s="6" t="inlineStr">
        <is>
          <t>Yerel mahallede tek başına yaşa</t>
        </is>
      </c>
      <c r="D1404" s="5" t="inlineStr">
        <is>
          <t>Cesaret</t>
        </is>
      </c>
      <c r="E1404" s="5" t="inlineStr">
        <is>
          <t>Zor</t>
        </is>
      </c>
      <c r="F1404" s="5" t="inlineStr"/>
      <c r="G1404" s="6" t="inlineStr"/>
      <c r="H1404" s="6" t="inlineStr">
        <is>
          <t>Tek Makaryalı sensin; komşular önce çekindi, sonra kapını çaldı. Şimdi apartmanın yaz şenliğinde senin baklavan var.</t>
        </is>
      </c>
      <c r="I1404" s="6" t="inlineStr">
        <is>
          <t>Komşuların seni öyle benimsedi ki apartman yönetimine seçildin. Aidat tahsil ediyorsun; bir dilde, iki aksanla.</t>
        </is>
      </c>
      <c r="J1404" s="6" t="inlineStr">
        <is>
          <t>Komşular kibar: asansörde selam veriyor, kapıyı tutuyor. Bütün kış kimse kapını çalmadı. Memlekette kapının çalınmadığı tek bir gün olmazdı.</t>
        </is>
      </c>
      <c r="K1404" s="6" t="inlineStr">
        <is>
          <t>Komşunun çöpünü yanlış renge attın. Ertesi sabah poşet kapının önündeydi; üstüne bir not yapıştırılmış, notta bir de çizim: hangi kutu, hangi el. Apartman toplantısında herkes sana çöp ayrıştırmayı yeniden anlattı; sırayla.</t>
        </is>
      </c>
      <c r="L1404" s="6" t="inlineStr"/>
      <c r="M1404" s="5" t="inlineStr"/>
      <c r="N1404" s="5" t="inlineStr"/>
      <c r="O1404" s="6" t="inlineStr"/>
      <c r="P1404" s="6" t="inlineStr"/>
      <c r="Q1404" s="5" t="inlineStr"/>
      <c r="R1404" s="5" t="inlineStr"/>
      <c r="S1404" s="5" t="inlineStr"/>
      <c r="T1404" s="5" t="inlineStr">
        <is>
          <t>İki Dilli Rüya</t>
        </is>
      </c>
      <c r="U1404" s="5" t="inlineStr"/>
      <c r="V1404" s="5" t="inlineStr"/>
      <c r="W1404" s="5" t="inlineStr"/>
      <c r="X1404" s="5" t="inlineStr"/>
      <c r="Y1404" s="5" t="n">
        <v>2</v>
      </c>
      <c r="Z1404" s="6" t="inlineStr">
        <is>
          <t>Gurbette yerel mahallede ilk gece, tanımadığı sokakta yolu karşıya geçerken. Sokak adını sonradan öğrendi.</t>
        </is>
      </c>
      <c r="AA1404" s="5" t="inlineStr"/>
      <c r="AB1404" s="5" t="inlineStr"/>
      <c r="AC1404" s="5" t="inlineStr"/>
      <c r="AD1404" s="5" t="inlineStr"/>
      <c r="AE1404" s="5" t="inlineStr"/>
      <c r="AF1404" s="5" t="inlineStr"/>
      <c r="AG1404" s="5" t="inlineStr"/>
      <c r="AH1404" s="5" t="inlineStr"/>
      <c r="AI1404" s="5" t="inlineStr"/>
      <c r="AJ1404" s="5" t="inlineStr"/>
    </row>
    <row r="1405">
      <c r="A1405" s="5" t="inlineStr">
        <is>
          <t>b7-polis-asayis</t>
        </is>
      </c>
      <c r="B1405" s="5" t="n">
        <v>1</v>
      </c>
      <c r="C1405" s="6" t="inlineStr">
        <is>
          <t>Kayıtları baştan tara</t>
        </is>
      </c>
      <c r="D1405" s="5" t="inlineStr"/>
      <c r="E1405" s="5" t="inlineStr"/>
      <c r="F1405" s="5" t="inlineStr">
        <is>
          <t>Akıl +1, Dayanıklılık +1</t>
        </is>
      </c>
      <c r="G1405" s="6" t="inlineStr">
        <is>
          <t>Üç gece kayıt taradın. Bisikletlerin hepsi aynı saatte kaybolmuş: pazar kurulurken. Dosyayı amire verdin; amir “Pazarı mı gözaltına alalım?” dedi.</t>
        </is>
      </c>
      <c r="H1405" s="6" t="inlineStr"/>
      <c r="I1405" s="6" t="inlineStr"/>
      <c r="J1405" s="6" t="inlineStr"/>
      <c r="K1405" s="6" t="inlineStr"/>
      <c r="L1405" s="6" t="inlineStr"/>
      <c r="M1405" s="5" t="inlineStr"/>
      <c r="N1405" s="5" t="inlineStr"/>
      <c r="O1405" s="6" t="inlineStr"/>
      <c r="P1405" s="6" t="inlineStr"/>
      <c r="Q1405" s="5" t="inlineStr"/>
      <c r="R1405" s="5" t="inlineStr"/>
      <c r="S1405" s="5" t="inlineStr"/>
      <c r="T1405" s="5" t="inlineStr"/>
      <c r="U1405" s="5" t="inlineStr"/>
      <c r="V1405" s="5" t="inlineStr"/>
      <c r="W1405" s="5" t="inlineStr"/>
      <c r="X1405" s="5" t="inlineStr"/>
      <c r="Y1405" s="5" t="inlineStr"/>
      <c r="Z1405" s="6" t="inlineStr"/>
      <c r="AA1405" s="5" t="inlineStr"/>
      <c r="AB1405" s="5" t="inlineStr"/>
      <c r="AC1405" s="5" t="inlineStr"/>
      <c r="AD1405" s="5" t="inlineStr"/>
      <c r="AE1405" s="5" t="inlineStr"/>
      <c r="AF1405" s="5" t="inlineStr"/>
      <c r="AG1405" s="5" t="inlineStr"/>
      <c r="AH1405" s="5" t="inlineStr"/>
      <c r="AI1405" s="5" t="inlineStr"/>
      <c r="AJ1405" s="5" t="inlineStr"/>
    </row>
    <row r="1406">
      <c r="A1406" s="5" t="inlineStr">
        <is>
          <t>b7-polis-asayis</t>
        </is>
      </c>
      <c r="B1406" s="5" t="n">
        <v>2</v>
      </c>
      <c r="C1406" s="6" t="inlineStr">
        <is>
          <t>Simitçiyle dost ol</t>
        </is>
      </c>
      <c r="D1406" s="5" t="inlineStr">
        <is>
          <t>Sosyal Radar</t>
        </is>
      </c>
      <c r="E1406" s="5" t="inlineStr">
        <is>
          <t>Orta</t>
        </is>
      </c>
      <c r="F1406" s="5" t="inlineStr"/>
      <c r="G1406" s="6" t="inlineStr"/>
      <c r="H1406" s="6" t="inlineStr">
        <is>
          <t>Bir hafta her sabah simit aldın. Sekizinci gün simitçi fısıldadı: “Kırmızı kamyonet.” Bisikletler bir depoda bulundu; simitçi de artık senin adamın.</t>
        </is>
      </c>
      <c r="I1406" s="6" t="inlineStr">
        <is>
          <t>Simitçi kamyoneti de verdi, şoförün yeğeninin düğün tarihini de. Hepsini düğünde topladınız; pasta kesilmeden.</t>
        </is>
      </c>
      <c r="J1406" s="6" t="inlineStr">
        <is>
          <t>Bir hafta simit aldın, simitçi tek kelime etmedi. Dosya kapanmadı; sen iki kilo aldın.</t>
        </is>
      </c>
      <c r="K1406" s="6" t="inlineStr">
        <is>
          <t>Simitçiye fazla soru sordun. Ertesi sabah tezgâhına bir yazı asmıştı: “Polise simit yok.” Bütün mahalle yazının önünde fotoğraf çektirdi; bisikletler de bir daha görünmedi.</t>
        </is>
      </c>
      <c r="L1406" s="6" t="inlineStr"/>
      <c r="M1406" s="5" t="inlineStr"/>
      <c r="N1406" s="5" t="inlineStr"/>
      <c r="O1406" s="6" t="inlineStr"/>
      <c r="P1406" s="6" t="inlineStr"/>
      <c r="Q1406" s="5" t="inlineStr"/>
      <c r="R1406" s="5" t="inlineStr"/>
      <c r="S1406" s="5" t="inlineStr"/>
      <c r="T1406" s="5" t="inlineStr"/>
      <c r="U1406" s="5" t="inlineStr"/>
      <c r="V1406" s="5" t="inlineStr">
        <is>
          <t>polis-muhbir</t>
        </is>
      </c>
      <c r="W1406" s="5" t="inlineStr"/>
      <c r="X1406" s="5" t="inlineStr"/>
      <c r="Y1406" s="5" t="inlineStr"/>
      <c r="Z1406" s="6" t="inlineStr"/>
      <c r="AA1406" s="5" t="inlineStr"/>
      <c r="AB1406" s="5" t="inlineStr"/>
      <c r="AC1406" s="5" t="inlineStr"/>
      <c r="AD1406" s="5" t="inlineStr"/>
      <c r="AE1406" s="5" t="inlineStr"/>
      <c r="AF1406" s="5" t="inlineStr"/>
      <c r="AG1406" s="5" t="inlineStr"/>
      <c r="AH1406" s="5" t="inlineStr"/>
      <c r="AI1406" s="5" t="inlineStr"/>
      <c r="AJ1406" s="5" t="inlineStr"/>
    </row>
    <row r="1407">
      <c r="A1407" s="5" t="inlineStr">
        <is>
          <t>b7-polis-asayis</t>
        </is>
      </c>
      <c r="B1407" s="5" t="n">
        <v>3</v>
      </c>
      <c r="C1407" s="6" t="inlineStr">
        <is>
          <t>Pazar sabahı pusu kur</t>
        </is>
      </c>
      <c r="D1407" s="5" t="inlineStr">
        <is>
          <t>Cesaret</t>
        </is>
      </c>
      <c r="E1407" s="5" t="inlineStr">
        <is>
          <t>Zor</t>
        </is>
      </c>
      <c r="F1407" s="5" t="inlineStr"/>
      <c r="G1407" s="6" t="inlineStr"/>
      <c r="H1407" s="6" t="inlineStr">
        <is>
          <t>Pazar sabahı bir tentenin arkasında dört saat bekledin. Kamyonet geldi, sen çıktın, şoför teslim oldu. Elinde hâlâ bir demet maydanoz vardı.</t>
        </is>
      </c>
      <c r="I1407" s="6" t="inlineStr">
        <is>
          <t>Pusu öyle kusursuzdu ki şoför seni pazarcı sanıp kamyoneti sana emanet etti. Dosya ve kamyonet aynı gün teslim.</t>
        </is>
      </c>
      <c r="J1407" s="6" t="inlineStr">
        <is>
          <t>Dört saat bekledin; kamyonet o hafta gelmedi. Tente sahibi sana iki kasa limon sattı; nasıl olduğunu anlamadın.</t>
        </is>
      </c>
      <c r="K1407" s="6" t="inlineStr">
        <is>
          <t>Yanlış tentenin arkasına saklandın; tente çöktü. Kamyonet önünden geçti, şoför el salladı.</t>
        </is>
      </c>
      <c r="L1407" s="6" t="inlineStr"/>
      <c r="M1407" s="5" t="inlineStr"/>
      <c r="N1407" s="5" t="inlineStr"/>
      <c r="O1407" s="6" t="inlineStr"/>
      <c r="P1407" s="6" t="inlineStr"/>
      <c r="Q1407" s="5" t="inlineStr"/>
      <c r="R1407" s="5" t="inlineStr"/>
      <c r="S1407" s="5" t="inlineStr"/>
      <c r="T1407" s="5" t="inlineStr">
        <is>
          <t>Nöbet Disiplini</t>
        </is>
      </c>
      <c r="U1407" s="5" t="inlineStr"/>
      <c r="V1407" s="5" t="inlineStr"/>
      <c r="W1407" s="5" t="inlineStr"/>
      <c r="X1407" s="5" t="inlineStr"/>
      <c r="Y1407" s="5" t="inlineStr"/>
      <c r="Z1407" s="6" t="inlineStr"/>
      <c r="AA1407" s="5" t="inlineStr"/>
      <c r="AB1407" s="5" t="inlineStr"/>
      <c r="AC1407" s="5" t="inlineStr"/>
      <c r="AD1407" s="5" t="inlineStr"/>
      <c r="AE1407" s="5" t="inlineStr"/>
      <c r="AF1407" s="5" t="inlineStr"/>
      <c r="AG1407" s="5" t="inlineStr"/>
      <c r="AH1407" s="5" t="inlineStr"/>
      <c r="AI1407" s="5" t="inlineStr"/>
      <c r="AJ1407" s="5" t="inlineStr"/>
    </row>
    <row r="1408">
      <c r="A1408" s="5" t="inlineStr">
        <is>
          <t>b7-polis-komiserlik</t>
        </is>
      </c>
      <c r="B1408" s="5" t="n">
        <v>1</v>
      </c>
      <c r="C1408" s="6" t="inlineStr">
        <is>
          <t>Üçünün de ifadesini al</t>
        </is>
      </c>
      <c r="D1408" s="5" t="inlineStr"/>
      <c r="E1408" s="5" t="inlineStr"/>
      <c r="F1408" s="5" t="inlineStr">
        <is>
          <t>Sosyal Radar +1, Dayanıklılık +1</t>
        </is>
      </c>
      <c r="G1408" s="6" t="inlineStr">
        <is>
          <t>Dokuz saat ifade aldın. Üçü birbirini gösterdi, sonra hep birlikte seni. Dosyayı “faili meçhul pasta” diye kapattın; tutanakta krema lekesi var.</t>
        </is>
      </c>
      <c r="H1408" s="6" t="inlineStr"/>
      <c r="I1408" s="6" t="inlineStr"/>
      <c r="J1408" s="6" t="inlineStr"/>
      <c r="K1408" s="6" t="inlineStr"/>
      <c r="L1408" s="6" t="inlineStr"/>
      <c r="M1408" s="5" t="inlineStr"/>
      <c r="N1408" s="5" t="inlineStr"/>
      <c r="O1408" s="6" t="inlineStr"/>
      <c r="P1408" s="6" t="inlineStr"/>
      <c r="Q1408" s="5" t="inlineStr"/>
      <c r="R1408" s="5" t="inlineStr"/>
      <c r="S1408" s="5" t="inlineStr"/>
      <c r="T1408" s="5" t="inlineStr"/>
      <c r="U1408" s="5" t="inlineStr"/>
      <c r="V1408" s="5" t="inlineStr"/>
      <c r="W1408" s="5" t="inlineStr"/>
      <c r="X1408" s="5" t="inlineStr"/>
      <c r="Y1408" s="5" t="inlineStr"/>
      <c r="Z1408" s="6" t="inlineStr"/>
      <c r="AA1408" s="5" t="inlineStr"/>
      <c r="AB1408" s="5" t="inlineStr"/>
      <c r="AC1408" s="5" t="inlineStr"/>
      <c r="AD1408" s="5" t="inlineStr"/>
      <c r="AE1408" s="5" t="inlineStr"/>
      <c r="AF1408" s="5" t="inlineStr"/>
      <c r="AG1408" s="5" t="inlineStr"/>
      <c r="AH1408" s="5" t="inlineStr"/>
      <c r="AI1408" s="5" t="inlineStr"/>
      <c r="AJ1408" s="5" t="inlineStr"/>
    </row>
    <row r="1409">
      <c r="A1409" s="5" t="inlineStr">
        <is>
          <t>b7-polis-komiserlik</t>
        </is>
      </c>
      <c r="B1409" s="5" t="n">
        <v>2</v>
      </c>
      <c r="C1409" s="6" t="inlineStr">
        <is>
          <t>Pastacının dükkânını ara</t>
        </is>
      </c>
      <c r="D1409" s="5" t="inlineStr">
        <is>
          <t>Cesaret</t>
        </is>
      </c>
      <c r="E1409" s="5" t="inlineStr">
        <is>
          <t>Orta</t>
        </is>
      </c>
      <c r="F1409" s="5" t="inlineStr"/>
      <c r="G1409" s="6" t="inlineStr"/>
      <c r="H1409" s="6" t="inlineStr">
        <is>
          <t>Dükkânın arkasında pastayı buldun; üstünde gelinle damadın adı hâlâ duruyordu. Pastacı itiraf etti: “Parası ödenmedi, pastamı geri aldım.” Damadın annesi karakolda ilk kez sustu.</t>
        </is>
      </c>
      <c r="I1409" s="6" t="inlineStr">
        <is>
          <t>Pastayı da faturayı da buldun, iki anneyi pastacıyla barıştırdın. Düğün bir hafta sonra yeniden yapıldı; masan pastanın hemen yanında.</t>
        </is>
      </c>
      <c r="J1409" s="6" t="inlineStr">
        <is>
          <t>Dükkânda yalnızca un buldun. Pastacı seni kapıya kadar geçirip bir kurabiye verdi. Delil değil, ikram.</t>
        </is>
      </c>
      <c r="K1409" s="6" t="inlineStr">
        <is>
          <t>Aramada yanlış kapıyı açıp soğuk hava deposunda kaldın. Seni pastacı çıkardı; tutanağa kurtarıcının adını yazdın.</t>
        </is>
      </c>
      <c r="L1409" s="6" t="inlineStr"/>
      <c r="M1409" s="5" t="inlineStr"/>
      <c r="N1409" s="5" t="inlineStr"/>
      <c r="O1409" s="6" t="inlineStr"/>
      <c r="P1409" s="6" t="inlineStr"/>
      <c r="Q1409" s="5" t="inlineStr"/>
      <c r="R1409" s="5" t="inlineStr"/>
      <c r="S1409" s="5" t="inlineStr"/>
      <c r="T1409" s="5" t="inlineStr"/>
      <c r="U1409" s="5" t="inlineStr"/>
      <c r="V1409" s="5" t="inlineStr"/>
      <c r="W1409" s="5" t="inlineStr"/>
      <c r="X1409" s="5" t="inlineStr"/>
      <c r="Y1409" s="5" t="inlineStr"/>
      <c r="Z1409" s="6" t="inlineStr"/>
      <c r="AA1409" s="5" t="inlineStr"/>
      <c r="AB1409" s="5" t="inlineStr"/>
      <c r="AC1409" s="5" t="inlineStr"/>
      <c r="AD1409" s="5" t="inlineStr"/>
      <c r="AE1409" s="5" t="inlineStr"/>
      <c r="AF1409" s="5" t="inlineStr"/>
      <c r="AG1409" s="5" t="inlineStr"/>
      <c r="AH1409" s="5" t="inlineStr"/>
      <c r="AI1409" s="5" t="inlineStr"/>
      <c r="AJ1409" s="5" t="inlineStr"/>
    </row>
    <row r="1410">
      <c r="A1410" s="5" t="inlineStr">
        <is>
          <t>b7-polis-komiserlik</t>
        </is>
      </c>
      <c r="B1410" s="5" t="n">
        <v>3</v>
      </c>
      <c r="C1410" s="6" t="inlineStr">
        <is>
          <t>Yüzlerini oku, blöf yap</t>
        </is>
      </c>
      <c r="D1410" s="5" t="inlineStr">
        <is>
          <t>Sosyal Radar</t>
        </is>
      </c>
      <c r="E1410" s="5" t="inlineStr">
        <is>
          <t>Zor</t>
        </is>
      </c>
      <c r="F1410" s="5" t="inlineStr"/>
      <c r="G1410" s="6" t="inlineStr"/>
      <c r="H1410" s="6" t="inlineStr">
        <is>
          <t>“Pastacı her şeyi anlattı” dedin. Damadın annesi atıldı: “Yalan, ben sadece sakladım!” Dosya on dakikada kapandı; ekip seni ilk kez alkışladı.</t>
        </is>
      </c>
      <c r="I1410" s="6" t="inlineStr">
        <is>
          <t>Blöfün öyle tuttu ki üç şüpheli birbirinin payını itiraf etti; hepsi tutarlı. Amir “Bunun gözünden hiçbir şey kaçmıyor” deyip seni dedektif kursuna yazdı.</t>
        </is>
      </c>
      <c r="J1410" s="6" t="inlineStr">
        <is>
          <t>Blöf yaptın, kimse yutmadı. Gelinin annesi sana “Evladım, sen evli misin?” diye sordu; sorgu el değiştirdi.</t>
        </is>
      </c>
      <c r="K1410" s="6" t="inlineStr">
        <is>
          <t>Blöfün ortasında kendi yüzün kızardı. Üç şüpheli aynı anda sustu, sonra aynı anda güldü. Karakolda adın “Pancar.”</t>
        </is>
      </c>
      <c r="L1410" s="6" t="inlineStr">
        <is>
          <t>Blöf yarıya kadar tuttu. Damadın annesi bir şey diyecekti, gelinin annesi elini tuttu. Dosya bir hafta daha açık.</t>
        </is>
      </c>
      <c r="M1410" s="5" t="inlineStr">
        <is>
          <t>lie</t>
        </is>
      </c>
      <c r="N1410" s="5" t="inlineStr">
        <is>
          <t>Sorgu Odası</t>
        </is>
      </c>
      <c r="O1410" s="6" t="inlineStr">
        <is>
          <t>Söylediklerini aklında tut; sorulara çelişmeden cevap ver.</t>
        </is>
      </c>
      <c r="P1410" s="6" t="inlineStr">
        <is>
          <t>{"who": "Şüpheli", "facts": ["Pastacı her şeyi anlattı.", "Gelinin annesi pastaya hiç dokunmadı.", "Damadın annesi mutfaktaydı."], "qs": [{"q": "Pastacı ne anlattı?", "o": ["Her şeyi; sen de anlat.", "Hiçbir şey.", "Bilmiyorum."]}, {"q": "Gelinin annesi pastaya dokundu mu?", "o": ["Hiç dokunmadı, dedim ya.", "Dokundu.", "Bilmiyorum."]}, {"q": "Damadın annesi neredeydi?", "o": ["Mutfaktaydı.", "Salonda.", "Bahçede."]}]}</t>
        </is>
      </c>
      <c r="Q1410" s="5" t="inlineStr"/>
      <c r="R1410" s="5" t="inlineStr"/>
      <c r="S1410" s="5" t="inlineStr"/>
      <c r="T1410" s="5" t="inlineStr">
        <is>
          <t>Odayı Okur</t>
        </is>
      </c>
      <c r="U1410" s="5" t="inlineStr"/>
      <c r="V1410" s="5" t="inlineStr">
        <is>
          <t>polis-yuz-okur</t>
        </is>
      </c>
      <c r="W1410" s="5" t="inlineStr"/>
      <c r="X1410" s="5" t="inlineStr"/>
      <c r="Y1410" s="5" t="inlineStr"/>
      <c r="Z1410" s="6" t="inlineStr"/>
      <c r="AA1410" s="5" t="inlineStr"/>
      <c r="AB1410" s="5" t="inlineStr"/>
      <c r="AC1410" s="5" t="inlineStr"/>
      <c r="AD1410" s="5" t="inlineStr"/>
      <c r="AE1410" s="5" t="inlineStr"/>
      <c r="AF1410" s="5" t="inlineStr"/>
      <c r="AG1410" s="5" t="inlineStr"/>
      <c r="AH1410" s="5" t="inlineStr"/>
      <c r="AI1410" s="5" t="inlineStr">
        <is>
          <t>Pancar</t>
        </is>
      </c>
      <c r="AJ1410" s="5" t="inlineStr"/>
    </row>
    <row r="1411">
      <c r="A1411" s="5" t="inlineStr">
        <is>
          <t>b7-polis-ekip</t>
        </is>
      </c>
      <c r="B1411" s="5" t="n">
        <v>1</v>
      </c>
      <c r="C1411" s="6" t="inlineStr">
        <is>
          <t>Kısa tut, işe dön</t>
        </is>
      </c>
      <c r="D1411" s="5" t="inlineStr"/>
      <c r="E1411" s="5" t="inlineStr"/>
      <c r="F1411" s="5" t="inlineStr">
        <is>
          <t>Cesaret +1, Sosyal Radar +1</t>
        </is>
      </c>
      <c r="G1411" s="6" t="inlineStr">
        <is>
          <t>“Herkes işinin başına” dedin, toplantı iki dakika sürdü. Ekip bunu sevdi. Kedi de; masanı resmen işgal etti.</t>
        </is>
      </c>
      <c r="H1411" s="6" t="inlineStr"/>
      <c r="I1411" s="6" t="inlineStr"/>
      <c r="J1411" s="6" t="inlineStr"/>
      <c r="K1411" s="6" t="inlineStr"/>
      <c r="L1411" s="6" t="inlineStr"/>
      <c r="M1411" s="5" t="inlineStr"/>
      <c r="N1411" s="5" t="inlineStr"/>
      <c r="O1411" s="6" t="inlineStr"/>
      <c r="P1411" s="6" t="inlineStr"/>
      <c r="Q1411" s="5" t="inlineStr"/>
      <c r="R1411" s="5" t="inlineStr"/>
      <c r="S1411" s="5" t="inlineStr"/>
      <c r="T1411" s="5" t="inlineStr"/>
      <c r="U1411" s="5" t="inlineStr"/>
      <c r="V1411" s="5" t="inlineStr"/>
      <c r="W1411" s="5" t="inlineStr"/>
      <c r="X1411" s="5" t="inlineStr"/>
      <c r="Y1411" s="5" t="inlineStr"/>
      <c r="Z1411" s="6" t="inlineStr"/>
      <c r="AA1411" s="5" t="inlineStr"/>
      <c r="AB1411" s="5" t="inlineStr"/>
      <c r="AC1411" s="5" t="inlineStr"/>
      <c r="AD1411" s="5" t="inlineStr"/>
      <c r="AE1411" s="5" t="inlineStr"/>
      <c r="AF1411" s="5" t="inlineStr"/>
      <c r="AG1411" s="5" t="inlineStr"/>
      <c r="AH1411" s="5" t="inlineStr"/>
      <c r="AI1411" s="5" t="inlineStr"/>
      <c r="AJ1411" s="5" t="inlineStr"/>
    </row>
    <row r="1412">
      <c r="A1412" s="5" t="inlineStr">
        <is>
          <t>b7-polis-ekip</t>
        </is>
      </c>
      <c r="B1412" s="5" t="n">
        <v>2</v>
      </c>
      <c r="C1412" s="6" t="inlineStr">
        <is>
          <t>Herkesle tek tek konuş</t>
        </is>
      </c>
      <c r="D1412" s="5" t="inlineStr">
        <is>
          <t>Sosyal Radar</t>
        </is>
      </c>
      <c r="E1412" s="5" t="inlineStr">
        <is>
          <t>Orta</t>
        </is>
      </c>
      <c r="F1412" s="5" t="inlineStr"/>
      <c r="G1412" s="6" t="inlineStr"/>
      <c r="H1412" s="6" t="inlineStr">
        <is>
          <t>Altı polisi tek tek dinledin. Biri tayin, biri izin, biri sadece çay istiyordu. Hepsini çözdün; ekip artık “Amirim” derken gülmüyor.</t>
        </is>
      </c>
      <c r="I1412" s="6" t="inlineStr">
        <is>
          <t>Konuşmalardan sonra ekip sana söz verdi: “Nereye gidersen oraya.” Çaycı bile seninle birlikte tayin istedi.</t>
        </is>
      </c>
      <c r="J1412" s="6" t="inlineStr">
        <is>
          <t>Konuştun ama herkes aynı şeyi istedi: eski amir gibi olmaman. Eski amiri tanımıyorsun.</t>
        </is>
      </c>
      <c r="K1412" s="6" t="inlineStr">
        <is>
          <t>Konuşmaları deftere kısa kısa not ettin: “tembel ama iyi”, “çok konuşuyor”, “kedi?”. Defter kayboldu, üç gün sonra çay ocağında bulundu. O günden beri ekip birbirine senin notlarınla sesleniyor.</t>
        </is>
      </c>
      <c r="L1412" s="6" t="inlineStr"/>
      <c r="M1412" s="5" t="inlineStr"/>
      <c r="N1412" s="5" t="inlineStr"/>
      <c r="O1412" s="6" t="inlineStr"/>
      <c r="P1412" s="6" t="inlineStr"/>
      <c r="Q1412" s="5" t="inlineStr"/>
      <c r="R1412" s="5" t="inlineStr"/>
      <c r="S1412" s="5" t="inlineStr"/>
      <c r="T1412" s="5" t="inlineStr"/>
      <c r="U1412" s="5" t="inlineStr"/>
      <c r="V1412" s="5" t="inlineStr">
        <is>
          <t>polis-sadik-ekip</t>
        </is>
      </c>
      <c r="W1412" s="5" t="inlineStr"/>
      <c r="X1412" s="5" t="inlineStr"/>
      <c r="Y1412" s="5" t="inlineStr"/>
      <c r="Z1412" s="6" t="inlineStr"/>
      <c r="AA1412" s="5" t="inlineStr"/>
      <c r="AB1412" s="5" t="inlineStr"/>
      <c r="AC1412" s="5" t="inlineStr"/>
      <c r="AD1412" s="5" t="inlineStr"/>
      <c r="AE1412" s="5" t="inlineStr"/>
      <c r="AF1412" s="5" t="inlineStr"/>
      <c r="AG1412" s="5" t="inlineStr"/>
      <c r="AH1412" s="5" t="inlineStr"/>
      <c r="AI1412" s="5" t="inlineStr"/>
      <c r="AJ1412" s="5" t="inlineStr"/>
    </row>
    <row r="1413">
      <c r="A1413" s="5" t="inlineStr">
        <is>
          <t>b7-polis-ekip</t>
        </is>
      </c>
      <c r="B1413" s="5" t="n">
        <v>3</v>
      </c>
      <c r="C1413" s="6" t="inlineStr">
        <is>
          <t>Tozlu bir dosyayı ekiple kapat</t>
        </is>
      </c>
      <c r="D1413" s="5" t="inlineStr">
        <is>
          <t>Cesaret</t>
        </is>
      </c>
      <c r="E1413" s="5" t="inlineStr">
        <is>
          <t>Zor</t>
        </is>
      </c>
      <c r="F1413" s="5" t="inlineStr"/>
      <c r="G1413" s="6" t="inlineStr"/>
      <c r="H1413" s="6" t="inlineStr">
        <is>
          <t>Aylardır açık kalan jant kapağı dosyasını bir haftada kapattınız. Şüpheli kapakları çalmıyormuş; parlatıp geri takıyormuş, ücretsiz.</t>
        </is>
      </c>
      <c r="I1413" s="6" t="inlineStr">
        <is>
          <t>Dosya kapandı, emniyet bülteninde ekip fotoğrafınız çıktı. Kedi de karede; bülten en çok onu konuştu.</t>
        </is>
      </c>
      <c r="J1413" s="6" t="inlineStr">
        <is>
          <t>Dosya kapanmadı ama ekip bir haftayı birlikte geçirdi. Artık herkes birbirinin çayını biliyor.</t>
        </is>
      </c>
      <c r="K1413" s="6" t="inlineStr">
        <is>
          <t>Baskını yanlış adrese yaptınız; ev sahibi size börek ikram etti. Tutanağa börekli bir özür girdi.</t>
        </is>
      </c>
      <c r="L1413" s="6" t="inlineStr"/>
      <c r="M1413" s="5" t="inlineStr"/>
      <c r="N1413" s="5" t="inlineStr"/>
      <c r="O1413" s="6" t="inlineStr"/>
      <c r="P1413" s="6" t="inlineStr"/>
      <c r="Q1413" s="5" t="inlineStr"/>
      <c r="R1413" s="5" t="inlineStr"/>
      <c r="S1413" s="5" t="inlineStr"/>
      <c r="T1413" s="5" t="inlineStr">
        <is>
          <t>Gözüne Uyku Girmez</t>
        </is>
      </c>
      <c r="U1413" s="5" t="inlineStr"/>
      <c r="V1413" s="5" t="inlineStr"/>
      <c r="W1413" s="5" t="inlineStr"/>
      <c r="X1413" s="5" t="inlineStr"/>
      <c r="Y1413" s="5" t="inlineStr"/>
      <c r="Z1413" s="6" t="inlineStr"/>
      <c r="AA1413" s="5" t="inlineStr"/>
      <c r="AB1413" s="5" t="inlineStr"/>
      <c r="AC1413" s="5" t="inlineStr"/>
      <c r="AD1413" s="5" t="inlineStr"/>
      <c r="AE1413" s="5" t="inlineStr"/>
      <c r="AF1413" s="5" t="inlineStr"/>
      <c r="AG1413" s="5" t="inlineStr"/>
      <c r="AH1413" s="5" t="inlineStr"/>
      <c r="AI1413" s="5" t="inlineStr"/>
      <c r="AJ1413" s="5" t="inlineStr"/>
    </row>
    <row r="1414">
      <c r="A1414" s="5" t="inlineStr">
        <is>
          <t>b8-polis-mudurluk</t>
        </is>
      </c>
      <c r="B1414" s="5" t="n">
        <v>1</v>
      </c>
      <c r="C1414" s="6" t="inlineStr">
        <is>
          <t>Dosyanı anlat, abartma</t>
        </is>
      </c>
      <c r="D1414" s="5" t="inlineStr"/>
      <c r="E1414" s="5" t="inlineStr"/>
      <c r="F1414" s="5" t="inlineStr">
        <is>
          <t>Akıl +1, İtibar +1</t>
        </is>
      </c>
      <c r="G1414" s="6" t="inlineStr">
        <is>
          <t>Yaptıklarını sade sade anlattın. Başkan “Az konuşan polis az bulunur” diye not aldı. Kadro bu dönem başkasına gitti; not dosyanda kaldı.</t>
        </is>
      </c>
      <c r="H1414" s="6" t="inlineStr"/>
      <c r="I1414" s="6" t="inlineStr"/>
      <c r="J1414" s="6" t="inlineStr"/>
      <c r="K1414" s="6" t="inlineStr"/>
      <c r="L1414" s="6" t="inlineStr"/>
      <c r="M1414" s="5" t="inlineStr"/>
      <c r="N1414" s="5" t="inlineStr"/>
      <c r="O1414" s="6" t="inlineStr"/>
      <c r="P1414" s="6" t="inlineStr"/>
      <c r="Q1414" s="5" t="inlineStr"/>
      <c r="R1414" s="5" t="inlineStr"/>
      <c r="S1414" s="5" t="inlineStr"/>
      <c r="T1414" s="5" t="inlineStr"/>
      <c r="U1414" s="5" t="inlineStr"/>
      <c r="V1414" s="5" t="inlineStr"/>
      <c r="W1414" s="5" t="inlineStr"/>
      <c r="X1414" s="5" t="inlineStr"/>
      <c r="Y1414" s="5" t="inlineStr"/>
      <c r="Z1414" s="6" t="inlineStr"/>
      <c r="AA1414" s="5" t="inlineStr"/>
      <c r="AB1414" s="5" t="inlineStr"/>
      <c r="AC1414" s="5" t="inlineStr"/>
      <c r="AD1414" s="5" t="inlineStr"/>
      <c r="AE1414" s="5" t="inlineStr"/>
      <c r="AF1414" s="5" t="inlineStr"/>
      <c r="AG1414" s="5" t="inlineStr"/>
      <c r="AH1414" s="5" t="inlineStr"/>
      <c r="AI1414" s="5" t="inlineStr"/>
      <c r="AJ1414" s="5" t="inlineStr"/>
    </row>
    <row r="1415">
      <c r="A1415" s="5" t="inlineStr">
        <is>
          <t>b8-polis-mudurluk</t>
        </is>
      </c>
      <c r="B1415" s="5" t="n">
        <v>2</v>
      </c>
      <c r="C1415" s="6" t="inlineStr">
        <is>
          <t>Kurulun havasını oku</t>
        </is>
      </c>
      <c r="D1415" s="5" t="inlineStr">
        <is>
          <t>Sosyal Radar</t>
        </is>
      </c>
      <c r="E1415" s="5" t="inlineStr">
        <is>
          <t>Orta</t>
        </is>
      </c>
      <c r="F1415" s="5" t="inlineStr"/>
      <c r="G1415" s="6" t="inlineStr"/>
      <c r="H1415" s="6" t="inlineStr">
        <is>
          <t>Kurulda biri balıkçı, biri torun sahibi, biri emekliliğe altı ay. Her birine kendi dilinden cevap verdin. Emniyet müdürü oldun; ilk tebrik vantilatörden.</t>
        </is>
      </c>
      <c r="I1415" s="6" t="inlineStr">
        <is>
          <t>Mülakat sohbete, sohbet balık tarifine döndü. Müdür oldun; başkan hâlâ arayıp tarifi soruyor.</t>
        </is>
      </c>
      <c r="J1415" s="6" t="inlineStr">
        <is>
          <t>Havayı okudun ama yanlış sayfadan: balıkçıya torun, torunluya balık anlattın. Kadro başkasına gitti.</t>
        </is>
      </c>
      <c r="K1415" s="6" t="inlineStr">
        <is>
          <t>Başkana “Sizi bir yerden tanıyorum” dedin. Tanıyormuşsun: yirmi yıl önce ona park cezası yazmışsın. Mülakat orada bitti.</t>
        </is>
      </c>
      <c r="L1415" s="6" t="inlineStr"/>
      <c r="M1415" s="5" t="inlineStr"/>
      <c r="N1415" s="5" t="inlineStr"/>
      <c r="O1415" s="6" t="inlineStr"/>
      <c r="P1415" s="6" t="inlineStr"/>
      <c r="Q1415" s="5" t="inlineStr"/>
      <c r="R1415" s="5" t="inlineStr"/>
      <c r="S1415" s="5" t="inlineStr"/>
      <c r="T1415" s="5" t="inlineStr"/>
      <c r="U1415" s="5" t="inlineStr"/>
      <c r="V1415" s="5" t="inlineStr">
        <is>
          <t>polis-mudur</t>
        </is>
      </c>
      <c r="W1415" s="5" t="inlineStr"/>
      <c r="X1415" s="5" t="inlineStr"/>
      <c r="Y1415" s="5" t="inlineStr"/>
      <c r="Z1415" s="6" t="inlineStr"/>
      <c r="AA1415" s="5" t="inlineStr"/>
      <c r="AB1415" s="5" t="inlineStr"/>
      <c r="AC1415" s="5" t="inlineStr"/>
      <c r="AD1415" s="5" t="inlineStr"/>
      <c r="AE1415" s="5" t="inlineStr"/>
      <c r="AF1415" s="5" t="inlineStr"/>
      <c r="AG1415" s="5" t="inlineStr"/>
      <c r="AH1415" s="5" t="inlineStr"/>
      <c r="AI1415" s="5" t="inlineStr"/>
      <c r="AJ1415" s="5" t="inlineStr"/>
    </row>
    <row r="1416">
      <c r="A1416" s="5" t="inlineStr">
        <is>
          <t>b8-polis-mudurluk</t>
        </is>
      </c>
      <c r="B1416" s="5" t="n">
        <v>3</v>
      </c>
      <c r="C1416" s="6" t="inlineStr">
        <is>
          <t>Teşkilatın aksayan yanlarını söyle</t>
        </is>
      </c>
      <c r="D1416" s="5" t="inlineStr">
        <is>
          <t>Cesaret</t>
        </is>
      </c>
      <c r="E1416" s="5" t="inlineStr">
        <is>
          <t>Zor</t>
        </is>
      </c>
      <c r="F1416" s="5" t="inlineStr"/>
      <c r="G1416" s="6" t="inlineStr"/>
      <c r="H1416" s="6" t="inlineStr">
        <is>
          <t>Kurula tek tek anlattın: bozuk telsizler, eski araçlar, çay ocağının sigortası. Sessizlik oldu. Müdür oldun; ilk iş sigortayı değiştirdin.</t>
        </is>
      </c>
      <c r="I1416" s="6" t="inlineStr">
        <is>
          <t>Konuşman öyle yerindeydi ki kurul raporuna aynen girdi. Müdür oldun; bütün karakolların telsizi yenilendi, maç skoru daha net duyuluyor.</t>
        </is>
      </c>
      <c r="J1416" s="6" t="inlineStr">
        <is>
          <t>Söyledin; kurul not aldı, kadroyu da daha az konuşan birine verdi. Telsizler bozuk, sen yerindesin.</t>
        </is>
      </c>
      <c r="K1416" s="6" t="inlineStr">
        <is>
          <t>Konuşurken çay ocağını örnek verdin; başkanın kayınbiraderi o ocağı kurmuş. Kadro gitti, çay da acılaştı.</t>
        </is>
      </c>
      <c r="L1416" s="6" t="inlineStr"/>
      <c r="M1416" s="5" t="inlineStr"/>
      <c r="N1416" s="5" t="inlineStr"/>
      <c r="O1416" s="6" t="inlineStr"/>
      <c r="P1416" s="6" t="inlineStr"/>
      <c r="Q1416" s="5" t="inlineStr"/>
      <c r="R1416" s="5" t="inlineStr"/>
      <c r="S1416" s="5" t="inlineStr"/>
      <c r="T1416" s="5" t="inlineStr">
        <is>
          <t>Son Sözü Söyler</t>
        </is>
      </c>
      <c r="U1416" s="5" t="inlineStr"/>
      <c r="V1416" s="5" t="inlineStr">
        <is>
          <t>polis-mudur</t>
        </is>
      </c>
      <c r="W1416" s="5" t="inlineStr"/>
      <c r="X1416" s="5" t="inlineStr"/>
      <c r="Y1416" s="5" t="inlineStr"/>
      <c r="Z1416" s="6" t="inlineStr"/>
      <c r="AA1416" s="5" t="inlineStr"/>
      <c r="AB1416" s="5" t="inlineStr"/>
      <c r="AC1416" s="5" t="inlineStr"/>
      <c r="AD1416" s="5" t="inlineStr"/>
      <c r="AE1416" s="5" t="inlineStr"/>
      <c r="AF1416" s="5" t="inlineStr"/>
      <c r="AG1416" s="5" t="inlineStr"/>
      <c r="AH1416" s="5" t="inlineStr"/>
      <c r="AI1416" s="5" t="inlineStr"/>
      <c r="AJ1416" s="5" t="inlineStr"/>
    </row>
    <row r="1417">
      <c r="A1417" s="5" t="inlineStr">
        <is>
          <t>b8-polis-mudurluk</t>
        </is>
      </c>
      <c r="B1417" s="5" t="n">
        <v>4</v>
      </c>
      <c r="C1417" s="6" t="inlineStr">
        <is>
          <t>Kurulun yüzünden soruları oku</t>
        </is>
      </c>
      <c r="D1417" s="5" t="inlineStr">
        <is>
          <t>Sosyal Radar</t>
        </is>
      </c>
      <c r="E1417" s="5" t="inlineStr">
        <is>
          <t>Kolay</t>
        </is>
      </c>
      <c r="F1417" s="5" t="inlineStr"/>
      <c r="G1417" s="6" t="inlineStr"/>
      <c r="H1417" s="6" t="inlineStr">
        <is>
          <t>Soruları sorulmadan önce yüzlerinden okudun; cevaplar hazırdı. Müdür oldun. Başkan çıkışta sordu: “Beni de okudun mu?” Okumuştun.</t>
        </is>
      </c>
      <c r="I1417" s="6" t="inlineStr">
        <is>
          <t>Beş kişiyi de okudun, beşinin de kafasındaki adayı sen oldun. Müdürlük kararı aynı gün çıktı; vantilatör de kapandı.</t>
        </is>
      </c>
      <c r="J1417" s="6" t="inlineStr">
        <is>
          <t>Yüzleri okudun ama başkan gözlüğünü hiç çıkarmadı. Kadro bu dönem başkasına gitti.</t>
        </is>
      </c>
      <c r="K1417" s="6" t="inlineStr">
        <is>
          <t>Başkanın yüzünü o kadar dikkatle okudun ki başkan sonunda dayanamadı: “Evladım, sorgu odasında değiliz.” Kurul güldü, kadro gitti. Dosyana bir not düştüler: “Bakışları sert.”</t>
        </is>
      </c>
      <c r="L1417" s="6" t="inlineStr"/>
      <c r="M1417" s="5" t="inlineStr"/>
      <c r="N1417" s="5" t="inlineStr"/>
      <c r="O1417" s="6" t="inlineStr"/>
      <c r="P1417" s="6" t="inlineStr"/>
      <c r="Q1417" s="5" t="inlineStr"/>
      <c r="R1417" s="5" t="inlineStr">
        <is>
          <t>polis-yuz-okur</t>
        </is>
      </c>
      <c r="S1417" s="5" t="inlineStr"/>
      <c r="T1417" s="5" t="inlineStr"/>
      <c r="U1417" s="5" t="inlineStr"/>
      <c r="V1417" s="5" t="inlineStr">
        <is>
          <t>polis-mudur</t>
        </is>
      </c>
      <c r="W1417" s="5" t="inlineStr"/>
      <c r="X1417" s="5" t="inlineStr"/>
      <c r="Y1417" s="5" t="inlineStr"/>
      <c r="Z1417" s="6" t="inlineStr"/>
      <c r="AA1417" s="5" t="inlineStr"/>
      <c r="AB1417" s="5" t="inlineStr"/>
      <c r="AC1417" s="5" t="inlineStr"/>
      <c r="AD1417" s="5" t="inlineStr"/>
      <c r="AE1417" s="5" t="inlineStr"/>
      <c r="AF1417" s="5" t="inlineStr"/>
      <c r="AG1417" s="5" t="inlineStr"/>
      <c r="AH1417" s="5" t="inlineStr"/>
      <c r="AI1417" s="5" t="inlineStr"/>
      <c r="AJ1417" s="5" t="inlineStr"/>
    </row>
    <row r="1418">
      <c r="A1418" s="5" t="inlineStr">
        <is>
          <t>b8-polis-teftis</t>
        </is>
      </c>
      <c r="B1418" s="5" t="n">
        <v>1</v>
      </c>
      <c r="C1418" s="6" t="inlineStr">
        <is>
          <t>Arşivi aç, çay koy, bekle</t>
        </is>
      </c>
      <c r="D1418" s="5" t="inlineStr"/>
      <c r="E1418" s="5" t="inlineStr"/>
      <c r="F1418" s="5" t="inlineStr">
        <is>
          <t>İtibar +1, Dayanıklılık +1</t>
        </is>
      </c>
      <c r="G1418" s="6" t="inlineStr">
        <is>
          <t>Arşivi açtın, müfettişe çay koydun, bekledin. Üç hafta sürdü. Rapor tek bir eksik buldu: çay ocağının ruhsatı.</t>
        </is>
      </c>
      <c r="H1418" s="6" t="inlineStr"/>
      <c r="I1418" s="6" t="inlineStr"/>
      <c r="J1418" s="6" t="inlineStr"/>
      <c r="K1418" s="6" t="inlineStr"/>
      <c r="L1418" s="6" t="inlineStr"/>
      <c r="M1418" s="5" t="inlineStr"/>
      <c r="N1418" s="5" t="inlineStr"/>
      <c r="O1418" s="6" t="inlineStr"/>
      <c r="P1418" s="6" t="inlineStr"/>
      <c r="Q1418" s="5" t="inlineStr"/>
      <c r="R1418" s="5" t="inlineStr"/>
      <c r="S1418" s="5" t="inlineStr"/>
      <c r="T1418" s="5" t="inlineStr"/>
      <c r="U1418" s="5" t="inlineStr"/>
      <c r="V1418" s="5" t="inlineStr"/>
      <c r="W1418" s="5" t="inlineStr"/>
      <c r="X1418" s="5" t="inlineStr"/>
      <c r="Y1418" s="5" t="inlineStr"/>
      <c r="Z1418" s="6" t="inlineStr"/>
      <c r="AA1418" s="5" t="inlineStr"/>
      <c r="AB1418" s="5" t="inlineStr"/>
      <c r="AC1418" s="5" t="inlineStr"/>
      <c r="AD1418" s="5" t="inlineStr"/>
      <c r="AE1418" s="5" t="inlineStr"/>
      <c r="AF1418" s="5" t="inlineStr"/>
      <c r="AG1418" s="5" t="inlineStr"/>
      <c r="AH1418" s="5" t="inlineStr"/>
      <c r="AI1418" s="5" t="inlineStr"/>
      <c r="AJ1418" s="5" t="inlineStr"/>
    </row>
    <row r="1419">
      <c r="A1419" s="5" t="inlineStr">
        <is>
          <t>b8-polis-teftis</t>
        </is>
      </c>
      <c r="B1419" s="5" t="n">
        <v>2</v>
      </c>
      <c r="C1419" s="6" t="inlineStr">
        <is>
          <t>Eksiklerini önce sen söyle</t>
        </is>
      </c>
      <c r="D1419" s="5" t="inlineStr">
        <is>
          <t>Cesaret</t>
        </is>
      </c>
      <c r="E1419" s="5" t="inlineStr">
        <is>
          <t>Orta</t>
        </is>
      </c>
      <c r="F1419" s="5" t="inlineStr"/>
      <c r="G1419" s="6" t="inlineStr"/>
      <c r="H1419" s="6" t="inlineStr">
        <is>
          <t>Müfettiş sormadan eksiklerini listeledin. Müfettiş listeye bir madde ekledi, raporu kısalttı. Giderken kapıda döndü: “İki hafta kazandırdınız, komiserim.” İlk gülümsemesiydi.</t>
        </is>
      </c>
      <c r="I1419" s="6" t="inlineStr">
        <is>
          <t>Listen öyle dürüsttü ki müfettiş onu başka karakollara örnek diye gönderdi. Başka karakollar sana kızgın.</t>
        </is>
      </c>
      <c r="J1419" s="6" t="inlineStr">
        <is>
          <t>Eksiklerini tek tek saydın. Müfettiş başını kaldırmadan “Bunları biliyordum” dedi, sonra ekledi: “Altıncıyı bilmiyordum, teşekkürler.”</t>
        </is>
      </c>
      <c r="K1419" s="6" t="inlineStr">
        <is>
          <t>Eksik listen o kadar uzun çıktı ki müfettiş iki hafta fazla kaldı. Karakol seni affetmedi; çaycı hariç.</t>
        </is>
      </c>
      <c r="L1419" s="6" t="inlineStr"/>
      <c r="M1419" s="5" t="inlineStr"/>
      <c r="N1419" s="5" t="inlineStr"/>
      <c r="O1419" s="6" t="inlineStr"/>
      <c r="P1419" s="6" t="inlineStr"/>
      <c r="Q1419" s="5" t="inlineStr"/>
      <c r="R1419" s="5" t="inlineStr"/>
      <c r="S1419" s="5" t="inlineStr"/>
      <c r="T1419" s="5" t="inlineStr"/>
      <c r="U1419" s="5" t="inlineStr"/>
      <c r="V1419" s="5" t="inlineStr"/>
      <c r="W1419" s="5" t="inlineStr"/>
      <c r="X1419" s="5" t="inlineStr"/>
      <c r="Y1419" s="5" t="inlineStr"/>
      <c r="Z1419" s="6" t="inlineStr"/>
      <c r="AA1419" s="5" t="inlineStr"/>
      <c r="AB1419" s="5" t="inlineStr"/>
      <c r="AC1419" s="5" t="inlineStr"/>
      <c r="AD1419" s="5" t="inlineStr"/>
      <c r="AE1419" s="5" t="inlineStr"/>
      <c r="AF1419" s="5" t="inlineStr"/>
      <c r="AG1419" s="5" t="inlineStr"/>
      <c r="AH1419" s="5" t="inlineStr"/>
      <c r="AI1419" s="5" t="inlineStr"/>
      <c r="AJ1419" s="5" t="inlineStr"/>
    </row>
    <row r="1420">
      <c r="A1420" s="5" t="inlineStr">
        <is>
          <t>b8-polis-teftis</t>
        </is>
      </c>
      <c r="B1420" s="5" t="n">
        <v>3</v>
      </c>
      <c r="C1420" s="6" t="inlineStr">
        <is>
          <t>Müfettişin neyi aradığını sez</t>
        </is>
      </c>
      <c r="D1420" s="5" t="inlineStr">
        <is>
          <t>Sosyal Radar</t>
        </is>
      </c>
      <c r="E1420" s="5" t="inlineStr">
        <is>
          <t>Orta</t>
        </is>
      </c>
      <c r="F1420" s="5" t="inlineStr"/>
      <c r="G1420" s="6" t="inlineStr"/>
      <c r="H1420" s="6" t="inlineStr">
        <is>
          <t>Müfettişin iki kez aynı klasöre döndüğünü fark ettin, klasörü önceden düzenlemiştin. Rapor temiz çıktı; müfettiş ilk kez gülümsedi, yarım.</t>
        </is>
      </c>
      <c r="I1420" s="6" t="inlineStr">
        <is>
          <t>Klasörü açtığında her şey yerindeydi; en üstte de bir not: “Çayınız arkada, şekeri iki.” Müfettiş teftişi iki günde bitirdi. Giderken çay bardağını kendisi yıkayıp bıraktı.</t>
        </is>
      </c>
      <c r="J1420" s="6" t="inlineStr">
        <is>
          <t>Sezdin ama yanlış klasörü düzenledin. Müfettiş düzenlemediğin tek klasörü açtı.</t>
        </is>
      </c>
      <c r="K1420" s="6" t="inlineStr">
        <is>
          <t>Müfettişin aradığını sezdin ve yüksek sesle söyledin. Müfettiş “Ben öyle bir şey aramıyordum” dedi; o andan sonra aradı.</t>
        </is>
      </c>
      <c r="L1420" s="6" t="inlineStr"/>
      <c r="M1420" s="5" t="inlineStr"/>
      <c r="N1420" s="5" t="inlineStr"/>
      <c r="O1420" s="6" t="inlineStr"/>
      <c r="P1420" s="6" t="inlineStr"/>
      <c r="Q1420" s="5" t="inlineStr"/>
      <c r="R1420" s="5" t="inlineStr"/>
      <c r="S1420" s="5" t="inlineStr"/>
      <c r="T1420" s="5" t="inlineStr"/>
      <c r="U1420" s="5" t="inlineStr"/>
      <c r="V1420" s="5" t="inlineStr"/>
      <c r="W1420" s="5" t="inlineStr"/>
      <c r="X1420" s="5" t="inlineStr"/>
      <c r="Y1420" s="5" t="inlineStr"/>
      <c r="Z1420" s="6" t="inlineStr"/>
      <c r="AA1420" s="5" t="inlineStr"/>
      <c r="AB1420" s="5" t="inlineStr"/>
      <c r="AC1420" s="5" t="inlineStr"/>
      <c r="AD1420" s="5" t="inlineStr"/>
      <c r="AE1420" s="5" t="inlineStr"/>
      <c r="AF1420" s="5" t="inlineStr"/>
      <c r="AG1420" s="5" t="inlineStr"/>
      <c r="AH1420" s="5" t="inlineStr"/>
      <c r="AI1420" s="5" t="inlineStr"/>
      <c r="AJ1420" s="5" t="inlineStr"/>
    </row>
    <row r="1421">
      <c r="A1421" s="5" t="inlineStr">
        <is>
          <t>b8-polis-teftis</t>
        </is>
      </c>
      <c r="B1421" s="5" t="n">
        <v>4</v>
      </c>
      <c r="C1421" s="6" t="inlineStr">
        <is>
          <t>Eski zarfın izini sil</t>
        </is>
      </c>
      <c r="D1421" s="5" t="inlineStr">
        <is>
          <t>Kurnazlık</t>
        </is>
      </c>
      <c r="E1421" s="5" t="inlineStr">
        <is>
          <t>Zor</t>
        </is>
      </c>
      <c r="F1421" s="5" t="inlineStr"/>
      <c r="G1421" s="6" t="inlineStr"/>
      <c r="H1421" s="6" t="inlineStr">
        <is>
          <t>O yılın klasörü bir su baskınında ıslanmış. Kurusun diye kaloriferin üstüne bıraktın; kuruyunca okunmaz oldu. Müfettiş “Talihsiz” dedi.</t>
        </is>
      </c>
      <c r="I1421" s="6" t="inlineStr">
        <is>
          <t>İz silmene gerek kalmadı: zarfı veren adam çoktan Öte Diyar'a taşınmış, dosyası da onunla. On üç yıl sonra ilk kez deliksiz uyudun.</t>
        </is>
      </c>
      <c r="J1421" s="6" t="inlineStr">
        <is>
          <t>Klasörü aradın ama müfettiş senden önce bulmuştu. Hiçbir şey sormadı; sadece bir not aldı. Uykuların kısaldı.</t>
        </is>
      </c>
      <c r="K1421" s="6" t="inlineStr">
        <is>
          <t>Klasörü gece almaya gittin; müfettiş arşivde kitap okuyordu. Konuşmanız kısa sürdü, dava uzun.</t>
        </is>
      </c>
      <c r="L1421" s="6" t="inlineStr"/>
      <c r="M1421" s="5" t="inlineStr"/>
      <c r="N1421" s="5" t="inlineStr"/>
      <c r="O1421" s="6" t="inlineStr"/>
      <c r="P1421" s="6" t="inlineStr"/>
      <c r="Q1421" s="5" t="inlineStr"/>
      <c r="R1421" s="5" t="inlineStr">
        <is>
          <t>zarf-aldi</t>
        </is>
      </c>
      <c r="S1421" s="5" t="inlineStr"/>
      <c r="T1421" s="5" t="inlineStr"/>
      <c r="U1421" s="5" t="inlineStr"/>
      <c r="V1421" s="5" t="inlineStr"/>
      <c r="W1421" s="5" t="inlineStr">
        <is>
          <t>hapis</t>
        </is>
      </c>
      <c r="X1421" s="5" t="inlineStr"/>
      <c r="Y1421" s="5" t="inlineStr"/>
      <c r="Z1421" s="6" t="inlineStr"/>
      <c r="AA1421" s="5" t="inlineStr"/>
      <c r="AB1421" s="5" t="inlineStr"/>
      <c r="AC1421" s="5" t="inlineStr"/>
      <c r="AD1421" s="5" t="inlineStr"/>
      <c r="AE1421" s="5" t="inlineStr"/>
      <c r="AF1421" s="5" t="inlineStr"/>
      <c r="AG1421" s="5" t="inlineStr"/>
      <c r="AH1421" s="5" t="inlineStr"/>
      <c r="AI1421" s="5" t="inlineStr"/>
      <c r="AJ1421" s="5" t="inlineStr"/>
    </row>
    <row r="1422">
      <c r="A1422" s="5" t="inlineStr">
        <is>
          <t>b9-polis-veda</t>
        </is>
      </c>
      <c r="B1422" s="5" t="n">
        <v>1</v>
      </c>
      <c r="C1422" s="6" t="inlineStr">
        <is>
          <t>Kısa bir teşekkür et</t>
        </is>
      </c>
      <c r="D1422" s="5" t="inlineStr"/>
      <c r="E1422" s="5" t="inlineStr"/>
      <c r="F1422" s="5" t="inlineStr">
        <is>
          <t>İtibar +1, Sosyal Radar +1</t>
        </is>
      </c>
      <c r="G1422" s="6" t="inlineStr">
        <is>
          <t>“Sağ olun” dedin, kürsüden indin. Tören planlanandan yirmi dakika erken bitti; en büyük alkışı bu aldı.</t>
        </is>
      </c>
      <c r="H1422" s="6" t="inlineStr"/>
      <c r="I1422" s="6" t="inlineStr"/>
      <c r="J1422" s="6" t="inlineStr"/>
      <c r="K1422" s="6" t="inlineStr"/>
      <c r="L1422" s="6" t="inlineStr"/>
      <c r="M1422" s="5" t="inlineStr"/>
      <c r="N1422" s="5" t="inlineStr"/>
      <c r="O1422" s="6" t="inlineStr"/>
      <c r="P1422" s="6" t="inlineStr"/>
      <c r="Q1422" s="5" t="inlineStr"/>
      <c r="R1422" s="5" t="inlineStr"/>
      <c r="S1422" s="5" t="inlineStr"/>
      <c r="T1422" s="5" t="inlineStr"/>
      <c r="U1422" s="5" t="inlineStr"/>
      <c r="V1422" s="5" t="inlineStr"/>
      <c r="W1422" s="5" t="inlineStr"/>
      <c r="X1422" s="5" t="inlineStr"/>
      <c r="Y1422" s="5" t="inlineStr"/>
      <c r="Z1422" s="6" t="inlineStr"/>
      <c r="AA1422" s="5" t="inlineStr"/>
      <c r="AB1422" s="5" t="inlineStr"/>
      <c r="AC1422" s="5" t="inlineStr"/>
      <c r="AD1422" s="5" t="inlineStr"/>
      <c r="AE1422" s="5" t="inlineStr"/>
      <c r="AF1422" s="5" t="inlineStr"/>
      <c r="AG1422" s="5" t="inlineStr"/>
      <c r="AH1422" s="5" t="inlineStr"/>
      <c r="AI1422" s="5" t="inlineStr"/>
      <c r="AJ1422" s="5" t="inlineStr"/>
    </row>
    <row r="1423">
      <c r="A1423" s="5" t="inlineStr">
        <is>
          <t>b9-polis-veda</t>
        </is>
      </c>
      <c r="B1423" s="5" t="n">
        <v>2</v>
      </c>
      <c r="C1423" s="6" t="inlineStr">
        <is>
          <t>Otuz yılı anlat</t>
        </is>
      </c>
      <c r="D1423" s="5" t="inlineStr">
        <is>
          <t>Çene</t>
        </is>
      </c>
      <c r="E1423" s="5" t="inlineStr">
        <is>
          <t>Orta</t>
        </is>
      </c>
      <c r="F1423" s="5" t="inlineStr"/>
      <c r="G1423" s="6" t="inlineStr"/>
      <c r="H1423" s="6" t="inlineStr">
        <is>
          <t>Domatesli ilk devriyeden son teftişe kadar anlattın. Beş dakika yirmi oldu ama kimse saate bakmadı. Plaketi alırken salon ayaktaydı.</t>
        </is>
      </c>
      <c r="I1423" s="6" t="inlineStr">
        <is>
          <t>Anlattıkların öyle tuttu ki tören kaydı eğitimde gösterilmeye başladı. Yeni polisler seni “Domates Hikâyesi” diye tanıyor.</t>
        </is>
      </c>
      <c r="J1423" s="6" t="inlineStr">
        <is>
          <t>Anlatmaya başladın, yarısında bir isim unuttun, sonra bir yıl. Konuşma yarım kaldı; alkış tam.</t>
        </is>
      </c>
      <c r="K1423" s="6" t="inlineStr">
        <is>
          <t>Mikrofon yirminci dakikada kapandı; sen kırkıncıya kadar konuştun. Son yirmi dakikayı yalnızca ön sıra duydu; ön sırada da teşkilatın en sağır emeklisi oturuyordu, her cümleye 'Ne?' diyerek.</t>
        </is>
      </c>
      <c r="L1423" s="6" t="inlineStr"/>
      <c r="M1423" s="5" t="inlineStr"/>
      <c r="N1423" s="5" t="inlineStr"/>
      <c r="O1423" s="6" t="inlineStr"/>
      <c r="P1423" s="6" t="inlineStr"/>
      <c r="Q1423" s="5" t="inlineStr"/>
      <c r="R1423" s="5" t="inlineStr"/>
      <c r="S1423" s="5" t="inlineStr"/>
      <c r="T1423" s="5" t="inlineStr"/>
      <c r="U1423" s="5" t="inlineStr"/>
      <c r="V1423" s="5" t="inlineStr"/>
      <c r="W1423" s="5" t="inlineStr"/>
      <c r="X1423" s="5" t="inlineStr"/>
      <c r="Y1423" s="5" t="inlineStr"/>
      <c r="Z1423" s="6" t="inlineStr"/>
      <c r="AA1423" s="5" t="inlineStr"/>
      <c r="AB1423" s="5" t="inlineStr"/>
      <c r="AC1423" s="5" t="inlineStr"/>
      <c r="AD1423" s="5" t="inlineStr"/>
      <c r="AE1423" s="5" t="inlineStr"/>
      <c r="AF1423" s="5" t="inlineStr"/>
      <c r="AG1423" s="5" t="inlineStr"/>
      <c r="AH1423" s="5" t="inlineStr"/>
      <c r="AI1423" s="5" t="inlineStr"/>
      <c r="AJ1423" s="5" t="inlineStr"/>
    </row>
    <row r="1424">
      <c r="A1424" s="5" t="inlineStr">
        <is>
          <t>b9-polis-veda</t>
        </is>
      </c>
      <c r="B1424" s="5" t="n">
        <v>3</v>
      </c>
      <c r="C1424" s="6" t="inlineStr">
        <is>
          <t>Son bir dosyayı kapat</t>
        </is>
      </c>
      <c r="D1424" s="5" t="inlineStr">
        <is>
          <t>Cesaret</t>
        </is>
      </c>
      <c r="E1424" s="5" t="inlineStr">
        <is>
          <t>Zor</t>
        </is>
      </c>
      <c r="F1424" s="5" t="inlineStr"/>
      <c r="G1424" s="6" t="inlineStr"/>
      <c r="H1424" s="6" t="inlineStr">
        <is>
          <t>Törenden bir gün önce yıllardır açık duran kayıp bisiklet dosyasını kapattın. Bisiklet bir bodrumdaymış; sahibi artık dede, torununa verdi.</t>
        </is>
      </c>
      <c r="I1424" s="6" t="inlineStr">
        <is>
          <t>Son dosyayı kapattın, üstüne bir de kayıp kediyi buldun. Tören ertelendi; önce kedi sahibine teslim edildi, alkışla.</t>
        </is>
      </c>
      <c r="J1424" s="6" t="inlineStr">
        <is>
          <t>Dosyayı açtın, bir gün uğraştın, kapatamadın. Masana bıraktın; halefin açacak, belki onun halefi.</t>
        </is>
      </c>
      <c r="K1424" s="6" t="inlineStr">
        <is>
          <t>Son baskında bodruma indin, kapı arkandan kilitlendi. Törene çilingirle geldin; plaketi çilingir tuttu.</t>
        </is>
      </c>
      <c r="L1424" s="6" t="inlineStr"/>
      <c r="M1424" s="5" t="inlineStr"/>
      <c r="N1424" s="5" t="inlineStr"/>
      <c r="O1424" s="6" t="inlineStr"/>
      <c r="P1424" s="6" t="inlineStr"/>
      <c r="Q1424" s="5" t="inlineStr"/>
      <c r="R1424" s="5" t="inlineStr"/>
      <c r="S1424" s="5" t="inlineStr"/>
      <c r="T1424" s="5" t="inlineStr">
        <is>
          <t>Kendine Gülebilir</t>
        </is>
      </c>
      <c r="U1424" s="5" t="inlineStr"/>
      <c r="V1424" s="5" t="inlineStr"/>
      <c r="W1424" s="5" t="inlineStr"/>
      <c r="X1424" s="5" t="inlineStr"/>
      <c r="Y1424" s="5" t="inlineStr"/>
      <c r="Z1424" s="6" t="inlineStr"/>
      <c r="AA1424" s="5" t="inlineStr"/>
      <c r="AB1424" s="5" t="inlineStr"/>
      <c r="AC1424" s="5" t="inlineStr"/>
      <c r="AD1424" s="5" t="inlineStr"/>
      <c r="AE1424" s="5" t="inlineStr"/>
      <c r="AF1424" s="5" t="inlineStr"/>
      <c r="AG1424" s="5" t="inlineStr"/>
      <c r="AH1424" s="5" t="inlineStr"/>
      <c r="AI1424" s="5" t="inlineStr"/>
      <c r="AJ1424" s="5" t="inlineStr"/>
    </row>
    <row r="1425">
      <c r="A1425" s="5" t="inlineStr">
        <is>
          <t>b7-yargi-horoz</t>
        </is>
      </c>
      <c r="B1425" s="5" t="n">
        <v>1</v>
      </c>
      <c r="C1425" s="6" t="inlineStr">
        <is>
          <t>Uzlaşmaya gönder</t>
        </is>
      </c>
      <c r="D1425" s="5" t="inlineStr"/>
      <c r="E1425" s="5" t="inlineStr"/>
      <c r="F1425" s="5" t="inlineStr">
        <is>
          <t>İtibar +1, Sosyal Radar +1</t>
        </is>
      </c>
      <c r="G1425" s="6" t="inlineStr">
        <is>
          <t>Tarafları uzlaşmaya gönderdin. Horozun sahibi komşuya kulak tıkacı hediye etti, barıştılar. Horoz uzlaşmayı imzalamadı.</t>
        </is>
      </c>
      <c r="H1425" s="6" t="inlineStr"/>
      <c r="I1425" s="6" t="inlineStr"/>
      <c r="J1425" s="6" t="inlineStr"/>
      <c r="K1425" s="6" t="inlineStr"/>
      <c r="L1425" s="6" t="inlineStr"/>
      <c r="M1425" s="5" t="inlineStr"/>
      <c r="N1425" s="5" t="inlineStr"/>
      <c r="O1425" s="6" t="inlineStr"/>
      <c r="P1425" s="6" t="inlineStr"/>
      <c r="Q1425" s="5" t="inlineStr"/>
      <c r="R1425" s="5" t="inlineStr"/>
      <c r="S1425" s="5" t="inlineStr"/>
      <c r="T1425" s="5" t="inlineStr"/>
      <c r="U1425" s="5" t="inlineStr"/>
      <c r="V1425" s="5" t="inlineStr"/>
      <c r="W1425" s="5" t="inlineStr"/>
      <c r="X1425" s="5" t="inlineStr"/>
      <c r="Y1425" s="5" t="inlineStr"/>
      <c r="Z1425" s="6" t="inlineStr"/>
      <c r="AA1425" s="5" t="inlineStr"/>
      <c r="AB1425" s="5" t="inlineStr"/>
      <c r="AC1425" s="5" t="inlineStr"/>
      <c r="AD1425" s="5" t="inlineStr"/>
      <c r="AE1425" s="5" t="inlineStr"/>
      <c r="AF1425" s="5" t="inlineStr"/>
      <c r="AG1425" s="5" t="inlineStr"/>
      <c r="AH1425" s="5" t="inlineStr"/>
      <c r="AI1425" s="5" t="inlineStr"/>
      <c r="AJ1425" s="5" t="inlineStr"/>
    </row>
    <row r="1426">
      <c r="A1426" s="5" t="inlineStr">
        <is>
          <t>b7-yargi-horoz</t>
        </is>
      </c>
      <c r="B1426" s="5" t="n">
        <v>2</v>
      </c>
      <c r="C1426" s="6" t="inlineStr">
        <is>
          <t>Horozu bilirkişiye incelet</t>
        </is>
      </c>
      <c r="D1426" s="5" t="inlineStr">
        <is>
          <t>Akıl</t>
        </is>
      </c>
      <c r="E1426" s="5" t="inlineStr">
        <is>
          <t>Orta</t>
        </is>
      </c>
      <c r="F1426" s="5" t="inlineStr"/>
      <c r="G1426" s="6" t="inlineStr"/>
      <c r="H1426" s="6" t="inlineStr">
        <is>
          <t>Bilirkişi bir hafta dinledi: horoz dörtte değil, dördü on geçe ötüyormuş. Kararını o on dakikanın üstüne kurdun; bir hukuk dergisi yayımladı.</t>
        </is>
      </c>
      <c r="I1426" s="6" t="inlineStr">
        <is>
          <t>Karar öyle titiz çıktı ki fakültede ders oldu. Herkes “Horoz Kararı” diyor; horozun adı hiç geçmiyor, senin adın her yerde.</t>
        </is>
      </c>
      <c r="J1426" s="6" t="inlineStr">
        <is>
          <t>Bilirkişi geldiğinde horoz bir hafta boyunca tek kez ötmedi. Dava ertelendi; horoz ertesi sabah dörtte kaldığı yerden devam etti.</t>
        </is>
      </c>
      <c r="K1426" s="6" t="inlineStr">
        <is>
          <t>Bilirkişi horoz yerine komşunun kendi çalar saatini kaydetmiş. Rapor salonda okundu; komşu kıpkırmızı, sen daha kırmızı.</t>
        </is>
      </c>
      <c r="L1426" s="6" t="inlineStr"/>
      <c r="M1426" s="5" t="inlineStr"/>
      <c r="N1426" s="5" t="inlineStr"/>
      <c r="O1426" s="6" t="inlineStr"/>
      <c r="P1426" s="6" t="inlineStr"/>
      <c r="Q1426" s="5" t="inlineStr"/>
      <c r="R1426" s="5" t="inlineStr"/>
      <c r="S1426" s="5" t="inlineStr"/>
      <c r="T1426" s="5" t="inlineStr"/>
      <c r="U1426" s="5" t="inlineStr"/>
      <c r="V1426" s="5" t="inlineStr">
        <is>
          <t>yargi-horoz-karari</t>
        </is>
      </c>
      <c r="W1426" s="5" t="inlineStr"/>
      <c r="X1426" s="5" t="inlineStr"/>
      <c r="Y1426" s="5" t="inlineStr"/>
      <c r="Z1426" s="6" t="inlineStr"/>
      <c r="AA1426" s="5" t="inlineStr"/>
      <c r="AB1426" s="5" t="inlineStr"/>
      <c r="AC1426" s="5" t="inlineStr"/>
      <c r="AD1426" s="5" t="inlineStr"/>
      <c r="AE1426" s="5" t="inlineStr"/>
      <c r="AF1426" s="5" t="inlineStr"/>
      <c r="AG1426" s="5" t="inlineStr"/>
      <c r="AH1426" s="5" t="inlineStr"/>
      <c r="AI1426" s="5" t="inlineStr"/>
      <c r="AJ1426" s="5" t="inlineStr"/>
    </row>
    <row r="1427">
      <c r="A1427" s="5" t="inlineStr">
        <is>
          <t>b7-yargi-horoz</t>
        </is>
      </c>
      <c r="B1427" s="5" t="n">
        <v>3</v>
      </c>
      <c r="C1427" s="6" t="inlineStr">
        <is>
          <t>Duruşmayı sabah dörtte yap</t>
        </is>
      </c>
      <c r="D1427" s="5" t="inlineStr">
        <is>
          <t>Cesaret</t>
        </is>
      </c>
      <c r="E1427" s="5" t="inlineStr">
        <is>
          <t>Zor</t>
        </is>
      </c>
      <c r="F1427" s="5" t="inlineStr"/>
      <c r="G1427" s="6" t="inlineStr"/>
      <c r="H1427" s="6" t="inlineStr">
        <is>
          <t>Salonu sabah dörtte açtın. Horoz tam vaktinde öttü, komşu haklı çıktı, kümese kalın bir duvar örüldü. Kasaba bu duruşmayı yıllarca anlattı.</t>
        </is>
      </c>
      <c r="I1427" s="6" t="inlineStr">
        <is>
          <t>Sabah dörtte herkes geldi. Horoz öttü, ardından kasabanın bütün horozları; davacı da davalı da kahkahayı bastı. Kasaba o sabah karar verdi: horozlar beşte kalkacak. Horozlara soran olmadı.</t>
        </is>
      </c>
      <c r="J1427" s="6" t="inlineStr">
        <is>
          <t>Sabah dörtte salonda yalnızca sen, zabıt kâtibi ve horoz vardı. Taraflar uyuyakalmış. Horoz haklıydı.</t>
        </is>
      </c>
      <c r="K1427" s="6" t="inlineStr">
        <is>
          <t>Sabah dörtte geldin, salon kilitli. Anahtar kâtipte, kâtip uykuda. Kapının önünde horozu dinledin; ikna oldun.</t>
        </is>
      </c>
      <c r="L1427" s="6" t="inlineStr"/>
      <c r="M1427" s="5" t="inlineStr"/>
      <c r="N1427" s="5" t="inlineStr"/>
      <c r="O1427" s="6" t="inlineStr"/>
      <c r="P1427" s="6" t="inlineStr"/>
      <c r="Q1427" s="5" t="inlineStr"/>
      <c r="R1427" s="5" t="inlineStr"/>
      <c r="S1427" s="5" t="inlineStr"/>
      <c r="T1427" s="5" t="inlineStr">
        <is>
          <t>Nöbet Disiplini</t>
        </is>
      </c>
      <c r="U1427" s="5" t="inlineStr"/>
      <c r="V1427" s="5" t="inlineStr"/>
      <c r="W1427" s="5" t="inlineStr"/>
      <c r="X1427" s="5" t="inlineStr"/>
      <c r="Y1427" s="5" t="inlineStr"/>
      <c r="Z1427" s="6" t="inlineStr"/>
      <c r="AA1427" s="5" t="inlineStr"/>
      <c r="AB1427" s="5" t="inlineStr"/>
      <c r="AC1427" s="5" t="inlineStr"/>
      <c r="AD1427" s="5" t="inlineStr"/>
      <c r="AE1427" s="5" t="inlineStr"/>
      <c r="AF1427" s="5" t="inlineStr"/>
      <c r="AG1427" s="5" t="inlineStr"/>
      <c r="AH1427" s="5" t="inlineStr"/>
      <c r="AI1427" s="5" t="inlineStr"/>
      <c r="AJ1427" s="5" t="inlineStr"/>
    </row>
    <row r="1428">
      <c r="A1428" s="5" t="inlineStr">
        <is>
          <t>b7-yargi-aidat</t>
        </is>
      </c>
      <c r="B1428" s="5" t="n">
        <v>1</v>
      </c>
      <c r="C1428" s="6" t="inlineStr">
        <is>
          <t>Sırayla, dosya dosya ilerle</t>
        </is>
      </c>
      <c r="D1428" s="5" t="inlineStr"/>
      <c r="E1428" s="5" t="inlineStr"/>
      <c r="F1428" s="5" t="inlineStr">
        <is>
          <t>Akıl +1, Dayanıklılık +1</t>
        </is>
      </c>
      <c r="G1428" s="6" t="inlineStr">
        <is>
          <t>Her sabah on dosya okudun, altı ayda iki yüz dosya kapattın. Aidat davası iki yüz birinci sıradaydı. Apartman yöneticisi haberi alınca adliyeye teşekkür etmeye geldi; beş kat merdiven çıkarak, alışkanlıktan.</t>
        </is>
      </c>
      <c r="H1428" s="6" t="inlineStr"/>
      <c r="I1428" s="6" t="inlineStr"/>
      <c r="J1428" s="6" t="inlineStr"/>
      <c r="K1428" s="6" t="inlineStr"/>
      <c r="L1428" s="6" t="inlineStr"/>
      <c r="M1428" s="5" t="inlineStr"/>
      <c r="N1428" s="5" t="inlineStr"/>
      <c r="O1428" s="6" t="inlineStr"/>
      <c r="P1428" s="6" t="inlineStr"/>
      <c r="Q1428" s="5" t="inlineStr"/>
      <c r="R1428" s="5" t="inlineStr"/>
      <c r="S1428" s="5" t="inlineStr"/>
      <c r="T1428" s="5" t="inlineStr"/>
      <c r="U1428" s="5" t="inlineStr"/>
      <c r="V1428" s="5" t="inlineStr"/>
      <c r="W1428" s="5" t="inlineStr"/>
      <c r="X1428" s="5" t="inlineStr"/>
      <c r="Y1428" s="5" t="inlineStr"/>
      <c r="Z1428" s="6" t="inlineStr"/>
      <c r="AA1428" s="5" t="inlineStr"/>
      <c r="AB1428" s="5" t="inlineStr"/>
      <c r="AC1428" s="5" t="inlineStr"/>
      <c r="AD1428" s="5" t="inlineStr"/>
      <c r="AE1428" s="5" t="inlineStr"/>
      <c r="AF1428" s="5" t="inlineStr"/>
      <c r="AG1428" s="5" t="inlineStr"/>
      <c r="AH1428" s="5" t="inlineStr"/>
      <c r="AI1428" s="5" t="inlineStr"/>
      <c r="AJ1428" s="5" t="inlineStr"/>
    </row>
    <row r="1429">
      <c r="A1429" s="5" t="inlineStr">
        <is>
          <t>b7-yargi-aidat</t>
        </is>
      </c>
      <c r="B1429" s="5" t="n">
        <v>2</v>
      </c>
      <c r="C1429" s="6" t="inlineStr">
        <is>
          <t>Aidat davasını öne al</t>
        </is>
      </c>
      <c r="D1429" s="5" t="inlineStr">
        <is>
          <t>Akıl</t>
        </is>
      </c>
      <c r="E1429" s="5" t="inlineStr">
        <is>
          <t>Orta</t>
        </is>
      </c>
      <c r="F1429" s="5" t="inlineStr"/>
      <c r="G1429" s="6" t="inlineStr"/>
      <c r="H1429" s="6" t="inlineStr">
        <is>
          <t>Yönetici on bir yıldır aynı toplantı tutanağını fotokopiyle çoğaltmış. Davayı iki celsede bitirdin. Asansör tamir edildi; ilk binen sen oldun.</t>
        </is>
      </c>
      <c r="I1429" s="6" t="inlineStr">
        <is>
          <t>Kararın öyle net çıktı ki şehirdeki altı aidat davası kendiliğinden uzlaştı. Koridorda sana “Aidat Hâkimi” diyorlar; iltifat mı, bilmiyorsun.</t>
        </is>
      </c>
      <c r="J1429" s="6" t="inlineStr">
        <is>
          <t>Dosyayı açtın, içinden başka bir apartmanın dosyası çıktı. Asıl dosya kayıp. On bir yıl, on iki olacak.</t>
        </is>
      </c>
      <c r="K1429" s="6" t="inlineStr">
        <is>
          <t>Keşif için apartmana gittin, asansöre bindin. Asansör bozuktu; iki saat kaldın. Ara kararı içeriden, sesli verdin.</t>
        </is>
      </c>
      <c r="L1429" s="6" t="inlineStr"/>
      <c r="M1429" s="5" t="inlineStr"/>
      <c r="N1429" s="5" t="inlineStr"/>
      <c r="O1429" s="6" t="inlineStr"/>
      <c r="P1429" s="6" t="inlineStr"/>
      <c r="Q1429" s="5" t="inlineStr"/>
      <c r="R1429" s="5" t="inlineStr"/>
      <c r="S1429" s="5" t="inlineStr"/>
      <c r="T1429" s="5" t="inlineStr"/>
      <c r="U1429" s="5" t="inlineStr"/>
      <c r="V1429" s="5" t="inlineStr"/>
      <c r="W1429" s="5" t="inlineStr"/>
      <c r="X1429" s="5" t="inlineStr"/>
      <c r="Y1429" s="5" t="inlineStr"/>
      <c r="Z1429" s="6" t="inlineStr"/>
      <c r="AA1429" s="5" t="inlineStr"/>
      <c r="AB1429" s="5" t="inlineStr"/>
      <c r="AC1429" s="5" t="inlineStr"/>
      <c r="AD1429" s="5" t="inlineStr"/>
      <c r="AE1429" s="5" t="inlineStr"/>
      <c r="AF1429" s="5" t="inlineStr"/>
      <c r="AG1429" s="5" t="inlineStr"/>
      <c r="AH1429" s="5" t="inlineStr"/>
      <c r="AI1429" s="5" t="inlineStr"/>
      <c r="AJ1429" s="5" t="inlineStr"/>
    </row>
    <row r="1430">
      <c r="A1430" s="5" t="inlineStr">
        <is>
          <t>b7-yargi-aidat</t>
        </is>
      </c>
      <c r="B1430" s="5" t="n">
        <v>3</v>
      </c>
      <c r="C1430" s="6" t="inlineStr">
        <is>
          <t>Kırk daireyi aynı masaya oturt</t>
        </is>
      </c>
      <c r="D1430" s="5" t="inlineStr">
        <is>
          <t>İtibar</t>
        </is>
      </c>
      <c r="E1430" s="5" t="inlineStr">
        <is>
          <t>Zor</t>
        </is>
      </c>
      <c r="F1430" s="5" t="inlineStr"/>
      <c r="G1430" s="6" t="inlineStr"/>
      <c r="H1430" s="6" t="inlineStr">
        <is>
          <t>Kırk daire sakinini aynı salona sığdırdın. Üç saat bağırıştılar, sonra biri çay getirdi. Borç ikiye bölündü, asansör üçe.</t>
        </is>
      </c>
      <c r="I1430" s="6" t="inlineStr">
        <is>
          <t>Toplantı bir apartman barışına döndü; yaz sonunda sana mangal davetiyesi geldi. Hâkimler gitmez, gitmedin. Davetiye çerçevede.</t>
        </is>
      </c>
      <c r="J1430" s="6" t="inlineStr">
        <is>
          <t>Taraflar masaya oturdu, sonra masadan kalktı, sonra masa hakkında dava açtı.</t>
        </is>
      </c>
      <c r="K1430" s="6" t="inlineStr">
        <is>
          <t>Uzlaşma toplantısında yönetici seçimi yapıldı ve sen seçildin. Görevden çekildin; aidat makbuzları hâlâ sana geliyor.</t>
        </is>
      </c>
      <c r="L1430" s="6" t="inlineStr"/>
      <c r="M1430" s="5" t="inlineStr"/>
      <c r="N1430" s="5" t="inlineStr"/>
      <c r="O1430" s="6" t="inlineStr"/>
      <c r="P1430" s="6" t="inlineStr"/>
      <c r="Q1430" s="5" t="inlineStr"/>
      <c r="R1430" s="5" t="inlineStr"/>
      <c r="S1430" s="5" t="inlineStr"/>
      <c r="T1430" s="5" t="inlineStr">
        <is>
          <t>Mevzuat Kalkanı</t>
        </is>
      </c>
      <c r="U1430" s="5" t="inlineStr"/>
      <c r="V1430" s="5" t="inlineStr"/>
      <c r="W1430" s="5" t="inlineStr"/>
      <c r="X1430" s="5" t="inlineStr"/>
      <c r="Y1430" s="5" t="inlineStr"/>
      <c r="Z1430" s="6" t="inlineStr"/>
      <c r="AA1430" s="5" t="inlineStr"/>
      <c r="AB1430" s="5" t="inlineStr"/>
      <c r="AC1430" s="5" t="inlineStr"/>
      <c r="AD1430" s="5" t="inlineStr"/>
      <c r="AE1430" s="5" t="inlineStr"/>
      <c r="AF1430" s="5" t="inlineStr"/>
      <c r="AG1430" s="5" t="inlineStr"/>
      <c r="AH1430" s="5" t="inlineStr"/>
      <c r="AI1430" s="5" t="inlineStr"/>
      <c r="AJ1430" s="5" t="inlineStr"/>
    </row>
    <row r="1431">
      <c r="A1431" s="5" t="inlineStr">
        <is>
          <t>b7-yargi-kedi</t>
        </is>
      </c>
      <c r="B1431" s="5" t="n">
        <v>1</v>
      </c>
      <c r="C1431" s="6" t="inlineStr">
        <is>
          <t>Dönüşümlü bakım kararı ver</t>
        </is>
      </c>
      <c r="D1431" s="5" t="inlineStr"/>
      <c r="E1431" s="5" t="inlineStr"/>
      <c r="F1431" s="5" t="inlineStr">
        <is>
          <t>İtibar +1, Akıl +1</t>
        </is>
      </c>
      <c r="G1431" s="6" t="inlineStr">
        <is>
          <t>Hafta içi Pamuk, hafta sonu Paşa kararı verdin. Kedi iki ismi de umursamadı; iki kap mamayı da boş bırakmadı.</t>
        </is>
      </c>
      <c r="H1431" s="6" t="inlineStr"/>
      <c r="I1431" s="6" t="inlineStr"/>
      <c r="J1431" s="6" t="inlineStr"/>
      <c r="K1431" s="6" t="inlineStr"/>
      <c r="L1431" s="6" t="inlineStr"/>
      <c r="M1431" s="5" t="inlineStr"/>
      <c r="N1431" s="5" t="inlineStr"/>
      <c r="O1431" s="6" t="inlineStr"/>
      <c r="P1431" s="6" t="inlineStr"/>
      <c r="Q1431" s="5" t="inlineStr"/>
      <c r="R1431" s="5" t="inlineStr"/>
      <c r="S1431" s="5" t="inlineStr"/>
      <c r="T1431" s="5" t="inlineStr"/>
      <c r="U1431" s="5" t="inlineStr"/>
      <c r="V1431" s="5" t="inlineStr"/>
      <c r="W1431" s="5" t="inlineStr"/>
      <c r="X1431" s="5" t="inlineStr"/>
      <c r="Y1431" s="5" t="inlineStr"/>
      <c r="Z1431" s="6" t="inlineStr"/>
      <c r="AA1431" s="5" t="inlineStr"/>
      <c r="AB1431" s="5" t="inlineStr"/>
      <c r="AC1431" s="5" t="inlineStr"/>
      <c r="AD1431" s="5" t="inlineStr"/>
      <c r="AE1431" s="5" t="inlineStr"/>
      <c r="AF1431" s="5" t="inlineStr"/>
      <c r="AG1431" s="5" t="inlineStr"/>
      <c r="AH1431" s="5" t="inlineStr"/>
      <c r="AI1431" s="5" t="inlineStr"/>
      <c r="AJ1431" s="5" t="inlineStr"/>
    </row>
    <row r="1432">
      <c r="A1432" s="5" t="inlineStr">
        <is>
          <t>b7-yargi-kedi</t>
        </is>
      </c>
      <c r="B1432" s="5" t="n">
        <v>2</v>
      </c>
      <c r="C1432" s="6" t="inlineStr">
        <is>
          <t>Kediyi ortaya bırak, seçsin</t>
        </is>
      </c>
      <c r="D1432" s="5" t="inlineStr">
        <is>
          <t>Sosyal Radar</t>
        </is>
      </c>
      <c r="E1432" s="5" t="inlineStr">
        <is>
          <t>Orta</t>
        </is>
      </c>
      <c r="F1432" s="5" t="inlineStr"/>
      <c r="G1432" s="6" t="inlineStr"/>
      <c r="H1432" s="6" t="inlineStr">
        <is>
          <t>Kedi önce birine, sonra öbürüne gitti, sonra ikisinin arasına yattı. Ortak velayete karar verdin; komşular aynı bankta oturmaya başladı.</t>
        </is>
      </c>
      <c r="I1432" s="6" t="inlineStr">
        <is>
          <t>Kedi iki komşunun arasına oturup ikisinin elini birden patiledi. Salon sustu. O akşam iki komşu birlikte mama almaya gitti.</t>
        </is>
      </c>
      <c r="J1432" s="6" t="inlineStr">
        <is>
          <t>Kedi ikisine de gitmedi, mübaşirin kucağına atladı. Dava ertelendi; kedi geçici olarak mübaşirde.</t>
        </is>
      </c>
      <c r="K1432" s="6" t="inlineStr">
        <is>
          <t>Kedi kürsüye atladı, mürekkebi devirdi, kararın üstünden yürüdü. Karar patili çıktı; üst mahkeme geri gönderdi. Gerekçe: “İmza okunmuyor.”</t>
        </is>
      </c>
      <c r="L1432" s="6" t="inlineStr"/>
      <c r="M1432" s="5" t="inlineStr"/>
      <c r="N1432" s="5" t="inlineStr"/>
      <c r="O1432" s="6" t="inlineStr"/>
      <c r="P1432" s="6" t="inlineStr"/>
      <c r="Q1432" s="5" t="inlineStr"/>
      <c r="R1432" s="5" t="inlineStr"/>
      <c r="S1432" s="5" t="inlineStr"/>
      <c r="T1432" s="5" t="inlineStr"/>
      <c r="U1432" s="5" t="inlineStr"/>
      <c r="V1432" s="5" t="inlineStr"/>
      <c r="W1432" s="5" t="inlineStr"/>
      <c r="X1432" s="5" t="inlineStr"/>
      <c r="Y1432" s="5" t="inlineStr"/>
      <c r="Z1432" s="6" t="inlineStr"/>
      <c r="AA1432" s="5" t="inlineStr"/>
      <c r="AB1432" s="5" t="inlineStr"/>
      <c r="AC1432" s="5" t="inlineStr"/>
      <c r="AD1432" s="5" t="inlineStr"/>
      <c r="AE1432" s="5" t="inlineStr"/>
      <c r="AF1432" s="5" t="inlineStr"/>
      <c r="AG1432" s="5" t="inlineStr"/>
      <c r="AH1432" s="5" t="inlineStr"/>
      <c r="AI1432" s="5" t="inlineStr"/>
      <c r="AJ1432" s="5" t="inlineStr"/>
    </row>
    <row r="1433">
      <c r="A1433" s="5" t="inlineStr">
        <is>
          <t>b7-yargi-kedi</t>
        </is>
      </c>
      <c r="B1433" s="5" t="n">
        <v>3</v>
      </c>
      <c r="C1433" s="6" t="inlineStr">
        <is>
          <t>Veteriner kayıtlarını getirt</t>
        </is>
      </c>
      <c r="D1433" s="5" t="inlineStr">
        <is>
          <t>Akıl</t>
        </is>
      </c>
      <c r="E1433" s="5" t="inlineStr">
        <is>
          <t>Zor</t>
        </is>
      </c>
      <c r="F1433" s="5" t="inlineStr"/>
      <c r="G1433" s="6" t="inlineStr"/>
      <c r="H1433" s="6" t="inlineStr">
        <is>
          <t>Kayıtlara göre aşıya hep biri götürmüş, mamayı hep öbürü almış. Gerekçeli ortak velayet kararı yazdın. Mübaşir kediyi teslim ederken iç çekti: “Ben de alışmıştım.”</t>
        </is>
      </c>
      <c r="I1433" s="6" t="inlineStr">
        <is>
          <t>Gerekçen öyle sağlam çıktı ki şehirdeki bütün kedi davaları senin kararına bakılarak çözülüyor. Adliye kedileri sana selam veriyor.</t>
        </is>
      </c>
      <c r="J1433" s="6" t="inlineStr">
        <is>
          <t>Kayıtlar geldi; kedi iki farklı isimle iki farklı veterinere gitmiş. Dosya iki kat kalınlaştı.</t>
        </is>
      </c>
      <c r="K1433" s="6" t="inlineStr">
        <is>
          <t>Kayıtları okurken fark ettin: kedi aslında üçüncü bir komşuda da kalıyormuş. Dava üç taraflı oldu, sen iki kat yorgun.</t>
        </is>
      </c>
      <c r="L1433" s="6" t="inlineStr"/>
      <c r="M1433" s="5" t="inlineStr"/>
      <c r="N1433" s="5" t="inlineStr"/>
      <c r="O1433" s="6" t="inlineStr"/>
      <c r="P1433" s="6" t="inlineStr"/>
      <c r="Q1433" s="5" t="inlineStr"/>
      <c r="R1433" s="5" t="inlineStr"/>
      <c r="S1433" s="5" t="inlineStr"/>
      <c r="T1433" s="5" t="inlineStr">
        <is>
          <t>Ukala Ama Haklı</t>
        </is>
      </c>
      <c r="U1433" s="5" t="inlineStr"/>
      <c r="V1433" s="5" t="inlineStr">
        <is>
          <t>yargi-kedi-karari</t>
        </is>
      </c>
      <c r="W1433" s="5" t="inlineStr"/>
      <c r="X1433" s="5" t="inlineStr"/>
      <c r="Y1433" s="5" t="inlineStr"/>
      <c r="Z1433" s="6" t="inlineStr"/>
      <c r="AA1433" s="5" t="inlineStr"/>
      <c r="AB1433" s="5" t="inlineStr"/>
      <c r="AC1433" s="5" t="inlineStr"/>
      <c r="AD1433" s="5" t="inlineStr"/>
      <c r="AE1433" s="5" t="inlineStr"/>
      <c r="AF1433" s="5" t="inlineStr"/>
      <c r="AG1433" s="5" t="inlineStr"/>
      <c r="AH1433" s="5" t="inlineStr"/>
      <c r="AI1433" s="5" t="inlineStr"/>
      <c r="AJ1433" s="5" t="inlineStr"/>
    </row>
    <row r="1434">
      <c r="A1434" s="5" t="inlineStr">
        <is>
          <t>b8-yargi-yuksek</t>
        </is>
      </c>
      <c r="B1434" s="5" t="n">
        <v>1</v>
      </c>
      <c r="C1434" s="6" t="inlineStr">
        <is>
          <t>Sade klasörü sun</t>
        </is>
      </c>
      <c r="D1434" s="5" t="inlineStr"/>
      <c r="E1434" s="5" t="inlineStr"/>
      <c r="F1434" s="5" t="inlineStr">
        <is>
          <t>Akıl +1, İtibar +1</t>
        </is>
      </c>
      <c r="G1434" s="6" t="inlineStr">
        <is>
          <t>Sade, sağlam kararlarını sundun. Kurul beğendi ama seçmedi: “Bir dahaki sefere.” Dosyan sıraya girdi; sıra uzun.</t>
        </is>
      </c>
      <c r="H1434" s="6" t="inlineStr"/>
      <c r="I1434" s="6" t="inlineStr"/>
      <c r="J1434" s="6" t="inlineStr"/>
      <c r="K1434" s="6" t="inlineStr"/>
      <c r="L1434" s="6" t="inlineStr"/>
      <c r="M1434" s="5" t="inlineStr"/>
      <c r="N1434" s="5" t="inlineStr"/>
      <c r="O1434" s="6" t="inlineStr"/>
      <c r="P1434" s="6" t="inlineStr"/>
      <c r="Q1434" s="5" t="inlineStr"/>
      <c r="R1434" s="5" t="inlineStr"/>
      <c r="S1434" s="5" t="inlineStr"/>
      <c r="T1434" s="5" t="inlineStr"/>
      <c r="U1434" s="5" t="inlineStr"/>
      <c r="V1434" s="5" t="inlineStr"/>
      <c r="W1434" s="5" t="inlineStr"/>
      <c r="X1434" s="5" t="inlineStr"/>
      <c r="Y1434" s="5" t="inlineStr"/>
      <c r="Z1434" s="6" t="inlineStr"/>
      <c r="AA1434" s="5" t="inlineStr"/>
      <c r="AB1434" s="5" t="inlineStr"/>
      <c r="AC1434" s="5" t="inlineStr"/>
      <c r="AD1434" s="5" t="inlineStr"/>
      <c r="AE1434" s="5" t="inlineStr"/>
      <c r="AF1434" s="5" t="inlineStr"/>
      <c r="AG1434" s="5" t="inlineStr"/>
      <c r="AH1434" s="5" t="inlineStr"/>
      <c r="AI1434" s="5" t="inlineStr"/>
      <c r="AJ1434" s="5" t="inlineStr"/>
    </row>
    <row r="1435">
      <c r="A1435" s="5" t="inlineStr">
        <is>
          <t>b8-yargi-yuksek</t>
        </is>
      </c>
      <c r="B1435" s="5" t="n">
        <v>2</v>
      </c>
      <c r="C1435" s="6" t="inlineStr">
        <is>
          <t>Tuhaf davaları anlat</t>
        </is>
      </c>
      <c r="D1435" s="5" t="inlineStr">
        <is>
          <t>Çene</t>
        </is>
      </c>
      <c r="E1435" s="5" t="inlineStr">
        <is>
          <t>Orta</t>
        </is>
      </c>
      <c r="F1435" s="5" t="inlineStr"/>
      <c r="G1435" s="6" t="inlineStr"/>
      <c r="H1435" s="6" t="inlineStr">
        <is>
          <t>Horoz, aidat, kedi... Kurul güldü, sonra düşündü: hukuk en küçük davada da hukuktu. Üye seçildin.</t>
        </is>
      </c>
      <c r="I1435" s="6" t="inlineStr">
        <is>
          <t>Kurul o kadar etkilendi ki seni oy birliğiyle seçti. Başkan açılış konuşmasında kedi davandan söz etti; adını yanlış söyledi ama.</t>
        </is>
      </c>
      <c r="J1435" s="6" t="inlineStr">
        <is>
          <t>Kurul güldü, güldü, sonra bir sonraki adaya geçti. Hikâyelerin koridora yayıldı; koltuk yayılmadı.</t>
        </is>
      </c>
      <c r="K1435" s="6" t="inlineStr">
        <is>
          <t>Kedi davasını anlatırken Pamuk ile Paşa'yı karıştırdın. Kurul başkanı telefonunu çıkarıp iki kedisinin fotoğrafını gösterdi: “Adlarını sizin kararınızdan koydum. Bu Paşa.” Sen ona Pamuk demiştin. Seçilemedin.</t>
        </is>
      </c>
      <c r="L1435" s="6" t="inlineStr"/>
      <c r="M1435" s="5" t="inlineStr"/>
      <c r="N1435" s="5" t="inlineStr"/>
      <c r="O1435" s="6" t="inlineStr"/>
      <c r="P1435" s="6" t="inlineStr"/>
      <c r="Q1435" s="5" t="inlineStr"/>
      <c r="R1435" s="5" t="inlineStr"/>
      <c r="S1435" s="5" t="inlineStr"/>
      <c r="T1435" s="5" t="inlineStr"/>
      <c r="U1435" s="5" t="inlineStr"/>
      <c r="V1435" s="5" t="inlineStr">
        <is>
          <t>yargi-yuksek</t>
        </is>
      </c>
      <c r="W1435" s="5" t="inlineStr"/>
      <c r="X1435" s="5" t="inlineStr"/>
      <c r="Y1435" s="5" t="inlineStr"/>
      <c r="Z1435" s="6" t="inlineStr"/>
      <c r="AA1435" s="5" t="inlineStr"/>
      <c r="AB1435" s="5" t="inlineStr"/>
      <c r="AC1435" s="5" t="inlineStr"/>
      <c r="AD1435" s="5" t="inlineStr"/>
      <c r="AE1435" s="5" t="inlineStr"/>
      <c r="AF1435" s="5" t="inlineStr"/>
      <c r="AG1435" s="5" t="inlineStr"/>
      <c r="AH1435" s="5" t="inlineStr"/>
      <c r="AI1435" s="5" t="inlineStr"/>
      <c r="AJ1435" s="5" t="inlineStr"/>
    </row>
    <row r="1436">
      <c r="A1436" s="5" t="inlineStr">
        <is>
          <t>b8-yargi-yuksek</t>
        </is>
      </c>
      <c r="B1436" s="5" t="n">
        <v>3</v>
      </c>
      <c r="C1436" s="6" t="inlineStr">
        <is>
          <t>Bozulan kararlarını da anlat</t>
        </is>
      </c>
      <c r="D1436" s="5" t="inlineStr">
        <is>
          <t>İtibar</t>
        </is>
      </c>
      <c r="E1436" s="5" t="inlineStr">
        <is>
          <t>Zor</t>
        </is>
      </c>
      <c r="F1436" s="5" t="inlineStr"/>
      <c r="G1436" s="6" t="inlineStr"/>
      <c r="H1436" s="6" t="inlineStr">
        <is>
          <t>Bozulan kararlarını ve neden bozulduklarını anlattın. Kurul bunu hiçbir adaydan duymamıştı. Üye seçildin; ilk dosyan başkasının hatası.</t>
        </is>
      </c>
      <c r="I1436" s="6" t="inlineStr">
        <is>
          <t>Kurul dürüstlüğünü öyle sevdi ki seni seçti ve konuşmanı yeni hâkimlere okuttu. Artık bütün adaylar hatalarını anlatıyor; senin kadar iyi değil.</t>
        </is>
      </c>
      <c r="J1436" s="6" t="inlineStr">
        <is>
          <t>Hatalarını anlattın; kurul dinledi ve hatasız görünen bir adayı seçti. Sen yerinde kaldın, vicdanın hafifledi.</t>
        </is>
      </c>
      <c r="K1436" s="6" t="inlineStr">
        <is>
          <t>Hatalarını anlatmaya başladın; liste uzadı. Kurul başkanı saatine baktı: “Doğrularınızı bir dahaki sefere dinleriz.” Bir dahaki sefer dört yıl sonra.</t>
        </is>
      </c>
      <c r="L1436" s="6" t="inlineStr"/>
      <c r="M1436" s="5" t="inlineStr"/>
      <c r="N1436" s="5" t="inlineStr"/>
      <c r="O1436" s="6" t="inlineStr"/>
      <c r="P1436" s="6" t="inlineStr"/>
      <c r="Q1436" s="5" t="inlineStr"/>
      <c r="R1436" s="5" t="inlineStr"/>
      <c r="S1436" s="5" t="inlineStr"/>
      <c r="T1436" s="5" t="inlineStr">
        <is>
          <t>Kendine Gülebilir</t>
        </is>
      </c>
      <c r="U1436" s="5" t="inlineStr"/>
      <c r="V1436" s="5" t="inlineStr">
        <is>
          <t>yargi-yuksek</t>
        </is>
      </c>
      <c r="W1436" s="5" t="inlineStr"/>
      <c r="X1436" s="5" t="inlineStr"/>
      <c r="Y1436" s="5" t="inlineStr"/>
      <c r="Z1436" s="6" t="inlineStr"/>
      <c r="AA1436" s="5" t="inlineStr"/>
      <c r="AB1436" s="5" t="inlineStr"/>
      <c r="AC1436" s="5" t="inlineStr"/>
      <c r="AD1436" s="5" t="inlineStr"/>
      <c r="AE1436" s="5" t="inlineStr"/>
      <c r="AF1436" s="5" t="inlineStr"/>
      <c r="AG1436" s="5" t="inlineStr"/>
      <c r="AH1436" s="5" t="inlineStr"/>
      <c r="AI1436" s="5" t="inlineStr"/>
      <c r="AJ1436" s="5" t="inlineStr"/>
    </row>
    <row r="1437">
      <c r="A1437" s="5" t="inlineStr">
        <is>
          <t>b8-yargi-yuksek</t>
        </is>
      </c>
      <c r="B1437" s="5" t="n">
        <v>4</v>
      </c>
      <c r="C1437" s="6" t="inlineStr">
        <is>
          <t>Horoz Kararı'nı öne çıkar</t>
        </is>
      </c>
      <c r="D1437" s="5" t="inlineStr">
        <is>
          <t>Akıl</t>
        </is>
      </c>
      <c r="E1437" s="5" t="inlineStr">
        <is>
          <t>Kolay</t>
        </is>
      </c>
      <c r="F1437" s="5" t="inlineStr"/>
      <c r="G1437" s="6" t="inlineStr"/>
      <c r="H1437" s="6" t="inlineStr">
        <is>
          <t>Kurulun yarısı Horoz Kararı'nı fakültede okumuş. Biri “Horozcu hâkim bu mu?” diye fısıldadı. Üye seçildin; ilk günün sabah dörtte başladı.</t>
        </is>
      </c>
      <c r="I1437" s="6" t="inlineStr">
        <is>
          <t>Kurul başkanı Horoz Kararı'nın çerçeveli bir kopyasını getirmişti; imzalamanı istedi. Oy birliğiyle üye seçildin.</t>
        </is>
      </c>
      <c r="J1437" s="6" t="inlineStr">
        <is>
          <t>Horoz Kararı'nı herkes biliyordu ama kurul “Başka ne yaptınız?” diye sordu. Cevabın horozdan kısa sürdü.</t>
        </is>
      </c>
      <c r="K1437" s="6" t="inlineStr">
        <is>
          <t>Kararı anlatırken horoz taklidi yaptın. Salon güldü, kurul gülmedi. Dosyan sıranın sonuna gitti.</t>
        </is>
      </c>
      <c r="L1437" s="6" t="inlineStr"/>
      <c r="M1437" s="5" t="inlineStr"/>
      <c r="N1437" s="5" t="inlineStr"/>
      <c r="O1437" s="6" t="inlineStr"/>
      <c r="P1437" s="6" t="inlineStr"/>
      <c r="Q1437" s="5" t="inlineStr"/>
      <c r="R1437" s="5" t="inlineStr">
        <is>
          <t>yargi-horoz-karari</t>
        </is>
      </c>
      <c r="S1437" s="5" t="inlineStr"/>
      <c r="T1437" s="5" t="inlineStr"/>
      <c r="U1437" s="5" t="inlineStr"/>
      <c r="V1437" s="5" t="inlineStr">
        <is>
          <t>yargi-yuksek</t>
        </is>
      </c>
      <c r="W1437" s="5" t="inlineStr"/>
      <c r="X1437" s="5" t="inlineStr"/>
      <c r="Y1437" s="5" t="inlineStr"/>
      <c r="Z1437" s="6" t="inlineStr"/>
      <c r="AA1437" s="5" t="inlineStr"/>
      <c r="AB1437" s="5" t="inlineStr"/>
      <c r="AC1437" s="5" t="inlineStr"/>
      <c r="AD1437" s="5" t="inlineStr"/>
      <c r="AE1437" s="5" t="inlineStr"/>
      <c r="AF1437" s="5" t="inlineStr"/>
      <c r="AG1437" s="5" t="inlineStr"/>
      <c r="AH1437" s="5" t="inlineStr"/>
      <c r="AI1437" s="5" t="inlineStr"/>
      <c r="AJ1437" s="5" t="inlineStr"/>
    </row>
    <row r="1438">
      <c r="A1438" s="5" t="inlineStr">
        <is>
          <t>b8-yargi-denetim</t>
        </is>
      </c>
      <c r="B1438" s="5" t="n">
        <v>1</v>
      </c>
      <c r="C1438" s="6" t="inlineStr">
        <is>
          <t>Her soruya dosyayla cevap ver</t>
        </is>
      </c>
      <c r="D1438" s="5" t="inlineStr"/>
      <c r="E1438" s="5" t="inlineStr"/>
      <c r="F1438" s="5" t="inlineStr">
        <is>
          <t>Akıl +1, Dayanıklılık +1</t>
        </is>
      </c>
      <c r="G1438" s="6" t="inlineStr">
        <is>
          <t>Her soruya dosyadan bir sayfa gösterdin. İnceleme üç hafta sürdü. Raporda tek eleştiri: “Gerekçeler gereğinden uzun.”</t>
        </is>
      </c>
      <c r="H1438" s="6" t="inlineStr"/>
      <c r="I1438" s="6" t="inlineStr"/>
      <c r="J1438" s="6" t="inlineStr"/>
      <c r="K1438" s="6" t="inlineStr"/>
      <c r="L1438" s="6" t="inlineStr"/>
      <c r="M1438" s="5" t="inlineStr"/>
      <c r="N1438" s="5" t="inlineStr"/>
      <c r="O1438" s="6" t="inlineStr"/>
      <c r="P1438" s="6" t="inlineStr"/>
      <c r="Q1438" s="5" t="inlineStr"/>
      <c r="R1438" s="5" t="inlineStr"/>
      <c r="S1438" s="5" t="inlineStr"/>
      <c r="T1438" s="5" t="inlineStr"/>
      <c r="U1438" s="5" t="inlineStr"/>
      <c r="V1438" s="5" t="inlineStr"/>
      <c r="W1438" s="5" t="inlineStr"/>
      <c r="X1438" s="5" t="inlineStr"/>
      <c r="Y1438" s="5" t="inlineStr"/>
      <c r="Z1438" s="6" t="inlineStr"/>
      <c r="AA1438" s="5" t="inlineStr"/>
      <c r="AB1438" s="5" t="inlineStr"/>
      <c r="AC1438" s="5" t="inlineStr"/>
      <c r="AD1438" s="5" t="inlineStr"/>
      <c r="AE1438" s="5" t="inlineStr"/>
      <c r="AF1438" s="5" t="inlineStr"/>
      <c r="AG1438" s="5" t="inlineStr"/>
      <c r="AH1438" s="5" t="inlineStr"/>
      <c r="AI1438" s="5" t="inlineStr"/>
      <c r="AJ1438" s="5" t="inlineStr"/>
    </row>
    <row r="1439">
      <c r="A1439" s="5" t="inlineStr">
        <is>
          <t>b8-yargi-denetim</t>
        </is>
      </c>
      <c r="B1439" s="5" t="n">
        <v>2</v>
      </c>
      <c r="C1439" s="6" t="inlineStr">
        <is>
          <t>Kalın dosyayı birlikte oku</t>
        </is>
      </c>
      <c r="D1439" s="5" t="inlineStr">
        <is>
          <t>Akıl</t>
        </is>
      </c>
      <c r="E1439" s="5" t="inlineStr">
        <is>
          <t>Orta</t>
        </is>
      </c>
      <c r="F1439" s="5" t="inlineStr"/>
      <c r="G1439" s="6" t="inlineStr"/>
      <c r="H1439" s="6" t="inlineStr">
        <is>
          <t>Kalın dosyayı müfettişle sayfa sayfa okudun; her kararın bir gerekçesi vardı. Müfettiş dosyayı kapattı: “Temiz.”</t>
        </is>
      </c>
      <c r="I1439" s="6" t="inlineStr">
        <is>
          <t>Dosyayı öyle anlattın ki müfettiş kendi notlarını silip senin gerekçeni rapora kopyaladı. Raporun en iyi sayfası senin; altında onun imzası.</t>
        </is>
      </c>
      <c r="J1439" s="6" t="inlineStr">
        <is>
          <t>Okudunuz ama müfettiş üçüncü sayfada takıldı, bir daha çıkamadı. İnceleme bir ay uzadı.</t>
        </is>
      </c>
      <c r="K1439" s="6" t="inlineStr">
        <is>
          <t>Kalın dosyayı okurken kendi el yazını çözemedin. Müfettiş de çözemedi. Raporda “okunaksız gerekçe” notu var.</t>
        </is>
      </c>
      <c r="L1439" s="6" t="inlineStr"/>
      <c r="M1439" s="5" t="inlineStr"/>
      <c r="N1439" s="5" t="inlineStr"/>
      <c r="O1439" s="6" t="inlineStr"/>
      <c r="P1439" s="6" t="inlineStr"/>
      <c r="Q1439" s="5" t="inlineStr"/>
      <c r="R1439" s="5" t="inlineStr"/>
      <c r="S1439" s="5" t="inlineStr"/>
      <c r="T1439" s="5" t="inlineStr"/>
      <c r="U1439" s="5" t="inlineStr"/>
      <c r="V1439" s="5" t="inlineStr"/>
      <c r="W1439" s="5" t="inlineStr"/>
      <c r="X1439" s="5" t="inlineStr"/>
      <c r="Y1439" s="5" t="inlineStr"/>
      <c r="Z1439" s="6" t="inlineStr"/>
      <c r="AA1439" s="5" t="inlineStr"/>
      <c r="AB1439" s="5" t="inlineStr"/>
      <c r="AC1439" s="5" t="inlineStr"/>
      <c r="AD1439" s="5" t="inlineStr"/>
      <c r="AE1439" s="5" t="inlineStr"/>
      <c r="AF1439" s="5" t="inlineStr"/>
      <c r="AG1439" s="5" t="inlineStr"/>
      <c r="AH1439" s="5" t="inlineStr"/>
      <c r="AI1439" s="5" t="inlineStr"/>
      <c r="AJ1439" s="5" t="inlineStr"/>
    </row>
    <row r="1440">
      <c r="A1440" s="5" t="inlineStr">
        <is>
          <t>b8-yargi-denetim</t>
        </is>
      </c>
      <c r="B1440" s="5" t="n">
        <v>3</v>
      </c>
      <c r="C1440" s="6" t="inlineStr">
        <is>
          <t>Müfettişin endişesini sez</t>
        </is>
      </c>
      <c r="D1440" s="5" t="inlineStr">
        <is>
          <t>Sosyal Radar</t>
        </is>
      </c>
      <c r="E1440" s="5" t="inlineStr">
        <is>
          <t>Orta</t>
        </is>
      </c>
      <c r="F1440" s="5" t="inlineStr"/>
      <c r="G1440" s="6" t="inlineStr"/>
      <c r="H1440" s="6" t="inlineStr">
        <is>
          <t>Müfettişin derdinin senin kararların değil, koridordaki dosya yığını olduğunu anladın. Birlikte saydınız: dört bin iki yüz. Müfettiş raporuna seni değil, koridoru yazdı.</t>
        </is>
      </c>
      <c r="I1440" s="6" t="inlineStr">
        <is>
          <t>Müfettişle birlikte yazdığınız rapor adliyeye üç yeni hâkim kazandırdı. Müfettiş giderken kapıda döndü: “Yıllardır ilk kez biri bana hâlimi sordu.”</t>
        </is>
      </c>
      <c r="J1440" s="6" t="inlineStr">
        <is>
          <t>“Yorgun görünüyorsunuz” dedin. Müfettiş gözlüğünün üstünden baktı: “Soruları ben soruyorum.” Ve sordu; on dört gün boyunca.</t>
        </is>
      </c>
      <c r="K1440" s="6" t="inlineStr">
        <is>
          <t>Müfettişe hâlini hatırını sordun; müfettiş bunu baskı saydı ve tutanağa yazdı. Hatır sormak da dosyaya girdi.</t>
        </is>
      </c>
      <c r="L1440" s="6" t="inlineStr"/>
      <c r="M1440" s="5" t="inlineStr"/>
      <c r="N1440" s="5" t="inlineStr"/>
      <c r="O1440" s="6" t="inlineStr"/>
      <c r="P1440" s="6" t="inlineStr"/>
      <c r="Q1440" s="5" t="inlineStr"/>
      <c r="R1440" s="5" t="inlineStr"/>
      <c r="S1440" s="5" t="inlineStr"/>
      <c r="T1440" s="5" t="inlineStr"/>
      <c r="U1440" s="5" t="inlineStr"/>
      <c r="V1440" s="5" t="inlineStr"/>
      <c r="W1440" s="5" t="inlineStr"/>
      <c r="X1440" s="5" t="inlineStr"/>
      <c r="Y1440" s="5" t="inlineStr"/>
      <c r="Z1440" s="6" t="inlineStr"/>
      <c r="AA1440" s="5" t="inlineStr"/>
      <c r="AB1440" s="5" t="inlineStr"/>
      <c r="AC1440" s="5" t="inlineStr"/>
      <c r="AD1440" s="5" t="inlineStr"/>
      <c r="AE1440" s="5" t="inlineStr"/>
      <c r="AF1440" s="5" t="inlineStr"/>
      <c r="AG1440" s="5" t="inlineStr"/>
      <c r="AH1440" s="5" t="inlineStr"/>
      <c r="AI1440" s="5" t="inlineStr"/>
      <c r="AJ1440" s="5" t="inlineStr"/>
    </row>
    <row r="1441">
      <c r="A1441" s="5" t="inlineStr">
        <is>
          <t>b8-yargi-denetim</t>
        </is>
      </c>
      <c r="B1441" s="5" t="n">
        <v>4</v>
      </c>
      <c r="C1441" s="6" t="inlineStr">
        <is>
          <t>Kalın dosyayı sessizce geri çek</t>
        </is>
      </c>
      <c r="D1441" s="5" t="inlineStr">
        <is>
          <t>Kurnazlık</t>
        </is>
      </c>
      <c r="E1441" s="5" t="inlineStr">
        <is>
          <t>Zor</t>
        </is>
      </c>
      <c r="F1441" s="5" t="inlineStr"/>
      <c r="G1441" s="6" t="inlineStr"/>
      <c r="H1441" s="6" t="inlineStr">
        <is>
          <t>Dosyayı “eksik evrak” diye kaleme geri gönderdin. Kalem dosyayı başka bir rafa koydu; o raf, adliyenin unuttuğu raf.</t>
        </is>
      </c>
      <c r="I1441" s="6" t="inlineStr">
        <is>
          <t>Dosya geri çekildi, sonra adliye taşındı, sonra dosya yeni binaya hiç gelmedi. Yıllardır ilk kez rahat nefes aldın.</t>
        </is>
      </c>
      <c r="J1441" s="6" t="inlineStr">
        <is>
          <t>Dosyayı geri çekmeye çalıştın; kalem müdürü “Müfettiş istedi, veremem” dedi. Dosya masada kaldı; sen de karşısında, ter içinde.</t>
        </is>
      </c>
      <c r="K1441" s="6" t="inlineStr">
        <is>
          <t>Dosyayı akşam çantana koydun; çıkışta güvenlik kontrolü yeni başlamıştı. Soruşturma o gece açıldı.</t>
        </is>
      </c>
      <c r="L1441" s="6" t="inlineStr"/>
      <c r="M1441" s="5" t="inlineStr"/>
      <c r="N1441" s="5" t="inlineStr"/>
      <c r="O1441" s="6" t="inlineStr"/>
      <c r="P1441" s="6" t="inlineStr"/>
      <c r="Q1441" s="5" t="inlineStr"/>
      <c r="R1441" s="5" t="inlineStr">
        <is>
          <t>yargi-leke</t>
        </is>
      </c>
      <c r="S1441" s="5" t="inlineStr"/>
      <c r="T1441" s="5" t="inlineStr"/>
      <c r="U1441" s="5" t="inlineStr"/>
      <c r="V1441" s="5" t="inlineStr"/>
      <c r="W1441" s="5" t="inlineStr">
        <is>
          <t>hapis</t>
        </is>
      </c>
      <c r="X1441" s="5" t="inlineStr"/>
      <c r="Y1441" s="5" t="inlineStr"/>
      <c r="Z1441" s="6" t="inlineStr"/>
      <c r="AA1441" s="5" t="inlineStr"/>
      <c r="AB1441" s="5" t="inlineStr"/>
      <c r="AC1441" s="5" t="inlineStr"/>
      <c r="AD1441" s="5" t="inlineStr"/>
      <c r="AE1441" s="5" t="inlineStr"/>
      <c r="AF1441" s="5" t="inlineStr"/>
      <c r="AG1441" s="5" t="inlineStr"/>
      <c r="AH1441" s="5" t="inlineStr"/>
      <c r="AI1441" s="5" t="inlineStr"/>
      <c r="AJ1441" s="5" t="inlineStr"/>
    </row>
    <row r="1442">
      <c r="A1442" s="5" t="inlineStr">
        <is>
          <t>b9-yargi-ceviz</t>
        </is>
      </c>
      <c r="B1442" s="5" t="n">
        <v>1</v>
      </c>
      <c r="C1442" s="6" t="inlineStr">
        <is>
          <t>Kararı yaz, cübbeyi as</t>
        </is>
      </c>
      <c r="D1442" s="5" t="inlineStr"/>
      <c r="E1442" s="5" t="inlineStr"/>
      <c r="F1442" s="5" t="inlineStr">
        <is>
          <t>Akıl +1, İtibar +1</t>
        </is>
      </c>
      <c r="G1442" s="6" t="inlineStr">
        <is>
          <t>Otuz beş yıllık davaya iki sayfalık bir karar yazdın, cübbeni astın. Çıkarken kapında bir torba ceviz vardı; kimden, yazmıyor.</t>
        </is>
      </c>
      <c r="H1442" s="6" t="inlineStr"/>
      <c r="I1442" s="6" t="inlineStr"/>
      <c r="J1442" s="6" t="inlineStr"/>
      <c r="K1442" s="6" t="inlineStr"/>
      <c r="L1442" s="6" t="inlineStr"/>
      <c r="M1442" s="5" t="inlineStr"/>
      <c r="N1442" s="5" t="inlineStr"/>
      <c r="O1442" s="6" t="inlineStr"/>
      <c r="P1442" s="6" t="inlineStr"/>
      <c r="Q1442" s="5" t="inlineStr"/>
      <c r="R1442" s="5" t="inlineStr"/>
      <c r="S1442" s="5" t="inlineStr"/>
      <c r="T1442" s="5" t="inlineStr"/>
      <c r="U1442" s="5" t="inlineStr"/>
      <c r="V1442" s="5" t="inlineStr"/>
      <c r="W1442" s="5" t="inlineStr"/>
      <c r="X1442" s="5" t="inlineStr"/>
      <c r="Y1442" s="5" t="inlineStr"/>
      <c r="Z1442" s="6" t="inlineStr"/>
      <c r="AA1442" s="5" t="inlineStr"/>
      <c r="AB1442" s="5" t="inlineStr"/>
      <c r="AC1442" s="5" t="inlineStr"/>
      <c r="AD1442" s="5" t="inlineStr"/>
      <c r="AE1442" s="5" t="inlineStr"/>
      <c r="AF1442" s="5" t="inlineStr"/>
      <c r="AG1442" s="5" t="inlineStr"/>
      <c r="AH1442" s="5" t="inlineStr"/>
      <c r="AI1442" s="5" t="inlineStr"/>
      <c r="AJ1442" s="5" t="inlineStr"/>
    </row>
    <row r="1443">
      <c r="A1443" s="5" t="inlineStr">
        <is>
          <t>b9-yargi-ceviz</t>
        </is>
      </c>
      <c r="B1443" s="5" t="n">
        <v>2</v>
      </c>
      <c r="C1443" s="6" t="inlineStr">
        <is>
          <t>Torunları ağacın altında buluştur</t>
        </is>
      </c>
      <c r="D1443" s="5" t="inlineStr">
        <is>
          <t>İtibar</t>
        </is>
      </c>
      <c r="E1443" s="5" t="inlineStr">
        <is>
          <t>Orta</t>
        </is>
      </c>
      <c r="F1443" s="5" t="inlineStr"/>
      <c r="G1443" s="6" t="inlineStr"/>
      <c r="H1443" s="6" t="inlineStr">
        <is>
          <t>İki torunu ağacın altında buluşturdun. Dedelerinin aynı ağaçtan düştüğünü öğrendiler; ikisinin de. Dava geri çekildi, ağacın altına bank kondu.</t>
        </is>
      </c>
      <c r="I1443" s="6" t="inlineStr">
        <is>
          <t>Torunlar ağacın altında tanıştı, sonra bir daha tanıştı, sonra nişanlandı. Düğüne seni de çağırdılar; ceviz dağıtıldı.</t>
        </is>
      </c>
      <c r="J1443" s="6" t="inlineStr">
        <is>
          <t>Torunlar ağacın altında dedeleri gibi kavga etti. Kin de ağaç gibi köklüymüş. Kararı sen verdin, mecburen.</t>
        </is>
      </c>
      <c r="K1443" s="6" t="inlineStr">
        <is>
          <t>Keşifte ceviz başına düştü. Otuz beş yıl önceki tutanak da aynı cümleyle bitiyordu; kâtip ikisini yan yana dosyaladı.</t>
        </is>
      </c>
      <c r="L1443" s="6" t="inlineStr"/>
      <c r="M1443" s="5" t="inlineStr"/>
      <c r="N1443" s="5" t="inlineStr"/>
      <c r="O1443" s="6" t="inlineStr"/>
      <c r="P1443" s="6" t="inlineStr"/>
      <c r="Q1443" s="5" t="inlineStr"/>
      <c r="R1443" s="5" t="inlineStr"/>
      <c r="S1443" s="5" t="inlineStr"/>
      <c r="T1443" s="5" t="inlineStr"/>
      <c r="U1443" s="5" t="inlineStr"/>
      <c r="V1443" s="5" t="inlineStr"/>
      <c r="W1443" s="5" t="inlineStr"/>
      <c r="X1443" s="5" t="inlineStr"/>
      <c r="Y1443" s="5" t="inlineStr"/>
      <c r="Z1443" s="6" t="inlineStr"/>
      <c r="AA1443" s="5" t="inlineStr"/>
      <c r="AB1443" s="5" t="inlineStr"/>
      <c r="AC1443" s="5" t="inlineStr"/>
      <c r="AD1443" s="5" t="inlineStr"/>
      <c r="AE1443" s="5" t="inlineStr"/>
      <c r="AF1443" s="5" t="inlineStr"/>
      <c r="AG1443" s="5" t="inlineStr"/>
      <c r="AH1443" s="5" t="inlineStr"/>
      <c r="AI1443" s="5" t="inlineStr"/>
      <c r="AJ1443" s="5" t="inlineStr"/>
    </row>
    <row r="1444">
      <c r="A1444" s="5" t="inlineStr">
        <is>
          <t>b9-yargi-ceviz</t>
        </is>
      </c>
      <c r="B1444" s="5" t="n">
        <v>3</v>
      </c>
      <c r="C1444" s="6" t="inlineStr">
        <is>
          <t>Son kararına bir paragraf ekle</t>
        </is>
      </c>
      <c r="D1444" s="5" t="inlineStr">
        <is>
          <t>Akıl</t>
        </is>
      </c>
      <c r="E1444" s="5" t="inlineStr">
        <is>
          <t>Zor</t>
        </is>
      </c>
      <c r="F1444" s="5" t="inlineStr"/>
      <c r="G1444" s="6" t="inlineStr"/>
      <c r="H1444" s="6" t="inlineStr">
        <is>
          <t>Kararın sonuna bir paragraf ekledin: ağaç yüz yıl yaşar, kin bir ömür; hangisini miras bırakacağınıza siz karar verin. Paragraf fakülte kitabına girdi.</t>
        </is>
      </c>
      <c r="I1444" s="6" t="inlineStr">
        <is>
          <t>Paragraf öyle sevildi ki kasabada ağacın altına taşa kazındı. Taraflar her okuyuşta biraz utanıyor, biraz ceviz topluyor.</t>
        </is>
      </c>
      <c r="J1444" s="6" t="inlineStr">
        <is>
          <t>Paragrafı yazdın, sildin, yeniden yazdın. Karar çıktı; paragraf çekmecende kaldı.</t>
        </is>
      </c>
      <c r="K1444" s="6" t="inlineStr">
        <is>
          <t>Paragraf öyle uzadı ki karar iki cilt oldu. Taraflar ikinci cildin ortasında ağacın altında buluştu ve birlikte şikâyet etti: senden. Otuz beş yıl sonra ilk kez aynı taraftalar.</t>
        </is>
      </c>
      <c r="L1444" s="6" t="inlineStr"/>
      <c r="M1444" s="5" t="inlineStr"/>
      <c r="N1444" s="5" t="inlineStr"/>
      <c r="O1444" s="6" t="inlineStr"/>
      <c r="P1444" s="6" t="inlineStr"/>
      <c r="Q1444" s="5" t="inlineStr"/>
      <c r="R1444" s="5" t="inlineStr"/>
      <c r="S1444" s="5" t="inlineStr"/>
      <c r="T1444" s="5" t="inlineStr">
        <is>
          <t>Bahçe Filozofu</t>
        </is>
      </c>
      <c r="U1444" s="5" t="inlineStr"/>
      <c r="V1444" s="5" t="inlineStr"/>
      <c r="W1444" s="5" t="inlineStr"/>
      <c r="X1444" s="5" t="inlineStr"/>
      <c r="Y1444" s="5" t="inlineStr"/>
      <c r="Z1444" s="6" t="inlineStr"/>
      <c r="AA1444" s="5" t="inlineStr"/>
      <c r="AB1444" s="5" t="inlineStr"/>
      <c r="AC1444" s="5" t="inlineStr"/>
      <c r="AD1444" s="5" t="inlineStr"/>
      <c r="AE1444" s="5" t="inlineStr"/>
      <c r="AF1444" s="5" t="inlineStr"/>
      <c r="AG1444" s="5" t="inlineStr"/>
      <c r="AH1444" s="5" t="inlineStr"/>
      <c r="AI1444" s="5" t="inlineStr"/>
      <c r="AJ1444" s="5" t="inlineStr"/>
    </row>
    <row r="1445">
      <c r="A1445" s="5" t="inlineStr">
        <is>
          <t>b7-hekim-ilce</t>
        </is>
      </c>
      <c r="B1445" s="5" t="n">
        <v>1</v>
      </c>
      <c r="C1445" s="6" t="inlineStr">
        <is>
          <t>Kapıya mesai saatini as</t>
        </is>
      </c>
      <c r="D1445" s="5" t="inlineStr"/>
      <c r="E1445" s="5" t="inlineStr"/>
      <c r="F1445" s="5" t="inlineStr">
        <is>
          <t>Dayanıklılık +1, Akıl +1</t>
        </is>
      </c>
      <c r="G1445" s="6" t="inlineStr">
        <is>
          <t>Kapıya mesai saatlerini yazan bir tabela astın. Ertesi gün tabelanın altına biri ekleme yapmış: “Acilse evine gidin.” Adresin de yazılı.</t>
        </is>
      </c>
      <c r="H1445" s="6" t="inlineStr"/>
      <c r="I1445" s="6" t="inlineStr"/>
      <c r="J1445" s="6" t="inlineStr"/>
      <c r="K1445" s="6" t="inlineStr"/>
      <c r="L1445" s="6" t="inlineStr"/>
      <c r="M1445" s="5" t="inlineStr"/>
      <c r="N1445" s="5" t="inlineStr"/>
      <c r="O1445" s="6" t="inlineStr"/>
      <c r="P1445" s="6" t="inlineStr"/>
      <c r="Q1445" s="5" t="inlineStr"/>
      <c r="R1445" s="5" t="inlineStr"/>
      <c r="S1445" s="5" t="inlineStr"/>
      <c r="T1445" s="5" t="inlineStr"/>
      <c r="U1445" s="5" t="inlineStr"/>
      <c r="V1445" s="5" t="inlineStr"/>
      <c r="W1445" s="5" t="inlineStr"/>
      <c r="X1445" s="5" t="inlineStr"/>
      <c r="Y1445" s="5" t="inlineStr"/>
      <c r="Z1445" s="6" t="inlineStr"/>
      <c r="AA1445" s="5" t="inlineStr"/>
      <c r="AB1445" s="5" t="inlineStr"/>
      <c r="AC1445" s="5" t="inlineStr"/>
      <c r="AD1445" s="5" t="inlineStr"/>
      <c r="AE1445" s="5" t="inlineStr"/>
      <c r="AF1445" s="5" t="inlineStr"/>
      <c r="AG1445" s="5" t="inlineStr"/>
      <c r="AH1445" s="5" t="inlineStr"/>
      <c r="AI1445" s="5" t="inlineStr"/>
      <c r="AJ1445" s="5" t="inlineStr"/>
    </row>
    <row r="1446">
      <c r="A1446" s="5" t="inlineStr">
        <is>
          <t>b7-hekim-ilce</t>
        </is>
      </c>
      <c r="B1446" s="5" t="n">
        <v>2</v>
      </c>
      <c r="C1446" s="6" t="inlineStr">
        <is>
          <t>Pazar yerine sağlık masası kur</t>
        </is>
      </c>
      <c r="D1446" s="5" t="inlineStr">
        <is>
          <t>Dayanıklılık</t>
        </is>
      </c>
      <c r="E1446" s="5" t="inlineStr">
        <is>
          <t>Orta</t>
        </is>
      </c>
      <c r="F1446" s="5" t="inlineStr"/>
      <c r="G1446" s="6" t="inlineStr"/>
      <c r="H1446" s="6" t="inlineStr">
        <is>
          <t>Pazarın ortasına masa kurdun, akşama kadar tansiyon ölçtün. Karşılığında domates, peynir, bir kavanoz reçel. İlçe seni evlat bildi.</t>
        </is>
      </c>
      <c r="I1446" s="6" t="inlineStr">
        <is>
          <t>Pazar masası öyle tuttu ki ilçe dergisi kapak yaptı: “Bizim Doktor.” Başhekim kıskandı; başhekim sensin.</t>
        </is>
      </c>
      <c r="J1446" s="6" t="inlineStr">
        <is>
          <t>Masa kurdun; herkes kendi tansiyonunu değil, bir akrabasının tahlilini getirdi. Akşama kadar başkalarının kâğıdını okudun.</t>
        </is>
      </c>
      <c r="K1446" s="6" t="inlineStr">
        <is>
          <t>Pazarcılar masanı tezgâh sandı, zabıta da. Akşama kadar domates tarttın; işgaliye cezasını ilçenin tek doktoru ödedi.</t>
        </is>
      </c>
      <c r="L1446" s="6" t="inlineStr"/>
      <c r="M1446" s="5" t="inlineStr"/>
      <c r="N1446" s="5" t="inlineStr"/>
      <c r="O1446" s="6" t="inlineStr"/>
      <c r="P1446" s="6" t="inlineStr"/>
      <c r="Q1446" s="5" t="inlineStr"/>
      <c r="R1446" s="5" t="inlineStr"/>
      <c r="S1446" s="5" t="inlineStr"/>
      <c r="T1446" s="5" t="inlineStr"/>
      <c r="U1446" s="5" t="inlineStr"/>
      <c r="V1446" s="5" t="inlineStr">
        <is>
          <t>hekim-ilce-sevgisi</t>
        </is>
      </c>
      <c r="W1446" s="5" t="inlineStr"/>
      <c r="X1446" s="5" t="inlineStr"/>
      <c r="Y1446" s="5" t="inlineStr"/>
      <c r="Z1446" s="6" t="inlineStr"/>
      <c r="AA1446" s="5" t="inlineStr"/>
      <c r="AB1446" s="5" t="inlineStr"/>
      <c r="AC1446" s="5" t="inlineStr"/>
      <c r="AD1446" s="5" t="inlineStr"/>
      <c r="AE1446" s="5" t="inlineStr"/>
      <c r="AF1446" s="5" t="inlineStr"/>
      <c r="AG1446" s="5" t="inlineStr"/>
      <c r="AH1446" s="5" t="inlineStr"/>
      <c r="AI1446" s="5" t="inlineStr"/>
      <c r="AJ1446" s="5" t="inlineStr"/>
    </row>
    <row r="1447">
      <c r="A1447" s="5" t="inlineStr">
        <is>
          <t>b7-hekim-ilce</t>
        </is>
      </c>
      <c r="B1447" s="5" t="n">
        <v>3</v>
      </c>
      <c r="C1447" s="6" t="inlineStr">
        <is>
          <t>Aile grubuna kural koy</t>
        </is>
      </c>
      <c r="D1447" s="5" t="inlineStr">
        <is>
          <t>Pişkinlik</t>
        </is>
      </c>
      <c r="E1447" s="5" t="inlineStr">
        <is>
          <t>Zor</t>
        </is>
      </c>
      <c r="F1447" s="5" t="inlineStr"/>
      <c r="G1447" s="6" t="inlineStr"/>
      <c r="H1447" s="6" t="inlineStr">
        <is>
          <t>Gruba yazdın: “Fotoğraf değil, randevu.” Grup iki gün sustu. Üçüncü gün teyzen randevu aldı; dizinin fotoğrafını da getirdi, kâğıda basılı.</t>
        </is>
      </c>
      <c r="I1447" s="6" t="inlineStr">
        <is>
          <t>Kuralın tuttu; grup artık yalnızca bayram mesajı atıyor. Bir amcan telefonuna seni “Grubun Bekçisi” diye kaydetmiş.</t>
        </is>
      </c>
      <c r="J1447" s="6" t="inlineStr">
        <is>
          <t>Kuralı yazdın. Bir dakika sonra bir kuzen sordu: “Bu kural dizler için de geçerli mi?”</t>
        </is>
      </c>
      <c r="K1447" s="6" t="inlineStr">
        <is>
          <t>Kuralı yanlışlıkla ilçe muhtarlar grubuna attın. Muhtarlar artık randevuyla konuşuyor; seninle bile.</t>
        </is>
      </c>
      <c r="L1447" s="6" t="inlineStr"/>
      <c r="M1447" s="5" t="inlineStr"/>
      <c r="N1447" s="5" t="inlineStr"/>
      <c r="O1447" s="6" t="inlineStr"/>
      <c r="P1447" s="6" t="inlineStr"/>
      <c r="Q1447" s="5" t="inlineStr"/>
      <c r="R1447" s="5" t="inlineStr"/>
      <c r="S1447" s="5" t="inlineStr"/>
      <c r="T1447" s="5" t="inlineStr">
        <is>
          <t>Son Sözü Söyler</t>
        </is>
      </c>
      <c r="U1447" s="5" t="inlineStr"/>
      <c r="V1447" s="5" t="inlineStr"/>
      <c r="W1447" s="5" t="inlineStr"/>
      <c r="X1447" s="5" t="inlineStr"/>
      <c r="Y1447" s="5" t="inlineStr"/>
      <c r="Z1447" s="6" t="inlineStr"/>
      <c r="AA1447" s="5" t="inlineStr"/>
      <c r="AB1447" s="5" t="inlineStr"/>
      <c r="AC1447" s="5" t="inlineStr"/>
      <c r="AD1447" s="5" t="inlineStr"/>
      <c r="AE1447" s="5" t="inlineStr"/>
      <c r="AF1447" s="5" t="inlineStr"/>
      <c r="AG1447" s="5" t="inlineStr"/>
      <c r="AH1447" s="5" t="inlineStr"/>
      <c r="AI1447" s="5" t="inlineStr"/>
      <c r="AJ1447" s="5" t="inlineStr"/>
    </row>
    <row r="1448">
      <c r="A1448" s="5" t="inlineStr">
        <is>
          <t>b7-hekim-uzmanlik</t>
        </is>
      </c>
      <c r="B1448" s="5" t="n">
        <v>1</v>
      </c>
      <c r="C1448" s="6" t="inlineStr">
        <is>
          <t>“Bakıp söyleyeceğim” de</t>
        </is>
      </c>
      <c r="D1448" s="5" t="inlineStr"/>
      <c r="E1448" s="5" t="inlineStr"/>
      <c r="F1448" s="5" t="inlineStr">
        <is>
          <t>İtibar +1, Akıl +1</t>
        </is>
      </c>
      <c r="G1448" s="6" t="inlineStr">
        <is>
          <t>“Emin değilim hocam, bakıp söyleyeceğim” dedin. Hoca bir an sustu: “Bunu diyen üçüncü asistansın. Öbür ikisi profesör oldu.”</t>
        </is>
      </c>
      <c r="H1448" s="6" t="inlineStr"/>
      <c r="I1448" s="6" t="inlineStr"/>
      <c r="J1448" s="6" t="inlineStr"/>
      <c r="K1448" s="6" t="inlineStr"/>
      <c r="L1448" s="6" t="inlineStr"/>
      <c r="M1448" s="5" t="inlineStr"/>
      <c r="N1448" s="5" t="inlineStr"/>
      <c r="O1448" s="6" t="inlineStr"/>
      <c r="P1448" s="6" t="inlineStr"/>
      <c r="Q1448" s="5" t="inlineStr"/>
      <c r="R1448" s="5" t="inlineStr"/>
      <c r="S1448" s="5" t="inlineStr"/>
      <c r="T1448" s="5" t="inlineStr"/>
      <c r="U1448" s="5" t="inlineStr"/>
      <c r="V1448" s="5" t="inlineStr"/>
      <c r="W1448" s="5" t="inlineStr"/>
      <c r="X1448" s="5" t="inlineStr"/>
      <c r="Y1448" s="5" t="inlineStr"/>
      <c r="Z1448" s="6" t="inlineStr"/>
      <c r="AA1448" s="5" t="inlineStr"/>
      <c r="AB1448" s="5" t="inlineStr"/>
      <c r="AC1448" s="5" t="inlineStr"/>
      <c r="AD1448" s="5" t="inlineStr"/>
      <c r="AE1448" s="5" t="inlineStr"/>
      <c r="AF1448" s="5" t="inlineStr"/>
      <c r="AG1448" s="5" t="inlineStr"/>
      <c r="AH1448" s="5" t="inlineStr"/>
      <c r="AI1448" s="5" t="inlineStr"/>
      <c r="AJ1448" s="5" t="inlineStr"/>
    </row>
    <row r="1449">
      <c r="A1449" s="5" t="inlineStr">
        <is>
          <t>b7-hekim-uzmanlik</t>
        </is>
      </c>
      <c r="B1449" s="5" t="n">
        <v>2</v>
      </c>
      <c r="C1449" s="6" t="inlineStr">
        <is>
          <t>Ayırıcı tanıları sırala</t>
        </is>
      </c>
      <c r="D1449" s="5" t="inlineStr">
        <is>
          <t>Akıl</t>
        </is>
      </c>
      <c r="E1449" s="5" t="inlineStr">
        <is>
          <t>Orta</t>
        </is>
      </c>
      <c r="F1449" s="5" t="inlineStr"/>
      <c r="G1449" s="6" t="inlineStr"/>
      <c r="H1449" s="6" t="inlineStr">
        <is>
          <t>Dokuz ihtimal saydın, sekizini tek tek eledin. Hoca başını salladı. Hasta da salladı; o da ikna olmuş.</t>
        </is>
      </c>
      <c r="I1449" s="6" t="inlineStr">
        <is>
          <t>Sıralamayı bitirdiğinde hoca seni makale ekibine yazdı. Hasta da taburcu olurken elini sıktı: “Hocadan çok sen anlattın.”</t>
        </is>
      </c>
      <c r="J1449" s="6" t="inlineStr">
        <is>
          <t>Sekiz ihtimal saydın, dokuzuncuyu unuttun. Hoca dokuzuncuyu söyledi. Doğrusu oymuş.</t>
        </is>
      </c>
      <c r="K1449" s="6" t="inlineStr">
        <is>
          <t>Ayırıcı tanıları eksiksiz saydın, ama yan yataktaki hastanın. Teyze nazikçe düzeltti: “Evladım, ben o değilim. O yandaki.” Otuz kişi aynı anda yan yatağa döndü.</t>
        </is>
      </c>
      <c r="L1449" s="6" t="inlineStr"/>
      <c r="M1449" s="5" t="inlineStr"/>
      <c r="N1449" s="5" t="inlineStr"/>
      <c r="O1449" s="6" t="inlineStr"/>
      <c r="P1449" s="6" t="inlineStr"/>
      <c r="Q1449" s="5" t="inlineStr"/>
      <c r="R1449" s="5" t="inlineStr"/>
      <c r="S1449" s="5" t="inlineStr"/>
      <c r="T1449" s="5" t="inlineStr"/>
      <c r="U1449" s="5" t="inlineStr"/>
      <c r="V1449" s="5" t="inlineStr"/>
      <c r="W1449" s="5" t="inlineStr"/>
      <c r="X1449" s="5" t="inlineStr"/>
      <c r="Y1449" s="5" t="inlineStr"/>
      <c r="Z1449" s="6" t="inlineStr"/>
      <c r="AA1449" s="5" t="inlineStr"/>
      <c r="AB1449" s="5" t="inlineStr"/>
      <c r="AC1449" s="5" t="inlineStr"/>
      <c r="AD1449" s="5" t="inlineStr"/>
      <c r="AE1449" s="5" t="inlineStr"/>
      <c r="AF1449" s="5" t="inlineStr"/>
      <c r="AG1449" s="5" t="inlineStr"/>
      <c r="AH1449" s="5" t="inlineStr"/>
      <c r="AI1449" s="5" t="inlineStr">
        <is>
          <t>Yan Yatak</t>
        </is>
      </c>
      <c r="AJ1449" s="5" t="inlineStr"/>
    </row>
    <row r="1450">
      <c r="A1450" s="5" t="inlineStr">
        <is>
          <t>b7-hekim-uzmanlik</t>
        </is>
      </c>
      <c r="B1450" s="5" t="n">
        <v>3</v>
      </c>
      <c r="C1450" s="6" t="inlineStr">
        <is>
          <t>Uykusuz ama dimdik cevap ver</t>
        </is>
      </c>
      <c r="D1450" s="5" t="inlineStr">
        <is>
          <t>Dayanıklılık</t>
        </is>
      </c>
      <c r="E1450" s="5" t="inlineStr">
        <is>
          <t>Zor</t>
        </is>
      </c>
      <c r="F1450" s="5" t="inlineStr"/>
      <c r="G1450" s="6" t="inlineStr"/>
      <c r="H1450" s="6" t="inlineStr">
        <is>
          <t>Otuz altı saatlik uykusuzlukla cümleleri sendelemeden dizdin. Vizit bitince koridorda ayakta uyudun; kimse fark etmedi.</t>
        </is>
      </c>
      <c r="I1450" s="6" t="inlineStr">
        <is>
          <t>Cevabın kusursuzdu; hoca “Bu çocuk hiç uyumuyor mu?” diye sordu, övgü olarak. Ertesi ay baş asistan oldun; daha da az uyuyacaksın.</t>
        </is>
      </c>
      <c r="J1450" s="6" t="inlineStr">
        <is>
          <t>Cevabın ortasında bir kelime aradın, bulamadın. Hoca kelimeyi söyledi; sen de ekledin: “Aynen.”</t>
        </is>
      </c>
      <c r="K1450" s="6" t="inlineStr">
        <is>
          <t>Cevap verirken gözlerin kapandı. Uyandığında vizit iki oda ilerdeydi; hasta üstüne battaniye örtmüştü.</t>
        </is>
      </c>
      <c r="L1450" s="6" t="inlineStr"/>
      <c r="M1450" s="5" t="inlineStr"/>
      <c r="N1450" s="5" t="inlineStr"/>
      <c r="O1450" s="6" t="inlineStr"/>
      <c r="P1450" s="6" t="inlineStr"/>
      <c r="Q1450" s="5" t="inlineStr"/>
      <c r="R1450" s="5" t="inlineStr"/>
      <c r="S1450" s="5" t="inlineStr"/>
      <c r="T1450" s="5" t="inlineStr">
        <is>
          <t>Nöbet Disiplini</t>
        </is>
      </c>
      <c r="U1450" s="5" t="inlineStr"/>
      <c r="V1450" s="5" t="inlineStr"/>
      <c r="W1450" s="5" t="inlineStr"/>
      <c r="X1450" s="5" t="inlineStr"/>
      <c r="Y1450" s="5" t="inlineStr"/>
      <c r="Z1450" s="6" t="inlineStr"/>
      <c r="AA1450" s="5" t="inlineStr"/>
      <c r="AB1450" s="5" t="inlineStr"/>
      <c r="AC1450" s="5" t="inlineStr"/>
      <c r="AD1450" s="5" t="inlineStr"/>
      <c r="AE1450" s="5" t="inlineStr"/>
      <c r="AF1450" s="5" t="inlineStr"/>
      <c r="AG1450" s="5" t="inlineStr"/>
      <c r="AH1450" s="5" t="inlineStr"/>
      <c r="AI1450" s="5" t="inlineStr"/>
      <c r="AJ1450" s="5" t="inlineStr"/>
    </row>
    <row r="1451">
      <c r="A1451" s="5" t="inlineStr">
        <is>
          <t>b7-hekim-hasta-yakini</t>
        </is>
      </c>
      <c r="B1451" s="5" t="n">
        <v>1</v>
      </c>
      <c r="C1451" s="6" t="inlineStr">
        <is>
          <t>Saat beşte tek bilgilendirme yap</t>
        </is>
      </c>
      <c r="D1451" s="5" t="inlineStr"/>
      <c r="E1451" s="5" t="inlineStr"/>
      <c r="F1451" s="5" t="inlineStr">
        <is>
          <t>Dayanıklılık +1, Sosyal Radar +1</t>
        </is>
      </c>
      <c r="G1451" s="6" t="inlineStr">
        <is>
          <t>Saat beşte koridorda tek bir bilgilendirme yaptın. On bir kişi dinledi, on ikincisi hoparlörden. Sonra hepsi tek tek gelip aynı soruyu sordu.</t>
        </is>
      </c>
      <c r="H1451" s="6" t="inlineStr"/>
      <c r="I1451" s="6" t="inlineStr"/>
      <c r="J1451" s="6" t="inlineStr"/>
      <c r="K1451" s="6" t="inlineStr"/>
      <c r="L1451" s="6" t="inlineStr"/>
      <c r="M1451" s="5" t="inlineStr"/>
      <c r="N1451" s="5" t="inlineStr"/>
      <c r="O1451" s="6" t="inlineStr"/>
      <c r="P1451" s="6" t="inlineStr"/>
      <c r="Q1451" s="5" t="inlineStr"/>
      <c r="R1451" s="5" t="inlineStr"/>
      <c r="S1451" s="5" t="inlineStr"/>
      <c r="T1451" s="5" t="inlineStr"/>
      <c r="U1451" s="5" t="inlineStr"/>
      <c r="V1451" s="5" t="inlineStr"/>
      <c r="W1451" s="5" t="inlineStr"/>
      <c r="X1451" s="5" t="inlineStr"/>
      <c r="Y1451" s="5" t="inlineStr"/>
      <c r="Z1451" s="6" t="inlineStr"/>
      <c r="AA1451" s="5" t="inlineStr"/>
      <c r="AB1451" s="5" t="inlineStr"/>
      <c r="AC1451" s="5" t="inlineStr"/>
      <c r="AD1451" s="5" t="inlineStr"/>
      <c r="AE1451" s="5" t="inlineStr"/>
      <c r="AF1451" s="5" t="inlineStr"/>
      <c r="AG1451" s="5" t="inlineStr"/>
      <c r="AH1451" s="5" t="inlineStr"/>
      <c r="AI1451" s="5" t="inlineStr"/>
      <c r="AJ1451" s="5" t="inlineStr"/>
    </row>
    <row r="1452">
      <c r="A1452" s="5" t="inlineStr">
        <is>
          <t>b7-hekim-hasta-yakini</t>
        </is>
      </c>
      <c r="B1452" s="5" t="n">
        <v>2</v>
      </c>
      <c r="C1452" s="6" t="inlineStr">
        <is>
          <t>Aileden bir sözcü seç</t>
        </is>
      </c>
      <c r="D1452" s="5" t="inlineStr">
        <is>
          <t>Akıl</t>
        </is>
      </c>
      <c r="E1452" s="5" t="inlineStr">
        <is>
          <t>Orta</t>
        </is>
      </c>
      <c r="F1452" s="5" t="inlineStr"/>
      <c r="G1452" s="6" t="inlineStr"/>
      <c r="H1452" s="6" t="inlineStr">
        <is>
          <t>Aileden en sakin olanı sözcü yaptın. Bilgi ondan ötekilere aktı, koridor boşaldı. Sözcü de artık ailenin küçük doktoru.</t>
        </is>
      </c>
      <c r="I1452" s="6" t="inlineStr">
        <is>
          <t>Sözcü öyle iyi çıktı ki servis bu usulü bütün hasta aileleri için kural yaptı. Amca taburcu olurken sana değil sözcüye teşekkür etti.</t>
        </is>
      </c>
      <c r="J1452" s="6" t="inlineStr">
        <is>
          <t>Sözcüyü seçtin; öbür on kişi sözcüye güvenmedi. Artık on bir kişi artı bir sözcü var.</t>
        </is>
      </c>
      <c r="K1452" s="6" t="inlineStr">
        <is>
          <t>Sözcü seçtiğin kişi aileden değilmiş, yan odadaki hastanın yeğeniymiş. Bir saat boyunca iki aileye birbirinin amcasını anlattı. Akşam yan odanın ailesi senin hastan için helva kavurmaya başlamıştı; amca o sırada çorbasını içiyordu.</t>
        </is>
      </c>
      <c r="L1452" s="6" t="inlineStr"/>
      <c r="M1452" s="5" t="inlineStr"/>
      <c r="N1452" s="5" t="inlineStr"/>
      <c r="O1452" s="6" t="inlineStr"/>
      <c r="P1452" s="6" t="inlineStr"/>
      <c r="Q1452" s="5" t="inlineStr"/>
      <c r="R1452" s="5" t="inlineStr"/>
      <c r="S1452" s="5" t="inlineStr"/>
      <c r="T1452" s="5" t="inlineStr"/>
      <c r="U1452" s="5" t="inlineStr"/>
      <c r="V1452" s="5" t="inlineStr">
        <is>
          <t>hekim-sozcu-usulu</t>
        </is>
      </c>
      <c r="W1452" s="5" t="inlineStr"/>
      <c r="X1452" s="5" t="inlineStr"/>
      <c r="Y1452" s="5" t="inlineStr"/>
      <c r="Z1452" s="6" t="inlineStr"/>
      <c r="AA1452" s="5" t="inlineStr"/>
      <c r="AB1452" s="5" t="inlineStr"/>
      <c r="AC1452" s="5" t="inlineStr"/>
      <c r="AD1452" s="5" t="inlineStr"/>
      <c r="AE1452" s="5" t="inlineStr"/>
      <c r="AF1452" s="5" t="inlineStr"/>
      <c r="AG1452" s="5" t="inlineStr"/>
      <c r="AH1452" s="5" t="inlineStr"/>
      <c r="AI1452" s="5" t="inlineStr"/>
      <c r="AJ1452" s="5" t="inlineStr"/>
    </row>
    <row r="1453">
      <c r="A1453" s="5" t="inlineStr">
        <is>
          <t>b7-hekim-hasta-yakini</t>
        </is>
      </c>
      <c r="B1453" s="5" t="n">
        <v>3</v>
      </c>
      <c r="C1453" s="6" t="inlineStr">
        <is>
          <t>Nöbet sonrası herkese tek tek dön</t>
        </is>
      </c>
      <c r="D1453" s="5" t="inlineStr">
        <is>
          <t>Dayanıklılık</t>
        </is>
      </c>
      <c r="E1453" s="5" t="inlineStr">
        <is>
          <t>Zor</t>
        </is>
      </c>
      <c r="F1453" s="5" t="inlineStr"/>
      <c r="G1453" s="6" t="inlineStr"/>
      <c r="H1453" s="6" t="inlineStr">
        <is>
          <t>Nöbetten çıkıp on iki kişiyi tek tek aradın. Sabaha karşı sonuncusu teşekkür etti. Uyumadın ama koridor sana bir hafta tatlı getirdi.</t>
        </is>
      </c>
      <c r="I1453" s="6" t="inlineStr">
        <is>
          <t>On iki telefonun hepsi teşekkürle bitti. Taburcu günü amca koridordaki on bir yakınına seni gösterdi: “Bu doktor beni sizden iyi tanıyor.”</t>
        </is>
      </c>
      <c r="J1453" s="6" t="inlineStr">
        <is>
          <t>Aramaya başladın; dördüncüde uyuyakaldın. Kalan sekiz kişi sabah hep birlikte geldi.</t>
        </is>
      </c>
      <c r="K1453" s="6" t="inlineStr">
        <is>
          <t>Aramaları yaptın ama yanlış listeden; başka bir hastanın yakınlarını bilgilendirdin. Onlar da çok memnun kaldı, ne yazık ki.</t>
        </is>
      </c>
      <c r="L1453" s="6" t="inlineStr"/>
      <c r="M1453" s="5" t="inlineStr"/>
      <c r="N1453" s="5" t="inlineStr"/>
      <c r="O1453" s="6" t="inlineStr"/>
      <c r="P1453" s="6" t="inlineStr"/>
      <c r="Q1453" s="5" t="inlineStr"/>
      <c r="R1453" s="5" t="inlineStr"/>
      <c r="S1453" s="5" t="inlineStr"/>
      <c r="T1453" s="5" t="inlineStr">
        <is>
          <t>Gözüne Uyku Girmez</t>
        </is>
      </c>
      <c r="U1453" s="5" t="inlineStr"/>
      <c r="V1453" s="5" t="inlineStr"/>
      <c r="W1453" s="5" t="inlineStr"/>
      <c r="X1453" s="5" t="inlineStr"/>
      <c r="Y1453" s="5" t="inlineStr"/>
      <c r="Z1453" s="6" t="inlineStr"/>
      <c r="AA1453" s="5" t="inlineStr"/>
      <c r="AB1453" s="5" t="inlineStr"/>
      <c r="AC1453" s="5" t="inlineStr"/>
      <c r="AD1453" s="5" t="inlineStr"/>
      <c r="AE1453" s="5" t="inlineStr"/>
      <c r="AF1453" s="5" t="inlineStr"/>
      <c r="AG1453" s="5" t="inlineStr"/>
      <c r="AH1453" s="5" t="inlineStr"/>
      <c r="AI1453" s="5" t="inlineStr"/>
      <c r="AJ1453" s="5" t="inlineStr"/>
    </row>
    <row r="1454">
      <c r="A1454" s="5" t="inlineStr">
        <is>
          <t>b8-hekim-profesorluk</t>
        </is>
      </c>
      <c r="B1454" s="5" t="n">
        <v>1</v>
      </c>
      <c r="C1454" s="6" t="inlineStr">
        <is>
          <t>Makaleyi hafta sonları yaz</t>
        </is>
      </c>
      <c r="D1454" s="5" t="inlineStr"/>
      <c r="E1454" s="5" t="inlineStr"/>
      <c r="F1454" s="5" t="inlineStr">
        <is>
          <t>Akıl +1, Dayanıklılık +1</t>
        </is>
      </c>
      <c r="G1454" s="6" t="inlineStr">
        <is>
          <t>Üç ay hafta sonu yazdın. Makale bitti; jüri bir sonraki döneme kaldı. Aile grubuna “Değişen bir şey yok” yazdın; doğruydu.</t>
        </is>
      </c>
      <c r="H1454" s="6" t="inlineStr"/>
      <c r="I1454" s="6" t="inlineStr"/>
      <c r="J1454" s="6" t="inlineStr"/>
      <c r="K1454" s="6" t="inlineStr"/>
      <c r="L1454" s="6" t="inlineStr"/>
      <c r="M1454" s="5" t="inlineStr"/>
      <c r="N1454" s="5" t="inlineStr"/>
      <c r="O1454" s="6" t="inlineStr"/>
      <c r="P1454" s="6" t="inlineStr"/>
      <c r="Q1454" s="5" t="inlineStr"/>
      <c r="R1454" s="5" t="inlineStr"/>
      <c r="S1454" s="5" t="inlineStr"/>
      <c r="T1454" s="5" t="inlineStr"/>
      <c r="U1454" s="5" t="inlineStr"/>
      <c r="V1454" s="5" t="inlineStr"/>
      <c r="W1454" s="5" t="inlineStr"/>
      <c r="X1454" s="5" t="inlineStr"/>
      <c r="Y1454" s="5" t="inlineStr"/>
      <c r="Z1454" s="6" t="inlineStr"/>
      <c r="AA1454" s="5" t="inlineStr"/>
      <c r="AB1454" s="5" t="inlineStr"/>
      <c r="AC1454" s="5" t="inlineStr"/>
      <c r="AD1454" s="5" t="inlineStr"/>
      <c r="AE1454" s="5" t="inlineStr"/>
      <c r="AF1454" s="5" t="inlineStr"/>
      <c r="AG1454" s="5" t="inlineStr"/>
      <c r="AH1454" s="5" t="inlineStr"/>
      <c r="AI1454" s="5" t="inlineStr"/>
      <c r="AJ1454" s="5" t="inlineStr"/>
    </row>
    <row r="1455">
      <c r="A1455" s="5" t="inlineStr">
        <is>
          <t>b8-hekim-profesorluk</t>
        </is>
      </c>
      <c r="B1455" s="5" t="n">
        <v>2</v>
      </c>
      <c r="C1455" s="6" t="inlineStr">
        <is>
          <t>Asistanlarla ortak çalış</t>
        </is>
      </c>
      <c r="D1455" s="5" t="inlineStr">
        <is>
          <t>Sosyal Radar</t>
        </is>
      </c>
      <c r="E1455" s="5" t="inlineStr">
        <is>
          <t>Orta</t>
        </is>
      </c>
      <c r="F1455" s="5" t="inlineStr"/>
      <c r="G1455" s="6" t="inlineStr"/>
      <c r="H1455" s="6" t="inlineStr">
        <is>
          <t>Dört asistana birer bölüm verdin, akşamları birleştirdiniz. Makale zamanında çıktı; profesör oldun. Asistanlar da ilk makalelerini kazandı.</t>
        </is>
      </c>
      <c r="I1455" s="6" t="inlineStr">
        <is>
          <t>Ekip öyle uyumlu çalıştı ki bir makale yerine iki çıktı. Jüri seni oy birliğiyle profesör yaptı; asistanlar pasta aldı, üstünde senin adın yanlış.</t>
        </is>
      </c>
      <c r="J1455" s="6" t="inlineStr">
        <is>
          <t>Asistanlar bölümleri yazdı ama her biri ayrı bir dille. Birleştirmek üç ay daha sürdü; jüri bekleyemedi.</t>
        </is>
      </c>
      <c r="K1455" s="6" t="inlineStr">
        <is>
          <t>Asistanlardan biri makaleyi kendi adıyla bir dergiye yollamış. Dergi kabul etti. Tebrik ettin, dişlerini sıkarak.</t>
        </is>
      </c>
      <c r="L1455" s="6" t="inlineStr"/>
      <c r="M1455" s="5" t="inlineStr"/>
      <c r="N1455" s="5" t="inlineStr"/>
      <c r="O1455" s="6" t="inlineStr"/>
      <c r="P1455" s="6" t="inlineStr"/>
      <c r="Q1455" s="5" t="inlineStr"/>
      <c r="R1455" s="5" t="inlineStr"/>
      <c r="S1455" s="5" t="inlineStr"/>
      <c r="T1455" s="5" t="inlineStr"/>
      <c r="U1455" s="5" t="inlineStr"/>
      <c r="V1455" s="5" t="inlineStr">
        <is>
          <t>hekim-profesor</t>
        </is>
      </c>
      <c r="W1455" s="5" t="inlineStr"/>
      <c r="X1455" s="5" t="inlineStr"/>
      <c r="Y1455" s="5" t="inlineStr"/>
      <c r="Z1455" s="6" t="inlineStr"/>
      <c r="AA1455" s="5" t="inlineStr"/>
      <c r="AB1455" s="5" t="inlineStr"/>
      <c r="AC1455" s="5" t="inlineStr"/>
      <c r="AD1455" s="5" t="inlineStr"/>
      <c r="AE1455" s="5" t="inlineStr"/>
      <c r="AF1455" s="5" t="inlineStr"/>
      <c r="AG1455" s="5" t="inlineStr"/>
      <c r="AH1455" s="5" t="inlineStr"/>
      <c r="AI1455" s="5" t="inlineStr"/>
      <c r="AJ1455" s="5" t="inlineStr"/>
    </row>
    <row r="1456">
      <c r="A1456" s="5" t="inlineStr">
        <is>
          <t>b8-hekim-profesorluk</t>
        </is>
      </c>
      <c r="B1456" s="5" t="n">
        <v>3</v>
      </c>
      <c r="C1456" s="6" t="inlineStr">
        <is>
          <t>Tek başına büyük çalışmayı bitir</t>
        </is>
      </c>
      <c r="D1456" s="5" t="inlineStr">
        <is>
          <t>Akıl</t>
        </is>
      </c>
      <c r="E1456" s="5" t="inlineStr">
        <is>
          <t>Zor</t>
        </is>
      </c>
      <c r="F1456" s="5" t="inlineStr"/>
      <c r="G1456" s="6" t="inlineStr"/>
      <c r="H1456" s="6" t="inlineStr">
        <is>
          <t>Üç ay gece gündüz çalıştın, büyük çalışmayı tek başına bitirdin. Jüri sorularını beş dakikada bitirdi; profesör oldun.</t>
        </is>
      </c>
      <c r="I1456" s="6" t="inlineStr">
        <is>
          <t>Çalışma yurt dışı bir dergide çıktı, Öte Diyar'dan bir hoca bile tebrik yazdı. Profesör oldun; aile grubu da “Artık bedava muayene mi?” diye sordu.</t>
        </is>
      </c>
      <c r="J1456" s="6" t="inlineStr">
        <is>
          <t>Çalışma bitti ama bir istatistik hatası çıktı. Düzeltmek bir dönem sürdü; jüri seni bir sonraki takvime yazdı.</t>
        </is>
      </c>
      <c r="K1456" s="6" t="inlineStr">
        <is>
          <t>Bütün verileri tek bilgisayarda tuttun. Asistan bilgisayarın üstüne çay döktü. Çalışmaya sıfırdan başladın; asistan o günden beri çayını karton bardakta içiyor.</t>
        </is>
      </c>
      <c r="L1456" s="6" t="inlineStr"/>
      <c r="M1456" s="5" t="inlineStr"/>
      <c r="N1456" s="5" t="inlineStr"/>
      <c r="O1456" s="6" t="inlineStr"/>
      <c r="P1456" s="6" t="inlineStr"/>
      <c r="Q1456" s="5" t="inlineStr"/>
      <c r="R1456" s="5" t="inlineStr"/>
      <c r="S1456" s="5" t="inlineStr"/>
      <c r="T1456" s="5" t="inlineStr">
        <is>
          <t>Ukala Ama Haklı</t>
        </is>
      </c>
      <c r="U1456" s="5" t="inlineStr"/>
      <c r="V1456" s="5" t="inlineStr">
        <is>
          <t>hekim-profesor</t>
        </is>
      </c>
      <c r="W1456" s="5" t="inlineStr"/>
      <c r="X1456" s="5" t="inlineStr"/>
      <c r="Y1456" s="5" t="inlineStr"/>
      <c r="Z1456" s="6" t="inlineStr"/>
      <c r="AA1456" s="5" t="inlineStr"/>
      <c r="AB1456" s="5" t="inlineStr"/>
      <c r="AC1456" s="5" t="inlineStr"/>
      <c r="AD1456" s="5" t="inlineStr"/>
      <c r="AE1456" s="5" t="inlineStr"/>
      <c r="AF1456" s="5" t="inlineStr"/>
      <c r="AG1456" s="5" t="inlineStr"/>
      <c r="AH1456" s="5" t="inlineStr"/>
      <c r="AI1456" s="5" t="inlineStr"/>
      <c r="AJ1456" s="5" t="inlineStr"/>
    </row>
    <row r="1457">
      <c r="A1457" s="5" t="inlineStr">
        <is>
          <t>b8-hekim-profesorluk</t>
        </is>
      </c>
      <c r="B1457" s="5" t="n">
        <v>4</v>
      </c>
      <c r="C1457" s="6" t="inlineStr">
        <is>
          <t>Kliniğin yıllık verisini topla</t>
        </is>
      </c>
      <c r="D1457" s="5" t="inlineStr">
        <is>
          <t>Dayanıklılık</t>
        </is>
      </c>
      <c r="E1457" s="5" t="inlineStr">
        <is>
          <t>Kolay</t>
        </is>
      </c>
      <c r="F1457" s="5" t="inlineStr"/>
      <c r="G1457" s="6" t="inlineStr"/>
      <c r="H1457" s="6" t="inlineStr">
        <is>
          <t>Klinik şefi olarak on yıllık veriye zaten sahiptin. Bir ayda topladın, iki ayda yazdın. Jüri toplanmadan profesör oldun.</t>
        </is>
      </c>
      <c r="I1457" s="6" t="inlineStr">
        <is>
          <t>Verin öyle zengin çıktı ki üç makale birden yazdın. Jüri “Bu kadarı fazla” dedi, yine de profesör yaptı.</t>
        </is>
      </c>
      <c r="J1457" s="6" t="inlineStr">
        <is>
          <t>Verileri topladın ama arşivin yarısı eski kâğıt dosyalardaymış. Jüri tarihine yetişemedin.</t>
        </is>
      </c>
      <c r="K1457" s="6" t="inlineStr">
        <is>
          <t>Arşivde en üst raftaki klasöre uzandın; raf seninle birlikte devrildi. Üç gün kâğıt topladın. Jüriye makale yetişmedi ama arşiv hiç bu kadar düzenli olmamıştı; başhemşire sana teşekkür kartı yazdı.</t>
        </is>
      </c>
      <c r="L1457" s="6" t="inlineStr"/>
      <c r="M1457" s="5" t="inlineStr"/>
      <c r="N1457" s="5" t="inlineStr"/>
      <c r="O1457" s="6" t="inlineStr"/>
      <c r="P1457" s="6" t="inlineStr"/>
      <c r="Q1457" s="5" t="inlineStr"/>
      <c r="R1457" s="5" t="inlineStr">
        <is>
          <t>klinik-sefi</t>
        </is>
      </c>
      <c r="S1457" s="5" t="inlineStr"/>
      <c r="T1457" s="5" t="inlineStr"/>
      <c r="U1457" s="5" t="inlineStr"/>
      <c r="V1457" s="5" t="inlineStr">
        <is>
          <t>hekim-profesor</t>
        </is>
      </c>
      <c r="W1457" s="5" t="inlineStr"/>
      <c r="X1457" s="5" t="inlineStr"/>
      <c r="Y1457" s="5" t="inlineStr"/>
      <c r="Z1457" s="6" t="inlineStr"/>
      <c r="AA1457" s="5" t="inlineStr"/>
      <c r="AB1457" s="5" t="inlineStr"/>
      <c r="AC1457" s="5" t="inlineStr"/>
      <c r="AD1457" s="5" t="inlineStr"/>
      <c r="AE1457" s="5" t="inlineStr"/>
      <c r="AF1457" s="5" t="inlineStr"/>
      <c r="AG1457" s="5" t="inlineStr"/>
      <c r="AH1457" s="5" t="inlineStr"/>
      <c r="AI1457" s="5" t="inlineStr"/>
      <c r="AJ1457" s="5" t="inlineStr"/>
    </row>
    <row r="1458">
      <c r="A1458" s="5" t="inlineStr">
        <is>
          <t>b8-hekim-aile-grubu</t>
        </is>
      </c>
      <c r="B1458" s="5" t="n">
        <v>1</v>
      </c>
      <c r="C1458" s="6" t="inlineStr">
        <is>
          <t>Hepsine “Hastaneye gel” yaz</t>
        </is>
      </c>
      <c r="D1458" s="5" t="inlineStr"/>
      <c r="E1458" s="5" t="inlineStr"/>
      <c r="F1458" s="5" t="inlineStr">
        <is>
          <t>İtibar +1, Dayanıklılık +1</t>
        </is>
      </c>
      <c r="G1458" s="6" t="inlineStr">
        <is>
          <t>Hepsine aynı cevabı yazdın: “Hastaneye gel.” Ertesi gün poliklinik kapında sekiz akraba; biri kek getirmiş, kimse randevu almamış.</t>
        </is>
      </c>
      <c r="H1458" s="6" t="inlineStr"/>
      <c r="I1458" s="6" t="inlineStr"/>
      <c r="J1458" s="6" t="inlineStr"/>
      <c r="K1458" s="6" t="inlineStr"/>
      <c r="L1458" s="6" t="inlineStr"/>
      <c r="M1458" s="5" t="inlineStr"/>
      <c r="N1458" s="5" t="inlineStr"/>
      <c r="O1458" s="6" t="inlineStr"/>
      <c r="P1458" s="6" t="inlineStr"/>
      <c r="Q1458" s="5" t="inlineStr"/>
      <c r="R1458" s="5" t="inlineStr"/>
      <c r="S1458" s="5" t="inlineStr"/>
      <c r="T1458" s="5" t="inlineStr"/>
      <c r="U1458" s="5" t="inlineStr"/>
      <c r="V1458" s="5" t="inlineStr"/>
      <c r="W1458" s="5" t="inlineStr"/>
      <c r="X1458" s="5" t="inlineStr"/>
      <c r="Y1458" s="5" t="inlineStr"/>
      <c r="Z1458" s="6" t="inlineStr"/>
      <c r="AA1458" s="5" t="inlineStr"/>
      <c r="AB1458" s="5" t="inlineStr"/>
      <c r="AC1458" s="5" t="inlineStr"/>
      <c r="AD1458" s="5" t="inlineStr"/>
      <c r="AE1458" s="5" t="inlineStr"/>
      <c r="AF1458" s="5" t="inlineStr"/>
      <c r="AG1458" s="5" t="inlineStr"/>
      <c r="AH1458" s="5" t="inlineStr"/>
      <c r="AI1458" s="5" t="inlineStr"/>
      <c r="AJ1458" s="5" t="inlineStr"/>
    </row>
    <row r="1459">
      <c r="A1459" s="5" t="inlineStr">
        <is>
          <t>b8-hekim-aile-grubu</t>
        </is>
      </c>
      <c r="B1459" s="5" t="n">
        <v>2</v>
      </c>
      <c r="C1459" s="6" t="inlineStr">
        <is>
          <t>Haftalık soru-cevap saati aç</t>
        </is>
      </c>
      <c r="D1459" s="5" t="inlineStr">
        <is>
          <t>Çene</t>
        </is>
      </c>
      <c r="E1459" s="5" t="inlineStr">
        <is>
          <t>Orta</t>
        </is>
      </c>
      <c r="F1459" s="5" t="inlineStr"/>
      <c r="G1459" s="6" t="inlineStr"/>
      <c r="H1459" s="6" t="inlineStr">
        <is>
          <t>Her pazar akşamı bir saat soru-cevap açtın; gerisi yasak. Grup kurala uydu. Pazar akşamları aile artık seni dinlemek için toplanıyor.</t>
        </is>
      </c>
      <c r="I1459" s="6" t="inlineStr">
        <is>
          <t>Pazar saati sevildi: yengenin komşusu, kuzenin kayınpederi, eniştenin berberi de gruba katıldı. Pazar akşamı dokuzda kimse dizi açmıyor; herkes telefonun başında seni bekliyor.</t>
        </is>
      </c>
      <c r="J1459" s="6" t="inlineStr">
        <is>
          <t>Soru-cevap saati açtın; sorular saat dışında da geldi, bu sefer “Saatin dışında ama...” diye başlayarak.</t>
        </is>
      </c>
      <c r="K1459" s="6" t="inlineStr">
        <is>
          <t>İlk soru-cevap saatinde kırk kişi aynı anda yazdı; telefonun ısındı, kapandı. Grupta üç saat “Doktora bir şey oldu” paniği yaşandı. Halan ambulans çağırmış; adresi senin hastanen.</t>
        </is>
      </c>
      <c r="L1459" s="6" t="inlineStr"/>
      <c r="M1459" s="5" t="inlineStr"/>
      <c r="N1459" s="5" t="inlineStr"/>
      <c r="O1459" s="6" t="inlineStr"/>
      <c r="P1459" s="6" t="inlineStr"/>
      <c r="Q1459" s="5" t="inlineStr"/>
      <c r="R1459" s="5" t="inlineStr"/>
      <c r="S1459" s="5" t="inlineStr"/>
      <c r="T1459" s="5" t="inlineStr"/>
      <c r="U1459" s="5" t="inlineStr"/>
      <c r="V1459" s="5" t="inlineStr"/>
      <c r="W1459" s="5" t="inlineStr"/>
      <c r="X1459" s="5" t="inlineStr"/>
      <c r="Y1459" s="5" t="inlineStr"/>
      <c r="Z1459" s="6" t="inlineStr"/>
      <c r="AA1459" s="5" t="inlineStr"/>
      <c r="AB1459" s="5" t="inlineStr"/>
      <c r="AC1459" s="5" t="inlineStr"/>
      <c r="AD1459" s="5" t="inlineStr"/>
      <c r="AE1459" s="5" t="inlineStr"/>
      <c r="AF1459" s="5" t="inlineStr"/>
      <c r="AG1459" s="5" t="inlineStr"/>
      <c r="AH1459" s="5" t="inlineStr"/>
      <c r="AI1459" s="5" t="inlineStr"/>
      <c r="AJ1459" s="5" t="inlineStr"/>
    </row>
    <row r="1460">
      <c r="A1460" s="5" t="inlineStr">
        <is>
          <t>b8-hekim-aile-grubu</t>
        </is>
      </c>
      <c r="B1460" s="5" t="n">
        <v>3</v>
      </c>
      <c r="C1460" s="6" t="inlineStr">
        <is>
          <t>Aile grubuna da sözcü seç</t>
        </is>
      </c>
      <c r="D1460" s="5" t="inlineStr">
        <is>
          <t>Sosyal Radar</t>
        </is>
      </c>
      <c r="E1460" s="5" t="inlineStr">
        <is>
          <t>Kolay</t>
        </is>
      </c>
      <c r="F1460" s="5" t="inlineStr"/>
      <c r="G1460" s="6" t="inlineStr"/>
      <c r="H1460" s="6" t="inlineStr">
        <is>
          <t>Hastanedeki sözcü usulünü aileye uyguladın: sorular önce kuzenine gidiyor, o süzüp sana getiriyor. Günde yüz mesaj, üçe indi.</t>
        </is>
      </c>
      <c r="I1460" s="6" t="inlineStr">
        <is>
          <t>Kuzenin sözcülükte öyle ustalaştı ki artık yarı doktor gibi konuşuyor. Aile ona soruyor, o sana; sen de sonunda uyuyorsun.</t>
        </is>
      </c>
      <c r="J1460" s="6" t="inlineStr">
        <is>
          <t>Sözcüyü seçtin; halan yine sana yazdı: “Kuzenine sordum, sen de bir bak.” Artık her soru iki kez geliyor.</t>
        </is>
      </c>
      <c r="K1460" s="6" t="inlineStr">
        <is>
          <t>Sözcü seçtiğin kuzen ilk gün kendi teşhisini koymaya başladı. Şimdi iki doktorlu bir grubunuz var; biri değil.</t>
        </is>
      </c>
      <c r="L1460" s="6" t="inlineStr"/>
      <c r="M1460" s="5" t="inlineStr"/>
      <c r="N1460" s="5" t="inlineStr"/>
      <c r="O1460" s="6" t="inlineStr"/>
      <c r="P1460" s="6" t="inlineStr"/>
      <c r="Q1460" s="5" t="inlineStr"/>
      <c r="R1460" s="5" t="inlineStr">
        <is>
          <t>hekim-sozcu-usulu</t>
        </is>
      </c>
      <c r="S1460" s="5" t="inlineStr"/>
      <c r="T1460" s="5" t="inlineStr"/>
      <c r="U1460" s="5" t="inlineStr"/>
      <c r="V1460" s="5" t="inlineStr"/>
      <c r="W1460" s="5" t="inlineStr"/>
      <c r="X1460" s="5" t="inlineStr"/>
      <c r="Y1460" s="5" t="inlineStr"/>
      <c r="Z1460" s="6" t="inlineStr"/>
      <c r="AA1460" s="5" t="inlineStr"/>
      <c r="AB1460" s="5" t="inlineStr"/>
      <c r="AC1460" s="5" t="inlineStr"/>
      <c r="AD1460" s="5" t="inlineStr"/>
      <c r="AE1460" s="5" t="inlineStr"/>
      <c r="AF1460" s="5" t="inlineStr"/>
      <c r="AG1460" s="5" t="inlineStr"/>
      <c r="AH1460" s="5" t="inlineStr"/>
      <c r="AI1460" s="5" t="inlineStr"/>
      <c r="AJ1460" s="5" t="inlineStr"/>
    </row>
    <row r="1461">
      <c r="A1461" s="5" t="inlineStr">
        <is>
          <t>b8-hekim-aile-grubu</t>
        </is>
      </c>
      <c r="B1461" s="5" t="n">
        <v>4</v>
      </c>
      <c r="C1461" s="6" t="inlineStr">
        <is>
          <t>Grubu sessize al</t>
        </is>
      </c>
      <c r="D1461" s="5" t="inlineStr">
        <is>
          <t>Pişkinlik</t>
        </is>
      </c>
      <c r="E1461" s="5" t="inlineStr">
        <is>
          <t>Zor</t>
        </is>
      </c>
      <c r="F1461" s="5" t="inlineStr"/>
      <c r="G1461" s="6" t="inlineStr"/>
      <c r="H1461" s="6" t="inlineStr">
        <is>
          <t>Grubu sessize aldın. Üç gün kimse fark etmedi; dördüncü gün teyzen hastaneye gelip seni buldu: “Görmüyor musun?” Görmüyordun, rahattın.</t>
        </is>
      </c>
      <c r="I1461" s="6" t="inlineStr">
        <is>
          <t>Sessize aldın ve kimse fark etmedi. Grup kendi kendine bir ay yaşadı; sen sadece bayramda bir mesaj attın, tüm aile duygulandı.</t>
        </is>
      </c>
      <c r="J1461" s="6" t="inlineStr">
        <is>
          <t>Sessize aldın ama bir saat sonra dayanamayıp açtın. Kırk yeni mesaj, biri dizin fotoğrafı.</t>
        </is>
      </c>
      <c r="K1461" s="6" t="inlineStr">
        <is>
          <t>Sessize alırken yanlışlıkla gruptan çıktın. Ekranda tek satır belirdi: “Doktor gruptan ayrıldı.” Yarım saatte annen ağlayarak aradı; bir saat sonra teyzen börekle kapındaydı: “Biz sana ne yaptık?”</t>
        </is>
      </c>
      <c r="L1461" s="6" t="inlineStr"/>
      <c r="M1461" s="5" t="inlineStr"/>
      <c r="N1461" s="5" t="inlineStr"/>
      <c r="O1461" s="6" t="inlineStr"/>
      <c r="P1461" s="6" t="inlineStr"/>
      <c r="Q1461" s="5" t="inlineStr"/>
      <c r="R1461" s="5" t="inlineStr"/>
      <c r="S1461" s="5" t="inlineStr"/>
      <c r="T1461" s="5" t="inlineStr">
        <is>
          <t>Sessize Alma Ustası</t>
        </is>
      </c>
      <c r="U1461" s="5" t="inlineStr"/>
      <c r="V1461" s="5" t="inlineStr"/>
      <c r="W1461" s="5" t="inlineStr"/>
      <c r="X1461" s="5" t="inlineStr"/>
      <c r="Y1461" s="5" t="inlineStr"/>
      <c r="Z1461" s="6" t="inlineStr"/>
      <c r="AA1461" s="5" t="inlineStr"/>
      <c r="AB1461" s="5" t="inlineStr"/>
      <c r="AC1461" s="5" t="inlineStr"/>
      <c r="AD1461" s="5" t="inlineStr"/>
      <c r="AE1461" s="5" t="inlineStr"/>
      <c r="AF1461" s="5" t="inlineStr"/>
      <c r="AG1461" s="5" t="inlineStr"/>
      <c r="AH1461" s="5" t="inlineStr"/>
      <c r="AI1461" s="5" t="inlineStr"/>
      <c r="AJ1461" s="5" t="inlineStr"/>
    </row>
    <row r="1462">
      <c r="A1462" s="5" t="inlineStr">
        <is>
          <t>b9-hekim-son-vizit</t>
        </is>
      </c>
      <c r="B1462" s="5" t="n">
        <v>1</v>
      </c>
      <c r="C1462" s="6" t="inlineStr">
        <is>
          <t>Bir asistana fikrini sor</t>
        </is>
      </c>
      <c r="D1462" s="5" t="inlineStr"/>
      <c r="E1462" s="5" t="inlineStr"/>
      <c r="F1462" s="5" t="inlineStr">
        <is>
          <t>Akıl +1, İtibar +1</t>
        </is>
      </c>
      <c r="G1462" s="6" t="inlineStr">
        <is>
          <t>Bir asistana döndün: “Bu hastada ne düşünüyorsun?” “Emin değilim hocam, bakıp söyleyeceğim” dedi. Gülümsedin; bu da profesör olur.</t>
        </is>
      </c>
      <c r="H1462" s="6" t="inlineStr"/>
      <c r="I1462" s="6" t="inlineStr"/>
      <c r="J1462" s="6" t="inlineStr"/>
      <c r="K1462" s="6" t="inlineStr"/>
      <c r="L1462" s="6" t="inlineStr"/>
      <c r="M1462" s="5" t="inlineStr"/>
      <c r="N1462" s="5" t="inlineStr"/>
      <c r="O1462" s="6" t="inlineStr"/>
      <c r="P1462" s="6" t="inlineStr"/>
      <c r="Q1462" s="5" t="inlineStr"/>
      <c r="R1462" s="5" t="inlineStr"/>
      <c r="S1462" s="5" t="inlineStr"/>
      <c r="T1462" s="5" t="inlineStr"/>
      <c r="U1462" s="5" t="inlineStr"/>
      <c r="V1462" s="5" t="inlineStr"/>
      <c r="W1462" s="5" t="inlineStr"/>
      <c r="X1462" s="5" t="inlineStr"/>
      <c r="Y1462" s="5" t="inlineStr"/>
      <c r="Z1462" s="6" t="inlineStr"/>
      <c r="AA1462" s="5" t="inlineStr"/>
      <c r="AB1462" s="5" t="inlineStr"/>
      <c r="AC1462" s="5" t="inlineStr"/>
      <c r="AD1462" s="5" t="inlineStr"/>
      <c r="AE1462" s="5" t="inlineStr"/>
      <c r="AF1462" s="5" t="inlineStr"/>
      <c r="AG1462" s="5" t="inlineStr"/>
      <c r="AH1462" s="5" t="inlineStr"/>
      <c r="AI1462" s="5" t="inlineStr"/>
      <c r="AJ1462" s="5" t="inlineStr"/>
    </row>
    <row r="1463">
      <c r="A1463" s="5" t="inlineStr">
        <is>
          <t>b9-hekim-son-vizit</t>
        </is>
      </c>
      <c r="B1463" s="5" t="n">
        <v>2</v>
      </c>
      <c r="C1463" s="6" t="inlineStr">
        <is>
          <t>Hastayla uzun uzun sohbet et</t>
        </is>
      </c>
      <c r="D1463" s="5" t="inlineStr">
        <is>
          <t>İtibar</t>
        </is>
      </c>
      <c r="E1463" s="5" t="inlineStr">
        <is>
          <t>Orta</t>
        </is>
      </c>
      <c r="F1463" s="5" t="inlineStr"/>
      <c r="G1463" s="6" t="inlineStr"/>
      <c r="H1463" s="6" t="inlineStr">
        <is>
          <t>Vizit durdu; hastayla torunlarından, bahçesinden konuştun. Asistanlar not aldı; sonra neden not aldıklarını anladılar.</t>
        </is>
      </c>
      <c r="I1463" s="6" t="inlineStr">
        <is>
          <t>Hasta seni bahçesine davet etti, asistanları da. Taburcu olduğu pazar yirmi bir kişi bir bahçede kiraz topladı; hasta en tepedeydi.</t>
        </is>
      </c>
      <c r="J1463" s="6" t="inlineStr">
        <is>
          <t>Sohbete başladın; hasta uykuya daldı. Asistanlar sessizce bekledi. Son vizit en sessiz vizitin oldu.</t>
        </is>
      </c>
      <c r="K1463" s="6" t="inlineStr">
        <is>
          <t>Hastaya hayatını anlattın, sonra kendi hayatını. Hasta sonunda sana “Siz iyi misiniz hocam?” diye sordu.</t>
        </is>
      </c>
      <c r="L1463" s="6" t="inlineStr"/>
      <c r="M1463" s="5" t="inlineStr"/>
      <c r="N1463" s="5" t="inlineStr"/>
      <c r="O1463" s="6" t="inlineStr"/>
      <c r="P1463" s="6" t="inlineStr"/>
      <c r="Q1463" s="5" t="inlineStr"/>
      <c r="R1463" s="5" t="inlineStr"/>
      <c r="S1463" s="5" t="inlineStr"/>
      <c r="T1463" s="5" t="inlineStr"/>
      <c r="U1463" s="5" t="inlineStr"/>
      <c r="V1463" s="5" t="inlineStr"/>
      <c r="W1463" s="5" t="inlineStr"/>
      <c r="X1463" s="5" t="inlineStr"/>
      <c r="Y1463" s="5" t="inlineStr"/>
      <c r="Z1463" s="6" t="inlineStr"/>
      <c r="AA1463" s="5" t="inlineStr"/>
      <c r="AB1463" s="5" t="inlineStr"/>
      <c r="AC1463" s="5" t="inlineStr"/>
      <c r="AD1463" s="5" t="inlineStr"/>
      <c r="AE1463" s="5" t="inlineStr"/>
      <c r="AF1463" s="5" t="inlineStr"/>
      <c r="AG1463" s="5" t="inlineStr"/>
      <c r="AH1463" s="5" t="inlineStr"/>
      <c r="AI1463" s="5" t="inlineStr"/>
      <c r="AJ1463" s="5" t="inlineStr"/>
    </row>
    <row r="1464">
      <c r="A1464" s="5" t="inlineStr">
        <is>
          <t>b9-hekim-son-vizit</t>
        </is>
      </c>
      <c r="B1464" s="5" t="n">
        <v>3</v>
      </c>
      <c r="C1464" s="6" t="inlineStr">
        <is>
          <t>Son bir zor vakayı çöz</t>
        </is>
      </c>
      <c r="D1464" s="5" t="inlineStr">
        <is>
          <t>Akıl</t>
        </is>
      </c>
      <c r="E1464" s="5" t="inlineStr">
        <is>
          <t>Zor</t>
        </is>
      </c>
      <c r="F1464" s="5" t="inlineStr"/>
      <c r="G1464" s="6" t="inlineStr"/>
      <c r="H1464" s="6" t="inlineStr">
        <is>
          <t>Kimsenin çözemediği bir vakayı yatak başında on dakikada bağladın. Asistanlar alkışlamak istedi; hastanede alkış olmaz, yerlerinde kıpırdandılar.</t>
        </is>
      </c>
      <c r="I1464" s="6" t="inlineStr">
        <is>
          <t>Vakayı çözdün, hasta ertesi hafta taburcu oldu. Olgu sunumu asistanların ilk makalesi oldu; teşekkür kısmı bir sayfa.</t>
        </is>
      </c>
      <c r="J1464" s="6" t="inlineStr">
        <is>
          <t>Vakayı çözemedin; bir asistan çözdü. Onu tebrik ettin. İçinden de biraz kendini.</t>
        </is>
      </c>
      <c r="K1464" s="6" t="inlineStr">
        <is>
          <t>Vakayı çözerken eski bir bilgiyi yeni sandın. En genç asistan nazikçe düzeltti. Emekliliğin tam vaktinde geldi.</t>
        </is>
      </c>
      <c r="L1464" s="6" t="inlineStr"/>
      <c r="M1464" s="5" t="inlineStr"/>
      <c r="N1464" s="5" t="inlineStr"/>
      <c r="O1464" s="6" t="inlineStr"/>
      <c r="P1464" s="6" t="inlineStr"/>
      <c r="Q1464" s="5" t="inlineStr"/>
      <c r="R1464" s="5" t="inlineStr"/>
      <c r="S1464" s="5" t="inlineStr"/>
      <c r="T1464" s="5" t="inlineStr">
        <is>
          <t>Ukala Ama Haklı</t>
        </is>
      </c>
      <c r="U1464" s="5" t="inlineStr"/>
      <c r="V1464" s="5" t="inlineStr"/>
      <c r="W1464" s="5" t="inlineStr"/>
      <c r="X1464" s="5" t="inlineStr"/>
      <c r="Y1464" s="5" t="inlineStr"/>
      <c r="Z1464" s="6" t="inlineStr"/>
      <c r="AA1464" s="5" t="inlineStr"/>
      <c r="AB1464" s="5" t="inlineStr"/>
      <c r="AC1464" s="5" t="inlineStr"/>
      <c r="AD1464" s="5" t="inlineStr"/>
      <c r="AE1464" s="5" t="inlineStr"/>
      <c r="AF1464" s="5" t="inlineStr"/>
      <c r="AG1464" s="5" t="inlineStr"/>
      <c r="AH1464" s="5" t="inlineStr"/>
      <c r="AI1464" s="5" t="inlineStr"/>
      <c r="AJ1464" s="5" t="inlineStr"/>
    </row>
    <row r="1465">
      <c r="A1465" s="5" t="inlineStr">
        <is>
          <t>k10-polis</t>
        </is>
      </c>
      <c r="B1465" s="5" t="n">
        <v>1</v>
      </c>
      <c r="C1465" s="6" t="inlineStr">
        <is>
          <t>Zarfı reddet</t>
        </is>
      </c>
      <c r="D1465" s="5" t="inlineStr"/>
      <c r="E1465" s="5" t="inlineStr"/>
      <c r="F1465" s="5" t="inlineStr">
        <is>
          <t>İtibar +1, Cesaret +1</t>
        </is>
      </c>
      <c r="G1465" s="6" t="inlineStr">
        <is>
          <t>Zarfı fincanla birlikte adama geri yolladın, üstüne tutanak tuttun. Çaycı fincanı geri götürürken fısıldadı: “Bu karakolda çok çay taşıdım, zarfı ilk kez geri taşıyorum.”</t>
        </is>
      </c>
      <c r="H1465" s="6" t="inlineStr"/>
      <c r="I1465" s="6" t="inlineStr"/>
      <c r="J1465" s="6" t="inlineStr"/>
      <c r="K1465" s="6" t="inlineStr"/>
      <c r="L1465" s="6" t="inlineStr"/>
      <c r="M1465" s="5" t="inlineStr"/>
      <c r="N1465" s="5" t="inlineStr"/>
      <c r="O1465" s="6" t="inlineStr"/>
      <c r="P1465" s="6" t="inlineStr"/>
      <c r="Q1465" s="5" t="inlineStr"/>
      <c r="R1465" s="5" t="inlineStr"/>
      <c r="S1465" s="5" t="inlineStr"/>
      <c r="T1465" s="5" t="inlineStr"/>
      <c r="U1465" s="5" t="inlineStr"/>
      <c r="V1465" s="5" t="inlineStr"/>
      <c r="W1465" s="5" t="inlineStr"/>
      <c r="X1465" s="5" t="inlineStr"/>
      <c r="Y1465" s="5" t="inlineStr"/>
      <c r="Z1465" s="6" t="inlineStr"/>
      <c r="AA1465" s="5" t="inlineStr"/>
      <c r="AB1465" s="5" t="inlineStr"/>
      <c r="AC1465" s="5" t="inlineStr"/>
      <c r="AD1465" s="5" t="inlineStr"/>
      <c r="AE1465" s="5" t="inlineStr"/>
      <c r="AF1465" s="5" t="inlineStr"/>
      <c r="AG1465" s="5" t="inlineStr"/>
      <c r="AH1465" s="5" t="inlineStr"/>
      <c r="AI1465" s="5" t="inlineStr"/>
      <c r="AJ1465" s="5" t="inlineStr"/>
    </row>
    <row r="1466">
      <c r="A1466" s="5" t="inlineStr">
        <is>
          <t>k10-polis</t>
        </is>
      </c>
      <c r="B1466" s="5" t="n">
        <v>2</v>
      </c>
      <c r="C1466" s="6" t="inlineStr">
        <is>
          <t>Zarfı al</t>
        </is>
      </c>
      <c r="D1466" s="5" t="inlineStr">
        <is>
          <t>Kurnazlık</t>
        </is>
      </c>
      <c r="E1466" s="5" t="inlineStr">
        <is>
          <t>Zor</t>
        </is>
      </c>
      <c r="F1466" s="5" t="inlineStr"/>
      <c r="G1466" s="6" t="inlineStr"/>
      <c r="H1466" s="6" t="inlineStr">
        <is>
          <t>Zarfı çekmeceye koydun, dosya yavaşladı, kimse bir şey sormadı. Evde yeni bir koltuk var; oturunca biraz batıyor.</t>
        </is>
      </c>
      <c r="I1466" s="6" t="inlineStr">
        <is>
          <t>Zarf sessizce geldi, sessizce eridi; müteahhit bile unuttu. Hayatın rahat. Vicdanın ara sıra kapıyı çalıyor, açmıyorsun.</t>
        </is>
      </c>
      <c r="J1466" s="6" t="inlineStr">
        <is>
          <t>Zarfı koyduğun çekmece, iç denetimin o hafta açtığı ilk çekmeceymiş. Nezarethaneyi bu sefer içeriden gördün.</t>
        </is>
      </c>
      <c r="K1466" s="6" t="inlineStr">
        <is>
          <t>Zarfı sayarken kamera açıktı; kamerayı sen taktırmıştın, geçen yıl. Dava kısa sürdü, ceza uzun.</t>
        </is>
      </c>
      <c r="L1466" s="6" t="inlineStr"/>
      <c r="M1466" s="5" t="inlineStr"/>
      <c r="N1466" s="5" t="inlineStr"/>
      <c r="O1466" s="6" t="inlineStr"/>
      <c r="P1466" s="6" t="inlineStr"/>
      <c r="Q1466" s="5" t="inlineStr"/>
      <c r="R1466" s="5" t="inlineStr"/>
      <c r="S1466" s="5" t="inlineStr"/>
      <c r="T1466" s="5" t="inlineStr"/>
      <c r="U1466" s="5" t="inlineStr"/>
      <c r="V1466" s="5" t="inlineStr">
        <is>
          <t>zarf-aldi</t>
        </is>
      </c>
      <c r="W1466" s="5" t="inlineStr"/>
      <c r="X1466" s="5" t="inlineStr"/>
      <c r="Y1466" s="5" t="inlineStr"/>
      <c r="Z1466" s="6" t="inlineStr"/>
      <c r="AA1466" s="5" t="inlineStr"/>
      <c r="AB1466" s="5" t="inlineStr">
        <is>
          <t>hapis</t>
        </is>
      </c>
      <c r="AC1466" s="5" t="inlineStr"/>
      <c r="AD1466" s="5" t="inlineStr">
        <is>
          <t>Rahat</t>
        </is>
      </c>
      <c r="AE1466" s="5" t="inlineStr"/>
      <c r="AF1466" s="5" t="inlineStr"/>
      <c r="AG1466" s="5" t="inlineStr"/>
      <c r="AH1466" s="5" t="inlineStr"/>
      <c r="AI1466" s="5" t="inlineStr"/>
      <c r="AJ1466" s="5" t="inlineStr"/>
    </row>
    <row r="1467">
      <c r="A1467" s="5" t="inlineStr">
        <is>
          <t>k10-polis</t>
        </is>
      </c>
      <c r="B1467" s="5" t="n">
        <v>3</v>
      </c>
      <c r="C1467" s="6" t="inlineStr">
        <is>
          <t>Karşı tarafa geç</t>
        </is>
      </c>
      <c r="D1467" s="5" t="inlineStr">
        <is>
          <t>Kurnazlık</t>
        </is>
      </c>
      <c r="E1467" s="5" t="inlineStr">
        <is>
          <t>Zor</t>
        </is>
      </c>
      <c r="F1467" s="5" t="inlineStr"/>
      <c r="G1467" s="6" t="inlineStr"/>
      <c r="H1467" s="6" t="inlineStr">
        <is>
          <t>Zarfı değil, teklifin tamamını aldın: rozeti bırakıp müteahhidin “güvenlik danışmanı” oldun. Maaş üç katı; eski ekibin selamı kesti.</t>
        </is>
      </c>
      <c r="I1467" s="6" t="inlineStr">
        <is>
          <t>Rozeti bıraktın, müteahhidin sağ kolu oldun. Arabalar, ofis, adını fısıldayan adamlar. Annen telefonu açmıyor.</t>
        </is>
      </c>
      <c r="J1467" s="6" t="inlineStr">
        <is>
          <t>İstifa dilekçeni yazdın ama müteahhidin adamı ortadan kayboldu. Rozet hâlâ sende; artık her adımını bir üst makam izliyor.</t>
        </is>
      </c>
      <c r="K1467" s="6" t="inlineStr">
        <is>
          <t>Müteahhidin adamı numaranı telefonuna “Karakol – Zarf” diye kaydetmiş. Telefon iç denetimin elinde açıldı. İstifan kabul edilmedi; çayını artık amirin getiriyor, gözünü senden ayırmadan.</t>
        </is>
      </c>
      <c r="L1467" s="6" t="inlineStr"/>
      <c r="M1467" s="5" t="inlineStr"/>
      <c r="N1467" s="5" t="inlineStr"/>
      <c r="O1467" s="6" t="inlineStr"/>
      <c r="P1467" s="6" t="inlineStr"/>
      <c r="Q1467" s="5" t="inlineStr"/>
      <c r="R1467" s="5" t="inlineStr"/>
      <c r="S1467" s="5" t="inlineStr"/>
      <c r="T1467" s="5" t="inlineStr"/>
      <c r="U1467" s="5" t="inlineStr"/>
      <c r="V1467" s="5" t="inlineStr">
        <is>
          <t>-hat-dolandirici, -hat-girisimci, -hat-goc, -hat-hekim, -hat-koy, -hat-polis, -hat-politika, -hat-sohret, -hat-usta, -hat-yargi, -meslek-beyazyaka, -meslek-memur, -meslek-serbest, hat-cete, meslek-esnaf</t>
        </is>
      </c>
      <c r="W1467" s="5" t="inlineStr"/>
      <c r="X1467" s="5" t="inlineStr"/>
      <c r="Y1467" s="5" t="inlineStr"/>
      <c r="Z1467" s="6" t="inlineStr"/>
      <c r="AA1467" s="5" t="inlineStr">
        <is>
          <t>hepsi -1</t>
        </is>
      </c>
      <c r="AB1467" s="5" t="inlineStr">
        <is>
          <t>polis-gozetim</t>
        </is>
      </c>
      <c r="AC1467" s="5" t="inlineStr"/>
      <c r="AD1467" s="5" t="inlineStr">
        <is>
          <t>Rahat</t>
        </is>
      </c>
      <c r="AE1467" s="5" t="inlineStr"/>
      <c r="AF1467" s="5" t="inlineStr"/>
      <c r="AG1467" s="5" t="inlineStr"/>
      <c r="AH1467" s="5" t="inlineStr"/>
      <c r="AI1467" s="5" t="inlineStr"/>
      <c r="AJ1467" s="5" t="inlineStr"/>
    </row>
    <row r="1468">
      <c r="A1468" s="5" t="inlineStr">
        <is>
          <t>k10-polis</t>
        </is>
      </c>
      <c r="B1468" s="5" t="n">
        <v>4</v>
      </c>
      <c r="C1468" s="6" t="inlineStr">
        <is>
          <t>İhbar et</t>
        </is>
      </c>
      <c r="D1468" s="5" t="inlineStr">
        <is>
          <t>Cesaret</t>
        </is>
      </c>
      <c r="E1468" s="5" t="inlineStr">
        <is>
          <t>Zor</t>
        </is>
      </c>
      <c r="F1468" s="5" t="inlineStr"/>
      <c r="G1468" s="6" t="inlineStr"/>
      <c r="H1468" s="6" t="inlineStr">
        <is>
          <t>Zarfı delil torbasına koyup başsavcılığa götürdün. Müteahhit, üç memur ve bir fincan gözaltında. Haberlerde adın geçti; ertesi gün bir parti kapını çaldı: “Aday olur musun?”</t>
        </is>
      </c>
      <c r="I1468" s="6" t="inlineStr">
        <is>
          <t>Haberlerde yüzün, karakolun önünde kalabalık. Bir parti seni listenin başına yazdı. Rozetini çerçeveletip salona astın; annen misafirlere önce onu gösteriyor, sonra seni.</t>
        </is>
      </c>
      <c r="J1468" s="6" t="inlineStr">
        <is>
          <t>İhbar ettin; dosya bir masadan öbürüne, sonra hiçbir masaya gitti. Bir ay sonra tayinin çıktı: haritada ilk kez gördüğün bir ilçe. Rozet hâlâ sende.</t>
        </is>
      </c>
      <c r="K1468" s="6" t="inlineStr">
        <is>
          <t>İhbarın ertesi günü müteahhidin kuzeni amirin oldu. Tayinin uzak bir dağ ilçesine; karakolun tek aracı bir traktör.</t>
        </is>
      </c>
      <c r="L1468" s="6" t="inlineStr"/>
      <c r="M1468" s="5" t="inlineStr"/>
      <c r="N1468" s="5" t="inlineStr"/>
      <c r="O1468" s="6" t="inlineStr"/>
      <c r="P1468" s="6" t="inlineStr"/>
      <c r="Q1468" s="5" t="inlineStr"/>
      <c r="R1468" s="5" t="inlineStr"/>
      <c r="S1468" s="5" t="inlineStr"/>
      <c r="T1468" s="5" t="inlineStr"/>
      <c r="U1468" s="5" t="inlineStr"/>
      <c r="V1468" s="5" t="inlineStr">
        <is>
          <t>-hat-cete, -hat-dolandirici, -hat-girisimci, -hat-goc, -hat-hekim, -hat-koy, -hat-polis, -hat-sohret, -hat-usta, -hat-yargi, -meslek-beyazyaka, -meslek-esnaf, -meslek-memur, -meslek-serbest, hat-politika</t>
        </is>
      </c>
      <c r="W1468" s="5" t="inlineStr"/>
      <c r="X1468" s="5" t="inlineStr"/>
      <c r="Y1468" s="5" t="inlineStr"/>
      <c r="Z1468" s="6" t="inlineStr"/>
      <c r="AA1468" s="5" t="inlineStr"/>
      <c r="AB1468" s="5" t="inlineStr">
        <is>
          <t>polis-surgun</t>
        </is>
      </c>
      <c r="AC1468" s="5" t="inlineStr"/>
      <c r="AD1468" s="5" t="inlineStr"/>
      <c r="AE1468" s="5" t="inlineStr"/>
      <c r="AF1468" s="5" t="inlineStr"/>
      <c r="AG1468" s="5" t="inlineStr"/>
      <c r="AH1468" s="5" t="inlineStr"/>
      <c r="AI1468" s="5" t="inlineStr"/>
      <c r="AJ1468" s="5" t="inlineStr"/>
    </row>
    <row r="1469">
      <c r="A1469" s="5" t="inlineStr">
        <is>
          <t>k10-yargi</t>
        </is>
      </c>
      <c r="B1469" s="5" t="n">
        <v>1</v>
      </c>
      <c r="C1469" s="6" t="inlineStr">
        <is>
          <t>Dosyaya göre karar ver</t>
        </is>
      </c>
      <c r="D1469" s="5" t="inlineStr"/>
      <c r="E1469" s="5" t="inlineStr"/>
      <c r="F1469" s="5" t="inlineStr">
        <is>
          <t>Akıl +1, İtibar +1</t>
        </is>
      </c>
      <c r="G1469" s="6" t="inlineStr">
        <is>
          <t>Dosyayı okudun, bilirkişiyi dinledin, kararı verdin: çınar da park da kalıyor. Telefonun bir hafta çaldı, sonra sustu. Ay sonunda adliyeye bir zarf geldi: parktaki çocukların resmi. Kocaman bir ağaç, altında cübbeli biri.</t>
        </is>
      </c>
      <c r="H1469" s="6" t="inlineStr"/>
      <c r="I1469" s="6" t="inlineStr"/>
      <c r="J1469" s="6" t="inlineStr"/>
      <c r="K1469" s="6" t="inlineStr"/>
      <c r="L1469" s="6" t="inlineStr"/>
      <c r="M1469" s="5" t="inlineStr"/>
      <c r="N1469" s="5" t="inlineStr"/>
      <c r="O1469" s="6" t="inlineStr"/>
      <c r="P1469" s="6" t="inlineStr"/>
      <c r="Q1469" s="5" t="inlineStr"/>
      <c r="R1469" s="5" t="inlineStr"/>
      <c r="S1469" s="5" t="inlineStr"/>
      <c r="T1469" s="5" t="inlineStr"/>
      <c r="U1469" s="5" t="inlineStr"/>
      <c r="V1469" s="5" t="inlineStr"/>
      <c r="W1469" s="5" t="inlineStr"/>
      <c r="X1469" s="5" t="inlineStr"/>
      <c r="Y1469" s="5" t="inlineStr"/>
      <c r="Z1469" s="6" t="inlineStr"/>
      <c r="AA1469" s="5" t="inlineStr"/>
      <c r="AB1469" s="5" t="inlineStr"/>
      <c r="AC1469" s="5" t="inlineStr"/>
      <c r="AD1469" s="5" t="inlineStr"/>
      <c r="AE1469" s="5" t="inlineStr"/>
      <c r="AF1469" s="5" t="inlineStr"/>
      <c r="AG1469" s="5" t="inlineStr"/>
      <c r="AH1469" s="5" t="inlineStr"/>
      <c r="AI1469" s="5" t="inlineStr"/>
      <c r="AJ1469" s="5" t="inlineStr"/>
    </row>
    <row r="1470">
      <c r="A1470" s="5" t="inlineStr">
        <is>
          <t>k10-yargi</t>
        </is>
      </c>
      <c r="B1470" s="5" t="n">
        <v>2</v>
      </c>
      <c r="C1470" s="6" t="inlineStr">
        <is>
          <t>Baskıya boyun eğ</t>
        </is>
      </c>
      <c r="D1470" s="5" t="inlineStr">
        <is>
          <t>Kurnazlık</t>
        </is>
      </c>
      <c r="E1470" s="5" t="inlineStr">
        <is>
          <t>Zor</t>
        </is>
      </c>
      <c r="F1470" s="5" t="inlineStr"/>
      <c r="G1470" s="6" t="inlineStr"/>
      <c r="H1470" s="6" t="inlineStr">
        <is>
          <t>Kararı istedikleri gibi yazdın, gerekçeyi kimsenin okumayacağı kadar uzattın. Çınar gitti; sana şehir dışında bir yazlık kaldı, kimin adına olduğu belirsiz.</t>
        </is>
      </c>
      <c r="I1470" s="6" t="inlineStr">
        <is>
          <t>Karar sessizce kesinleşti, kimse itiraz etmedi. Yazlığın denize bakıyor. Çınarın yerinde bir otopark; oraya hiç park etmiyorsun.</t>
        </is>
      </c>
      <c r="J1470" s="6" t="inlineStr">
        <is>
          <t>Kararı yazdın; ertesi gün mesajların bir gazetede çıktı. Önce kurul dinledi, sonra savcılık. Cübbe askıda, sen içeride.</t>
        </is>
      </c>
      <c r="K1470" s="6" t="inlineStr">
        <is>
          <t>Mesajları sileyim derken adliyenin ortak grubuna ilettin. Soruşturma bir öğleden sonrada bitti.</t>
        </is>
      </c>
      <c r="L1470" s="6" t="inlineStr"/>
      <c r="M1470" s="5" t="inlineStr"/>
      <c r="N1470" s="5" t="inlineStr"/>
      <c r="O1470" s="6" t="inlineStr"/>
      <c r="P1470" s="6" t="inlineStr"/>
      <c r="Q1470" s="5" t="inlineStr"/>
      <c r="R1470" s="5" t="inlineStr"/>
      <c r="S1470" s="5" t="inlineStr"/>
      <c r="T1470" s="5" t="inlineStr"/>
      <c r="U1470" s="5" t="inlineStr"/>
      <c r="V1470" s="5" t="inlineStr">
        <is>
          <t>yargi-leke</t>
        </is>
      </c>
      <c r="W1470" s="5" t="inlineStr"/>
      <c r="X1470" s="5" t="inlineStr"/>
      <c r="Y1470" s="5" t="inlineStr"/>
      <c r="Z1470" s="6" t="inlineStr"/>
      <c r="AA1470" s="5" t="inlineStr"/>
      <c r="AB1470" s="5" t="inlineStr">
        <is>
          <t>hapis</t>
        </is>
      </c>
      <c r="AC1470" s="5" t="inlineStr"/>
      <c r="AD1470" s="5" t="inlineStr">
        <is>
          <t>Rahat</t>
        </is>
      </c>
      <c r="AE1470" s="5" t="inlineStr"/>
      <c r="AF1470" s="5" t="inlineStr"/>
      <c r="AG1470" s="5" t="inlineStr"/>
      <c r="AH1470" s="5" t="inlineStr"/>
      <c r="AI1470" s="5" t="inlineStr"/>
      <c r="AJ1470" s="5" t="inlineStr"/>
    </row>
    <row r="1471">
      <c r="A1471" s="5" t="inlineStr">
        <is>
          <t>k10-yargi</t>
        </is>
      </c>
      <c r="B1471" s="5" t="n">
        <v>3</v>
      </c>
      <c r="C1471" s="6" t="inlineStr">
        <is>
          <t>Cübbeyi bırak, avukat ol</t>
        </is>
      </c>
      <c r="D1471" s="5" t="inlineStr">
        <is>
          <t>Çene</t>
        </is>
      </c>
      <c r="E1471" s="5" t="inlineStr">
        <is>
          <t>Orta</t>
        </is>
      </c>
      <c r="F1471" s="5" t="inlineStr"/>
      <c r="G1471" s="6" t="inlineStr"/>
      <c r="H1471" s="6" t="inlineStr">
        <is>
          <t>Dosyadan çekilip istifanı verdin, bir hukuk bürosu açtın. İlk müvekkilin çınarı savunan mahalle derneği; ücret bir kasa ceviz. Sonrakiler nakit ödüyor.</t>
        </is>
      </c>
      <c r="I1471" s="6" t="inlineStr">
        <is>
          <t>Büronun kapısında sıra var; hâkimken tanıdığın herkes davasını sana getiriyor. Tabelada “Eski Hâkim” yazıyor; müşteri ona geliyor.</t>
        </is>
      </c>
      <c r="J1471" s="6" t="inlineStr">
        <is>
          <t>İstifa dilekçeni yazdın ama baro kaydın aylarca sürecekti. Dilekçeyi çekmeceye koydun; cübbe hâlâ üstünde.</t>
        </is>
      </c>
      <c r="K1471" s="6" t="inlineStr">
        <is>
          <t>Büro kiraladın, tabela astırdın, istifa dilekçesini vermeyi unuttun. Hâkimken avukat tabelası asmanın bir disiplin cezası varmış. Tabela indi, sen kaldın.</t>
        </is>
      </c>
      <c r="L1471" s="6" t="inlineStr"/>
      <c r="M1471" s="5" t="inlineStr"/>
      <c r="N1471" s="5" t="inlineStr"/>
      <c r="O1471" s="6" t="inlineStr"/>
      <c r="P1471" s="6" t="inlineStr"/>
      <c r="Q1471" s="5" t="inlineStr"/>
      <c r="R1471" s="5" t="inlineStr"/>
      <c r="S1471" s="5" t="inlineStr"/>
      <c r="T1471" s="5" t="inlineStr"/>
      <c r="U1471" s="5" t="inlineStr"/>
      <c r="V1471" s="5" t="inlineStr">
        <is>
          <t>-hat-cete, -hat-dolandirici, -hat-girisimci, -hat-goc, -hat-hekim, -hat-koy, -hat-polis, -hat-politika, -hat-sohret, -hat-usta, -hat-yargi, -meslek-esnaf, -meslek-memur, -meslek-serbest, meslek-beyazyaka</t>
        </is>
      </c>
      <c r="W1471" s="5" t="inlineStr"/>
      <c r="X1471" s="5" t="inlineStr"/>
      <c r="Y1471" s="5" t="inlineStr"/>
      <c r="Z1471" s="6" t="inlineStr"/>
      <c r="AA1471" s="5" t="inlineStr"/>
      <c r="AB1471" s="5" t="inlineStr"/>
      <c r="AC1471" s="5" t="inlineStr"/>
      <c r="AD1471" s="5" t="inlineStr">
        <is>
          <t>Rahat</t>
        </is>
      </c>
      <c r="AE1471" s="5" t="inlineStr"/>
      <c r="AF1471" s="5" t="inlineStr"/>
      <c r="AG1471" s="5" t="inlineStr"/>
      <c r="AH1471" s="5" t="inlineStr"/>
      <c r="AI1471" s="5" t="inlineStr"/>
      <c r="AJ1471" s="5" t="inlineStr"/>
    </row>
    <row r="1472">
      <c r="A1472" s="5" t="inlineStr">
        <is>
          <t>k10-yargi</t>
        </is>
      </c>
      <c r="B1472" s="5" t="n">
        <v>4</v>
      </c>
      <c r="C1472" s="6" t="inlineStr">
        <is>
          <t>Siyasete atıl</t>
        </is>
      </c>
      <c r="D1472" s="5" t="inlineStr">
        <is>
          <t>Çene</t>
        </is>
      </c>
      <c r="E1472" s="5" t="inlineStr">
        <is>
          <t>Zor</t>
        </is>
      </c>
      <c r="F1472" s="5" t="inlineStr"/>
      <c r="G1472" s="6" t="inlineStr"/>
      <c r="H1472" s="6" t="inlineStr">
        <is>
          <t>Çınar kararını verdin, ertesi gün cübbeni astın. Mahalle seni omuzlarda taşıdı, bir parti de listesinin başına. Makarya Meclisi'nin kapısı aralandı.</t>
        </is>
      </c>
      <c r="I1472" s="6" t="inlineStr">
        <is>
          <t>“Çınarı Kurtaran Hâkim” diye afişlere çıktın. Parti seni aday yaptı, anketler seni ilk sıraya yazdı. Cübbe dolapta, naftalinle.</t>
        </is>
      </c>
      <c r="J1472" s="6" t="inlineStr">
        <is>
          <t>Parti seni aday yapmayı düşündü, bir anket yaptı, düşünmekten vazgeçti. Cübbe hâlâ üstünde, çınar hâlâ yerinde.</t>
        </is>
      </c>
      <c r="K1472" s="6" t="inlineStr">
        <is>
          <t>Adaylık konuşmanı adliye merdivenlerinde yaptın; kurul da dinledi. Aday olamadın; iki ay maaş kesintisiyle cübbeye döndün.</t>
        </is>
      </c>
      <c r="L1472" s="6" t="inlineStr"/>
      <c r="M1472" s="5" t="inlineStr"/>
      <c r="N1472" s="5" t="inlineStr"/>
      <c r="O1472" s="6" t="inlineStr"/>
      <c r="P1472" s="6" t="inlineStr"/>
      <c r="Q1472" s="5" t="inlineStr"/>
      <c r="R1472" s="5" t="inlineStr"/>
      <c r="S1472" s="5" t="inlineStr"/>
      <c r="T1472" s="5" t="inlineStr"/>
      <c r="U1472" s="5" t="inlineStr"/>
      <c r="V1472" s="5" t="inlineStr">
        <is>
          <t>-hat-cete, -hat-dolandirici, -hat-girisimci, -hat-goc, -hat-hekim, -hat-koy, -hat-polis, -hat-sohret, -hat-usta, -hat-yargi, -meslek-beyazyaka, -meslek-esnaf, -meslek-memur, -meslek-serbest, hat-politika</t>
        </is>
      </c>
      <c r="W1472" s="5" t="inlineStr"/>
      <c r="X1472" s="5" t="inlineStr"/>
      <c r="Y1472" s="5" t="inlineStr"/>
      <c r="Z1472" s="6" t="inlineStr"/>
      <c r="AA1472" s="5" t="inlineStr"/>
      <c r="AB1472" s="5" t="inlineStr"/>
      <c r="AC1472" s="5" t="inlineStr"/>
      <c r="AD1472" s="5" t="inlineStr"/>
      <c r="AE1472" s="5" t="inlineStr"/>
      <c r="AF1472" s="5" t="inlineStr"/>
      <c r="AG1472" s="5" t="inlineStr"/>
      <c r="AH1472" s="5" t="inlineStr"/>
      <c r="AI1472" s="5" t="inlineStr"/>
      <c r="AJ1472" s="5" t="inlineStr"/>
    </row>
    <row r="1473">
      <c r="A1473" s="5" t="inlineStr">
        <is>
          <t>k10-hekim</t>
        </is>
      </c>
      <c r="B1473" s="5" t="n">
        <v>1</v>
      </c>
      <c r="C1473" s="6" t="inlineStr">
        <is>
          <t>Klinik şefliğine oyna</t>
        </is>
      </c>
      <c r="D1473" s="5" t="inlineStr">
        <is>
          <t>Akıl</t>
        </is>
      </c>
      <c r="E1473" s="5" t="inlineStr">
        <is>
          <t>Zor</t>
        </is>
      </c>
      <c r="F1473" s="5" t="inlineStr"/>
      <c r="G1473" s="6" t="inlineStr"/>
      <c r="H1473" s="6" t="inlineStr">
        <is>
          <t>Sınava üç ay çalıştın: nöbetten sonra, nöbetten önce. Şef oldun; odan pencereli, telefonun susmuyor.</t>
        </is>
      </c>
      <c r="I1473" s="6" t="inlineStr">
        <is>
          <t>Sınavda en yüksek puan senin. İlk gün servis seni alkışla karşıladı; ikinci gün aynı servis sana yirmi dilekçe verdi.</t>
        </is>
      </c>
      <c r="J1473" s="6" t="inlineStr">
        <is>
          <t>Sınavdan iki puanla kaldın. Şef, senden bir yıl sonra uzman olan meslektaşın oldu. Sana çay getirdi, saygıyla.</t>
        </is>
      </c>
      <c r="K1473" s="6" t="inlineStr">
        <is>
          <t>Sınava nöbetten çıkıp girdin, ilk soruda uyuyakaldın. Gözetmen omzuna dokununca refleksle “Serumu tak, tansiyonu ölç” dedin. Salon güldü; kâğıdında yalnızca adın var.</t>
        </is>
      </c>
      <c r="L1473" s="6" t="inlineStr"/>
      <c r="M1473" s="5" t="inlineStr"/>
      <c r="N1473" s="5" t="inlineStr"/>
      <c r="O1473" s="6" t="inlineStr"/>
      <c r="P1473" s="6" t="inlineStr"/>
      <c r="Q1473" s="5" t="inlineStr"/>
      <c r="R1473" s="5" t="inlineStr"/>
      <c r="S1473" s="5" t="inlineStr"/>
      <c r="T1473" s="5" t="inlineStr"/>
      <c r="U1473" s="5" t="inlineStr"/>
      <c r="V1473" s="5" t="inlineStr">
        <is>
          <t>klinik-sefi</t>
        </is>
      </c>
      <c r="W1473" s="5" t="inlineStr"/>
      <c r="X1473" s="5" t="inlineStr"/>
      <c r="Y1473" s="5" t="inlineStr"/>
      <c r="Z1473" s="6" t="inlineStr"/>
      <c r="AA1473" s="5" t="inlineStr"/>
      <c r="AB1473" s="5" t="inlineStr"/>
      <c r="AC1473" s="5" t="inlineStr"/>
      <c r="AD1473" s="5" t="inlineStr">
        <is>
          <t>Rahat</t>
        </is>
      </c>
      <c r="AE1473" s="5" t="inlineStr"/>
      <c r="AF1473" s="5" t="inlineStr"/>
      <c r="AG1473" s="5" t="inlineStr"/>
      <c r="AH1473" s="5" t="inlineStr"/>
      <c r="AI1473" s="5" t="inlineStr"/>
      <c r="AJ1473" s="5" t="inlineStr"/>
    </row>
    <row r="1474">
      <c r="A1474" s="5" t="inlineStr">
        <is>
          <t>k10-hekim</t>
        </is>
      </c>
      <c r="B1474" s="5" t="n">
        <v>2</v>
      </c>
      <c r="C1474" s="6" t="inlineStr">
        <is>
          <t>Kendi kliniğini aç</t>
        </is>
      </c>
      <c r="D1474" s="5" t="inlineStr">
        <is>
          <t>Kurnazlık</t>
        </is>
      </c>
      <c r="E1474" s="5" t="inlineStr">
        <is>
          <t>Zor</t>
        </is>
      </c>
      <c r="F1474" s="5" t="inlineStr"/>
      <c r="G1474" s="6" t="inlineStr"/>
      <c r="H1474" s="6" t="inlineStr">
        <is>
          <t>Yatırımcıyla anlaştın, sözleşmeyi satır satır okudun, tabelayı sen seçtin. Klinik açıldı; bekleme salonunda yedi akraba, hepsi indirim bekliyor.</t>
        </is>
      </c>
      <c r="I1474" s="6" t="inlineStr">
        <is>
          <t>Klinik ilk yılında şube açtı. Hastanedeki eski hocan randevu almak için seni aradı; sekreterin onu bekletti.</t>
        </is>
      </c>
      <c r="J1474" s="6" t="inlineStr">
        <is>
          <t>Yatırımcı sözleşmenin son sayfasında kliniğe kendi köpeğinin adını vermiş. Masadan kalktın; hastanedeki kadron hâlâ senin.</t>
        </is>
      </c>
      <c r="K1474" s="6" t="inlineStr">
        <is>
          <t>Bir imza kalmışken yatırımcı ortadan kayboldu, kiraladığın yer düğün salonu oldu. Hastaneye döndün; nöbet listesi seni bekliyordu.</t>
        </is>
      </c>
      <c r="L1474" s="6" t="inlineStr"/>
      <c r="M1474" s="5" t="inlineStr"/>
      <c r="N1474" s="5" t="inlineStr"/>
      <c r="O1474" s="6" t="inlineStr"/>
      <c r="P1474" s="6" t="inlineStr"/>
      <c r="Q1474" s="5" t="inlineStr"/>
      <c r="R1474" s="5" t="inlineStr"/>
      <c r="S1474" s="5" t="inlineStr"/>
      <c r="T1474" s="5" t="inlineStr"/>
      <c r="U1474" s="5" t="inlineStr"/>
      <c r="V1474" s="5" t="inlineStr">
        <is>
          <t>-hat-cete, -hat-dolandirici, -hat-goc, -hat-hekim, -hat-koy, -hat-polis, -hat-politika, -hat-sohret, -hat-usta, -hat-yargi, -meslek-beyazyaka, -meslek-esnaf, -meslek-memur, hat-girisimci, meslek-serbest</t>
        </is>
      </c>
      <c r="W1474" s="5" t="inlineStr"/>
      <c r="X1474" s="5" t="inlineStr"/>
      <c r="Y1474" s="5" t="inlineStr"/>
      <c r="Z1474" s="6" t="inlineStr"/>
      <c r="AA1474" s="5" t="inlineStr"/>
      <c r="AB1474" s="5" t="inlineStr"/>
      <c r="AC1474" s="5" t="inlineStr"/>
      <c r="AD1474" s="5" t="inlineStr">
        <is>
          <t>Rahat</t>
        </is>
      </c>
      <c r="AE1474" s="5" t="inlineStr"/>
      <c r="AF1474" s="5" t="inlineStr"/>
      <c r="AG1474" s="5" t="inlineStr"/>
      <c r="AH1474" s="5" t="inlineStr"/>
      <c r="AI1474" s="5" t="inlineStr"/>
      <c r="AJ1474" s="5" t="inlineStr"/>
    </row>
    <row r="1475">
      <c r="A1475" s="5" t="inlineStr">
        <is>
          <t>k10-hekim</t>
        </is>
      </c>
      <c r="B1475" s="5" t="n">
        <v>3</v>
      </c>
      <c r="C1475" s="6" t="inlineStr">
        <is>
          <t>Televizyon doktoru ol</t>
        </is>
      </c>
      <c r="D1475" s="5" t="inlineStr">
        <is>
          <t>Pişkinlik</t>
        </is>
      </c>
      <c r="E1475" s="5" t="inlineStr">
        <is>
          <t>Zor</t>
        </is>
      </c>
      <c r="F1475" s="5" t="inlineStr"/>
      <c r="G1475" s="6" t="inlineStr"/>
      <c r="H1475" s="6" t="inlineStr">
        <is>
          <t>İlk konukluğunda kameraya baktın, tansiyonu üç cümlede anlattın. Program seni haftada bir değil, her gün istedi. Önlük artık stüdyo askısında.</t>
        </is>
      </c>
      <c r="I1475" s="6" t="inlineStr">
        <is>
          <t>Bir ay sonra kendi programın başladı. Pazarda teyzeler seni ekrandaki gibi selamlıyor, sen de ekrandaki gibi gülümsüyorsun.</t>
        </is>
      </c>
      <c r="J1475" s="6" t="inlineStr">
        <is>
          <t>Canlı yayında sunucu “Hocam, biz de öleceğiz mi?” diye sordu. Dondun. Beş saniye kimse konuşmadı; televizyonda beş saniye bir ömür. Bir daha çağırmadılar.</t>
        </is>
      </c>
      <c r="K1475" s="6" t="inlineStr">
        <is>
          <t>Işıklar altında terledin, pudraladılar, daha çok terledin. Yayın “Terleyen Doktor” diye dolaştı; hastanede hastalar seni oradan tanıyor.</t>
        </is>
      </c>
      <c r="L1475" s="6" t="inlineStr"/>
      <c r="M1475" s="5" t="inlineStr"/>
      <c r="N1475" s="5" t="inlineStr"/>
      <c r="O1475" s="6" t="inlineStr"/>
      <c r="P1475" s="6" t="inlineStr"/>
      <c r="Q1475" s="5" t="inlineStr"/>
      <c r="R1475" s="5" t="inlineStr"/>
      <c r="S1475" s="5" t="inlineStr"/>
      <c r="T1475" s="5" t="inlineStr"/>
      <c r="U1475" s="5" t="inlineStr"/>
      <c r="V1475" s="5" t="inlineStr">
        <is>
          <t>-hat-cete, -hat-dolandirici, -hat-girisimci, -hat-goc, -hat-hekim, -hat-koy, -hat-polis, -hat-politika, -hat-usta, -hat-yargi, -meslek-beyazyaka, -meslek-esnaf, -meslek-memur, hat-sohret, meslek-serbest</t>
        </is>
      </c>
      <c r="W1475" s="5" t="inlineStr"/>
      <c r="X1475" s="5" t="inlineStr"/>
      <c r="Y1475" s="5" t="inlineStr"/>
      <c r="Z1475" s="6" t="inlineStr"/>
      <c r="AA1475" s="5" t="inlineStr"/>
      <c r="AB1475" s="5" t="inlineStr"/>
      <c r="AC1475" s="5" t="inlineStr"/>
      <c r="AD1475" s="5" t="inlineStr"/>
      <c r="AE1475" s="5" t="inlineStr"/>
      <c r="AF1475" s="5" t="inlineStr"/>
      <c r="AG1475" s="5" t="inlineStr"/>
      <c r="AH1475" s="5" t="inlineStr"/>
      <c r="AI1475" s="5" t="inlineStr">
        <is>
          <t>Terleyen Doktor</t>
        </is>
      </c>
      <c r="AJ1475" s="5" t="inlineStr"/>
    </row>
    <row r="1476">
      <c r="A1476" s="5" t="inlineStr">
        <is>
          <t>k10-hekim</t>
        </is>
      </c>
      <c r="B1476" s="5" t="n">
        <v>4</v>
      </c>
      <c r="C1476" s="6" t="inlineStr">
        <is>
          <t>Öte Diyar'da hekimlik</t>
        </is>
      </c>
      <c r="D1476" s="5" t="inlineStr">
        <is>
          <t>Akıl</t>
        </is>
      </c>
      <c r="E1476" s="5" t="inlineStr">
        <is>
          <t>Zor</t>
        </is>
      </c>
      <c r="F1476" s="5" t="inlineStr"/>
      <c r="G1476" s="6" t="inlineStr"/>
      <c r="H1476" s="6" t="inlineStr">
        <is>
          <t>Dil, denklik, mülakat: üç kapıyı da geçtin. Öte Diyar'da bir hastanede kimse adını doğru okuyamıyor; maaş bordron ise gayet okunaklı.</t>
        </is>
      </c>
      <c r="I1476" s="6" t="inlineStr">
        <is>
          <t>Öte Diyar'daki hastane seni iki yılda bölüm sorumlusu yaptı. Aile grubu hâlâ diz röntgeni yolluyor; saat farkıyla, gece üçte.</t>
        </is>
      </c>
      <c r="J1476" s="6" t="inlineStr">
        <is>
          <t>Denklik sınavından tek soruyla kaldın. İlan seneye yeniden çıkacak; sen o arada yine burada nöbet tutuyorsun.</t>
        </is>
      </c>
      <c r="K1476" s="6" t="inlineStr">
        <is>
          <t>Sınavda “nöbet” kelimesinin karşılığını aradın; oralarda öyle bir kelime yokmuş. Kâğıt boş kaldı, sen burada kaldın.</t>
        </is>
      </c>
      <c r="L1476" s="6" t="inlineStr"/>
      <c r="M1476" s="5" t="inlineStr"/>
      <c r="N1476" s="5" t="inlineStr"/>
      <c r="O1476" s="6" t="inlineStr"/>
      <c r="P1476" s="6" t="inlineStr"/>
      <c r="Q1476" s="5" t="inlineStr"/>
      <c r="R1476" s="5" t="inlineStr"/>
      <c r="S1476" s="5" t="inlineStr"/>
      <c r="T1476" s="5" t="inlineStr"/>
      <c r="U1476" s="5" t="inlineStr"/>
      <c r="V1476" s="5" t="inlineStr">
        <is>
          <t>-hat-cete, -hat-dolandirici, -hat-girisimci, -hat-hekim, -hat-koy, -hat-polis, -hat-politika, -hat-sohret, -hat-usta, -hat-yargi, -meslek-esnaf, -meslek-memur, -meslek-serbest, hat-goc, meslek-beyazyaka</t>
        </is>
      </c>
      <c r="W1476" s="5" t="inlineStr"/>
      <c r="X1476" s="5" t="inlineStr"/>
      <c r="Y1476" s="5" t="inlineStr"/>
      <c r="Z1476" s="6" t="inlineStr"/>
      <c r="AA1476" s="5" t="inlineStr"/>
      <c r="AB1476" s="5" t="inlineStr"/>
      <c r="AC1476" s="5" t="inlineStr"/>
      <c r="AD1476" s="5" t="inlineStr"/>
      <c r="AE1476" s="5" t="inlineStr"/>
      <c r="AF1476" s="5" t="inlineStr"/>
      <c r="AG1476" s="5" t="inlineStr"/>
      <c r="AH1476" s="5" t="inlineStr"/>
      <c r="AI1476" s="5" t="inlineStr"/>
      <c r="AJ1476" s="5" t="inlineStr"/>
    </row>
    <row r="1477">
      <c r="A1477" s="5" t="inlineStr">
        <is>
          <t>k10-hekim</t>
        </is>
      </c>
      <c r="B1477" s="5" t="n">
        <v>5</v>
      </c>
      <c r="C1477" s="6" t="inlineStr">
        <is>
          <t>Serviste kal, asistanların hocası ol</t>
        </is>
      </c>
      <c r="D1477" s="5" t="inlineStr"/>
      <c r="E1477" s="5" t="inlineStr"/>
      <c r="F1477" s="5" t="inlineStr">
        <is>
          <t>Gönül +1, Dayanıklılık +1</t>
        </is>
      </c>
      <c r="G1477" s="6" t="inlineStr">
        <is>
          <t>Üç teklife de “Sağ olun” dedin. Asistanlar sana “Hocam” demeye başladı; ilk hafta yirmi soru, ikinci hafta yirmi çay. Önlüğün cebinde artık bir hastanın çocuğunun çizdiği resim var.</t>
        </is>
      </c>
      <c r="H1477" s="6" t="inlineStr"/>
      <c r="I1477" s="6" t="inlineStr"/>
      <c r="J1477" s="6" t="inlineStr"/>
      <c r="K1477" s="6" t="inlineStr"/>
      <c r="L1477" s="6" t="inlineStr"/>
      <c r="M1477" s="5" t="inlineStr"/>
      <c r="N1477" s="5" t="inlineStr"/>
      <c r="O1477" s="6" t="inlineStr"/>
      <c r="P1477" s="6" t="inlineStr"/>
      <c r="Q1477" s="5" t="inlineStr"/>
      <c r="R1477" s="5" t="inlineStr"/>
      <c r="S1477" s="5" t="inlineStr"/>
      <c r="T1477" s="5" t="inlineStr"/>
      <c r="U1477" s="5" t="inlineStr"/>
      <c r="V1477" s="5" t="inlineStr"/>
      <c r="W1477" s="5" t="inlineStr"/>
      <c r="X1477" s="5" t="inlineStr"/>
      <c r="Y1477" s="5" t="inlineStr"/>
      <c r="Z1477" s="6" t="inlineStr"/>
      <c r="AA1477" s="5" t="inlineStr"/>
      <c r="AB1477" s="5" t="inlineStr"/>
      <c r="AC1477" s="5" t="inlineStr"/>
      <c r="AD1477" s="5" t="inlineStr"/>
      <c r="AE1477" s="5" t="inlineStr"/>
      <c r="AF1477" s="5" t="inlineStr"/>
      <c r="AG1477" s="5" t="inlineStr"/>
      <c r="AH1477" s="5" t="inlineStr"/>
      <c r="AI1477" s="5" t="inlineStr"/>
      <c r="AJ1477" s="5" t="inlineStr"/>
    </row>
    <row r="1478">
      <c r="A1478" s="5" t="inlineStr">
        <is>
          <t>k10-memur</t>
        </is>
      </c>
      <c r="B1478" s="5" t="n">
        <v>1</v>
      </c>
      <c r="C1478" s="6" t="inlineStr">
        <is>
          <t>Memlekete tayin</t>
        </is>
      </c>
      <c r="D1478" s="5" t="inlineStr"/>
      <c r="E1478" s="5" t="inlineStr"/>
      <c r="F1478" s="5" t="inlineStr">
        <is>
          <t>İtibar +1, Sosyal Radar +1</t>
        </is>
      </c>
      <c r="G1478" s="6" t="inlineStr">
        <is>
          <t>Memleketine döndün. Daire aynı, çay ocağı aynı, müdür ilkokul arkadaşın. İlk gün “Hoş geldin” dedi, ikinci gün çay borcunu hatırlattı.</t>
        </is>
      </c>
      <c r="H1478" s="6" t="inlineStr"/>
      <c r="I1478" s="6" t="inlineStr"/>
      <c r="J1478" s="6" t="inlineStr"/>
      <c r="K1478" s="6" t="inlineStr"/>
      <c r="L1478" s="6" t="inlineStr"/>
      <c r="M1478" s="5" t="inlineStr"/>
      <c r="N1478" s="5" t="inlineStr"/>
      <c r="O1478" s="6" t="inlineStr"/>
      <c r="P1478" s="6" t="inlineStr"/>
      <c r="Q1478" s="5" t="inlineStr"/>
      <c r="R1478" s="5" t="inlineStr"/>
      <c r="S1478" s="5" t="inlineStr"/>
      <c r="T1478" s="5" t="inlineStr"/>
      <c r="U1478" s="5" t="inlineStr"/>
      <c r="V1478" s="5" t="inlineStr"/>
      <c r="W1478" s="5" t="inlineStr"/>
      <c r="X1478" s="5" t="inlineStr"/>
      <c r="Y1478" s="5" t="inlineStr"/>
      <c r="Z1478" s="6" t="inlineStr"/>
      <c r="AA1478" s="5" t="inlineStr"/>
      <c r="AB1478" s="5" t="inlineStr"/>
      <c r="AC1478" s="5" t="inlineStr"/>
      <c r="AD1478" s="5" t="inlineStr"/>
      <c r="AE1478" s="5" t="inlineStr"/>
      <c r="AF1478" s="5" t="inlineStr"/>
      <c r="AG1478" s="5" t="inlineStr"/>
      <c r="AH1478" s="5" t="inlineStr"/>
      <c r="AI1478" s="5" t="inlineStr"/>
      <c r="AJ1478" s="5" t="inlineStr"/>
    </row>
    <row r="1479">
      <c r="A1479" s="5" t="inlineStr">
        <is>
          <t>k10-memur</t>
        </is>
      </c>
      <c r="B1479" s="5" t="n">
        <v>2</v>
      </c>
      <c r="C1479" s="6" t="inlineStr">
        <is>
          <t>Terfiyi seç</t>
        </is>
      </c>
      <c r="D1479" s="5" t="inlineStr">
        <is>
          <t>Akıl</t>
        </is>
      </c>
      <c r="E1479" s="5" t="inlineStr">
        <is>
          <t>Orta</t>
        </is>
      </c>
      <c r="F1479" s="5" t="inlineStr"/>
      <c r="G1479" s="6" t="inlineStr"/>
      <c r="H1479" s="6" t="inlineStr">
        <is>
          <t>Sınavı geçip şube müdürü oldun. Artık bir masan değil bir odan var; odada bir masa, masada başkalarının sana getirdiği kâğıtlar.</t>
        </is>
      </c>
      <c r="I1479" s="6" t="inlineStr">
        <is>
          <t>Sınavı birincilikle geçtin, genel müdürlük seni gözüne kestirdi. Kapında isim tabelası var; harfleri de doğru.</t>
        </is>
      </c>
      <c r="J1479" s="6" t="inlineStr">
        <is>
          <t>Sınavdan bir puanla kaldın. O puanı köy şubesinin mektubunu okurken kaybettiğini düşünüyorsun; köy şubesi biraz daha yaşadı.</t>
        </is>
      </c>
      <c r="K1479" s="6" t="inlineStr">
        <is>
          <t>Sınav salonunu yanlış binada aradın; genel müdürlüğün iki binası varmış. Doğru binaya koşarak girdiğinde gözetmen kâğıtları topluyordu. Seni görünce birini uzattı: “Adını yaz bari, katılmış say.”</t>
        </is>
      </c>
      <c r="L1479" s="6" t="inlineStr"/>
      <c r="M1479" s="5" t="inlineStr"/>
      <c r="N1479" s="5" t="inlineStr"/>
      <c r="O1479" s="6" t="inlineStr"/>
      <c r="P1479" s="6" t="inlineStr"/>
      <c r="Q1479" s="5" t="inlineStr"/>
      <c r="R1479" s="5" t="inlineStr"/>
      <c r="S1479" s="5" t="inlineStr"/>
      <c r="T1479" s="5" t="inlineStr"/>
      <c r="U1479" s="5" t="inlineStr"/>
      <c r="V1479" s="5" t="inlineStr">
        <is>
          <t>memur-terfi</t>
        </is>
      </c>
      <c r="W1479" s="5" t="inlineStr"/>
      <c r="X1479" s="5" t="inlineStr"/>
      <c r="Y1479" s="5" t="inlineStr"/>
      <c r="Z1479" s="6" t="inlineStr"/>
      <c r="AA1479" s="5" t="inlineStr"/>
      <c r="AB1479" s="5" t="inlineStr"/>
      <c r="AC1479" s="5" t="inlineStr"/>
      <c r="AD1479" s="5" t="inlineStr">
        <is>
          <t>Rahat</t>
        </is>
      </c>
      <c r="AE1479" s="5" t="inlineStr"/>
      <c r="AF1479" s="5" t="inlineStr"/>
      <c r="AG1479" s="5" t="inlineStr"/>
      <c r="AH1479" s="5" t="inlineStr"/>
      <c r="AI1479" s="5" t="inlineStr"/>
      <c r="AJ1479" s="5" t="inlineStr"/>
    </row>
    <row r="1480">
      <c r="A1480" s="5" t="inlineStr">
        <is>
          <t>k10-memur</t>
        </is>
      </c>
      <c r="B1480" s="5" t="n">
        <v>3</v>
      </c>
      <c r="C1480" s="6" t="inlineStr">
        <is>
          <t>Köy şubesinde kal</t>
        </is>
      </c>
      <c r="D1480" s="5" t="inlineStr">
        <is>
          <t>İtibar</t>
        </is>
      </c>
      <c r="E1480" s="5" t="inlineStr">
        <is>
          <t>Zor</t>
        </is>
      </c>
      <c r="F1480" s="5" t="inlineStr"/>
      <c r="G1480" s="6" t="inlineStr"/>
      <c r="H1480" s="6" t="inlineStr">
        <is>
          <t>Şube yine de kapandı; sen kapanmadın. Kadroyu bırakıp köyde kaldın. Muhtar sana bir tarla gösterdi: “Memurluk bitti, toprak başladı.”</t>
        </is>
      </c>
      <c r="I1480" s="6" t="inlineStr">
        <is>
          <t>Kadroyu bıraktın, köy seni bağrına bastı. Eski şube binası şimdi kooperatif; müdürü sensin, maaşın domates.</t>
        </is>
      </c>
      <c r="J1480" s="6" t="inlineStr">
        <is>
          <t>Kalmak istedin ama dilekçen üç masada bekledi. Sonunda seni merkeze çektiler. Köyün mektubunu masa camının altına koydun.</t>
        </is>
      </c>
      <c r="K1480" s="6" t="inlineStr">
        <is>
          <t>Kalmak için dilekçe yazdın; köylüler de kırk imza ekledi. Dilekçeyi muhtar götürdü, yanlış müdürlüğe. Sen merkeze atandın; köy şubesinin anahtarı hâlâ cebinde.</t>
        </is>
      </c>
      <c r="L1480" s="6" t="inlineStr"/>
      <c r="M1480" s="5" t="inlineStr"/>
      <c r="N1480" s="5" t="inlineStr"/>
      <c r="O1480" s="6" t="inlineStr"/>
      <c r="P1480" s="6" t="inlineStr"/>
      <c r="Q1480" s="5" t="inlineStr"/>
      <c r="R1480" s="5" t="inlineStr"/>
      <c r="S1480" s="5" t="inlineStr"/>
      <c r="T1480" s="5" t="inlineStr"/>
      <c r="U1480" s="5" t="inlineStr"/>
      <c r="V1480" s="5" t="inlineStr">
        <is>
          <t>-hat-cete, -hat-dolandirici, -hat-girisimci, -hat-goc, -hat-hekim, -hat-polis, -hat-politika, -hat-sohret, -hat-usta, -hat-yargi, -meslek-beyazyaka, -meslek-memur, -meslek-serbest, hat-koy, meslek-esnaf</t>
        </is>
      </c>
      <c r="W1480" s="5" t="inlineStr"/>
      <c r="X1480" s="5" t="inlineStr"/>
      <c r="Y1480" s="5" t="inlineStr"/>
      <c r="Z1480" s="6" t="inlineStr"/>
      <c r="AA1480" s="5" t="inlineStr"/>
      <c r="AB1480" s="5" t="inlineStr"/>
      <c r="AC1480" s="5" t="inlineStr"/>
      <c r="AD1480" s="5" t="inlineStr"/>
      <c r="AE1480" s="5" t="inlineStr"/>
      <c r="AF1480" s="5" t="inlineStr"/>
      <c r="AG1480" s="5" t="inlineStr"/>
      <c r="AH1480" s="5" t="inlineStr"/>
      <c r="AI1480" s="5" t="inlineStr"/>
      <c r="AJ1480" s="5" t="inlineStr"/>
    </row>
    <row r="1481">
      <c r="A1481" s="5" t="inlineStr">
        <is>
          <t>k10-beyazyaka</t>
        </is>
      </c>
      <c r="B1481" s="5" t="n">
        <v>1</v>
      </c>
      <c r="C1481" s="6" t="inlineStr">
        <is>
          <t>Maaş kesintisini kabul et</t>
        </is>
      </c>
      <c r="D1481" s="5" t="inlineStr"/>
      <c r="E1481" s="5" t="inlineStr"/>
      <c r="F1481" s="5" t="inlineStr">
        <is>
          <t>Dayanıklılık +1, Sosyal Radar +1</t>
        </is>
      </c>
      <c r="G1481" s="6" t="inlineStr">
        <is>
          <t>Kesintiyi imzaladın. Masan duruyor, kupan duruyor. Gidenler veda pastası getirdi; en büyük dilimi sana verdiler, acıdıkları belliydi.</t>
        </is>
      </c>
      <c r="H1481" s="6" t="inlineStr"/>
      <c r="I1481" s="6" t="inlineStr"/>
      <c r="J1481" s="6" t="inlineStr"/>
      <c r="K1481" s="6" t="inlineStr"/>
      <c r="L1481" s="6" t="inlineStr"/>
      <c r="M1481" s="5" t="inlineStr"/>
      <c r="N1481" s="5" t="inlineStr"/>
      <c r="O1481" s="6" t="inlineStr"/>
      <c r="P1481" s="6" t="inlineStr"/>
      <c r="Q1481" s="5" t="inlineStr"/>
      <c r="R1481" s="5" t="inlineStr"/>
      <c r="S1481" s="5" t="inlineStr"/>
      <c r="T1481" s="5" t="inlineStr"/>
      <c r="U1481" s="5" t="inlineStr"/>
      <c r="V1481" s="5" t="inlineStr"/>
      <c r="W1481" s="5" t="inlineStr"/>
      <c r="X1481" s="5" t="inlineStr"/>
      <c r="Y1481" s="5" t="inlineStr"/>
      <c r="Z1481" s="6" t="inlineStr"/>
      <c r="AA1481" s="5" t="inlineStr"/>
      <c r="AB1481" s="5" t="inlineStr"/>
      <c r="AC1481" s="5" t="inlineStr"/>
      <c r="AD1481" s="5" t="inlineStr"/>
      <c r="AE1481" s="5" t="inlineStr"/>
      <c r="AF1481" s="5" t="n">
        <v>1</v>
      </c>
      <c r="AG1481" s="5" t="inlineStr"/>
      <c r="AH1481" s="5" t="inlineStr"/>
      <c r="AI1481" s="5" t="inlineStr"/>
      <c r="AJ1481" s="5" t="inlineStr"/>
    </row>
    <row r="1482">
      <c r="A1482" s="5" t="inlineStr">
        <is>
          <t>k10-beyazyaka</t>
        </is>
      </c>
      <c r="B1482" s="5" t="n">
        <v>2</v>
      </c>
      <c r="C1482" s="6" t="inlineStr">
        <is>
          <t>Küçülmeden sağ çık</t>
        </is>
      </c>
      <c r="D1482" s="5" t="inlineStr">
        <is>
          <t>Sosyal Radar</t>
        </is>
      </c>
      <c r="E1482" s="5" t="inlineStr">
        <is>
          <t>Orta</t>
        </is>
      </c>
      <c r="F1482" s="5" t="inlineStr"/>
      <c r="G1482" s="6" t="inlineStr"/>
      <c r="H1482" s="6" t="inlineStr">
        <is>
          <t>Hangi toplantıya girmeyeceğini, hangi sunumda görüneceğini bildin. Kat yarıya indi; sen hâlâ oradasın, üstelik pencere kenarında.</t>
        </is>
      </c>
      <c r="I1482" s="6" t="inlineStr">
        <is>
          <t>Dalgadan hem sağ çıktın hem terfi aldın; boşalan iki masanın işi sana verildi. Maaş bir buçuk, iş üç.</t>
        </is>
      </c>
      <c r="J1482" s="6" t="inlineStr">
        <is>
          <t>Doğru toplantılara girdin ama liste başka bir kattan hazırlanmış. Kutuna saksını, kupanı ve on yılını koydun.</t>
        </is>
      </c>
      <c r="K1482" s="6" t="inlineStr">
        <is>
          <t>Yeniden yapılanma sunumunu sen hazırladın; son slaytta kendi adın vardı. Fark etmeden sundun.</t>
        </is>
      </c>
      <c r="L1482" s="6" t="inlineStr"/>
      <c r="M1482" s="5" t="inlineStr"/>
      <c r="N1482" s="5" t="inlineStr"/>
      <c r="O1482" s="6" t="inlineStr"/>
      <c r="P1482" s="6" t="inlineStr"/>
      <c r="Q1482" s="5" t="inlineStr"/>
      <c r="R1482" s="5" t="inlineStr"/>
      <c r="S1482" s="5" t="inlineStr"/>
      <c r="T1482" s="5" t="inlineStr"/>
      <c r="U1482" s="5" t="inlineStr"/>
      <c r="V1482" s="5" t="inlineStr">
        <is>
          <t>beyazyaka-sag-kaldi</t>
        </is>
      </c>
      <c r="W1482" s="5" t="inlineStr"/>
      <c r="X1482" s="5" t="inlineStr"/>
      <c r="Y1482" s="5" t="inlineStr"/>
      <c r="Z1482" s="6" t="inlineStr"/>
      <c r="AA1482" s="5" t="inlineStr"/>
      <c r="AB1482" s="5" t="inlineStr">
        <is>
          <t>kriz-isten-cikti</t>
        </is>
      </c>
      <c r="AC1482" s="5" t="inlineStr"/>
      <c r="AD1482" s="5" t="inlineStr">
        <is>
          <t>Rahat</t>
        </is>
      </c>
      <c r="AE1482" s="5" t="inlineStr"/>
      <c r="AF1482" s="5" t="inlineStr"/>
      <c r="AG1482" s="5" t="inlineStr"/>
      <c r="AH1482" s="5" t="inlineStr"/>
      <c r="AI1482" s="5" t="inlineStr"/>
      <c r="AJ1482" s="5" t="inlineStr"/>
    </row>
    <row r="1483">
      <c r="A1483" s="5" t="inlineStr">
        <is>
          <t>k10-beyazyaka</t>
        </is>
      </c>
      <c r="B1483" s="5" t="n">
        <v>3</v>
      </c>
      <c r="C1483" s="6" t="inlineStr">
        <is>
          <t>Tazminatla şirket kur</t>
        </is>
      </c>
      <c r="D1483" s="5" t="inlineStr">
        <is>
          <t>Cesaret</t>
        </is>
      </c>
      <c r="E1483" s="5" t="inlineStr">
        <is>
          <t>Zor</t>
        </is>
      </c>
      <c r="F1483" s="5" t="inlineStr"/>
      <c r="G1483" s="6" t="inlineStr"/>
      <c r="H1483" s="6" t="inlineStr">
        <is>
          <t>Tazminatı alıp kapıdan çıktın, ertesi gün şirketini kurdun. Ofisin bir kafenin köşe masası; patron sensin, stajyer de.</t>
        </is>
      </c>
      <c r="I1483" s="6" t="inlineStr">
        <is>
          <t>Şirketin ilk yılında eski işyerin senden hizmet aldı. Faturayı eski müdürüne sen kestin; iki kez okudun.</t>
        </is>
      </c>
      <c r="J1483" s="6" t="inlineStr">
        <is>
          <t>Tazminat hesabını bir daha yaptın; cesaretin hesaba sığmadı. İstifa taslağı taslaklarda kaldı, sen masanda.</t>
        </is>
      </c>
      <c r="K1483" s="6" t="inlineStr">
        <is>
          <t>İnsan kaynaklarına gidip “Ben de gitmek istiyorum” dedin. Listede yokmuşsun; tazminat yalnızca listedekilere. Masana döndün; kutunu çoktan toplamıştın, geri açtın.</t>
        </is>
      </c>
      <c r="L1483" s="6" t="inlineStr"/>
      <c r="M1483" s="5" t="inlineStr"/>
      <c r="N1483" s="5" t="inlineStr"/>
      <c r="O1483" s="6" t="inlineStr"/>
      <c r="P1483" s="6" t="inlineStr"/>
      <c r="Q1483" s="5" t="inlineStr"/>
      <c r="R1483" s="5" t="inlineStr"/>
      <c r="S1483" s="5" t="inlineStr"/>
      <c r="T1483" s="5" t="inlineStr"/>
      <c r="U1483" s="5" t="inlineStr"/>
      <c r="V1483" s="5" t="inlineStr">
        <is>
          <t>-hat-cete, -hat-dolandirici, -hat-goc, -hat-hekim, -hat-koy, -hat-polis, -hat-politika, -hat-sohret, -hat-usta, -hat-yargi, -meslek-beyazyaka, -meslek-esnaf, -meslek-memur, hat-girisimci, meslek-serbest</t>
        </is>
      </c>
      <c r="W1483" s="5" t="inlineStr"/>
      <c r="X1483" s="5" t="inlineStr"/>
      <c r="Y1483" s="5" t="inlineStr"/>
      <c r="Z1483" s="6" t="inlineStr"/>
      <c r="AA1483" s="5" t="inlineStr"/>
      <c r="AB1483" s="5" t="inlineStr"/>
      <c r="AC1483" s="5" t="inlineStr"/>
      <c r="AD1483" s="5" t="inlineStr"/>
      <c r="AE1483" s="5" t="inlineStr"/>
      <c r="AF1483" s="5" t="inlineStr"/>
      <c r="AG1483" s="5" t="inlineStr"/>
      <c r="AH1483" s="5" t="inlineStr"/>
      <c r="AI1483" s="5" t="inlineStr"/>
      <c r="AJ1483" s="5" t="inlineStr"/>
    </row>
    <row r="1484">
      <c r="A1484" s="5" t="inlineStr">
        <is>
          <t>k10-beyazyaka</t>
        </is>
      </c>
      <c r="B1484" s="5" t="n">
        <v>4</v>
      </c>
      <c r="C1484" s="6" t="inlineStr">
        <is>
          <t>Öte Diyar ofisine transfer</t>
        </is>
      </c>
      <c r="D1484" s="5" t="inlineStr">
        <is>
          <t>Akıl</t>
        </is>
      </c>
      <c r="E1484" s="5" t="inlineStr">
        <is>
          <t>Zor</t>
        </is>
      </c>
      <c r="F1484" s="5" t="inlineStr"/>
      <c r="G1484" s="6" t="inlineStr"/>
      <c r="H1484" s="6" t="inlineStr">
        <is>
          <t>İç ilana başvurdun, üç tur mülakatı geçtin. Dalga kıyıya vururken sen havalimanındaydın. Öte Diyar ofisinde kahve makinesi bile başka dil konuşuyor.</t>
        </is>
      </c>
      <c r="I1484" s="6" t="inlineStr">
        <is>
          <t>Transferle birlikte bir kademe terfi geldi. Öte Diyar'daki ilk sunumunda kimse slaytlarını anlamadı; herkes alkışladı.</t>
        </is>
      </c>
      <c r="J1484" s="6" t="inlineStr">
        <is>
          <t>Son turda oranın müdürü “Burada kış altı ay” dedi, sen irkildin, o da gördü. Transfer olmadı; sen buradasın, dalga da.</t>
        </is>
      </c>
      <c r="K1484" s="6" t="inlineStr">
        <is>
          <t>Mülakata yanlış saat diliminde bağlandın; karşında boş bir toplantı odası. Transfer yok, bir de “ilgisiz aday” notu var.</t>
        </is>
      </c>
      <c r="L1484" s="6" t="inlineStr"/>
      <c r="M1484" s="5" t="inlineStr"/>
      <c r="N1484" s="5" t="inlineStr"/>
      <c r="O1484" s="6" t="inlineStr"/>
      <c r="P1484" s="6" t="inlineStr"/>
      <c r="Q1484" s="5" t="inlineStr"/>
      <c r="R1484" s="5" t="inlineStr"/>
      <c r="S1484" s="5" t="inlineStr"/>
      <c r="T1484" s="5" t="inlineStr"/>
      <c r="U1484" s="5" t="inlineStr"/>
      <c r="V1484" s="5" t="inlineStr">
        <is>
          <t>-hat-cete, -hat-dolandirici, -hat-girisimci, -hat-hekim, -hat-koy, -hat-polis, -hat-politika, -hat-sohret, -hat-usta, -hat-yargi, -meslek-esnaf, -meslek-memur, -meslek-serbest, hat-goc, meslek-beyazyaka</t>
        </is>
      </c>
      <c r="W1484" s="5" t="inlineStr"/>
      <c r="X1484" s="5" t="inlineStr"/>
      <c r="Y1484" s="5" t="inlineStr"/>
      <c r="Z1484" s="6" t="inlineStr"/>
      <c r="AA1484" s="5" t="inlineStr"/>
      <c r="AB1484" s="5" t="inlineStr"/>
      <c r="AC1484" s="5" t="inlineStr"/>
      <c r="AD1484" s="5" t="inlineStr">
        <is>
          <t>Rahat</t>
        </is>
      </c>
      <c r="AE1484" s="5" t="inlineStr"/>
      <c r="AF1484" s="5" t="inlineStr"/>
      <c r="AG1484" s="5" t="inlineStr"/>
      <c r="AH1484" s="5" t="inlineStr"/>
      <c r="AI1484" s="5" t="inlineStr"/>
      <c r="AJ1484" s="5" t="inlineStr"/>
    </row>
    <row r="1485">
      <c r="A1485" s="5" t="inlineStr">
        <is>
          <t>b7-cete-tahsilat</t>
        </is>
      </c>
      <c r="B1485" s="5" t="n">
        <v>1</v>
      </c>
      <c r="C1485" s="6" t="inlineStr">
        <is>
          <t>Borcu lahmacunla tahsil et</t>
        </is>
      </c>
      <c r="D1485" s="5" t="inlineStr"/>
      <c r="E1485" s="5" t="inlineStr"/>
      <c r="F1485" s="5" t="inlineStr">
        <is>
          <t>Pişkinlik +1, Dayanıklılık +1</t>
        </is>
      </c>
      <c r="G1485" s="6" t="inlineStr">
        <is>
          <t>Üç ayın karşılığı kırk iki lahmacun. Abiye götürdün; abi tek tek saydı, birini yedi, “Eksik” dedi.</t>
        </is>
      </c>
      <c r="H1485" s="6" t="inlineStr"/>
      <c r="I1485" s="6" t="inlineStr"/>
      <c r="J1485" s="6" t="inlineStr"/>
      <c r="K1485" s="6" t="inlineStr"/>
      <c r="L1485" s="6" t="inlineStr"/>
      <c r="M1485" s="5" t="inlineStr"/>
      <c r="N1485" s="5" t="inlineStr"/>
      <c r="O1485" s="6" t="inlineStr"/>
      <c r="P1485" s="6" t="inlineStr"/>
      <c r="Q1485" s="5" t="inlineStr"/>
      <c r="R1485" s="5" t="inlineStr"/>
      <c r="S1485" s="5" t="inlineStr"/>
      <c r="T1485" s="5" t="inlineStr"/>
      <c r="U1485" s="5" t="inlineStr"/>
      <c r="V1485" s="5" t="inlineStr"/>
      <c r="W1485" s="5" t="inlineStr"/>
      <c r="X1485" s="5" t="inlineStr"/>
      <c r="Y1485" s="5" t="inlineStr"/>
      <c r="Z1485" s="6" t="inlineStr"/>
      <c r="AA1485" s="5" t="inlineStr"/>
      <c r="AB1485" s="5" t="inlineStr"/>
      <c r="AC1485" s="5" t="inlineStr"/>
      <c r="AD1485" s="5" t="inlineStr"/>
      <c r="AE1485" s="5" t="inlineStr"/>
      <c r="AF1485" s="5" t="inlineStr"/>
      <c r="AG1485" s="5" t="inlineStr"/>
      <c r="AH1485" s="5" t="inlineStr"/>
      <c r="AI1485" s="5" t="inlineStr"/>
      <c r="AJ1485" s="5" t="inlineStr"/>
    </row>
    <row r="1486">
      <c r="A1486" s="5" t="inlineStr">
        <is>
          <t>b7-cete-tahsilat</t>
        </is>
      </c>
      <c r="B1486" s="5" t="n">
        <v>2</v>
      </c>
      <c r="C1486" s="6" t="inlineStr">
        <is>
          <t>Nurettin'le ödeme planı yap</t>
        </is>
      </c>
      <c r="D1486" s="5" t="inlineStr">
        <is>
          <t>Çene</t>
        </is>
      </c>
      <c r="E1486" s="5" t="inlineStr">
        <is>
          <t>Orta</t>
        </is>
      </c>
      <c r="F1486" s="5" t="inlineStr"/>
      <c r="G1486" s="6" t="inlineStr"/>
      <c r="H1486" s="6" t="inlineStr">
        <is>
          <t>Nurettin her cuma bir miktar bırakacak. Abi planı beğendi; sen de ilk kez bir işi konuşarak bitirdin.</t>
        </is>
      </c>
      <c r="I1486" s="6" t="inlineStr">
        <is>
          <t>Nurettin borcunu kapattı, üstüne tabelasına senin adını yazdırdı: “Tahsilat ortağımız.” Abi tabelayı sökmedi.</t>
        </is>
      </c>
      <c r="J1486" s="6" t="inlineStr">
        <is>
          <t>Nurettin planı dinledi, başını salladı, sana bir ayran ikram etti. Ayranı içtin; plan tezgâhta kaldı.</t>
        </is>
      </c>
      <c r="K1486" s="6" t="inlineStr">
        <is>
          <t>Konuşurken Nurettin'in borcu bir şekilde senin borcuna dönüştü. Nasıl olduğunu ikiniz de anlamadınız; abi anladı.</t>
        </is>
      </c>
      <c r="L1486" s="6" t="inlineStr"/>
      <c r="M1486" s="5" t="inlineStr"/>
      <c r="N1486" s="5" t="inlineStr"/>
      <c r="O1486" s="6" t="inlineStr"/>
      <c r="P1486" s="6" t="inlineStr"/>
      <c r="Q1486" s="5" t="inlineStr"/>
      <c r="R1486" s="5" t="inlineStr"/>
      <c r="S1486" s="5" t="inlineStr"/>
      <c r="T1486" s="5" t="inlineStr"/>
      <c r="U1486" s="5" t="inlineStr"/>
      <c r="V1486" s="5" t="inlineStr"/>
      <c r="W1486" s="5" t="inlineStr">
        <is>
          <t>abiye-borclu</t>
        </is>
      </c>
      <c r="X1486" s="5" t="inlineStr"/>
      <c r="Y1486" s="5" t="inlineStr"/>
      <c r="Z1486" s="6" t="inlineStr"/>
      <c r="AA1486" s="5" t="inlineStr"/>
      <c r="AB1486" s="5" t="inlineStr"/>
      <c r="AC1486" s="5" t="inlineStr"/>
      <c r="AD1486" s="5" t="inlineStr"/>
      <c r="AE1486" s="5" t="inlineStr"/>
      <c r="AF1486" s="5" t="inlineStr"/>
      <c r="AG1486" s="5" t="inlineStr"/>
      <c r="AH1486" s="5" t="inlineStr"/>
      <c r="AI1486" s="5" t="inlineStr"/>
      <c r="AJ1486" s="5" t="inlineStr"/>
    </row>
    <row r="1487">
      <c r="A1487" s="5" t="inlineStr">
        <is>
          <t>b7-cete-tahsilat</t>
        </is>
      </c>
      <c r="B1487" s="5" t="n">
        <v>3</v>
      </c>
      <c r="C1487" s="6" t="inlineStr">
        <is>
          <t>Abiye “Bu adam zaten batık” de</t>
        </is>
      </c>
      <c r="D1487" s="5" t="inlineStr">
        <is>
          <t>Cesaret</t>
        </is>
      </c>
      <c r="E1487" s="5" t="inlineStr">
        <is>
          <t>Zor</t>
        </is>
      </c>
      <c r="F1487" s="5" t="inlineStr"/>
      <c r="G1487" s="6" t="inlineStr"/>
      <c r="H1487" s="6" t="inlineStr">
        <is>
          <t>Abi uzun uzun baktı, sonra Nurettin'in kâğıdını çöpe attı. “Senin gözün var” dedi. Yeni görevin: kimin batık olduğunu önceden söylemek.</t>
        </is>
      </c>
      <c r="I1487" s="6" t="inlineStr">
        <is>
          <t>Tahsilat listesini artık sen hazırlıyorsun. Nurettin her hafta sana bedava ayran gönderiyor; sebebini kimse bilmiyor.</t>
        </is>
      </c>
      <c r="J1487" s="6" t="inlineStr">
        <is>
          <t>Abi “Batık olan da borcunu öder” dedi. Seni kebapçıya geri yolladı; bu sefer iki selamla.</t>
        </is>
      </c>
      <c r="K1487" s="6" t="inlineStr">
        <is>
          <t>Abi Nurettin'in borcunu sana devretti. Artık ayda bir kendi kapına tahsilata geliyorsun.</t>
        </is>
      </c>
      <c r="L1487" s="6" t="inlineStr"/>
      <c r="M1487" s="5" t="inlineStr"/>
      <c r="N1487" s="5" t="inlineStr"/>
      <c r="O1487" s="6" t="inlineStr"/>
      <c r="P1487" s="6" t="inlineStr"/>
      <c r="Q1487" s="5" t="inlineStr"/>
      <c r="R1487" s="5" t="inlineStr"/>
      <c r="S1487" s="5" t="inlineStr"/>
      <c r="T1487" s="5" t="inlineStr">
        <is>
          <t>Odayı Okur</t>
        </is>
      </c>
      <c r="U1487" s="5" t="inlineStr"/>
      <c r="V1487" s="5" t="inlineStr"/>
      <c r="W1487" s="5" t="inlineStr"/>
      <c r="X1487" s="5" t="inlineStr"/>
      <c r="Y1487" s="5" t="inlineStr"/>
      <c r="Z1487" s="6" t="inlineStr"/>
      <c r="AA1487" s="5" t="inlineStr"/>
      <c r="AB1487" s="5" t="inlineStr"/>
      <c r="AC1487" s="5" t="inlineStr"/>
      <c r="AD1487" s="5" t="inlineStr"/>
      <c r="AE1487" s="5" t="inlineStr"/>
      <c r="AF1487" s="5" t="inlineStr"/>
      <c r="AG1487" s="5" t="inlineStr"/>
      <c r="AH1487" s="5" t="inlineStr"/>
      <c r="AI1487" s="5" t="inlineStr"/>
      <c r="AJ1487" s="5" t="inlineStr"/>
    </row>
    <row r="1488">
      <c r="A1488" s="5" t="inlineStr">
        <is>
          <t>b7-cete-tahsilat</t>
        </is>
      </c>
      <c r="B1488" s="5" t="n">
        <v>4</v>
      </c>
      <c r="C1488" s="6" t="inlineStr">
        <is>
          <t>Kasadaki fotokopiyi ima et</t>
        </is>
      </c>
      <c r="D1488" s="5" t="inlineStr"/>
      <c r="E1488" s="5" t="inlineStr"/>
      <c r="F1488" s="5" t="inlineStr">
        <is>
          <t>Kurnazlık +1</t>
        </is>
      </c>
      <c r="G1488" s="6" t="inlineStr">
        <is>
          <t>Kasadan hiç bahsetmedin; yalnızca anahtarlığını parmağında çevirdin. Abi anahtarlığa uzun uzun baktı. Ertesi gün tahsilata başkası gitti; sana oto yıkamanın kasasında oturmak düştü.</t>
        </is>
      </c>
      <c r="H1488" s="6" t="inlineStr"/>
      <c r="I1488" s="6" t="inlineStr"/>
      <c r="J1488" s="6" t="inlineStr"/>
      <c r="K1488" s="6" t="inlineStr"/>
      <c r="L1488" s="6" t="inlineStr"/>
      <c r="M1488" s="5" t="inlineStr"/>
      <c r="N1488" s="5" t="inlineStr"/>
      <c r="O1488" s="6" t="inlineStr"/>
      <c r="P1488" s="6" t="inlineStr"/>
      <c r="Q1488" s="5" t="inlineStr"/>
      <c r="R1488" s="5" t="inlineStr">
        <is>
          <t>abiye-karsi-sigorta</t>
        </is>
      </c>
      <c r="S1488" s="5" t="inlineStr"/>
      <c r="T1488" s="5" t="inlineStr"/>
      <c r="U1488" s="5" t="inlineStr"/>
      <c r="V1488" s="5" t="inlineStr"/>
      <c r="W1488" s="5" t="inlineStr"/>
      <c r="X1488" s="5" t="inlineStr"/>
      <c r="Y1488" s="5" t="inlineStr"/>
      <c r="Z1488" s="6" t="inlineStr"/>
      <c r="AA1488" s="5" t="inlineStr"/>
      <c r="AB1488" s="5" t="inlineStr"/>
      <c r="AC1488" s="5" t="inlineStr"/>
      <c r="AD1488" s="5" t="inlineStr"/>
      <c r="AE1488" s="5" t="inlineStr"/>
      <c r="AF1488" s="5" t="inlineStr"/>
      <c r="AG1488" s="5" t="inlineStr"/>
      <c r="AH1488" s="5" t="inlineStr"/>
      <c r="AI1488" s="5" t="inlineStr"/>
      <c r="AJ1488" s="5" t="inlineStr"/>
    </row>
    <row r="1489">
      <c r="A1489" s="5" t="inlineStr">
        <is>
          <t>b7-cete-tefeci</t>
        </is>
      </c>
      <c r="B1489" s="5" t="n">
        <v>1</v>
      </c>
      <c r="C1489" s="6" t="inlineStr">
        <is>
          <t>Hatır için ver, deftere isim yaz</t>
        </is>
      </c>
      <c r="D1489" s="5" t="inlineStr"/>
      <c r="E1489" s="5" t="inlineStr"/>
      <c r="F1489" s="5" t="inlineStr">
        <is>
          <t>İtibar +1, Sosyal Radar +1</t>
        </is>
      </c>
      <c r="G1489" s="6" t="inlineStr">
        <is>
          <t>Deftere rakam yerine isim yazdın. Paranın yarısı geri geldi, gerisi bayramlarda baklava olarak. Mahalle seni seviyor; kasa sevmiyor.</t>
        </is>
      </c>
      <c r="H1489" s="6" t="inlineStr"/>
      <c r="I1489" s="6" t="inlineStr"/>
      <c r="J1489" s="6" t="inlineStr"/>
      <c r="K1489" s="6" t="inlineStr"/>
      <c r="L1489" s="6" t="inlineStr"/>
      <c r="M1489" s="5" t="inlineStr"/>
      <c r="N1489" s="5" t="inlineStr"/>
      <c r="O1489" s="6" t="inlineStr"/>
      <c r="P1489" s="6" t="inlineStr"/>
      <c r="Q1489" s="5" t="inlineStr"/>
      <c r="R1489" s="5" t="inlineStr"/>
      <c r="S1489" s="5" t="inlineStr"/>
      <c r="T1489" s="5" t="inlineStr"/>
      <c r="U1489" s="5" t="inlineStr"/>
      <c r="V1489" s="5" t="inlineStr"/>
      <c r="W1489" s="5" t="inlineStr"/>
      <c r="X1489" s="5" t="inlineStr"/>
      <c r="Y1489" s="5" t="inlineStr"/>
      <c r="Z1489" s="6" t="inlineStr"/>
      <c r="AA1489" s="5" t="inlineStr"/>
      <c r="AB1489" s="5" t="inlineStr"/>
      <c r="AC1489" s="5" t="inlineStr"/>
      <c r="AD1489" s="5" t="inlineStr"/>
      <c r="AE1489" s="5" t="inlineStr"/>
      <c r="AF1489" s="5" t="inlineStr"/>
      <c r="AG1489" s="5" t="inlineStr"/>
      <c r="AH1489" s="5" t="inlineStr"/>
      <c r="AI1489" s="5" t="inlineStr"/>
      <c r="AJ1489" s="5" t="inlineStr"/>
    </row>
    <row r="1490">
      <c r="A1490" s="5" t="inlineStr">
        <is>
          <t>b7-cete-tefeci</t>
        </is>
      </c>
      <c r="B1490" s="5" t="n">
        <v>2</v>
      </c>
      <c r="C1490" s="6" t="inlineStr">
        <is>
          <t>Mahallenin yarısını deftere yaz</t>
        </is>
      </c>
      <c r="D1490" s="5" t="inlineStr">
        <is>
          <t>Kurnazlık</t>
        </is>
      </c>
      <c r="E1490" s="5" t="inlineStr">
        <is>
          <t>Orta</t>
        </is>
      </c>
      <c r="F1490" s="5" t="inlineStr"/>
      <c r="G1490" s="6" t="inlineStr"/>
      <c r="H1490" s="6" t="inlineStr">
        <is>
          <t>İki yılda mahallenin yarısı deftere girdi. Sokakta herkes selam veriyor; bazıları karşı kaldırıma geçerek.</t>
        </is>
      </c>
      <c r="I1490" s="6" t="inlineStr">
        <is>
          <t>Defter öyle kalınlaştı ki abi bile göz attı: “Bunu ben de yapamazdım.” Kendi adını da gördü, sesini çıkarmadı.</t>
        </is>
      </c>
      <c r="J1490" s="6" t="inlineStr">
        <is>
          <t>Borç verdiğin herkes aynı hafta araba yıkatmayı bıraktı. Kasa boş, köpük makinesi boş, defter dolu.</t>
        </is>
      </c>
      <c r="K1490" s="6" t="inlineStr">
        <is>
          <t>Defteri kovanın yanında unuttun. Çırak hortumu açtı; on iki sayfa borç köpükle birlikte kanala aktı. O hafta mahallede herkes araba yıkatmaya geldi; bahşişler de çok iyiydi.</t>
        </is>
      </c>
      <c r="L1490" s="6" t="inlineStr"/>
      <c r="M1490" s="5" t="inlineStr"/>
      <c r="N1490" s="5" t="inlineStr"/>
      <c r="O1490" s="6" t="inlineStr"/>
      <c r="P1490" s="6" t="inlineStr"/>
      <c r="Q1490" s="5" t="inlineStr"/>
      <c r="R1490" s="5" t="inlineStr"/>
      <c r="S1490" s="5" t="inlineStr"/>
      <c r="T1490" s="5" t="inlineStr"/>
      <c r="U1490" s="5" t="inlineStr"/>
      <c r="V1490" s="5" t="inlineStr">
        <is>
          <t>tefeci-defteri</t>
        </is>
      </c>
      <c r="W1490" s="5" t="inlineStr"/>
      <c r="X1490" s="5" t="inlineStr"/>
      <c r="Y1490" s="5" t="inlineStr"/>
      <c r="Z1490" s="6" t="inlineStr"/>
      <c r="AA1490" s="5" t="inlineStr"/>
      <c r="AB1490" s="5" t="inlineStr"/>
      <c r="AC1490" s="5" t="inlineStr"/>
      <c r="AD1490" s="5" t="inlineStr">
        <is>
          <t>Rahat</t>
        </is>
      </c>
      <c r="AE1490" s="5" t="inlineStr"/>
      <c r="AF1490" s="5" t="inlineStr"/>
      <c r="AG1490" s="5" t="inlineStr"/>
      <c r="AH1490" s="5" t="inlineStr"/>
      <c r="AI1490" s="5" t="inlineStr"/>
      <c r="AJ1490" s="5" t="inlineStr"/>
    </row>
    <row r="1491">
      <c r="A1491" s="5" t="inlineStr">
        <is>
          <t>b7-cete-tefeci</t>
        </is>
      </c>
      <c r="B1491" s="5" t="n">
        <v>3</v>
      </c>
      <c r="C1491" s="6" t="inlineStr">
        <is>
          <t>Abinin müşterilerini kendi defterine geçir</t>
        </is>
      </c>
      <c r="D1491" s="5" t="inlineStr">
        <is>
          <t>Cesaret</t>
        </is>
      </c>
      <c r="E1491" s="5" t="inlineStr">
        <is>
          <t>Zor</t>
        </is>
      </c>
      <c r="F1491" s="5" t="inlineStr"/>
      <c r="G1491" s="6" t="inlineStr"/>
      <c r="H1491" s="6" t="inlineStr">
        <is>
          <t>Abinin üç müşterisi artık sana geliyor. Abi fark etti, bir şey demedi; sana yeni bir hesap makinesi gönderdi. Bütün tuşları basıyor.</t>
        </is>
      </c>
      <c r="I1491" s="6" t="inlineStr">
        <is>
          <t>Abinin müşterilerinin yarısı sana geçti. Abi seni yemeğe çağırdı, hesabı sana bıraktı; bu bir terfi sayılır.</t>
        </is>
      </c>
      <c r="J1491" s="6" t="inlineStr">
        <is>
          <t>Müşteriler iki defter arasında kaldı; ikisine de ödemediler. Abi sana bir hafta selam vermedi.</t>
        </is>
      </c>
      <c r="K1491" s="6" t="inlineStr">
        <is>
          <t>Eski müşterilerden biri defterini karakola götürdü; üstünde senin el yazın var. Hâkim yazının güzel olduğunu söyledi, sonra kararı okudu.</t>
        </is>
      </c>
      <c r="L1491" s="6" t="inlineStr"/>
      <c r="M1491" s="5" t="inlineStr"/>
      <c r="N1491" s="5" t="inlineStr"/>
      <c r="O1491" s="6" t="inlineStr"/>
      <c r="P1491" s="6" t="inlineStr"/>
      <c r="Q1491" s="5" t="inlineStr"/>
      <c r="R1491" s="5" t="inlineStr"/>
      <c r="S1491" s="5" t="inlineStr"/>
      <c r="T1491" s="5" t="inlineStr">
        <is>
          <t>Pazarlık Duayeni</t>
        </is>
      </c>
      <c r="U1491" s="5" t="inlineStr"/>
      <c r="V1491" s="5" t="inlineStr">
        <is>
          <t>tefeci-defteri</t>
        </is>
      </c>
      <c r="W1491" s="5" t="inlineStr">
        <is>
          <t>hapis</t>
        </is>
      </c>
      <c r="X1491" s="5" t="inlineStr"/>
      <c r="Y1491" s="5" t="inlineStr"/>
      <c r="Z1491" s="6" t="inlineStr"/>
      <c r="AA1491" s="5" t="inlineStr"/>
      <c r="AB1491" s="5" t="inlineStr"/>
      <c r="AC1491" s="5" t="inlineStr"/>
      <c r="AD1491" s="5" t="inlineStr"/>
      <c r="AE1491" s="5" t="inlineStr"/>
      <c r="AF1491" s="5" t="inlineStr"/>
      <c r="AG1491" s="5" t="inlineStr"/>
      <c r="AH1491" s="5" t="inlineStr"/>
      <c r="AI1491" s="5" t="inlineStr"/>
      <c r="AJ1491" s="5" t="inlineStr"/>
    </row>
    <row r="1492">
      <c r="A1492" s="5" t="inlineStr">
        <is>
          <t>b7-cete-rakip</t>
        </is>
      </c>
      <c r="B1492" s="5" t="n">
        <v>1</v>
      </c>
      <c r="C1492" s="6" t="inlineStr">
        <is>
          <t>Çay gönder, masaya çağır</t>
        </is>
      </c>
      <c r="D1492" s="5" t="inlineStr"/>
      <c r="E1492" s="5" t="inlineStr"/>
      <c r="F1492" s="5" t="inlineStr">
        <is>
          <t>Sosyal Radar +1, Çene +1</t>
        </is>
      </c>
      <c r="G1492" s="6" t="inlineStr">
        <is>
          <t>Yeğen çayı içti, masaya oturdu, bir saat dinledi. Ertesi gün tabelasındaki fazla harfi söktü. Arada bir sana müşteri gönderiyor.</t>
        </is>
      </c>
      <c r="H1492" s="6" t="inlineStr"/>
      <c r="I1492" s="6" t="inlineStr"/>
      <c r="J1492" s="6" t="inlineStr"/>
      <c r="K1492" s="6" t="inlineStr"/>
      <c r="L1492" s="6" t="inlineStr"/>
      <c r="M1492" s="5" t="inlineStr"/>
      <c r="N1492" s="5" t="inlineStr"/>
      <c r="O1492" s="6" t="inlineStr"/>
      <c r="P1492" s="6" t="inlineStr"/>
      <c r="Q1492" s="5" t="inlineStr"/>
      <c r="R1492" s="5" t="inlineStr"/>
      <c r="S1492" s="5" t="inlineStr"/>
      <c r="T1492" s="5" t="inlineStr"/>
      <c r="U1492" s="5" t="inlineStr"/>
      <c r="V1492" s="5" t="inlineStr"/>
      <c r="W1492" s="5" t="inlineStr"/>
      <c r="X1492" s="5" t="inlineStr"/>
      <c r="Y1492" s="5" t="inlineStr"/>
      <c r="Z1492" s="6" t="inlineStr"/>
      <c r="AA1492" s="5" t="inlineStr"/>
      <c r="AB1492" s="5" t="inlineStr"/>
      <c r="AC1492" s="5" t="inlineStr"/>
      <c r="AD1492" s="5" t="inlineStr"/>
      <c r="AE1492" s="5" t="inlineStr"/>
      <c r="AF1492" s="5" t="inlineStr"/>
      <c r="AG1492" s="5" t="inlineStr"/>
      <c r="AH1492" s="5" t="inlineStr"/>
      <c r="AI1492" s="5" t="inlineStr"/>
      <c r="AJ1492" s="5" t="inlineStr"/>
    </row>
    <row r="1493">
      <c r="A1493" s="5" t="inlineStr">
        <is>
          <t>b7-cete-rakip</t>
        </is>
      </c>
      <c r="B1493" s="5" t="n">
        <v>2</v>
      </c>
      <c r="C1493" s="6" t="inlineStr">
        <is>
          <t>Fiyat savaşına gir</t>
        </is>
      </c>
      <c r="D1493" s="5" t="inlineStr">
        <is>
          <t>Kurnazlık</t>
        </is>
      </c>
      <c r="E1493" s="5" t="inlineStr">
        <is>
          <t>Orta</t>
        </is>
      </c>
      <c r="F1493" s="5" t="inlineStr"/>
      <c r="G1493" s="6" t="inlineStr"/>
      <c r="H1493" s="6" t="inlineStr">
        <is>
          <t>Yıkamayı ucuzlattın, cilayı bedava yaptın. Üç ayda karşı kaldırım kepenk indirdi; sen de bedava cilayı bir türlü kaldıramadın.</t>
        </is>
      </c>
      <c r="I1493" s="6" t="inlineStr">
        <is>
          <t>Yeğen dükkânını kapatıp sana eleman olarak geldi. Çayları o dağıtıyor, seni “Patron” diye çağırıyor.</t>
        </is>
      </c>
      <c r="J1493" s="6" t="inlineStr">
        <is>
          <t>İkiniz de fiyat indirdiniz. Mahallenin arabaları hiç bu kadar temiz, siz hiç bu kadar yorgun olmamıştınız.</t>
        </is>
      </c>
      <c r="K1493" s="6" t="inlineStr">
        <is>
          <t>Savaş öyle kızıştı ki bir gün müşteriye para ödeyerek araba yıkadın. Müşteri ertesi gün yine geldi.</t>
        </is>
      </c>
      <c r="L1493" s="6" t="inlineStr"/>
      <c r="M1493" s="5" t="inlineStr"/>
      <c r="N1493" s="5" t="inlineStr"/>
      <c r="O1493" s="6" t="inlineStr"/>
      <c r="P1493" s="6" t="inlineStr"/>
      <c r="Q1493" s="5" t="inlineStr"/>
      <c r="R1493" s="5" t="inlineStr"/>
      <c r="S1493" s="5" t="inlineStr"/>
      <c r="T1493" s="5" t="inlineStr"/>
      <c r="U1493" s="5" t="inlineStr"/>
      <c r="V1493" s="5" t="inlineStr"/>
      <c r="W1493" s="5" t="inlineStr"/>
      <c r="X1493" s="5" t="inlineStr"/>
      <c r="Y1493" s="5" t="inlineStr"/>
      <c r="Z1493" s="6" t="inlineStr"/>
      <c r="AA1493" s="5" t="inlineStr"/>
      <c r="AB1493" s="5" t="inlineStr"/>
      <c r="AC1493" s="5" t="inlineStr"/>
      <c r="AD1493" s="5" t="inlineStr"/>
      <c r="AE1493" s="5" t="inlineStr"/>
      <c r="AF1493" s="5" t="inlineStr"/>
      <c r="AG1493" s="5" t="inlineStr"/>
      <c r="AH1493" s="5" t="inlineStr"/>
      <c r="AI1493" s="5" t="inlineStr"/>
      <c r="AJ1493" s="5" t="inlineStr"/>
    </row>
    <row r="1494">
      <c r="A1494" s="5" t="inlineStr">
        <is>
          <t>b7-cete-rakip</t>
        </is>
      </c>
      <c r="B1494" s="5" t="n">
        <v>3</v>
      </c>
      <c r="C1494" s="6" t="inlineStr">
        <is>
          <t>Karşıya git, dükkânında yüzleş</t>
        </is>
      </c>
      <c r="D1494" s="5" t="inlineStr">
        <is>
          <t>Cesaret</t>
        </is>
      </c>
      <c r="E1494" s="5" t="inlineStr">
        <is>
          <t>Zor</t>
        </is>
      </c>
      <c r="F1494" s="5" t="inlineStr"/>
      <c r="G1494" s="6" t="inlineStr"/>
      <c r="H1494" s="6" t="inlineStr">
        <is>
          <t>Yeğenin dükkânında bir araba yıkattın, yüksek bahşiş bırakıp çıktın. Mesaj alındı; ertesi hafta tabelasını değiştirdi.</t>
        </is>
      </c>
      <c r="I1494" s="6" t="inlineStr">
        <is>
          <t>Yüzleşme o kadar sakin geçti ki yeğen kira sözleşmesini sana devretti. Artık iki kaldırımda da köpük senin.</t>
        </is>
      </c>
      <c r="J1494" s="6" t="inlineStr">
        <is>
          <t>Yeğen seni tanımadı, sıraya aldı. Kırk dakika bekledin; araban hiç bu kadar parlamamıştı.</t>
        </is>
      </c>
      <c r="K1494" s="6" t="inlineStr">
        <is>
          <t>Yeğen seni tanıdı ve seninle fotoğraf çektirdi: “Rakibimle.” Fotoğraf şimdi onun tabelasında asılı.</t>
        </is>
      </c>
      <c r="L1494" s="6" t="inlineStr"/>
      <c r="M1494" s="5" t="inlineStr"/>
      <c r="N1494" s="5" t="inlineStr"/>
      <c r="O1494" s="6" t="inlineStr"/>
      <c r="P1494" s="6" t="inlineStr"/>
      <c r="Q1494" s="5" t="inlineStr"/>
      <c r="R1494" s="5" t="inlineStr"/>
      <c r="S1494" s="5" t="inlineStr"/>
      <c r="T1494" s="5" t="inlineStr">
        <is>
          <t>Son Sözü Söyler</t>
        </is>
      </c>
      <c r="U1494" s="5" t="inlineStr"/>
      <c r="V1494" s="5" t="inlineStr"/>
      <c r="W1494" s="5" t="inlineStr"/>
      <c r="X1494" s="5" t="inlineStr"/>
      <c r="Y1494" s="5" t="inlineStr"/>
      <c r="Z1494" s="6" t="inlineStr"/>
      <c r="AA1494" s="5" t="inlineStr"/>
      <c r="AB1494" s="5" t="inlineStr"/>
      <c r="AC1494" s="5" t="inlineStr"/>
      <c r="AD1494" s="5" t="inlineStr"/>
      <c r="AE1494" s="5" t="inlineStr"/>
      <c r="AF1494" s="5" t="inlineStr"/>
      <c r="AG1494" s="5" t="inlineStr"/>
      <c r="AH1494" s="5" t="inlineStr"/>
      <c r="AI1494" s="5" t="inlineStr"/>
      <c r="AJ1494" s="5" t="inlineStr"/>
    </row>
    <row r="1495">
      <c r="A1495" s="5" t="inlineStr">
        <is>
          <t>b7-cete-rakip</t>
        </is>
      </c>
      <c r="B1495" s="5" t="n">
        <v>4</v>
      </c>
      <c r="C1495" s="6" t="inlineStr">
        <is>
          <t>Kışla arkadaşlarını çağır</t>
        </is>
      </c>
      <c r="D1495" s="5" t="inlineStr">
        <is>
          <t>Cesaret</t>
        </is>
      </c>
      <c r="E1495" s="5" t="inlineStr">
        <is>
          <t>Orta</t>
        </is>
      </c>
      <c r="F1495" s="5" t="inlineStr"/>
      <c r="G1495" s="6" t="inlineStr"/>
      <c r="H1495" s="6" t="inlineStr">
        <is>
          <t>Üç kışla arkadaşın karşı kaldırıma sandalye çekip bütün gün yalnızca çay içti. Yeğen üçüncü gün pes etti.</t>
        </is>
      </c>
      <c r="I1495" s="6" t="inlineStr">
        <is>
          <t>Arkadaşların yeğeni kışla hikâyeleriyle ikna etti. Karşı dükkân artık senin şuben.</t>
        </is>
      </c>
      <c r="J1495" s="6" t="inlineStr">
        <is>
          <t>Arkadaşların geldi, karşı dükkânda araba yıkatıp gittiler. İndirimliymiş.</t>
        </is>
      </c>
      <c r="K1495" s="6" t="inlineStr">
        <is>
          <t>Arkadaşların karşı kaldırıma oturdu; yeğenin annesi çay getirdi, börek getirdi. Akşama kadar onun dükkânını övdüler. Dördüncü gün biri orada çalışmaya başladı.</t>
        </is>
      </c>
      <c r="L1495" s="6" t="inlineStr"/>
      <c r="M1495" s="5" t="inlineStr"/>
      <c r="N1495" s="5" t="inlineStr"/>
      <c r="O1495" s="6" t="inlineStr"/>
      <c r="P1495" s="6" t="inlineStr"/>
      <c r="Q1495" s="5" t="inlineStr"/>
      <c r="R1495" s="5" t="inlineStr">
        <is>
          <t>kisla-kankasi</t>
        </is>
      </c>
      <c r="S1495" s="5" t="inlineStr"/>
      <c r="T1495" s="5" t="inlineStr"/>
      <c r="U1495" s="5" t="inlineStr"/>
      <c r="V1495" s="5" t="inlineStr"/>
      <c r="W1495" s="5" t="inlineStr"/>
      <c r="X1495" s="5" t="inlineStr"/>
      <c r="Y1495" s="5" t="inlineStr"/>
      <c r="Z1495" s="6" t="inlineStr"/>
      <c r="AA1495" s="5" t="inlineStr"/>
      <c r="AB1495" s="5" t="inlineStr"/>
      <c r="AC1495" s="5" t="inlineStr"/>
      <c r="AD1495" s="5" t="inlineStr"/>
      <c r="AE1495" s="5" t="inlineStr"/>
      <c r="AF1495" s="5" t="inlineStr"/>
      <c r="AG1495" s="5" t="inlineStr"/>
      <c r="AH1495" s="5" t="inlineStr"/>
      <c r="AI1495" s="5" t="inlineStr"/>
      <c r="AJ1495" s="5" t="inlineStr"/>
    </row>
    <row r="1496">
      <c r="A1496" s="5" t="inlineStr">
        <is>
          <t>b8-cete-hatir-masasi</t>
        </is>
      </c>
      <c r="B1496" s="5" t="n">
        <v>1</v>
      </c>
      <c r="C1496" s="6" t="inlineStr">
        <is>
          <t>Yazı tura at</t>
        </is>
      </c>
      <c r="D1496" s="5" t="inlineStr"/>
      <c r="E1496" s="5" t="inlineStr"/>
      <c r="F1496" s="5" t="inlineStr">
        <is>
          <t>Pişkinlik +1, Cesaret +1</t>
        </is>
      </c>
      <c r="G1496" s="6" t="inlineStr">
        <is>
          <t>Parayı attın, masanın altına kaçtı. İki aile beraber eğildi, beraber kalktı; düğünü ortak yapmaya karar verdiler. Halay iki saat sürdü.</t>
        </is>
      </c>
      <c r="H1496" s="6" t="inlineStr"/>
      <c r="I1496" s="6" t="inlineStr"/>
      <c r="J1496" s="6" t="inlineStr"/>
      <c r="K1496" s="6" t="inlineStr"/>
      <c r="L1496" s="6" t="inlineStr"/>
      <c r="M1496" s="5" t="inlineStr"/>
      <c r="N1496" s="5" t="inlineStr"/>
      <c r="O1496" s="6" t="inlineStr"/>
      <c r="P1496" s="6" t="inlineStr"/>
      <c r="Q1496" s="5" t="inlineStr"/>
      <c r="R1496" s="5" t="inlineStr"/>
      <c r="S1496" s="5" t="inlineStr"/>
      <c r="T1496" s="5" t="inlineStr"/>
      <c r="U1496" s="5" t="inlineStr"/>
      <c r="V1496" s="5" t="inlineStr"/>
      <c r="W1496" s="5" t="inlineStr"/>
      <c r="X1496" s="5" t="inlineStr"/>
      <c r="Y1496" s="5" t="inlineStr"/>
      <c r="Z1496" s="6" t="inlineStr"/>
      <c r="AA1496" s="5" t="inlineStr"/>
      <c r="AB1496" s="5" t="inlineStr"/>
      <c r="AC1496" s="5" t="inlineStr"/>
      <c r="AD1496" s="5" t="inlineStr"/>
      <c r="AE1496" s="5" t="inlineStr"/>
      <c r="AF1496" s="5" t="inlineStr"/>
      <c r="AG1496" s="5" t="inlineStr"/>
      <c r="AH1496" s="5" t="inlineStr"/>
      <c r="AI1496" s="5" t="inlineStr"/>
      <c r="AJ1496" s="5" t="inlineStr"/>
    </row>
    <row r="1497">
      <c r="A1497" s="5" t="inlineStr">
        <is>
          <t>b8-cete-hatir-masasi</t>
        </is>
      </c>
      <c r="B1497" s="5" t="n">
        <v>2</v>
      </c>
      <c r="C1497" s="6" t="inlineStr">
        <is>
          <t>İki damadı da dinle</t>
        </is>
      </c>
      <c r="D1497" s="5" t="inlineStr">
        <is>
          <t>Sosyal Radar</t>
        </is>
      </c>
      <c r="E1497" s="5" t="inlineStr">
        <is>
          <t>Orta</t>
        </is>
      </c>
      <c r="F1497" s="5" t="inlineStr"/>
      <c r="G1497" s="6" t="inlineStr"/>
      <c r="H1497" s="6" t="inlineStr">
        <is>
          <t>Damatlardan biri aslında perşembeyi istiyormuş, söylemeye çekiniyormuş. Mesele çay bitmeden çözüldü.</t>
        </is>
      </c>
      <c r="I1497" s="6" t="inlineStr">
        <is>
          <t>Dinledikçe iki ailenin akraba olduğu ortaya çıktı. Düğün birleşti, seni nikâh şahidi yaptılar; iki kez imza attın.</t>
        </is>
      </c>
      <c r="J1497" s="6" t="inlineStr">
        <is>
          <t>Dinledin, dinledin; damatlar birbirini ikna etti, seni değil. Masadan sensiz kalktılar.</t>
        </is>
      </c>
      <c r="K1497" s="6" t="inlineStr">
        <is>
          <t>Bir tarafa hafifçe başını salladın. Öbür kayınpeder gördü, çayını yarım bıraktı, kalktı. O cumartesi iki düğün de yapıldı; ikisinde de senin masan yoktu. Yirmi yıldır ilk kez davetsiz bir cumartesi geçirdin.</t>
        </is>
      </c>
      <c r="L1497" s="6" t="inlineStr"/>
      <c r="M1497" s="5" t="inlineStr"/>
      <c r="N1497" s="5" t="inlineStr"/>
      <c r="O1497" s="6" t="inlineStr"/>
      <c r="P1497" s="6" t="inlineStr"/>
      <c r="Q1497" s="5" t="inlineStr"/>
      <c r="R1497" s="5" t="inlineStr"/>
      <c r="S1497" s="5" t="inlineStr"/>
      <c r="T1497" s="5" t="inlineStr"/>
      <c r="U1497" s="5" t="inlineStr"/>
      <c r="V1497" s="5" t="inlineStr"/>
      <c r="W1497" s="5" t="inlineStr"/>
      <c r="X1497" s="5" t="inlineStr"/>
      <c r="Y1497" s="5" t="inlineStr"/>
      <c r="Z1497" s="6" t="inlineStr"/>
      <c r="AA1497" s="5" t="inlineStr"/>
      <c r="AB1497" s="5" t="inlineStr"/>
      <c r="AC1497" s="5" t="inlineStr"/>
      <c r="AD1497" s="5" t="inlineStr"/>
      <c r="AE1497" s="5" t="inlineStr"/>
      <c r="AF1497" s="5" t="inlineStr"/>
      <c r="AG1497" s="5" t="inlineStr"/>
      <c r="AH1497" s="5" t="inlineStr"/>
      <c r="AI1497" s="5" t="inlineStr"/>
      <c r="AJ1497" s="5" t="inlineStr"/>
    </row>
    <row r="1498">
      <c r="A1498" s="5" t="inlineStr">
        <is>
          <t>b8-cete-hatir-masasi</t>
        </is>
      </c>
      <c r="B1498" s="5" t="n">
        <v>3</v>
      </c>
      <c r="C1498" s="6" t="inlineStr">
        <is>
          <t>Salon sahibini depodan çıkar</t>
        </is>
      </c>
      <c r="D1498" s="5" t="inlineStr">
        <is>
          <t>Kurnazlık</t>
        </is>
      </c>
      <c r="E1498" s="5" t="inlineStr">
        <is>
          <t>Orta</t>
        </is>
      </c>
      <c r="F1498" s="5" t="inlineStr"/>
      <c r="G1498" s="6" t="inlineStr"/>
      <c r="H1498" s="6" t="inlineStr">
        <is>
          <t>Salon sahibi depodan çıktı, ikinci bir salonu olduğunu itiraf etti. Mesele bitti; adam sana bir düğün borçlu.</t>
        </is>
      </c>
      <c r="I1498" s="6" t="inlineStr">
        <is>
          <t>Salon sahibi iki aileye indirim yaptı, sana da salonda ömürlük bir masa ayırdı. Masanın üstünde adın yazıyor.</t>
        </is>
      </c>
      <c r="J1498" s="6" t="inlineStr">
        <is>
          <t>Depoya seslendin; cevap gelmedi. Kapıyı çaldın; içeriden bir ses “Burada kimse yok” dedi.</t>
        </is>
      </c>
      <c r="K1498" s="6" t="inlineStr">
        <is>
          <t>Salon sahibi çıktı ve aynı cumartesiye üçüncü bir aileyi de yazdığını itiraf etti. Üç damat, üç kayınpeder, bir masa. Bütün çayları sen ödedin; üç düğünün hiçbirine çağrılmadın.</t>
        </is>
      </c>
      <c r="L1498" s="6" t="inlineStr"/>
      <c r="M1498" s="5" t="inlineStr"/>
      <c r="N1498" s="5" t="inlineStr"/>
      <c r="O1498" s="6" t="inlineStr"/>
      <c r="P1498" s="6" t="inlineStr"/>
      <c r="Q1498" s="5" t="inlineStr"/>
      <c r="R1498" s="5" t="inlineStr"/>
      <c r="S1498" s="5" t="inlineStr"/>
      <c r="T1498" s="5" t="inlineStr"/>
      <c r="U1498" s="5" t="inlineStr"/>
      <c r="V1498" s="5" t="inlineStr"/>
      <c r="W1498" s="5" t="inlineStr"/>
      <c r="X1498" s="5" t="inlineStr"/>
      <c r="Y1498" s="5" t="inlineStr"/>
      <c r="Z1498" s="6" t="inlineStr"/>
      <c r="AA1498" s="5" t="inlineStr"/>
      <c r="AB1498" s="5" t="inlineStr"/>
      <c r="AC1498" s="5" t="inlineStr"/>
      <c r="AD1498" s="5" t="inlineStr"/>
      <c r="AE1498" s="5" t="inlineStr"/>
      <c r="AF1498" s="5" t="inlineStr"/>
      <c r="AG1498" s="5" t="inlineStr"/>
      <c r="AH1498" s="5" t="inlineStr"/>
      <c r="AI1498" s="5" t="inlineStr"/>
      <c r="AJ1498" s="5" t="inlineStr"/>
    </row>
    <row r="1499">
      <c r="A1499" s="5" t="inlineStr">
        <is>
          <t>b8-cete-hatir-masasi</t>
        </is>
      </c>
      <c r="B1499" s="5" t="n">
        <v>4</v>
      </c>
      <c r="C1499" s="6" t="inlineStr">
        <is>
          <t>Komiser dostunu iki düğüne de davet ettir</t>
        </is>
      </c>
      <c r="D1499" s="5" t="inlineStr"/>
      <c r="E1499" s="5" t="inlineStr"/>
      <c r="F1499" s="5" t="inlineStr">
        <is>
          <t>Sosyal Radar +1</t>
        </is>
      </c>
      <c r="G1499" s="6" t="inlineStr">
        <is>
          <t>Komiser iki düğüne de davetli çıktı; hangisine gideceğini sana sordu. “İkisine de git” dedin. Gitti, iki salonda da halaya kalktı; o gece kimse kimseyle kavga etmedi.</t>
        </is>
      </c>
      <c r="H1499" s="6" t="inlineStr"/>
      <c r="I1499" s="6" t="inlineStr"/>
      <c r="J1499" s="6" t="inlineStr"/>
      <c r="K1499" s="6" t="inlineStr"/>
      <c r="L1499" s="6" t="inlineStr"/>
      <c r="M1499" s="5" t="inlineStr"/>
      <c r="N1499" s="5" t="inlineStr"/>
      <c r="O1499" s="6" t="inlineStr"/>
      <c r="P1499" s="6" t="inlineStr"/>
      <c r="Q1499" s="5" t="inlineStr"/>
      <c r="R1499" s="5" t="inlineStr">
        <is>
          <t>komiser-tanidik</t>
        </is>
      </c>
      <c r="S1499" s="5" t="inlineStr"/>
      <c r="T1499" s="5" t="inlineStr"/>
      <c r="U1499" s="5" t="inlineStr"/>
      <c r="V1499" s="5" t="inlineStr"/>
      <c r="W1499" s="5" t="inlineStr"/>
      <c r="X1499" s="5" t="inlineStr"/>
      <c r="Y1499" s="5" t="inlineStr"/>
      <c r="Z1499" s="6" t="inlineStr"/>
      <c r="AA1499" s="5" t="inlineStr"/>
      <c r="AB1499" s="5" t="inlineStr"/>
      <c r="AC1499" s="5" t="inlineStr"/>
      <c r="AD1499" s="5" t="inlineStr"/>
      <c r="AE1499" s="5" t="inlineStr"/>
      <c r="AF1499" s="5" t="inlineStr"/>
      <c r="AG1499" s="5" t="inlineStr"/>
      <c r="AH1499" s="5" t="inlineStr"/>
      <c r="AI1499" s="5" t="inlineStr"/>
      <c r="AJ1499" s="5" t="inlineStr"/>
    </row>
    <row r="1500">
      <c r="A1500" s="5" t="inlineStr">
        <is>
          <t>b8-cete-abinin-emekliligi</t>
        </is>
      </c>
      <c r="B1500" s="5" t="n">
        <v>1</v>
      </c>
      <c r="C1500" s="6" t="inlineStr">
        <is>
          <t>Payını al, işleri yeğene bırak</t>
        </is>
      </c>
      <c r="D1500" s="5" t="inlineStr"/>
      <c r="E1500" s="5" t="inlineStr"/>
      <c r="F1500" s="5" t="inlineStr">
        <is>
          <t>İtibar +1, Dayanıklılık +1</t>
        </is>
      </c>
      <c r="G1500" s="6" t="inlineStr">
        <is>
          <t>Abiye bir tespih, yeğene anahtarları verdin; sen oto yıkamada kaldın. Akşamları kahvede yeğen yanından geçerken soruyor: “Bir isteğin var mı?” Çay istiyorsun, getiriyor. Şimdilik.</t>
        </is>
      </c>
      <c r="H1500" s="6" t="inlineStr"/>
      <c r="I1500" s="6" t="inlineStr"/>
      <c r="J1500" s="6" t="inlineStr"/>
      <c r="K1500" s="6" t="inlineStr"/>
      <c r="L1500" s="6" t="inlineStr"/>
      <c r="M1500" s="5" t="inlineStr"/>
      <c r="N1500" s="5" t="inlineStr"/>
      <c r="O1500" s="6" t="inlineStr"/>
      <c r="P1500" s="6" t="inlineStr"/>
      <c r="Q1500" s="5" t="inlineStr"/>
      <c r="R1500" s="5" t="inlineStr"/>
      <c r="S1500" s="5" t="inlineStr"/>
      <c r="T1500" s="5" t="inlineStr"/>
      <c r="U1500" s="5" t="inlineStr"/>
      <c r="V1500" s="5" t="inlineStr"/>
      <c r="W1500" s="5" t="inlineStr"/>
      <c r="X1500" s="5" t="inlineStr"/>
      <c r="Y1500" s="5" t="inlineStr"/>
      <c r="Z1500" s="6" t="inlineStr"/>
      <c r="AA1500" s="5" t="inlineStr"/>
      <c r="AB1500" s="5" t="inlineStr"/>
      <c r="AC1500" s="5" t="inlineStr"/>
      <c r="AD1500" s="5" t="inlineStr"/>
      <c r="AE1500" s="5" t="inlineStr"/>
      <c r="AF1500" s="5" t="inlineStr"/>
      <c r="AG1500" s="5" t="inlineStr"/>
      <c r="AH1500" s="5" t="inlineStr"/>
      <c r="AI1500" s="5" t="inlineStr"/>
      <c r="AJ1500" s="5" t="inlineStr"/>
    </row>
    <row r="1501">
      <c r="A1501" s="5" t="inlineStr">
        <is>
          <t>b8-cete-abinin-emekliligi</t>
        </is>
      </c>
      <c r="B1501" s="5" t="n">
        <v>2</v>
      </c>
      <c r="C1501" s="6" t="inlineStr">
        <is>
          <t>Yeğenle ortak ol</t>
        </is>
      </c>
      <c r="D1501" s="5" t="inlineStr">
        <is>
          <t>Çene</t>
        </is>
      </c>
      <c r="E1501" s="5" t="inlineStr">
        <is>
          <t>Orta</t>
        </is>
      </c>
      <c r="F1501" s="5" t="inlineStr"/>
      <c r="G1501" s="6" t="inlineStr"/>
      <c r="H1501" s="6" t="inlineStr">
        <is>
          <t>Yeğen rakamları, sen insanları yönetiyorsun. İlk toplantıda anlaştınız; ikincide telefonunu cebine koydu.</t>
        </is>
      </c>
      <c r="I1501" s="6" t="inlineStr">
        <is>
          <t>Yeğen seni öyle sevdi ki kartvizitine “Öğrencisi” yazdırdı. Abi bunu görünce yıllardır ilk kez güldü.</t>
        </is>
      </c>
      <c r="J1501" s="6" t="inlineStr">
        <is>
          <t>Ortaklık sözleşmesini yeğen hazırladı. Üç sayfa; senin adın yalnızca imza yerinde.</t>
        </is>
      </c>
      <c r="K1501" s="6" t="inlineStr">
        <is>
          <t>Ortaklığın ilk ayında yeğen masaları değiştirdi. Kahvedeki yerin artık kapının yanı; cereyan var.</t>
        </is>
      </c>
      <c r="L1501" s="6" t="inlineStr"/>
      <c r="M1501" s="5" t="inlineStr"/>
      <c r="N1501" s="5" t="inlineStr"/>
      <c r="O1501" s="6" t="inlineStr"/>
      <c r="P1501" s="6" t="inlineStr"/>
      <c r="Q1501" s="5" t="inlineStr"/>
      <c r="R1501" s="5" t="inlineStr"/>
      <c r="S1501" s="5" t="inlineStr"/>
      <c r="T1501" s="5" t="inlineStr"/>
      <c r="U1501" s="5" t="inlineStr"/>
      <c r="V1501" s="5" t="inlineStr"/>
      <c r="W1501" s="5" t="inlineStr"/>
      <c r="X1501" s="5" t="inlineStr"/>
      <c r="Y1501" s="5" t="inlineStr"/>
      <c r="Z1501" s="6" t="inlineStr"/>
      <c r="AA1501" s="5" t="inlineStr"/>
      <c r="AB1501" s="5" t="inlineStr"/>
      <c r="AC1501" s="5" t="inlineStr"/>
      <c r="AD1501" s="5" t="inlineStr"/>
      <c r="AE1501" s="5" t="inlineStr"/>
      <c r="AF1501" s="5" t="inlineStr"/>
      <c r="AG1501" s="5" t="inlineStr"/>
      <c r="AH1501" s="5" t="inlineStr"/>
      <c r="AI1501" s="5" t="inlineStr"/>
      <c r="AJ1501" s="5" t="inlineStr"/>
    </row>
    <row r="1502">
      <c r="A1502" s="5" t="inlineStr">
        <is>
          <t>b8-cete-abinin-emekliligi</t>
        </is>
      </c>
      <c r="B1502" s="5" t="n">
        <v>3</v>
      </c>
      <c r="C1502" s="6" t="inlineStr">
        <is>
          <t>Bütün işi tek başına devral</t>
        </is>
      </c>
      <c r="D1502" s="5" t="inlineStr">
        <is>
          <t>Cesaret</t>
        </is>
      </c>
      <c r="E1502" s="5" t="inlineStr">
        <is>
          <t>Zor</t>
        </is>
      </c>
      <c r="F1502" s="5" t="inlineStr"/>
      <c r="G1502" s="6" t="inlineStr"/>
      <c r="H1502" s="6" t="inlineStr">
        <is>
          <t>Abinin defterleri, masaları, kahvedeki pencere kenarı artık senin. Yeğen ilk kez gelip elini öptü; dudakları titriyordu.</t>
        </is>
      </c>
      <c r="I1502" s="6" t="inlineStr">
        <is>
          <t>Devir öyle pürüzsüz oldu ki abi bile sana danışmaya başladı. Bayramda elini öpmeye gelenlerin sırası kapıdan taşıyor.</t>
        </is>
      </c>
      <c r="J1502" s="6" t="inlineStr">
        <is>
          <t>Yeğen ayak diredi, abi araya girdi. İşler ikiye bölündü; masanın yarısı senin, çayın tamamı ortak.</t>
        </is>
      </c>
      <c r="K1502" s="6" t="inlineStr">
        <is>
          <t>Devraldığın defterlerde abinin otuz yıllık hesapları da vardı. Savcılık onları senden önce okudu; şimdi hepsinin sahibi sensin.</t>
        </is>
      </c>
      <c r="L1502" s="6" t="inlineStr"/>
      <c r="M1502" s="5" t="inlineStr"/>
      <c r="N1502" s="5" t="inlineStr"/>
      <c r="O1502" s="6" t="inlineStr"/>
      <c r="P1502" s="6" t="inlineStr"/>
      <c r="Q1502" s="5" t="inlineStr"/>
      <c r="R1502" s="5" t="inlineStr"/>
      <c r="S1502" s="5" t="inlineStr"/>
      <c r="T1502" s="5" t="inlineStr">
        <is>
          <t>Mevzuat Kalkanı</t>
        </is>
      </c>
      <c r="U1502" s="5" t="inlineStr"/>
      <c r="V1502" s="5" t="inlineStr">
        <is>
          <t>mahalle-babasi</t>
        </is>
      </c>
      <c r="W1502" s="5" t="inlineStr">
        <is>
          <t>hapis</t>
        </is>
      </c>
      <c r="X1502" s="5" t="inlineStr"/>
      <c r="Y1502" s="5" t="inlineStr"/>
      <c r="Z1502" s="6" t="inlineStr"/>
      <c r="AA1502" s="5" t="inlineStr"/>
      <c r="AB1502" s="5" t="inlineStr"/>
      <c r="AC1502" s="5" t="inlineStr"/>
      <c r="AD1502" s="5" t="inlineStr">
        <is>
          <t>Varlıklı</t>
        </is>
      </c>
      <c r="AE1502" s="5" t="inlineStr"/>
      <c r="AF1502" s="5" t="inlineStr"/>
      <c r="AG1502" s="5" t="inlineStr"/>
      <c r="AH1502" s="5" t="inlineStr"/>
      <c r="AI1502" s="5" t="inlineStr"/>
      <c r="AJ1502" s="5" t="inlineStr"/>
    </row>
    <row r="1503">
      <c r="A1503" s="5" t="inlineStr">
        <is>
          <t>b8-cete-abinin-emekliligi</t>
        </is>
      </c>
      <c r="B1503" s="5" t="n">
        <v>4</v>
      </c>
      <c r="C1503" s="6" t="inlineStr">
        <is>
          <t>Fotokopiyi abiye hediye et</t>
        </is>
      </c>
      <c r="D1503" s="5" t="inlineStr"/>
      <c r="E1503" s="5" t="inlineStr"/>
      <c r="F1503" s="5" t="inlineStr">
        <is>
          <t>Kurnazlık +1, İtibar +1</t>
        </is>
      </c>
      <c r="G1503" s="6" t="inlineStr">
        <is>
          <t>Fotokopiyi kurdeleyle paketledin. Abi gözlüğünü takıp bir sayfa okudu, güldü: “Bende aslı bile yok artık.” İkiniz de rahatladınız.</t>
        </is>
      </c>
      <c r="H1503" s="6" t="inlineStr"/>
      <c r="I1503" s="6" t="inlineStr"/>
      <c r="J1503" s="6" t="inlineStr"/>
      <c r="K1503" s="6" t="inlineStr"/>
      <c r="L1503" s="6" t="inlineStr"/>
      <c r="M1503" s="5" t="inlineStr"/>
      <c r="N1503" s="5" t="inlineStr"/>
      <c r="O1503" s="6" t="inlineStr"/>
      <c r="P1503" s="6" t="inlineStr"/>
      <c r="Q1503" s="5" t="inlineStr"/>
      <c r="R1503" s="5" t="inlineStr">
        <is>
          <t>abiye-karsi-sigorta</t>
        </is>
      </c>
      <c r="S1503" s="5" t="inlineStr"/>
      <c r="T1503" s="5" t="inlineStr"/>
      <c r="U1503" s="5" t="inlineStr">
        <is>
          <t>-abiye-karsi-sigorta</t>
        </is>
      </c>
      <c r="V1503" s="5" t="inlineStr"/>
      <c r="W1503" s="5" t="inlineStr"/>
      <c r="X1503" s="5" t="inlineStr"/>
      <c r="Y1503" s="5" t="inlineStr"/>
      <c r="Z1503" s="6" t="inlineStr"/>
      <c r="AA1503" s="5" t="inlineStr"/>
      <c r="AB1503" s="5" t="inlineStr"/>
      <c r="AC1503" s="5" t="inlineStr"/>
      <c r="AD1503" s="5" t="inlineStr"/>
      <c r="AE1503" s="5" t="inlineStr"/>
      <c r="AF1503" s="5" t="inlineStr"/>
      <c r="AG1503" s="5" t="inlineStr"/>
      <c r="AH1503" s="5" t="inlineStr"/>
      <c r="AI1503" s="5" t="inlineStr"/>
      <c r="AJ1503" s="5" t="inlineStr"/>
    </row>
    <row r="1504">
      <c r="A1504" s="5" t="inlineStr">
        <is>
          <t>b9-cete-kahvehane</t>
        </is>
      </c>
      <c r="B1504" s="5" t="n">
        <v>1</v>
      </c>
      <c r="C1504" s="6" t="inlineStr">
        <is>
          <t>Hikâyeyi olduğu gibi anlat</t>
        </is>
      </c>
      <c r="D1504" s="5" t="inlineStr"/>
      <c r="E1504" s="5" t="inlineStr"/>
      <c r="F1504" s="5" t="inlineStr">
        <is>
          <t>İtibar +1, Çene +1</t>
        </is>
      </c>
      <c r="G1504" s="6" t="inlineStr">
        <is>
          <t>Gerçeği anlattın: az para, çok çay, bol köpük. Gençler hayal kırıklığıyla dağıldı; biri kaldı, oto yıkamaya çırak oldu.</t>
        </is>
      </c>
      <c r="H1504" s="6" t="inlineStr"/>
      <c r="I1504" s="6" t="inlineStr"/>
      <c r="J1504" s="6" t="inlineStr"/>
      <c r="K1504" s="6" t="inlineStr"/>
      <c r="L1504" s="6" t="inlineStr"/>
      <c r="M1504" s="5" t="inlineStr"/>
      <c r="N1504" s="5" t="inlineStr"/>
      <c r="O1504" s="6" t="inlineStr"/>
      <c r="P1504" s="6" t="inlineStr"/>
      <c r="Q1504" s="5" t="inlineStr"/>
      <c r="R1504" s="5" t="inlineStr"/>
      <c r="S1504" s="5" t="inlineStr"/>
      <c r="T1504" s="5" t="inlineStr"/>
      <c r="U1504" s="5" t="inlineStr"/>
      <c r="V1504" s="5" t="inlineStr"/>
      <c r="W1504" s="5" t="inlineStr"/>
      <c r="X1504" s="5" t="inlineStr"/>
      <c r="Y1504" s="5" t="inlineStr"/>
      <c r="Z1504" s="6" t="inlineStr"/>
      <c r="AA1504" s="5" t="inlineStr"/>
      <c r="AB1504" s="5" t="inlineStr"/>
      <c r="AC1504" s="5" t="inlineStr"/>
      <c r="AD1504" s="5" t="inlineStr"/>
      <c r="AE1504" s="5" t="inlineStr"/>
      <c r="AF1504" s="5" t="inlineStr"/>
      <c r="AG1504" s="5" t="inlineStr"/>
      <c r="AH1504" s="5" t="inlineStr"/>
      <c r="AI1504" s="5" t="inlineStr"/>
      <c r="AJ1504" s="5" t="inlineStr"/>
    </row>
    <row r="1505">
      <c r="A1505" s="5" t="inlineStr">
        <is>
          <t>b9-cete-kahvehane</t>
        </is>
      </c>
      <c r="B1505" s="5" t="n">
        <v>2</v>
      </c>
      <c r="C1505" s="6" t="inlineStr">
        <is>
          <t>Tavlada meydan oku</t>
        </is>
      </c>
      <c r="D1505" s="5" t="inlineStr">
        <is>
          <t>Kurnazlık</t>
        </is>
      </c>
      <c r="E1505" s="5" t="inlineStr">
        <is>
          <t>Orta</t>
        </is>
      </c>
      <c r="F1505" s="5" t="inlineStr"/>
      <c r="G1505" s="6" t="inlineStr"/>
      <c r="H1505" s="6" t="inlineStr">
        <is>
          <t>Mahallenin en iddialı gencini üç el üst üste yendin. Pulları toplarken “Bu işin yarısı zar, yarısı sabır” dedin; hangi iş, soran olmadı.</t>
        </is>
      </c>
      <c r="I1505" s="6" t="inlineStr">
        <is>
          <t>Mars ettin; genç kalkıp elini öptü. Kahvedeki tavlanın kapağına adın yazıldı; tükenmez kalemle.</t>
        </is>
      </c>
      <c r="J1505" s="6" t="inlineStr">
        <is>
          <t>Genç seni yendi. Pulları toplarken elini uzattı: 'Sağ ol büyüğüm.' Mahallede ilk kez biri sana 'büyüğüm' dedi; mağlubiyetten ağır geldi.</t>
        </is>
      </c>
      <c r="K1505" s="6" t="inlineStr">
        <is>
          <t>Mars olmamak için zarı avucunda tuttun, 'Kaydı' dedin. Genç videoya almış. Akşam mahallenin bütün telefonlarında aynı video dönüyordu; adı tek kelime: 'Kaydı.'</t>
        </is>
      </c>
      <c r="L1505" s="6" t="inlineStr"/>
      <c r="M1505" s="5" t="inlineStr"/>
      <c r="N1505" s="5" t="inlineStr"/>
      <c r="O1505" s="6" t="inlineStr"/>
      <c r="P1505" s="6" t="inlineStr"/>
      <c r="Q1505" s="5" t="inlineStr"/>
      <c r="R1505" s="5" t="inlineStr"/>
      <c r="S1505" s="5" t="inlineStr"/>
      <c r="T1505" s="5" t="inlineStr"/>
      <c r="U1505" s="5" t="inlineStr"/>
      <c r="V1505" s="5" t="inlineStr"/>
      <c r="W1505" s="5" t="inlineStr"/>
      <c r="X1505" s="5" t="inlineStr"/>
      <c r="Y1505" s="5" t="inlineStr"/>
      <c r="Z1505" s="6" t="inlineStr"/>
      <c r="AA1505" s="5" t="inlineStr"/>
      <c r="AB1505" s="5" t="inlineStr"/>
      <c r="AC1505" s="5" t="inlineStr"/>
      <c r="AD1505" s="5" t="inlineStr"/>
      <c r="AE1505" s="5" t="inlineStr"/>
      <c r="AF1505" s="5" t="inlineStr"/>
      <c r="AG1505" s="5" t="inlineStr"/>
      <c r="AH1505" s="5" t="inlineStr"/>
      <c r="AI1505" s="5" t="inlineStr">
        <is>
          <t>Kaydı</t>
        </is>
      </c>
      <c r="AJ1505" s="5" t="inlineStr"/>
    </row>
    <row r="1506">
      <c r="A1506" s="5" t="inlineStr">
        <is>
          <t>b9-cete-kahvehane</t>
        </is>
      </c>
      <c r="B1506" s="5" t="n">
        <v>3</v>
      </c>
      <c r="C1506" s="6" t="inlineStr">
        <is>
          <t>Son bir hatır masası kur</t>
        </is>
      </c>
      <c r="D1506" s="5" t="inlineStr">
        <is>
          <t>Cesaret</t>
        </is>
      </c>
      <c r="E1506" s="5" t="inlineStr">
        <is>
          <t>Zor</t>
        </is>
      </c>
      <c r="F1506" s="5" t="inlineStr"/>
      <c r="G1506" s="6" t="inlineStr"/>
      <c r="H1506" s="6" t="inlineStr">
        <is>
          <t>İki gencin otopark kavgasını çayın ilk yudumunda bitirdin. Birinin arabasını yıkattın, ötekine park ettirdin; mantığını soran olmadı.</t>
        </is>
      </c>
      <c r="I1506" s="6" t="inlineStr">
        <is>
          <t>Kavga bitti, gençler ortak oldu; açtıkları dükkânın adı senin adın. Tabelada bir harf ters; bilerek.</t>
        </is>
      </c>
      <c r="J1506" s="6" t="inlineStr">
        <is>
          <t>Gençler seni dinledi, sonra telefondan bir video açıp kendi aralarında çözdüler. Artık danışman değil, izleyicisin.</t>
        </is>
      </c>
      <c r="K1506" s="6" t="inlineStr">
        <is>
          <t>Araya girerken ikisinin de babasının sana borçlu olduğunu hatırlattın. Kavga bitti; iki aile seni bayram listesinden sildi.</t>
        </is>
      </c>
      <c r="L1506" s="6" t="inlineStr"/>
      <c r="M1506" s="5" t="inlineStr"/>
      <c r="N1506" s="5" t="inlineStr"/>
      <c r="O1506" s="6" t="inlineStr"/>
      <c r="P1506" s="6" t="inlineStr"/>
      <c r="Q1506" s="5" t="inlineStr"/>
      <c r="R1506" s="5" t="inlineStr"/>
      <c r="S1506" s="5" t="inlineStr"/>
      <c r="T1506" s="5" t="inlineStr">
        <is>
          <t>Sözü Senet</t>
        </is>
      </c>
      <c r="U1506" s="5" t="inlineStr"/>
      <c r="V1506" s="5" t="inlineStr"/>
      <c r="W1506" s="5" t="inlineStr"/>
      <c r="X1506" s="5" t="inlineStr"/>
      <c r="Y1506" s="5" t="inlineStr"/>
      <c r="Z1506" s="6" t="inlineStr"/>
      <c r="AA1506" s="5" t="inlineStr"/>
      <c r="AB1506" s="5" t="inlineStr"/>
      <c r="AC1506" s="5" t="inlineStr"/>
      <c r="AD1506" s="5" t="inlineStr"/>
      <c r="AE1506" s="5" t="inlineStr"/>
      <c r="AF1506" s="5" t="inlineStr"/>
      <c r="AG1506" s="5" t="inlineStr"/>
      <c r="AH1506" s="5" t="inlineStr"/>
      <c r="AI1506" s="5" t="inlineStr"/>
      <c r="AJ1506" s="5" t="inlineStr"/>
    </row>
    <row r="1507">
      <c r="A1507" s="5" t="inlineStr">
        <is>
          <t>b7-dolandirici-ilan</t>
        </is>
      </c>
      <c r="B1507" s="5" t="n">
        <v>1</v>
      </c>
      <c r="C1507" s="6" t="inlineStr">
        <is>
          <t>İlanı kaldır, eski buzdolabını sat</t>
        </is>
      </c>
      <c r="D1507" s="5" t="inlineStr"/>
      <c r="E1507" s="5" t="inlineStr"/>
      <c r="F1507" s="5" t="inlineStr">
        <is>
          <t>İtibar +1, Akıl +1</t>
        </is>
      </c>
      <c r="G1507" s="6" t="inlineStr">
        <is>
          <t>Manzarayı kaldırıp gerçek buzdolabını koydun. Alıcı kamyonla geldi, buzdolabını aldı, manzaraya da bir kez baktı; bedavaya.</t>
        </is>
      </c>
      <c r="H1507" s="6" t="inlineStr"/>
      <c r="I1507" s="6" t="inlineStr"/>
      <c r="J1507" s="6" t="inlineStr"/>
      <c r="K1507" s="6" t="inlineStr"/>
      <c r="L1507" s="6" t="inlineStr"/>
      <c r="M1507" s="5" t="inlineStr"/>
      <c r="N1507" s="5" t="inlineStr"/>
      <c r="O1507" s="6" t="inlineStr"/>
      <c r="P1507" s="6" t="inlineStr"/>
      <c r="Q1507" s="5" t="inlineStr"/>
      <c r="R1507" s="5" t="inlineStr"/>
      <c r="S1507" s="5" t="inlineStr"/>
      <c r="T1507" s="5" t="inlineStr"/>
      <c r="U1507" s="5" t="inlineStr"/>
      <c r="V1507" s="5" t="inlineStr"/>
      <c r="W1507" s="5" t="inlineStr"/>
      <c r="X1507" s="5" t="inlineStr"/>
      <c r="Y1507" s="5" t="inlineStr"/>
      <c r="Z1507" s="6" t="inlineStr"/>
      <c r="AA1507" s="5" t="inlineStr"/>
      <c r="AB1507" s="5" t="inlineStr"/>
      <c r="AC1507" s="5" t="inlineStr"/>
      <c r="AD1507" s="5" t="inlineStr"/>
      <c r="AE1507" s="5" t="inlineStr"/>
      <c r="AF1507" s="5" t="inlineStr"/>
      <c r="AG1507" s="5" t="inlineStr"/>
      <c r="AH1507" s="5" t="inlineStr"/>
      <c r="AI1507" s="5" t="inlineStr"/>
      <c r="AJ1507" s="5" t="inlineStr"/>
    </row>
    <row r="1508">
      <c r="A1508" s="5" t="inlineStr">
        <is>
          <t>b7-dolandirici-ilan</t>
        </is>
      </c>
      <c r="B1508" s="5" t="n">
        <v>2</v>
      </c>
      <c r="C1508" s="6" t="inlineStr">
        <is>
          <t>Manzarayı “pazar günleri kiralık” yap</t>
        </is>
      </c>
      <c r="D1508" s="5" t="inlineStr">
        <is>
          <t>Pişkinlik</t>
        </is>
      </c>
      <c r="E1508" s="5" t="inlineStr">
        <is>
          <t>Orta</t>
        </is>
      </c>
      <c r="F1508" s="5" t="inlineStr"/>
      <c r="G1508" s="6" t="inlineStr"/>
      <c r="H1508" s="6" t="inlineStr">
        <is>
          <t>Alıcı her pazar balkonuna gelip bir saat denize bakıyor; parasını peşin ödedi. Çekirdek kabukları senin.</t>
        </is>
      </c>
      <c r="I1508" s="6" t="inlineStr">
        <is>
          <t>Alıcı arkadaşlarına da önerdi; pazar günleri balkonda sıra var. Komşu da kendi balkonunda “benzer manzara” açtı.</t>
        </is>
      </c>
      <c r="J1508" s="6" t="inlineStr">
        <is>
          <t>Alıcı balkona çıktı, denize baktı, sana baktı: “Deniz nerede?” Gösterdin; parmak kadar. Gitti.</t>
        </is>
      </c>
      <c r="K1508" s="6" t="inlineStr">
        <is>
          <t>Alıcı ilanı apartman grubuna attı. Artık sana “Manzaracı” diyorlar; yönetici aidata manzara farkı ekledi.</t>
        </is>
      </c>
      <c r="L1508" s="6" t="inlineStr"/>
      <c r="M1508" s="5" t="inlineStr"/>
      <c r="N1508" s="5" t="inlineStr"/>
      <c r="O1508" s="6" t="inlineStr"/>
      <c r="P1508" s="6" t="inlineStr"/>
      <c r="Q1508" s="5" t="inlineStr"/>
      <c r="R1508" s="5" t="inlineStr"/>
      <c r="S1508" s="5" t="inlineStr"/>
      <c r="T1508" s="5" t="inlineStr"/>
      <c r="U1508" s="5" t="inlineStr"/>
      <c r="V1508" s="5" t="inlineStr"/>
      <c r="W1508" s="5" t="inlineStr">
        <is>
          <t>yalanci</t>
        </is>
      </c>
      <c r="X1508" s="5" t="inlineStr"/>
      <c r="Y1508" s="5" t="inlineStr"/>
      <c r="Z1508" s="6" t="inlineStr"/>
      <c r="AA1508" s="5" t="inlineStr"/>
      <c r="AB1508" s="5" t="inlineStr"/>
      <c r="AC1508" s="5" t="inlineStr"/>
      <c r="AD1508" s="5" t="inlineStr"/>
      <c r="AE1508" s="5" t="inlineStr"/>
      <c r="AF1508" s="5" t="inlineStr"/>
      <c r="AG1508" s="5" t="inlineStr"/>
      <c r="AH1508" s="5" t="inlineStr"/>
      <c r="AI1508" s="5" t="inlineStr">
        <is>
          <t>Manzaracı</t>
        </is>
      </c>
      <c r="AJ1508" s="5" t="inlineStr"/>
    </row>
    <row r="1509">
      <c r="A1509" s="5" t="inlineStr">
        <is>
          <t>b7-dolandirici-ilan</t>
        </is>
      </c>
      <c r="B1509" s="5" t="n">
        <v>3</v>
      </c>
      <c r="C1509" s="6" t="inlineStr">
        <is>
          <t>Kamyoncuyu başka işe yönlendir</t>
        </is>
      </c>
      <c r="D1509" s="5" t="inlineStr">
        <is>
          <t>Kurnazlık</t>
        </is>
      </c>
      <c r="E1509" s="5" t="inlineStr">
        <is>
          <t>Orta</t>
        </is>
      </c>
      <c r="F1509" s="5" t="inlineStr"/>
      <c r="G1509" s="6" t="inlineStr"/>
      <c r="H1509" s="6" t="inlineStr">
        <is>
          <t>Kamyoncuyu komşunun taşınmasına yönlendirdin. Komşu memnun, kamyoncu memnun; sen aracılık ücretini aldın. İlk dürüst paran.</t>
        </is>
      </c>
      <c r="I1509" s="6" t="inlineStr">
        <is>
          <t>Kamyoncuyla ortak nakliye ilanı açtınız. İş gerçek, kamyon gerçek; bir tek ilandaki adın uydurma.</t>
        </is>
      </c>
      <c r="J1509" s="6" t="inlineStr">
        <is>
          <t>Kamyoncu seni dinlemedi, balkon korkuluğunu ölçmeye başladı. Şerit metreyle peşinden koştun.</t>
        </is>
      </c>
      <c r="K1509" s="6" t="inlineStr">
        <is>
          <t>Kamyoncu manzarayı sökemeyince balkondaki saksıları yükledi. Nakliye ücretini de sen ödedin.</t>
        </is>
      </c>
      <c r="L1509" s="6" t="inlineStr"/>
      <c r="M1509" s="5" t="inlineStr"/>
      <c r="N1509" s="5" t="inlineStr"/>
      <c r="O1509" s="6" t="inlineStr"/>
      <c r="P1509" s="6" t="inlineStr"/>
      <c r="Q1509" s="5" t="inlineStr"/>
      <c r="R1509" s="5" t="inlineStr"/>
      <c r="S1509" s="5" t="inlineStr"/>
      <c r="T1509" s="5" t="inlineStr"/>
      <c r="U1509" s="5" t="inlineStr"/>
      <c r="V1509" s="5" t="inlineStr"/>
      <c r="W1509" s="5" t="inlineStr"/>
      <c r="X1509" s="5" t="inlineStr"/>
      <c r="Y1509" s="5" t="inlineStr"/>
      <c r="Z1509" s="6" t="inlineStr"/>
      <c r="AA1509" s="5" t="inlineStr"/>
      <c r="AB1509" s="5" t="inlineStr"/>
      <c r="AC1509" s="5" t="inlineStr"/>
      <c r="AD1509" s="5" t="inlineStr"/>
      <c r="AE1509" s="5" t="inlineStr"/>
      <c r="AF1509" s="5" t="inlineStr"/>
      <c r="AG1509" s="5" t="inlineStr"/>
      <c r="AH1509" s="5" t="inlineStr"/>
      <c r="AI1509" s="5" t="inlineStr"/>
      <c r="AJ1509" s="5" t="inlineStr"/>
    </row>
    <row r="1510">
      <c r="A1510" s="5" t="inlineStr">
        <is>
          <t>b7-dolandirici-kurs</t>
        </is>
      </c>
      <c r="B1510" s="5" t="n">
        <v>1</v>
      </c>
      <c r="C1510" s="6" t="inlineStr">
        <is>
          <t>Kürsüye çık: “Kolay para yok”</t>
        </is>
      </c>
      <c r="D1510" s="5" t="inlineStr"/>
      <c r="E1510" s="5" t="inlineStr"/>
      <c r="F1510" s="5" t="inlineStr">
        <is>
          <t>İtibar +1, Cesaret +1</t>
        </is>
      </c>
      <c r="G1510" s="6" t="inlineStr">
        <is>
          <t>“Kolay para yok” dedin, indin. Salon üç saniye sustu, sonra alkışladı; ders buymuş sandılar. Biletleri iade ettin; teyze defterine yalnızca bunu yazdı.</t>
        </is>
      </c>
      <c r="H1510" s="6" t="inlineStr"/>
      <c r="I1510" s="6" t="inlineStr"/>
      <c r="J1510" s="6" t="inlineStr"/>
      <c r="K1510" s="6" t="inlineStr"/>
      <c r="L1510" s="6" t="inlineStr"/>
      <c r="M1510" s="5" t="inlineStr"/>
      <c r="N1510" s="5" t="inlineStr"/>
      <c r="O1510" s="6" t="inlineStr"/>
      <c r="P1510" s="6" t="inlineStr"/>
      <c r="Q1510" s="5" t="inlineStr"/>
      <c r="R1510" s="5" t="inlineStr"/>
      <c r="S1510" s="5" t="inlineStr"/>
      <c r="T1510" s="5" t="inlineStr"/>
      <c r="U1510" s="5" t="inlineStr">
        <is>
          <t>vicdan-sesi</t>
        </is>
      </c>
      <c r="V1510" s="5" t="inlineStr"/>
      <c r="W1510" s="5" t="inlineStr"/>
      <c r="X1510" s="5" t="inlineStr"/>
      <c r="Y1510" s="5" t="inlineStr"/>
      <c r="Z1510" s="6" t="inlineStr"/>
      <c r="AA1510" s="5" t="inlineStr"/>
      <c r="AB1510" s="5" t="inlineStr"/>
      <c r="AC1510" s="5" t="inlineStr"/>
      <c r="AD1510" s="5" t="inlineStr"/>
      <c r="AE1510" s="5" t="inlineStr"/>
      <c r="AF1510" s="5" t="inlineStr"/>
      <c r="AG1510" s="5" t="inlineStr"/>
      <c r="AH1510" s="5" t="inlineStr"/>
      <c r="AI1510" s="5" t="inlineStr"/>
      <c r="AJ1510" s="5" t="inlineStr"/>
    </row>
    <row r="1511">
      <c r="A1511" s="5" t="inlineStr">
        <is>
          <t>b7-dolandirici-kurs</t>
        </is>
      </c>
      <c r="B1511" s="5" t="n">
        <v>2</v>
      </c>
      <c r="C1511" s="6" t="inlineStr">
        <is>
          <t>Sahnede motivasyon yağdır</t>
        </is>
      </c>
      <c r="D1511" s="5" t="inlineStr">
        <is>
          <t>Pişkinlik</t>
        </is>
      </c>
      <c r="E1511" s="5" t="inlineStr">
        <is>
          <t>Zor</t>
        </is>
      </c>
      <c r="F1511" s="5" t="inlineStr"/>
      <c r="G1511" s="6" t="inlineStr"/>
      <c r="H1511" s="6" t="inlineStr">
        <is>
          <t>Üç saat konuştun, hiçbir şey söylemedin, herkes not aldı. Çıkışta imza kuyruğu oluştu; imzaladığın şey kendi fotoğrafın.</t>
        </is>
      </c>
      <c r="I1511" s="6" t="inlineStr">
        <is>
          <t>Salon ayağa kalktı, biri “Hocam!” diye bağırdı. Ertesi hafta iki salon kiraladın; ikincisinde sen yoksun, fotoğrafın var.</t>
        </is>
      </c>
      <c r="J1511" s="6" t="inlineStr">
        <is>
          <t>Motivasyon cümleleri bitti, süre bitmedi. Son saati “Soru var mı?” diyerek geçirdin; soru yoktu.</t>
        </is>
      </c>
      <c r="K1511" s="6" t="inlineStr">
        <is>
          <t>Teyze kursu telefonundan canlı yayınladı. Ertesi gün bir haber sitesinde: “Akademinin içi boş çıktı.” Haberin altına ilk yorumu annen yazdı: “Benim çocuğum öyle değildir.”</t>
        </is>
      </c>
      <c r="L1511" s="6" t="inlineStr"/>
      <c r="M1511" s="5" t="inlineStr"/>
      <c r="N1511" s="5" t="inlineStr"/>
      <c r="O1511" s="6" t="inlineStr"/>
      <c r="P1511" s="6" t="inlineStr"/>
      <c r="Q1511" s="5" t="inlineStr"/>
      <c r="R1511" s="5" t="inlineStr"/>
      <c r="S1511" s="5" t="inlineStr"/>
      <c r="T1511" s="5" t="inlineStr">
        <is>
          <t>Sahne Sever</t>
        </is>
      </c>
      <c r="U1511" s="5" t="inlineStr"/>
      <c r="V1511" s="5" t="inlineStr">
        <is>
          <t>kolay-para-gurusu</t>
        </is>
      </c>
      <c r="W1511" s="5" t="inlineStr">
        <is>
          <t>ifsa-oldu</t>
        </is>
      </c>
      <c r="X1511" s="5" t="inlineStr"/>
      <c r="Y1511" s="5" t="inlineStr"/>
      <c r="Z1511" s="6" t="inlineStr"/>
      <c r="AA1511" s="5" t="inlineStr"/>
      <c r="AB1511" s="5" t="inlineStr"/>
      <c r="AC1511" s="5" t="inlineStr"/>
      <c r="AD1511" s="5" t="inlineStr">
        <is>
          <t>Rahat</t>
        </is>
      </c>
      <c r="AE1511" s="5" t="inlineStr"/>
      <c r="AF1511" s="5" t="inlineStr"/>
      <c r="AG1511" s="5" t="inlineStr"/>
      <c r="AH1511" s="5" t="inlineStr"/>
      <c r="AI1511" s="5" t="inlineStr"/>
      <c r="AJ1511" s="5" t="inlineStr"/>
    </row>
    <row r="1512">
      <c r="A1512" s="5" t="inlineStr">
        <is>
          <t>b7-dolandirici-kurs</t>
        </is>
      </c>
      <c r="B1512" s="5" t="n">
        <v>3</v>
      </c>
      <c r="C1512" s="6" t="inlineStr">
        <is>
          <t>Kursu kameraya çekip sat</t>
        </is>
      </c>
      <c r="D1512" s="5" t="inlineStr">
        <is>
          <t>Kurnazlık</t>
        </is>
      </c>
      <c r="E1512" s="5" t="inlineStr">
        <is>
          <t>Orta</t>
        </is>
      </c>
      <c r="F1512" s="5" t="inlineStr"/>
      <c r="G1512" s="6" t="inlineStr"/>
      <c r="H1512" s="6" t="inlineStr">
        <is>
          <t>Kursu kameraya çektin, internetten sattın. Salon kirası yok, teyze yok, soru yok; yorumların hepsi dört yıldız.</t>
        </is>
      </c>
      <c r="I1512" s="6" t="inlineStr">
        <is>
          <t>Video öyle yayıldı ki biri senin kursunu kopyalayıp satmaya başladı. Kolay parayı senden kolayca aldı.</t>
        </is>
      </c>
      <c r="J1512" s="6" t="inlineStr">
        <is>
          <t>Çekim sırasında pankartın yarısı düştü; geriye “Para Akademisi” kaldı. Fazla ciddi durdu, satmadı.</t>
        </is>
      </c>
      <c r="K1512" s="6" t="inlineStr">
        <is>
          <t>Kamerayı ters tuttun. Üç saatlik kursun tamamı tavan. Yorumlar tavanı beğendi.</t>
        </is>
      </c>
      <c r="L1512" s="6" t="inlineStr"/>
      <c r="M1512" s="5" t="inlineStr"/>
      <c r="N1512" s="5" t="inlineStr"/>
      <c r="O1512" s="6" t="inlineStr"/>
      <c r="P1512" s="6" t="inlineStr"/>
      <c r="Q1512" s="5" t="inlineStr"/>
      <c r="R1512" s="5" t="inlineStr"/>
      <c r="S1512" s="5" t="inlineStr"/>
      <c r="T1512" s="5" t="inlineStr"/>
      <c r="U1512" s="5" t="inlineStr"/>
      <c r="V1512" s="5" t="inlineStr">
        <is>
          <t>kolay-para-gurusu</t>
        </is>
      </c>
      <c r="W1512" s="5" t="inlineStr"/>
      <c r="X1512" s="5" t="inlineStr"/>
      <c r="Y1512" s="5" t="inlineStr"/>
      <c r="Z1512" s="6" t="inlineStr"/>
      <c r="AA1512" s="5" t="inlineStr"/>
      <c r="AB1512" s="5" t="inlineStr"/>
      <c r="AC1512" s="5" t="inlineStr"/>
      <c r="AD1512" s="5" t="inlineStr"/>
      <c r="AE1512" s="5" t="inlineStr"/>
      <c r="AF1512" s="5" t="inlineStr"/>
      <c r="AG1512" s="5" t="inlineStr"/>
      <c r="AH1512" s="5" t="inlineStr"/>
      <c r="AI1512" s="5" t="inlineStr"/>
      <c r="AJ1512" s="5" t="inlineStr"/>
    </row>
    <row r="1513">
      <c r="A1513" s="5" t="inlineStr">
        <is>
          <t>b7-dolandirici-kurs</t>
        </is>
      </c>
      <c r="B1513" s="5" t="n">
        <v>4</v>
      </c>
      <c r="C1513" s="6" t="inlineStr">
        <is>
          <t>Ara verip teyzeyle konuş</t>
        </is>
      </c>
      <c r="D1513" s="5" t="inlineStr">
        <is>
          <t>Sosyal Radar</t>
        </is>
      </c>
      <c r="E1513" s="5" t="inlineStr">
        <is>
          <t>Orta</t>
        </is>
      </c>
      <c r="F1513" s="5" t="inlineStr"/>
      <c r="G1513" s="6" t="inlineStr"/>
      <c r="H1513" s="6" t="inlineStr">
        <is>
          <t>Teyze, telefonu kapattığın emekli öğretmenin arkadaşıymış: “O seni anlatmıştı.” Kursu yarıda kesip teyzeye çay ısmarladın.</t>
        </is>
      </c>
      <c r="I1513" s="6" t="inlineStr">
        <is>
          <t>Teyze kürsüye çıkıp salona gerçek bir birikim dersi verdi. Sen arka sırada not aldın; ilk kez.</t>
        </is>
      </c>
      <c r="J1513" s="6" t="inlineStr">
        <is>
          <t>Teyzeyle konuştun ama salon bekliyordu. Kürsüye döndüğünde ne diyeceğini unutmuştun; kimse fark etmedi.</t>
        </is>
      </c>
      <c r="K1513" s="6" t="inlineStr">
        <is>
          <t>Teyze seni tanıdı, ayağa kalktı: “Sen o telefondaki çocuksun!” Salona döndü: “Arkadaşımı dolandıracaktı, son anda vazgeçti.” Salonun yarısı “Aferin” dedi, yarısı biletini geri istedi. Hepsi aynı anda.</t>
        </is>
      </c>
      <c r="L1513" s="6" t="inlineStr"/>
      <c r="M1513" s="5" t="inlineStr"/>
      <c r="N1513" s="5" t="inlineStr"/>
      <c r="O1513" s="6" t="inlineStr"/>
      <c r="P1513" s="6" t="inlineStr"/>
      <c r="Q1513" s="5" t="inlineStr"/>
      <c r="R1513" s="5" t="inlineStr">
        <is>
          <t>vicdan-sesi</t>
        </is>
      </c>
      <c r="S1513" s="5" t="inlineStr"/>
      <c r="T1513" s="5" t="inlineStr"/>
      <c r="U1513" s="5" t="inlineStr"/>
      <c r="V1513" s="5" t="inlineStr"/>
      <c r="W1513" s="5" t="inlineStr"/>
      <c r="X1513" s="5" t="inlineStr"/>
      <c r="Y1513" s="5" t="inlineStr"/>
      <c r="Z1513" s="6" t="inlineStr"/>
      <c r="AA1513" s="5" t="inlineStr"/>
      <c r="AB1513" s="5" t="inlineStr"/>
      <c r="AC1513" s="5" t="inlineStr"/>
      <c r="AD1513" s="5" t="inlineStr"/>
      <c r="AE1513" s="5" t="inlineStr"/>
      <c r="AF1513" s="5" t="inlineStr"/>
      <c r="AG1513" s="5" t="inlineStr"/>
      <c r="AH1513" s="5" t="inlineStr"/>
      <c r="AI1513" s="5" t="inlineStr"/>
      <c r="AJ1513" s="5" t="inlineStr"/>
    </row>
    <row r="1514">
      <c r="A1514" s="5" t="inlineStr">
        <is>
          <t>b7-dolandirici-kulup</t>
        </is>
      </c>
      <c r="B1514" s="5" t="n">
        <v>1</v>
      </c>
      <c r="C1514" s="6" t="inlineStr">
        <is>
          <t>Kulübü dağıt, kasayı paylaştır</t>
        </is>
      </c>
      <c r="D1514" s="5" t="inlineStr"/>
      <c r="E1514" s="5" t="inlineStr"/>
      <c r="F1514" s="5" t="inlineStr">
        <is>
          <t>İtibar +1, Akıl +1</t>
        </is>
      </c>
      <c r="G1514" s="6" t="inlineStr">
        <is>
          <t>Kasadakini üyelere paylaştırdın; herkese biraz eksik düştü. Kulüp dağıldı, mesaj grubu dağılmadı. Her sabah biri “Günaydın” yazıyor.</t>
        </is>
      </c>
      <c r="H1514" s="6" t="inlineStr"/>
      <c r="I1514" s="6" t="inlineStr"/>
      <c r="J1514" s="6" t="inlineStr"/>
      <c r="K1514" s="6" t="inlineStr"/>
      <c r="L1514" s="6" t="inlineStr"/>
      <c r="M1514" s="5" t="inlineStr"/>
      <c r="N1514" s="5" t="inlineStr"/>
      <c r="O1514" s="6" t="inlineStr"/>
      <c r="P1514" s="6" t="inlineStr"/>
      <c r="Q1514" s="5" t="inlineStr"/>
      <c r="R1514" s="5" t="inlineStr"/>
      <c r="S1514" s="5" t="inlineStr"/>
      <c r="T1514" s="5" t="inlineStr"/>
      <c r="U1514" s="5" t="inlineStr">
        <is>
          <t>paralari-iade</t>
        </is>
      </c>
      <c r="V1514" s="5" t="inlineStr"/>
      <c r="W1514" s="5" t="inlineStr"/>
      <c r="X1514" s="5" t="inlineStr"/>
      <c r="Y1514" s="5" t="inlineStr"/>
      <c r="Z1514" s="6" t="inlineStr"/>
      <c r="AA1514" s="5" t="inlineStr"/>
      <c r="AB1514" s="5" t="inlineStr"/>
      <c r="AC1514" s="5" t="inlineStr"/>
      <c r="AD1514" s="5" t="inlineStr"/>
      <c r="AE1514" s="5" t="inlineStr"/>
      <c r="AF1514" s="5" t="n">
        <v>1</v>
      </c>
      <c r="AG1514" s="5" t="inlineStr"/>
      <c r="AH1514" s="5" t="inlineStr"/>
      <c r="AI1514" s="5" t="inlineStr"/>
      <c r="AJ1514" s="5" t="inlineStr"/>
    </row>
    <row r="1515">
      <c r="A1515" s="5" t="inlineStr">
        <is>
          <t>b7-dolandirici-kulup</t>
        </is>
      </c>
      <c r="B1515" s="5" t="n">
        <v>2</v>
      </c>
      <c r="C1515" s="6" t="inlineStr">
        <is>
          <t>Peçeteyi büyük ekrana yansıt</t>
        </is>
      </c>
      <c r="D1515" s="5" t="inlineStr">
        <is>
          <t>Pişkinlik</t>
        </is>
      </c>
      <c r="E1515" s="5" t="inlineStr">
        <is>
          <t>Orta</t>
        </is>
      </c>
      <c r="F1515" s="5" t="inlineStr"/>
      <c r="G1515" s="6" t="inlineStr"/>
      <c r="H1515" s="6" t="inlineStr">
        <is>
          <t>Peçete dev ekranda bir yatırım tablosuna benzedi. Üyeler güneşe bakıp ikna oldu; toplantı alkışla bitti.</t>
        </is>
      </c>
      <c r="I1515" s="6" t="inlineStr">
        <is>
          <t>Üyelerden biri peçeteyi çerçevelemek için satın aldı. Kulübün bu ayki tek kârı buydu ve fena değildi.</t>
        </is>
      </c>
      <c r="J1515" s="6" t="inlineStr">
        <is>
          <t>Ekran peçetenin arkasını gösterdi: kafenin adı ve bir telefon numarası. Numarayı birkaç kişi kaydetti.</t>
        </is>
      </c>
      <c r="K1515" s="6" t="inlineStr">
        <is>
          <t>Peçetenin köşesinde alışveriş listen vardı. En alttaki satır: “Bavul.” Altı çizili.</t>
        </is>
      </c>
      <c r="L1515" s="6" t="inlineStr"/>
      <c r="M1515" s="5" t="inlineStr"/>
      <c r="N1515" s="5" t="inlineStr"/>
      <c r="O1515" s="6" t="inlineStr"/>
      <c r="P1515" s="6" t="inlineStr"/>
      <c r="Q1515" s="5" t="inlineStr"/>
      <c r="R1515" s="5" t="inlineStr"/>
      <c r="S1515" s="5" t="inlineStr"/>
      <c r="T1515" s="5" t="inlineStr"/>
      <c r="U1515" s="5" t="inlineStr"/>
      <c r="V1515" s="5" t="inlineStr"/>
      <c r="W1515" s="5" t="inlineStr"/>
      <c r="X1515" s="5" t="inlineStr"/>
      <c r="Y1515" s="5" t="inlineStr"/>
      <c r="Z1515" s="6" t="inlineStr"/>
      <c r="AA1515" s="5" t="inlineStr"/>
      <c r="AB1515" s="5" t="inlineStr"/>
      <c r="AC1515" s="5" t="inlineStr"/>
      <c r="AD1515" s="5" t="inlineStr"/>
      <c r="AE1515" s="5" t="inlineStr"/>
      <c r="AF1515" s="5" t="inlineStr"/>
      <c r="AG1515" s="5" t="inlineStr"/>
      <c r="AH1515" s="5" t="inlineStr"/>
      <c r="AI1515" s="5" t="inlineStr"/>
      <c r="AJ1515" s="5" t="inlineStr"/>
    </row>
    <row r="1516">
      <c r="A1516" s="5" t="inlineStr">
        <is>
          <t>b7-dolandirici-kulup</t>
        </is>
      </c>
      <c r="B1516" s="5" t="n">
        <v>3</v>
      </c>
      <c r="C1516" s="6" t="inlineStr">
        <is>
          <t>Büyük bir “yeni fırsat” duyur</t>
        </is>
      </c>
      <c r="D1516" s="5" t="inlineStr">
        <is>
          <t>Kurnazlık</t>
        </is>
      </c>
      <c r="E1516" s="5" t="inlineStr">
        <is>
          <t>Zor</t>
        </is>
      </c>
      <c r="F1516" s="5" t="inlineStr"/>
      <c r="G1516" s="6" t="inlineStr"/>
      <c r="H1516" s="6" t="inlineStr">
        <is>
          <t>Yeni fırsatın adını söyledin; ne olduğunu kimse sormadı, herkes katıldı. Toplantı bitmeden kulübün adı “Altın Dal” oldu.</t>
        </is>
      </c>
      <c r="I1516" s="6" t="inlineStr">
        <is>
          <t>Kafenin sahibi de üye oldu; toplantıların çayı artık bedava. Kulüp büyüdü; neden büyüdüğünü kimse sormuyor.</t>
        </is>
      </c>
      <c r="J1516" s="6" t="inlineStr">
        <is>
          <t>“Yeni fırsat” dediğin anda garson “Bu ay üçüncü” dedi. Üyeler dağıldı; hesap sana kaldı.</t>
        </is>
      </c>
      <c r="K1516" s="6" t="inlineStr">
        <is>
          <t>“Yeni fırsat” dediğin anda üyelerden birinin annesi ayağa kalktı: “Oğlum, bu bizim bakkala da aynı fırsatı anlattı.” Bakkal da üyeymiş; şikâyetçi de o. Bir sonraki toplantı adliye koridorunda.</t>
        </is>
      </c>
      <c r="L1516" s="6" t="inlineStr"/>
      <c r="M1516" s="5" t="inlineStr"/>
      <c r="N1516" s="5" t="inlineStr"/>
      <c r="O1516" s="6" t="inlineStr"/>
      <c r="P1516" s="6" t="inlineStr"/>
      <c r="Q1516" s="5" t="inlineStr"/>
      <c r="R1516" s="5" t="inlineStr"/>
      <c r="S1516" s="5" t="inlineStr"/>
      <c r="T1516" s="5" t="inlineStr">
        <is>
          <t>Tablo Ustası</t>
        </is>
      </c>
      <c r="U1516" s="5" t="inlineStr"/>
      <c r="V1516" s="5" t="inlineStr"/>
      <c r="W1516" s="5" t="inlineStr">
        <is>
          <t>hapis</t>
        </is>
      </c>
      <c r="X1516" s="5" t="inlineStr"/>
      <c r="Y1516" s="5" t="inlineStr"/>
      <c r="Z1516" s="6" t="inlineStr"/>
      <c r="AA1516" s="5" t="inlineStr"/>
      <c r="AB1516" s="5" t="inlineStr"/>
      <c r="AC1516" s="5" t="inlineStr"/>
      <c r="AD1516" s="5" t="inlineStr">
        <is>
          <t>Rahat</t>
        </is>
      </c>
      <c r="AE1516" s="5" t="inlineStr"/>
      <c r="AF1516" s="5" t="inlineStr"/>
      <c r="AG1516" s="5" t="inlineStr"/>
      <c r="AH1516" s="5" t="inlineStr"/>
      <c r="AI1516" s="5" t="inlineStr"/>
      <c r="AJ1516" s="5" t="inlineStr"/>
    </row>
    <row r="1517">
      <c r="A1517" s="5" t="inlineStr">
        <is>
          <t>b8-dolandirici-kitap</t>
        </is>
      </c>
      <c r="B1517" s="5" t="n">
        <v>1</v>
      </c>
      <c r="C1517" s="6" t="inlineStr">
        <is>
          <t>Boş sayfaları “düşünme alanı” diye anlat</t>
        </is>
      </c>
      <c r="D1517" s="5" t="inlineStr"/>
      <c r="E1517" s="5" t="inlineStr"/>
      <c r="F1517" s="5" t="inlineStr">
        <is>
          <t>Pişkinlik +1, Çene +1</t>
        </is>
      </c>
      <c r="G1517" s="6" t="inlineStr">
        <is>
          <t>“O sayfalar okurun kendi yolu” dedin. Sunucu etkilendi, kitap ikinci baskıya girdi. İkinci baskıda boş sayfa sayısı arttı.</t>
        </is>
      </c>
      <c r="H1517" s="6" t="inlineStr"/>
      <c r="I1517" s="6" t="inlineStr"/>
      <c r="J1517" s="6" t="inlineStr"/>
      <c r="K1517" s="6" t="inlineStr"/>
      <c r="L1517" s="6" t="inlineStr"/>
      <c r="M1517" s="5" t="inlineStr"/>
      <c r="N1517" s="5" t="inlineStr"/>
      <c r="O1517" s="6" t="inlineStr"/>
      <c r="P1517" s="6" t="inlineStr"/>
      <c r="Q1517" s="5" t="inlineStr"/>
      <c r="R1517" s="5" t="inlineStr"/>
      <c r="S1517" s="5" t="inlineStr"/>
      <c r="T1517" s="5" t="inlineStr"/>
      <c r="U1517" s="5" t="inlineStr"/>
      <c r="V1517" s="5" t="inlineStr"/>
      <c r="W1517" s="5" t="inlineStr"/>
      <c r="X1517" s="5" t="inlineStr"/>
      <c r="Y1517" s="5" t="inlineStr"/>
      <c r="Z1517" s="6" t="inlineStr"/>
      <c r="AA1517" s="5" t="inlineStr"/>
      <c r="AB1517" s="5" t="inlineStr"/>
      <c r="AC1517" s="5" t="inlineStr"/>
      <c r="AD1517" s="5" t="inlineStr"/>
      <c r="AE1517" s="5" t="inlineStr"/>
      <c r="AF1517" s="5" t="inlineStr"/>
      <c r="AG1517" s="5" t="inlineStr"/>
      <c r="AH1517" s="5" t="inlineStr"/>
      <c r="AI1517" s="5" t="inlineStr"/>
      <c r="AJ1517" s="5" t="inlineStr"/>
    </row>
    <row r="1518">
      <c r="A1518" s="5" t="inlineStr">
        <is>
          <t>b8-dolandirici-kitap</t>
        </is>
      </c>
      <c r="B1518" s="5" t="n">
        <v>2</v>
      </c>
      <c r="C1518" s="6" t="inlineStr">
        <is>
          <t>Yedi yolu canlı yayında uydur</t>
        </is>
      </c>
      <c r="D1518" s="5" t="inlineStr">
        <is>
          <t>Çene</t>
        </is>
      </c>
      <c r="E1518" s="5" t="inlineStr">
        <is>
          <t>Orta</t>
        </is>
      </c>
      <c r="F1518" s="5" t="inlineStr"/>
      <c r="G1518" s="6" t="inlineStr"/>
      <c r="H1518" s="6" t="inlineStr">
        <is>
          <t>Yedi yolu tek tek uydurdun; beşincide sunucu not almaya başladı. Yeni baskıda o yollar var, senin bile hatırlamadığın.</t>
        </is>
      </c>
      <c r="I1518" s="6" t="inlineStr">
        <is>
          <t>Uydurduğun yedinci yol “Erken kalk” oldu. İzleyiciler sabah beşte uyanmaya başladı; kitap tükendi.</t>
        </is>
      </c>
      <c r="J1518" s="6" t="inlineStr">
        <is>
          <t>Üçüncü yolda takıldın, dördüncüyü birincinin tekrarı yaptın. Sunucu “Yedi değil, üç” diye özetledi.</t>
        </is>
      </c>
      <c r="K1518" s="6" t="inlineStr">
        <is>
          <t>Yollardan biri “Borç al, sonra düşün” oldu. Yayından sonra bankalar kitabı tavsiye etti; okurlar etmedi.</t>
        </is>
      </c>
      <c r="L1518" s="6" t="inlineStr"/>
      <c r="M1518" s="5" t="inlineStr"/>
      <c r="N1518" s="5" t="inlineStr"/>
      <c r="O1518" s="6" t="inlineStr"/>
      <c r="P1518" s="6" t="inlineStr"/>
      <c r="Q1518" s="5" t="inlineStr"/>
      <c r="R1518" s="5" t="inlineStr"/>
      <c r="S1518" s="5" t="inlineStr"/>
      <c r="T1518" s="5" t="inlineStr"/>
      <c r="U1518" s="5" t="inlineStr"/>
      <c r="V1518" s="5" t="inlineStr"/>
      <c r="W1518" s="5" t="inlineStr"/>
      <c r="X1518" s="5" t="inlineStr"/>
      <c r="Y1518" s="5" t="inlineStr"/>
      <c r="Z1518" s="6" t="inlineStr"/>
      <c r="AA1518" s="5" t="inlineStr"/>
      <c r="AB1518" s="5" t="inlineStr"/>
      <c r="AC1518" s="5" t="inlineStr"/>
      <c r="AD1518" s="5" t="inlineStr"/>
      <c r="AE1518" s="5" t="inlineStr"/>
      <c r="AF1518" s="5" t="inlineStr"/>
      <c r="AG1518" s="5" t="inlineStr"/>
      <c r="AH1518" s="5" t="inlineStr"/>
      <c r="AI1518" s="5" t="inlineStr"/>
      <c r="AJ1518" s="5" t="inlineStr"/>
    </row>
    <row r="1519">
      <c r="A1519" s="5" t="inlineStr">
        <is>
          <t>b8-dolandirici-kitap</t>
        </is>
      </c>
      <c r="B1519" s="5" t="n">
        <v>3</v>
      </c>
      <c r="C1519" s="6" t="inlineStr">
        <is>
          <t>Reklam arasında sunucuya kurs sat</t>
        </is>
      </c>
      <c r="D1519" s="5" t="inlineStr">
        <is>
          <t>Kurnazlık</t>
        </is>
      </c>
      <c r="E1519" s="5" t="inlineStr">
        <is>
          <t>Orta</t>
        </is>
      </c>
      <c r="F1519" s="5" t="inlineStr"/>
      <c r="G1519" s="6" t="inlineStr"/>
      <c r="H1519" s="6" t="inlineStr">
        <is>
          <t>Reklam arasında sunucuya kursu anlattın; ertesi gün kayıt oldu. Programın bütün ekibi artık öğrencin, kameraman hariç.</t>
        </is>
      </c>
      <c r="I1519" s="6" t="inlineStr">
        <is>
          <t>Sunucu kursu kendi programında övdü. Kameraman da kaydoldu; artık kimse çekmiyor.</t>
        </is>
      </c>
      <c r="J1519" s="6" t="inlineStr">
        <is>
          <t>Sunucu dinledi, “Bizim kanalın da böyle bir kursu var” dedi. Onunki daha pahalıymış.</t>
        </is>
      </c>
      <c r="K1519" s="6" t="inlineStr">
        <is>
          <t>Reklam arası sandığın an canlı yayındaymış. Kursun fiyatını bütün ülke duydu; kayıt olan tek kişi annen.</t>
        </is>
      </c>
      <c r="L1519" s="6" t="inlineStr"/>
      <c r="M1519" s="5" t="inlineStr"/>
      <c r="N1519" s="5" t="inlineStr"/>
      <c r="O1519" s="6" t="inlineStr"/>
      <c r="P1519" s="6" t="inlineStr"/>
      <c r="Q1519" s="5" t="inlineStr"/>
      <c r="R1519" s="5" t="inlineStr"/>
      <c r="S1519" s="5" t="inlineStr"/>
      <c r="T1519" s="5" t="inlineStr"/>
      <c r="U1519" s="5" t="inlineStr"/>
      <c r="V1519" s="5" t="inlineStr"/>
      <c r="W1519" s="5" t="inlineStr"/>
      <c r="X1519" s="5" t="inlineStr"/>
      <c r="Y1519" s="5" t="inlineStr"/>
      <c r="Z1519" s="6" t="inlineStr"/>
      <c r="AA1519" s="5" t="inlineStr"/>
      <c r="AB1519" s="5" t="inlineStr"/>
      <c r="AC1519" s="5" t="inlineStr"/>
      <c r="AD1519" s="5" t="inlineStr"/>
      <c r="AE1519" s="5" t="inlineStr"/>
      <c r="AF1519" s="5" t="inlineStr"/>
      <c r="AG1519" s="5" t="inlineStr"/>
      <c r="AH1519" s="5" t="inlineStr"/>
      <c r="AI1519" s="5" t="inlineStr"/>
      <c r="AJ1519" s="5" t="inlineStr"/>
    </row>
    <row r="1520">
      <c r="A1520" s="5" t="inlineStr">
        <is>
          <t>b8-dolandirici-kitap</t>
        </is>
      </c>
      <c r="B1520" s="5" t="n">
        <v>4</v>
      </c>
      <c r="C1520" s="6" t="inlineStr">
        <is>
          <t>Canlı yayında itiraf et</t>
        </is>
      </c>
      <c r="D1520" s="5" t="inlineStr">
        <is>
          <t>Cesaret</t>
        </is>
      </c>
      <c r="E1520" s="5" t="inlineStr">
        <is>
          <t>Zor</t>
        </is>
      </c>
      <c r="F1520" s="5" t="inlineStr"/>
      <c r="G1520" s="6" t="inlineStr"/>
      <c r="H1520" s="6" t="inlineStr">
        <is>
          <t>“Kolay para yok, kitap da boş” dedin. Stüdyo sustu, telefonlar kilitlendi. Ertesi hafta satışları iade ettin; kitap koleksiyon parçası oldu.</t>
        </is>
      </c>
      <c r="I1520" s="6" t="inlineStr">
        <is>
          <t>İtirafın günün en çok izlenen anı oldu. Sunucu seni her hafta “dürüstlük köşesi”ne çağırıyor; ilk kez gerçek bir işin var.</t>
        </is>
      </c>
      <c r="J1520" s="6" t="inlineStr">
        <is>
          <t>İtirafa başladın, reklam girdi. Dönüşte sunucu konuyu hava durumuna bağladı.</t>
        </is>
      </c>
      <c r="K1520" s="6" t="inlineStr">
        <is>
          <t>Sunucu itirafını da bir satış tekniği sandı. Üçüncü baskıya “İtiraf Bölümü” eklendi; o da boş.</t>
        </is>
      </c>
      <c r="L1520" s="6" t="inlineStr"/>
      <c r="M1520" s="5" t="inlineStr"/>
      <c r="N1520" s="5" t="inlineStr"/>
      <c r="O1520" s="6" t="inlineStr"/>
      <c r="P1520" s="6" t="inlineStr"/>
      <c r="Q1520" s="5" t="inlineStr"/>
      <c r="R1520" s="5" t="inlineStr">
        <is>
          <t>vicdan-sesi</t>
        </is>
      </c>
      <c r="S1520" s="5" t="inlineStr"/>
      <c r="T1520" s="5" t="inlineStr">
        <is>
          <t>Kendine Gülebilir</t>
        </is>
      </c>
      <c r="U1520" s="5" t="inlineStr"/>
      <c r="V1520" s="5" t="inlineStr">
        <is>
          <t>paralari-iade</t>
        </is>
      </c>
      <c r="W1520" s="5" t="inlineStr"/>
      <c r="X1520" s="5" t="inlineStr"/>
      <c r="Y1520" s="5" t="inlineStr"/>
      <c r="Z1520" s="6" t="inlineStr"/>
      <c r="AA1520" s="5" t="inlineStr"/>
      <c r="AB1520" s="5" t="inlineStr"/>
      <c r="AC1520" s="5" t="inlineStr"/>
      <c r="AD1520" s="5" t="inlineStr"/>
      <c r="AE1520" s="5" t="inlineStr"/>
      <c r="AF1520" s="5" t="inlineStr"/>
      <c r="AG1520" s="5" t="inlineStr"/>
      <c r="AH1520" s="5" t="inlineStr"/>
      <c r="AI1520" s="5" t="inlineStr"/>
      <c r="AJ1520" s="5" t="inlineStr"/>
    </row>
    <row r="1521">
      <c r="A1521" s="5" t="inlineStr">
        <is>
          <t>b8-dolandirici-mektup</t>
        </is>
      </c>
      <c r="B1521" s="5" t="n">
        <v>1</v>
      </c>
      <c r="C1521" s="6" t="inlineStr">
        <is>
          <t>Dürüst bir cevap yaz</t>
        </is>
      </c>
      <c r="D1521" s="5" t="inlineStr"/>
      <c r="E1521" s="5" t="inlineStr"/>
      <c r="F1521" s="5" t="inlineStr">
        <is>
          <t>İtibar +2</t>
        </is>
      </c>
      <c r="G1521" s="6" t="inlineStr">
        <is>
          <t>İki sayfa yazdın, üç kez yırttın, dördüncüyü gönderdin. Cevap bir hafta sonra geldi: “Hiç geç değil.” Altında bir reçel tarifi.</t>
        </is>
      </c>
      <c r="H1521" s="6" t="inlineStr"/>
      <c r="I1521" s="6" t="inlineStr"/>
      <c r="J1521" s="6" t="inlineStr"/>
      <c r="K1521" s="6" t="inlineStr"/>
      <c r="L1521" s="6" t="inlineStr"/>
      <c r="M1521" s="5" t="inlineStr"/>
      <c r="N1521" s="5" t="inlineStr"/>
      <c r="O1521" s="6" t="inlineStr"/>
      <c r="P1521" s="6" t="inlineStr"/>
      <c r="Q1521" s="5" t="inlineStr"/>
      <c r="R1521" s="5" t="inlineStr"/>
      <c r="S1521" s="5" t="inlineStr"/>
      <c r="T1521" s="5" t="inlineStr"/>
      <c r="U1521" s="5" t="inlineStr"/>
      <c r="V1521" s="5" t="inlineStr"/>
      <c r="W1521" s="5" t="inlineStr"/>
      <c r="X1521" s="5" t="inlineStr"/>
      <c r="Y1521" s="5" t="inlineStr"/>
      <c r="Z1521" s="6" t="inlineStr"/>
      <c r="AA1521" s="5" t="inlineStr"/>
      <c r="AB1521" s="5" t="inlineStr"/>
      <c r="AC1521" s="5" t="inlineStr"/>
      <c r="AD1521" s="5" t="inlineStr"/>
      <c r="AE1521" s="5" t="inlineStr"/>
      <c r="AF1521" s="5" t="inlineStr"/>
      <c r="AG1521" s="5" t="inlineStr"/>
      <c r="AH1521" s="5" t="inlineStr"/>
      <c r="AI1521" s="5" t="inlineStr"/>
      <c r="AJ1521" s="5" t="inlineStr"/>
    </row>
    <row r="1522">
      <c r="A1522" s="5" t="inlineStr">
        <is>
          <t>b8-dolandirici-mektup</t>
        </is>
      </c>
      <c r="B1522" s="5" t="n">
        <v>2</v>
      </c>
      <c r="C1522" s="6" t="inlineStr">
        <is>
          <t>Herkese parasını geri öde</t>
        </is>
      </c>
      <c r="D1522" s="5" t="inlineStr">
        <is>
          <t>İtibar</t>
        </is>
      </c>
      <c r="E1522" s="5" t="inlineStr">
        <is>
          <t>Orta</t>
        </is>
      </c>
      <c r="F1522" s="5" t="inlineStr"/>
      <c r="G1522" s="6" t="inlineStr"/>
      <c r="H1522" s="6" t="inlineStr">
        <is>
          <t>Eski defterlerden isimleri tek tek buldun, parayı tek tek gönderdin. Hesabın boşaldı; telefonun ilk kez sevinçle çalıyor.</t>
        </is>
      </c>
      <c r="I1522" s="6" t="inlineStr">
        <is>
          <t>Parasını geri alanlardan biri seni işe çağırdı: gerçek bir danışmanlık bürosu. Maaş az ama kimse seni haber sitesinde aramıyor.</t>
        </is>
      </c>
      <c r="J1522" s="6" t="inlineStr">
        <is>
          <t>İsimlerin yarısını buldun; yarısı taşınmış. Kalan paralar bir zarfta, çekmecende. Her gece zarfa bakıp öyle yatıyorsun.</t>
        </is>
      </c>
      <c r="K1522" s="6" t="inlineStr">
        <is>
          <t>İade için açtığın hesabı biri sahte sanıp ihbar etti. Hayatının ilk dürüst işini anlatmak için karakolda üç saat oturdun.</t>
        </is>
      </c>
      <c r="L1522" s="6" t="inlineStr"/>
      <c r="M1522" s="5" t="inlineStr"/>
      <c r="N1522" s="5" t="inlineStr"/>
      <c r="O1522" s="6" t="inlineStr"/>
      <c r="P1522" s="6" t="inlineStr"/>
      <c r="Q1522" s="5" t="inlineStr"/>
      <c r="R1522" s="5" t="inlineStr"/>
      <c r="S1522" s="5" t="inlineStr"/>
      <c r="T1522" s="5" t="inlineStr"/>
      <c r="U1522" s="5" t="inlineStr"/>
      <c r="V1522" s="5" t="inlineStr">
        <is>
          <t>paralari-iade</t>
        </is>
      </c>
      <c r="W1522" s="5" t="inlineStr"/>
      <c r="X1522" s="5" t="inlineStr"/>
      <c r="Y1522" s="5" t="inlineStr"/>
      <c r="Z1522" s="6" t="inlineStr"/>
      <c r="AA1522" s="5" t="inlineStr"/>
      <c r="AB1522" s="5" t="inlineStr"/>
      <c r="AC1522" s="5" t="inlineStr"/>
      <c r="AD1522" s="5" t="inlineStr"/>
      <c r="AE1522" s="5" t="inlineStr"/>
      <c r="AF1522" s="5" t="n">
        <v>1</v>
      </c>
      <c r="AG1522" s="5" t="inlineStr"/>
      <c r="AH1522" s="5" t="inlineStr"/>
      <c r="AI1522" s="5" t="inlineStr"/>
      <c r="AJ1522" s="5" t="inlineStr"/>
    </row>
    <row r="1523">
      <c r="A1523" s="5" t="inlineStr">
        <is>
          <t>b8-dolandirici-mektup</t>
        </is>
      </c>
      <c r="B1523" s="5" t="n">
        <v>3</v>
      </c>
      <c r="C1523" s="6" t="inlineStr">
        <is>
          <t>Öğretmene yeni bir “fırsat” gönder</t>
        </is>
      </c>
      <c r="D1523" s="5" t="inlineStr">
        <is>
          <t>Pişkinlik</t>
        </is>
      </c>
      <c r="E1523" s="5" t="inlineStr">
        <is>
          <t>Zor</t>
        </is>
      </c>
      <c r="F1523" s="5" t="inlineStr"/>
      <c r="G1523" s="6" t="inlineStr"/>
      <c r="H1523" s="6" t="inlineStr">
        <is>
          <t>Cevabına bir broşür ekledin. Öğretmen yazmadı; komşusu aradı, broşürü emekliler kahvesinde dağıtmış. Telefonu kapatınca zarftaki fotoğrafla göz göze geldin, öğretmen ve torunu. Fotoğrafı ters çevirdin.</t>
        </is>
      </c>
      <c r="I1523" s="6" t="inlineStr">
        <is>
          <t>Broşür emekliler derneğine kadar ulaştı. Ayın rekoru kırıldı; mektubu çekmeceye kilitledin, açmıyorsun.</t>
        </is>
      </c>
      <c r="J1523" s="6" t="inlineStr">
        <is>
          <t>Öğretmen broşürü geri gönderdi; kırmızı kalemle düzeltilmiş. Üç yazım hatası ve bir “Yazıklar olsun.”</t>
        </is>
      </c>
      <c r="K1523" s="6" t="inlineStr">
        <is>
          <t>Öğretmen broşürü doğrudan savcılığa göndermiş, kırmızı kalemle düzelterek. Dosyada imla hataların da var.</t>
        </is>
      </c>
      <c r="L1523" s="6" t="inlineStr"/>
      <c r="M1523" s="5" t="inlineStr"/>
      <c r="N1523" s="5" t="inlineStr"/>
      <c r="O1523" s="6" t="inlineStr"/>
      <c r="P1523" s="6" t="inlineStr"/>
      <c r="Q1523" s="5" t="inlineStr"/>
      <c r="R1523" s="5" t="inlineStr"/>
      <c r="S1523" s="5" t="inlineStr"/>
      <c r="T1523" s="5" t="inlineStr"/>
      <c r="U1523" s="5" t="inlineStr"/>
      <c r="V1523" s="5" t="inlineStr"/>
      <c r="W1523" s="5" t="inlineStr">
        <is>
          <t>hapis</t>
        </is>
      </c>
      <c r="X1523" s="5" t="inlineStr"/>
      <c r="Y1523" s="5" t="inlineStr"/>
      <c r="Z1523" s="6" t="inlineStr"/>
      <c r="AA1523" s="5" t="inlineStr"/>
      <c r="AB1523" s="5" t="inlineStr"/>
      <c r="AC1523" s="5" t="inlineStr"/>
      <c r="AD1523" s="5" t="inlineStr">
        <is>
          <t>Rahat</t>
        </is>
      </c>
      <c r="AE1523" s="5" t="inlineStr"/>
      <c r="AF1523" s="5" t="inlineStr"/>
      <c r="AG1523" s="5" t="inlineStr"/>
      <c r="AH1523" s="5" t="inlineStr"/>
      <c r="AI1523" s="5" t="inlineStr"/>
      <c r="AJ1523" s="5" t="inlineStr"/>
    </row>
    <row r="1524">
      <c r="A1524" s="5" t="inlineStr">
        <is>
          <t>b9-dolandirici-son-numara</t>
        </is>
      </c>
      <c r="B1524" s="5" t="n">
        <v>1</v>
      </c>
      <c r="C1524" s="6" t="inlineStr">
        <is>
          <t>Kremin satıcısını kenara çekip uyar</t>
        </is>
      </c>
      <c r="D1524" s="5" t="inlineStr"/>
      <c r="E1524" s="5" t="inlineStr"/>
      <c r="F1524" s="5" t="inlineStr">
        <is>
          <t>İtibar +1, Sosyal Radar +1</t>
        </is>
      </c>
      <c r="G1524" s="6" t="inlineStr">
        <is>
          <t>Satıcıyı kenara çektin: 'Bu işi senden önce ben yaptım, sonunu da gördüm.' Kavanozlarını topladı; giderken sana bir tane hediye bıraktı.</t>
        </is>
      </c>
      <c r="H1524" s="6" t="inlineStr"/>
      <c r="I1524" s="6" t="inlineStr"/>
      <c r="J1524" s="6" t="inlineStr"/>
      <c r="K1524" s="6" t="inlineStr"/>
      <c r="L1524" s="6" t="inlineStr"/>
      <c r="M1524" s="5" t="inlineStr"/>
      <c r="N1524" s="5" t="inlineStr"/>
      <c r="O1524" s="6" t="inlineStr"/>
      <c r="P1524" s="6" t="inlineStr"/>
      <c r="Q1524" s="5" t="inlineStr"/>
      <c r="R1524" s="5" t="inlineStr"/>
      <c r="S1524" s="5" t="inlineStr"/>
      <c r="T1524" s="5" t="inlineStr"/>
      <c r="U1524" s="5" t="inlineStr"/>
      <c r="V1524" s="5" t="inlineStr"/>
      <c r="W1524" s="5" t="inlineStr"/>
      <c r="X1524" s="5" t="inlineStr"/>
      <c r="Y1524" s="5" t="inlineStr"/>
      <c r="Z1524" s="6" t="inlineStr"/>
      <c r="AA1524" s="5" t="inlineStr"/>
      <c r="AB1524" s="5" t="inlineStr"/>
      <c r="AC1524" s="5" t="inlineStr"/>
      <c r="AD1524" s="5" t="inlineStr"/>
      <c r="AE1524" s="5" t="inlineStr"/>
      <c r="AF1524" s="5" t="inlineStr"/>
      <c r="AG1524" s="5" t="inlineStr"/>
      <c r="AH1524" s="5" t="inlineStr"/>
      <c r="AI1524" s="5" t="inlineStr"/>
      <c r="AJ1524" s="5" t="inlineStr"/>
    </row>
    <row r="1525">
      <c r="A1525" s="5" t="inlineStr">
        <is>
          <t>b9-dolandirici-son-numara</t>
        </is>
      </c>
      <c r="B1525" s="5" t="n">
        <v>2</v>
      </c>
      <c r="C1525" s="6" t="inlineStr">
        <is>
          <t>Emeklilere bu işlerin sonunu anlat</t>
        </is>
      </c>
      <c r="D1525" s="5" t="inlineStr">
        <is>
          <t>Çene</t>
        </is>
      </c>
      <c r="E1525" s="5" t="inlineStr">
        <is>
          <t>Orta</t>
        </is>
      </c>
      <c r="F1525" s="5" t="inlineStr"/>
      <c r="G1525" s="6" t="inlineStr"/>
      <c r="H1525" s="6" t="inlineStr">
        <is>
          <t>Hiçbir numaranın nasıl yapıldığını değil, nasıl bittiğini anlattın. Emekliler krem yerine simit aldı.</t>
        </is>
      </c>
      <c r="I1525" s="6" t="inlineStr">
        <is>
          <t>Her salı bankta 'Dikkat Et' sohbeti yapıyorsun. Hayatının ilk dürüst semineri: bilet yok, simit var, dinleyici bankın iki ucundan taşıyor.</t>
        </is>
      </c>
      <c r="J1525" s="6" t="inlineStr">
        <is>
          <t>Anlatırken araya kendi başarılarını da kattın. Emekliler kremi aldı; senin tavsiyenle sandılar.</t>
        </is>
      </c>
      <c r="K1525" s="6" t="inlineStr">
        <is>
          <t>Öyle parladın ki biri sana para uzattı: “Hocam, bizi de bir kulübe yaz.” Kulüp yok; bekleyen var.</t>
        </is>
      </c>
      <c r="L1525" s="6" t="inlineStr"/>
      <c r="M1525" s="5" t="inlineStr"/>
      <c r="N1525" s="5" t="inlineStr"/>
      <c r="O1525" s="6" t="inlineStr"/>
      <c r="P1525" s="6" t="inlineStr"/>
      <c r="Q1525" s="5" t="inlineStr"/>
      <c r="R1525" s="5" t="inlineStr"/>
      <c r="S1525" s="5" t="inlineStr"/>
      <c r="T1525" s="5" t="inlineStr"/>
      <c r="U1525" s="5" t="inlineStr"/>
      <c r="V1525" s="5" t="inlineStr"/>
      <c r="W1525" s="5" t="inlineStr"/>
      <c r="X1525" s="5" t="inlineStr"/>
      <c r="Y1525" s="5" t="inlineStr"/>
      <c r="Z1525" s="6" t="inlineStr"/>
      <c r="AA1525" s="5" t="inlineStr"/>
      <c r="AB1525" s="5" t="inlineStr"/>
      <c r="AC1525" s="5" t="inlineStr"/>
      <c r="AD1525" s="5" t="inlineStr"/>
      <c r="AE1525" s="5" t="inlineStr"/>
      <c r="AF1525" s="5" t="inlineStr"/>
      <c r="AG1525" s="5" t="inlineStr"/>
      <c r="AH1525" s="5" t="inlineStr"/>
      <c r="AI1525" s="5" t="inlineStr"/>
      <c r="AJ1525" s="5" t="inlineStr"/>
    </row>
    <row r="1526">
      <c r="A1526" s="5" t="inlineStr">
        <is>
          <t>b9-dolandirici-son-numara</t>
        </is>
      </c>
      <c r="B1526" s="5" t="n">
        <v>3</v>
      </c>
      <c r="C1526" s="6" t="inlineStr">
        <is>
          <t>Kremi satıcıya geri sat</t>
        </is>
      </c>
      <c r="D1526" s="5" t="inlineStr">
        <is>
          <t>Kurnazlık</t>
        </is>
      </c>
      <c r="E1526" s="5" t="inlineStr">
        <is>
          <t>Zor</t>
        </is>
      </c>
      <c r="F1526" s="5" t="inlineStr"/>
      <c r="G1526" s="6" t="inlineStr"/>
      <c r="H1526" s="6" t="inlineStr">
        <is>
          <t>Satıcının kavanozlarını ucuza alıp ona pahalıya geri sattın. Emekliler alkışladı; kavanozlar hiç açılmadı.</t>
        </is>
      </c>
      <c r="I1526" s="6" t="inlineStr">
        <is>
          <t>Satıcı kavanozları geri alırken senden kurs istedi. Kabul etmedin; kariyerindeki ilk ret.</t>
        </is>
      </c>
      <c r="J1526" s="6" t="inlineStr">
        <is>
          <t>Satıcı pazarlığı anladı, kavanozları sana bıraktı. Balkonunda kırk kavanoz krem var.</t>
        </is>
      </c>
      <c r="K1526" s="6" t="inlineStr">
        <is>
          <t>Pazarlıkta bir kavanozu denedin. Yüzün yeşerdi; emekliler bunu gençlik belirtisi sanıp sıraya girdi.</t>
        </is>
      </c>
      <c r="L1526" s="6" t="inlineStr"/>
      <c r="M1526" s="5" t="inlineStr"/>
      <c r="N1526" s="5" t="inlineStr"/>
      <c r="O1526" s="6" t="inlineStr"/>
      <c r="P1526" s="6" t="inlineStr"/>
      <c r="Q1526" s="5" t="inlineStr"/>
      <c r="R1526" s="5" t="inlineStr"/>
      <c r="S1526" s="5" t="inlineStr"/>
      <c r="T1526" s="5" t="inlineStr">
        <is>
          <t>Pazarlık Duayeni</t>
        </is>
      </c>
      <c r="U1526" s="5" t="inlineStr"/>
      <c r="V1526" s="5" t="inlineStr"/>
      <c r="W1526" s="5" t="inlineStr"/>
      <c r="X1526" s="5" t="inlineStr"/>
      <c r="Y1526" s="5" t="inlineStr"/>
      <c r="Z1526" s="6" t="inlineStr"/>
      <c r="AA1526" s="5" t="inlineStr"/>
      <c r="AB1526" s="5" t="inlineStr"/>
      <c r="AC1526" s="5" t="inlineStr"/>
      <c r="AD1526" s="5" t="inlineStr"/>
      <c r="AE1526" s="5" t="inlineStr"/>
      <c r="AF1526" s="5" t="inlineStr"/>
      <c r="AG1526" s="5" t="inlineStr"/>
      <c r="AH1526" s="5" t="inlineStr"/>
      <c r="AI1526" s="5" t="inlineStr"/>
      <c r="AJ1526" s="5" t="inlineStr"/>
    </row>
    <row r="1527">
      <c r="A1527" s="5" t="inlineStr">
        <is>
          <t>k10-cete</t>
        </is>
      </c>
      <c r="B1527" s="5" t="n">
        <v>1</v>
      </c>
      <c r="C1527" s="6" t="inlineStr">
        <is>
          <t>Büyük işi yap</t>
        </is>
      </c>
      <c r="D1527" s="5" t="inlineStr">
        <is>
          <t>Cesaret</t>
        </is>
      </c>
      <c r="E1527" s="5" t="inlineStr">
        <is>
          <t>Zor</t>
        </is>
      </c>
      <c r="F1527" s="5" t="inlineStr"/>
      <c r="G1527" s="6" t="inlineStr"/>
      <c r="H1527" s="6" t="inlineStr">
        <is>
          <t>İş bitti; nasıl bittiğini kimse anlatmıyor, sen de. Ertesi sabah kahvede senin çayın herkesinkinden önce geldi. Mahalle artık senin.</t>
        </is>
      </c>
      <c r="I1527" s="6" t="inlineStr">
        <is>
          <t>İş öyle temiz bitti ki abi bile nasıl olduğunu sordu. Söylemedin. Mahallenin anahtarı sende; abinin yedeği de.</t>
        </is>
      </c>
      <c r="J1527" s="6" t="inlineStr">
        <is>
          <t>Kapıda bir ekip bekliyordu; haritayı ters tuttuğunu görünce güldüler. Gülüşleri de tutanağa girdi.</t>
        </is>
      </c>
      <c r="K1527" s="6" t="inlineStr">
        <is>
          <t>Baskın sabah altıda geldi. Kapıyı elinde köpük hortumuyla açtın. Tutanakta: “Direnme yok, köpük var.”</t>
        </is>
      </c>
      <c r="L1527" s="6" t="inlineStr"/>
      <c r="M1527" s="5" t="inlineStr"/>
      <c r="N1527" s="5" t="inlineStr"/>
      <c r="O1527" s="6" t="inlineStr"/>
      <c r="P1527" s="6" t="inlineStr"/>
      <c r="Q1527" s="5" t="inlineStr"/>
      <c r="R1527" s="5" t="inlineStr"/>
      <c r="S1527" s="5" t="inlineStr"/>
      <c r="T1527" s="5" t="inlineStr"/>
      <c r="U1527" s="5" t="inlineStr"/>
      <c r="V1527" s="5" t="inlineStr">
        <is>
          <t>mahalle-babasi</t>
        </is>
      </c>
      <c r="W1527" s="5" t="inlineStr">
        <is>
          <t>hapis</t>
        </is>
      </c>
      <c r="X1527" s="5" t="inlineStr"/>
      <c r="Y1527" s="5" t="n">
        <v>2</v>
      </c>
      <c r="Z1527" s="6" t="inlineStr">
        <is>
          <t>Abinin “Büyük iş bu” dediği gece. Haritayı hâlâ ters tutuyordu.</t>
        </is>
      </c>
      <c r="AA1527" s="5" t="inlineStr"/>
      <c r="AB1527" s="5" t="inlineStr">
        <is>
          <t>hapis</t>
        </is>
      </c>
      <c r="AC1527" s="5" t="inlineStr"/>
      <c r="AD1527" s="5" t="inlineStr">
        <is>
          <t>Varlıklı</t>
        </is>
      </c>
      <c r="AE1527" s="5" t="inlineStr"/>
      <c r="AF1527" s="5" t="inlineStr"/>
      <c r="AG1527" s="5" t="inlineStr"/>
      <c r="AH1527" s="5" t="inlineStr"/>
      <c r="AI1527" s="5" t="inlineStr">
        <is>
          <t>Köpük</t>
        </is>
      </c>
      <c r="AJ1527" s="5" t="inlineStr"/>
    </row>
    <row r="1528">
      <c r="A1528" s="5" t="inlineStr">
        <is>
          <t>k10-cete</t>
        </is>
      </c>
      <c r="B1528" s="5" t="n">
        <v>2</v>
      </c>
      <c r="C1528" s="6" t="inlineStr">
        <is>
          <t>Sessizce çekil, dükkânı gerçekten işlet</t>
        </is>
      </c>
      <c r="D1528" s="5" t="inlineStr"/>
      <c r="E1528" s="5" t="inlineStr"/>
      <c r="F1528" s="5" t="inlineStr">
        <is>
          <t>İtibar +1, Dayanıklılık +1</t>
        </is>
      </c>
      <c r="G1528" s="6" t="inlineStr">
        <is>
          <t>Anahtarı ve tespihi abiye geri uzattın. Ertesi gün yıkamaya gerçek bir fiyat listesi astın. Abi bir hafta küstü, sonra arabasını yıkatmaya geldi; parasını da ödedi.</t>
        </is>
      </c>
      <c r="H1528" s="6" t="inlineStr"/>
      <c r="I1528" s="6" t="inlineStr"/>
      <c r="J1528" s="6" t="inlineStr"/>
      <c r="K1528" s="6" t="inlineStr"/>
      <c r="L1528" s="6" t="inlineStr"/>
      <c r="M1528" s="5" t="inlineStr"/>
      <c r="N1528" s="5" t="inlineStr"/>
      <c r="O1528" s="6" t="inlineStr"/>
      <c r="P1528" s="6" t="inlineStr"/>
      <c r="Q1528" s="5" t="inlineStr"/>
      <c r="R1528" s="5" t="inlineStr"/>
      <c r="S1528" s="5" t="inlineStr"/>
      <c r="T1528" s="5" t="inlineStr"/>
      <c r="U1528" s="5" t="inlineStr">
        <is>
          <t>-hat-cete, -hat-dolandirici, -hat-girisimci, -hat-goc, -hat-hekim, -hat-koy, -hat-polis, -hat-politika, -hat-sohret, -hat-usta, -hat-yargi, -meslek-beyazyaka, -meslek-memur, -meslek-serbest, meslek-esnaf</t>
        </is>
      </c>
      <c r="V1528" s="5" t="inlineStr"/>
      <c r="W1528" s="5" t="inlineStr"/>
      <c r="X1528" s="5" t="inlineStr"/>
      <c r="Y1528" s="5" t="inlineStr"/>
      <c r="Z1528" s="6" t="inlineStr"/>
      <c r="AA1528" s="5" t="inlineStr">
        <is>
          <t>hepsi +1</t>
        </is>
      </c>
      <c r="AB1528" s="5" t="inlineStr"/>
      <c r="AC1528" s="5" t="inlineStr"/>
      <c r="AD1528" s="5" t="inlineStr"/>
      <c r="AE1528" s="5" t="inlineStr"/>
      <c r="AF1528" s="5" t="inlineStr"/>
      <c r="AG1528" s="5" t="inlineStr"/>
      <c r="AH1528" s="5" t="inlineStr"/>
      <c r="AI1528" s="5" t="inlineStr"/>
      <c r="AJ1528" s="5" t="inlineStr"/>
    </row>
    <row r="1529">
      <c r="A1529" s="5" t="inlineStr">
        <is>
          <t>k10-cete</t>
        </is>
      </c>
      <c r="B1529" s="5" t="n">
        <v>3</v>
      </c>
      <c r="C1529" s="6" t="inlineStr">
        <is>
          <t>Muhbir ol</t>
        </is>
      </c>
      <c r="D1529" s="5" t="inlineStr">
        <is>
          <t>Sosyal Radar</t>
        </is>
      </c>
      <c r="E1529" s="5" t="inlineStr">
        <is>
          <t>Zor</t>
        </is>
      </c>
      <c r="F1529" s="5" t="inlineStr"/>
      <c r="G1529" s="6" t="inlineStr"/>
      <c r="H1529" s="6" t="inlineStr">
        <is>
          <t>Komisere her şeyi anlattın. İki ay sonra Öte Diyar'da, yeni bir adla, bir oto yıkamada çalışıyorsun. Köpük aynı köpük.</t>
        </is>
      </c>
      <c r="I1529" s="6" t="inlineStr">
        <is>
          <t>Yeni adın, yeni pasaportun, Öte Diyar'da bir dairen var. Komşular adını söyleyemediği için sana “Sessiz” diyor. Hayatında ilk kez sana tam oturan bir ad taktılar.</t>
        </is>
      </c>
      <c r="J1529" s="6" t="inlineStr">
        <is>
          <t>Komisere anlattın ama anlattıklarında en çok senin adın geçiyordu. Anlaşma olmadı; dosya oldu.</t>
        </is>
      </c>
      <c r="K1529" s="6" t="inlineStr">
        <is>
          <t>Görüşmeyi kahvenin arka odasından telefonla yaptın; abi yan masadaydı. Önce abi küstü, sonra devlet seni misafir etti.</t>
        </is>
      </c>
      <c r="L1529" s="6" t="inlineStr"/>
      <c r="M1529" s="5" t="inlineStr"/>
      <c r="N1529" s="5" t="inlineStr"/>
      <c r="O1529" s="6" t="inlineStr"/>
      <c r="P1529" s="6" t="inlineStr"/>
      <c r="Q1529" s="5" t="inlineStr"/>
      <c r="R1529" s="5" t="inlineStr"/>
      <c r="S1529" s="5" t="inlineStr"/>
      <c r="T1529" s="5" t="inlineStr"/>
      <c r="U1529" s="5" t="inlineStr"/>
      <c r="V1529" s="5" t="inlineStr">
        <is>
          <t>-hat-cete, -hat-dolandirici, -hat-girisimci, -hat-hekim, -hat-koy, -hat-polis, -hat-politika, -hat-sohret, -hat-usta, -hat-yargi, -meslek-esnaf, -meslek-memur, -meslek-serbest, hat-goc, meslek-beyazyaka</t>
        </is>
      </c>
      <c r="W1529" s="5" t="inlineStr">
        <is>
          <t>hapis</t>
        </is>
      </c>
      <c r="X1529" s="5" t="inlineStr"/>
      <c r="Y1529" s="5" t="inlineStr"/>
      <c r="Z1529" s="6" t="inlineStr"/>
      <c r="AA1529" s="5" t="inlineStr"/>
      <c r="AB1529" s="5" t="inlineStr">
        <is>
          <t>hapis</t>
        </is>
      </c>
      <c r="AC1529" s="5" t="inlineStr"/>
      <c r="AD1529" s="5" t="inlineStr"/>
      <c r="AE1529" s="5" t="inlineStr"/>
      <c r="AF1529" s="5" t="inlineStr"/>
      <c r="AG1529" s="5" t="inlineStr"/>
      <c r="AH1529" s="5" t="inlineStr"/>
      <c r="AI1529" s="5" t="inlineStr"/>
      <c r="AJ1529" s="5" t="inlineStr"/>
    </row>
    <row r="1530">
      <c r="A1530" s="5" t="inlineStr">
        <is>
          <t>k10-dolandirici</t>
        </is>
      </c>
      <c r="B1530" s="5" t="n">
        <v>1</v>
      </c>
      <c r="C1530" s="6" t="inlineStr">
        <is>
          <t>Vurgunu yap, Öte Diyar'a kaç</t>
        </is>
      </c>
      <c r="D1530" s="5" t="inlineStr">
        <is>
          <t>Kurnazlık</t>
        </is>
      </c>
      <c r="E1530" s="5" t="inlineStr">
        <is>
          <t>Zor</t>
        </is>
      </c>
      <c r="F1530" s="5" t="inlineStr"/>
      <c r="G1530" s="6" t="inlineStr"/>
      <c r="H1530" s="6" t="inlineStr">
        <is>
          <t>Havalimanında kimse bir şey sormadı. Öte Diyar'da denize bakan küçük bir dairen var. Deniz bu sefer gerçekten deniz.</t>
        </is>
      </c>
      <c r="I1530" s="6" t="inlineStr">
        <is>
          <t>Öte Diyar'da yeni bir isim, yeni bir dil. Komşular seni kitap yazmaya gelmiş biri sanıyor; düzeltmiyorsun. Kitap yok; yatağın altında bir bavul var.</t>
        </is>
      </c>
      <c r="J1530" s="6" t="inlineStr">
        <is>
          <t>Bavulun tartıda on dört kilo fazla çıktı. Fazlayı kulübün kartıyla ödemeye kalktın. Görevli kartın üstündeki adı yüksek sesle okudu: “Altın Yaprak Yatırım Kulübü?” Arkadaki sırada bir üye vardı.</t>
        </is>
      </c>
      <c r="K1530" s="6" t="inlineStr">
        <is>
          <t>Uçağa bindin, kemerini taktın; uçak kalkmadı. Kapıda iki memur bekliyordu; biri kulübün üyesiymiş.</t>
        </is>
      </c>
      <c r="L1530" s="6" t="inlineStr"/>
      <c r="M1530" s="5" t="inlineStr"/>
      <c r="N1530" s="5" t="inlineStr"/>
      <c r="O1530" s="6" t="inlineStr"/>
      <c r="P1530" s="6" t="inlineStr"/>
      <c r="Q1530" s="5" t="inlineStr"/>
      <c r="R1530" s="5" t="inlineStr"/>
      <c r="S1530" s="5" t="inlineStr"/>
      <c r="T1530" s="5" t="inlineStr"/>
      <c r="U1530" s="5" t="inlineStr"/>
      <c r="V1530" s="5" t="inlineStr">
        <is>
          <t>-hat-cete, -hat-dolandirici, -hat-girisimci, -hat-hekim, -hat-koy, -hat-polis, -hat-politika, -hat-sohret, -hat-usta, -hat-yargi, -meslek-esnaf, -meslek-memur, -meslek-serbest, hat-goc, meslek-beyazyaka</t>
        </is>
      </c>
      <c r="W1530" s="5" t="inlineStr">
        <is>
          <t>hapis</t>
        </is>
      </c>
      <c r="X1530" s="5" t="inlineStr"/>
      <c r="Y1530" s="5" t="inlineStr"/>
      <c r="Z1530" s="6" t="inlineStr"/>
      <c r="AA1530" s="5" t="inlineStr"/>
      <c r="AB1530" s="5" t="inlineStr">
        <is>
          <t>hapis</t>
        </is>
      </c>
      <c r="AC1530" s="5" t="inlineStr"/>
      <c r="AD1530" s="5" t="inlineStr">
        <is>
          <t>Rahat</t>
        </is>
      </c>
      <c r="AE1530" s="5" t="inlineStr"/>
      <c r="AF1530" s="5" t="inlineStr"/>
      <c r="AG1530" s="5" t="inlineStr"/>
      <c r="AH1530" s="5" t="inlineStr"/>
      <c r="AI1530" s="5" t="inlineStr"/>
      <c r="AJ1530" s="5" t="inlineStr"/>
    </row>
    <row r="1531">
      <c r="A1531" s="5" t="inlineStr">
        <is>
          <t>k10-dolandirici</t>
        </is>
      </c>
      <c r="B1531" s="5" t="n">
        <v>2</v>
      </c>
      <c r="C1531" s="6" t="inlineStr">
        <is>
          <t>Siyasete sız</t>
        </is>
      </c>
      <c r="D1531" s="5" t="inlineStr">
        <is>
          <t>Pişkinlik</t>
        </is>
      </c>
      <c r="E1531" s="5" t="inlineStr">
        <is>
          <t>Zor</t>
        </is>
      </c>
      <c r="F1531" s="5" t="inlineStr"/>
      <c r="G1531" s="6" t="inlineStr"/>
      <c r="H1531" s="6" t="inlineStr">
        <is>
          <t>Açılış yemeğinde öyle bir konuşma yaptın ki sabah seni ilçe başkan yardımcısı yaptılar. Kulüp üyeleri artık seçmenin.</t>
        </is>
      </c>
      <c r="I1531" s="6" t="inlineStr">
        <is>
          <t>Parti seni aday listesine, üst sıralara yazdı. Afişte gülüyorsun; kulüp üyeleri önünden geçerken durup düşünüyor.</t>
        </is>
      </c>
      <c r="J1531" s="6" t="inlineStr">
        <is>
          <t>Yemekte konuştun ama tatlı servisi başlamıştı; kimse dinlemedi. Kulübe döndün; kasa orada, üyeler de.</t>
        </is>
      </c>
      <c r="K1531" s="6" t="inlineStr">
        <is>
          <t>Konuşmanın ortasında bir kulüp üyesi kalkıp kâr payını sordu. Salon ona alkış tuttu. Ertesi hafta parti onu aday yaptı; ilk bağışı sen yaptın, mecburen.</t>
        </is>
      </c>
      <c r="L1531" s="6" t="inlineStr"/>
      <c r="M1531" s="5" t="inlineStr"/>
      <c r="N1531" s="5" t="inlineStr"/>
      <c r="O1531" s="6" t="inlineStr"/>
      <c r="P1531" s="6" t="inlineStr"/>
      <c r="Q1531" s="5" t="inlineStr"/>
      <c r="R1531" s="5" t="inlineStr"/>
      <c r="S1531" s="5" t="inlineStr"/>
      <c r="T1531" s="5" t="inlineStr">
        <is>
          <t>Plaza Diplomatı</t>
        </is>
      </c>
      <c r="U1531" s="5" t="inlineStr"/>
      <c r="V1531" s="5" t="inlineStr">
        <is>
          <t>-hat-cete, -hat-dolandirici, -hat-girisimci, -hat-goc, -hat-hekim, -hat-koy, -hat-polis, -hat-sohret, -hat-usta, -hat-yargi, -meslek-beyazyaka, -meslek-esnaf, -meslek-memur, -meslek-serbest, hat-politika</t>
        </is>
      </c>
      <c r="W1531" s="5" t="inlineStr"/>
      <c r="X1531" s="5" t="inlineStr"/>
      <c r="Y1531" s="5" t="inlineStr"/>
      <c r="Z1531" s="6" t="inlineStr"/>
      <c r="AA1531" s="5" t="inlineStr"/>
      <c r="AB1531" s="5" t="inlineStr"/>
      <c r="AC1531" s="5" t="inlineStr"/>
      <c r="AD1531" s="5" t="inlineStr"/>
      <c r="AE1531" s="5" t="inlineStr"/>
      <c r="AF1531" s="5" t="inlineStr"/>
      <c r="AG1531" s="5" t="inlineStr"/>
      <c r="AH1531" s="5" t="inlineStr"/>
      <c r="AI1531" s="5" t="inlineStr"/>
      <c r="AJ1531" s="5" t="inlineStr"/>
    </row>
    <row r="1532">
      <c r="A1532" s="5" t="inlineStr">
        <is>
          <t>k10-dolandirici</t>
        </is>
      </c>
      <c r="B1532" s="5" t="n">
        <v>3</v>
      </c>
      <c r="C1532" s="6" t="inlineStr">
        <is>
          <t>Bırak, dürüst iş bul</t>
        </is>
      </c>
      <c r="D1532" s="5" t="inlineStr"/>
      <c r="E1532" s="5" t="inlineStr"/>
      <c r="F1532" s="5" t="inlineStr">
        <is>
          <t>İtibar +2</t>
        </is>
      </c>
      <c r="G1532" s="6" t="inlineStr">
        <is>
          <t>Kasayı üyelere paylaştırıp telefonu açtın. Annen “Sesin iyi geliyor” dedi. Ertesi hafta bir kargo deposunda sabah vardiyasına başladın; paketlerin hepsi gerçek.</t>
        </is>
      </c>
      <c r="H1532" s="6" t="inlineStr"/>
      <c r="I1532" s="6" t="inlineStr"/>
      <c r="J1532" s="6" t="inlineStr"/>
      <c r="K1532" s="6" t="inlineStr"/>
      <c r="L1532" s="6" t="inlineStr"/>
      <c r="M1532" s="5" t="inlineStr"/>
      <c r="N1532" s="5" t="inlineStr"/>
      <c r="O1532" s="6" t="inlineStr"/>
      <c r="P1532" s="6" t="inlineStr"/>
      <c r="Q1532" s="5" t="inlineStr"/>
      <c r="R1532" s="5" t="inlineStr"/>
      <c r="S1532" s="5" t="inlineStr"/>
      <c r="T1532" s="5" t="inlineStr"/>
      <c r="U1532" s="5" t="inlineStr">
        <is>
          <t>-hat-cete, -hat-dolandirici, -hat-girisimci, -hat-goc, -hat-hekim, -hat-koy, -hat-polis, -hat-politika, -hat-sohret, -hat-usta, -hat-yargi, -meslek-beyazyaka, -meslek-esnaf, -meslek-memur, meslek-serbest</t>
        </is>
      </c>
      <c r="V1532" s="5" t="inlineStr"/>
      <c r="W1532" s="5" t="inlineStr"/>
      <c r="X1532" s="5" t="inlineStr"/>
      <c r="Y1532" s="5" t="inlineStr"/>
      <c r="Z1532" s="6" t="inlineStr"/>
      <c r="AA1532" s="5" t="inlineStr">
        <is>
          <t>hepsi +1</t>
        </is>
      </c>
      <c r="AB1532" s="5" t="inlineStr"/>
      <c r="AC1532" s="5" t="inlineStr"/>
      <c r="AD1532" s="5" t="inlineStr"/>
      <c r="AE1532" s="5" t="inlineStr"/>
      <c r="AF1532" s="5" t="inlineStr"/>
      <c r="AG1532" s="5" t="inlineStr"/>
      <c r="AH1532" s="5" t="inlineStr"/>
      <c r="AI1532" s="5" t="inlineStr"/>
      <c r="AJ1532" s="5" t="inlineStr"/>
    </row>
    <row r="1533">
      <c r="A1533" s="5" t="inlineStr">
        <is>
          <t>k10-esnaf</t>
        </is>
      </c>
      <c r="B1533" s="5" t="n">
        <v>1</v>
      </c>
      <c r="C1533" s="6" t="inlineStr">
        <is>
          <t>Markete diren</t>
        </is>
      </c>
      <c r="D1533" s="5" t="inlineStr">
        <is>
          <t>Çene</t>
        </is>
      </c>
      <c r="E1533" s="5" t="inlineStr">
        <is>
          <t>Orta</t>
        </is>
      </c>
      <c r="F1533" s="5" t="inlineStr"/>
      <c r="G1533" s="6" t="inlineStr"/>
      <c r="H1533" s="6" t="inlineStr">
        <is>
          <t>Veresiye defterini açtın, müşterilerin adlarını tek tek andın. Mahalle geri döndü; markette ekmek var, sende hatır.</t>
        </is>
      </c>
      <c r="I1533" s="6" t="inlineStr">
        <is>
          <t>Mahalleli senin için bir “Esnafa Sahip Çık” günü düzenledi. Kuyruk marketin kapısına dayandı; müdür de sıraya girdi.</t>
        </is>
      </c>
      <c r="J1533" s="6" t="inlineStr">
        <is>
          <t>Dükkân açık ama müşteri yarıya indi. Akşamları karşının ışıklarına bakıyorsun; seninki daha sıcak.</t>
        </is>
      </c>
      <c r="K1533" s="6" t="inlineStr">
        <is>
          <t>Fiyatı indirdin; market ertesi sabah yarısına indirdi. Müşteriler artık senden veresiye, karşıdan peşin alıyor. Defter kalınlaştı, kasa inceldi.</t>
        </is>
      </c>
      <c r="L1533" s="6" t="inlineStr"/>
      <c r="M1533" s="5" t="inlineStr"/>
      <c r="N1533" s="5" t="inlineStr"/>
      <c r="O1533" s="6" t="inlineStr"/>
      <c r="P1533" s="6" t="inlineStr"/>
      <c r="Q1533" s="5" t="inlineStr"/>
      <c r="R1533" s="5" t="inlineStr"/>
      <c r="S1533" s="5" t="inlineStr"/>
      <c r="T1533" s="5" t="inlineStr"/>
      <c r="U1533" s="5" t="inlineStr"/>
      <c r="V1533" s="5" t="inlineStr">
        <is>
          <t>esnaf-direndi</t>
        </is>
      </c>
      <c r="W1533" s="5" t="inlineStr"/>
      <c r="X1533" s="5" t="inlineStr"/>
      <c r="Y1533" s="5" t="inlineStr"/>
      <c r="Z1533" s="6" t="inlineStr"/>
      <c r="AA1533" s="5" t="inlineStr"/>
      <c r="AB1533" s="5" t="inlineStr"/>
      <c r="AC1533" s="5" t="inlineStr"/>
      <c r="AD1533" s="5" t="inlineStr"/>
      <c r="AE1533" s="5" t="inlineStr"/>
      <c r="AF1533" s="5" t="inlineStr"/>
      <c r="AG1533" s="5" t="inlineStr"/>
      <c r="AH1533" s="5" t="inlineStr"/>
      <c r="AI1533" s="5" t="inlineStr"/>
      <c r="AJ1533" s="5" t="inlineStr"/>
    </row>
    <row r="1534">
      <c r="A1534" s="5" t="inlineStr">
        <is>
          <t>k10-esnaf</t>
        </is>
      </c>
      <c r="B1534" s="5" t="n">
        <v>2</v>
      </c>
      <c r="C1534" s="6" t="inlineStr">
        <is>
          <t>Dükkânı sat, markette reyon şefi ol</t>
        </is>
      </c>
      <c r="D1534" s="5" t="inlineStr">
        <is>
          <t>Çene</t>
        </is>
      </c>
      <c r="E1534" s="5" t="inlineStr">
        <is>
          <t>Orta</t>
        </is>
      </c>
      <c r="F1534" s="5" t="inlineStr"/>
      <c r="G1534" s="6" t="inlineStr"/>
      <c r="H1534" s="6" t="inlineStr">
        <is>
          <t>Kepengi son kez indirip karşıya geçtin. Reyon şefi yeleğin yeşil; eski müşterilerin sana hâlâ “Usta” diyor, müdür bundan hoşlanmıyor.</t>
        </is>
      </c>
      <c r="I1534" s="6" t="inlineStr">
        <is>
          <t>Market seni reyon şefi olarak aldı ve eski müşterilerin seni takip etti. Artık zincirin en çok satan reyonu senin; veresiye hariç.</t>
        </is>
      </c>
      <c r="J1534" s="6" t="inlineStr">
        <is>
          <t>Dükkânı satmak istedin; alıcılar karşıdaki markete bakıp fiyat kırdı. Satmadın, dükkânında kaldın. Kepenk yerinde; sen de.</t>
        </is>
      </c>
      <c r="K1534" s="6" t="inlineStr">
        <is>
          <t>Market mülakatında eski müşterilerine veresiye verdiğini anlattın. Müdür bunu bir risk olarak not etti. Dükkânına döndün; defter seni bekliyordu.</t>
        </is>
      </c>
      <c r="L1534" s="6" t="inlineStr"/>
      <c r="M1534" s="5" t="inlineStr"/>
      <c r="N1534" s="5" t="inlineStr"/>
      <c r="O1534" s="6" t="inlineStr"/>
      <c r="P1534" s="6" t="inlineStr"/>
      <c r="Q1534" s="5" t="inlineStr"/>
      <c r="R1534" s="5" t="inlineStr"/>
      <c r="S1534" s="5" t="inlineStr"/>
      <c r="T1534" s="5" t="inlineStr"/>
      <c r="U1534" s="5" t="inlineStr"/>
      <c r="V1534" s="5" t="inlineStr">
        <is>
          <t>-hat-cete, -hat-dolandirici, -hat-girisimci, -hat-goc, -hat-hekim, -hat-koy, -hat-polis, -hat-politika, -hat-sohret, -hat-usta, -hat-yargi, -meslek-esnaf, -meslek-memur, -meslek-serbest, meslek-beyazyaka</t>
        </is>
      </c>
      <c r="W1534" s="5" t="inlineStr"/>
      <c r="X1534" s="5" t="inlineStr"/>
      <c r="Y1534" s="5" t="inlineStr"/>
      <c r="Z1534" s="6" t="inlineStr"/>
      <c r="AA1534" s="5" t="inlineStr"/>
      <c r="AB1534" s="5" t="inlineStr"/>
      <c r="AC1534" s="5" t="inlineStr"/>
      <c r="AD1534" s="5" t="inlineStr"/>
      <c r="AE1534" s="5" t="inlineStr"/>
      <c r="AF1534" s="5" t="inlineStr"/>
      <c r="AG1534" s="5" t="inlineStr"/>
      <c r="AH1534" s="5" t="inlineStr"/>
      <c r="AI1534" s="5" t="inlineStr"/>
      <c r="AJ1534" s="5" t="inlineStr"/>
    </row>
    <row r="1535">
      <c r="A1535" s="5" t="inlineStr">
        <is>
          <t>k10-esnaf</t>
        </is>
      </c>
      <c r="B1535" s="5" t="n">
        <v>3</v>
      </c>
      <c r="C1535" s="6" t="inlineStr">
        <is>
          <t>Markete “koruma” ortaklığı sat</t>
        </is>
      </c>
      <c r="D1535" s="5" t="inlineStr">
        <is>
          <t>Kurnazlık</t>
        </is>
      </c>
      <c r="E1535" s="5" t="inlineStr">
        <is>
          <t>Zor</t>
        </is>
      </c>
      <c r="F1535" s="5" t="inlineStr"/>
      <c r="G1535" s="6" t="inlineStr"/>
      <c r="H1535" s="6" t="inlineStr">
        <is>
          <t>Müdüre “Bu mahallenin dengeleri var” dedin; dengeleri kimse görmedi ama müdür ikna oldu. Her ay bir zarf; ailen bundan hoşlanmadı.</t>
        </is>
      </c>
      <c r="I1535" s="6" t="inlineStr">
        <is>
          <t>Müdür öyle ciddiye aldı ki öbür şubeler de aradı. Artık bir dükkânın değil, bir “danışmanlık” masan var; ailen sofraya çağırmıyor.</t>
        </is>
      </c>
      <c r="J1535" s="6" t="inlineStr">
        <is>
          <t>Müdür seni sonuna kadar dinledi, sonra güvenliğe döndü: “Arkadaşı çıkışa kadar geçirin.” Dükkânına döndün; tezgâh hâlâ senin.</t>
        </is>
      </c>
      <c r="K1535" s="6" t="inlineStr">
        <is>
          <t>Konuşmanı mağazanın kamerası sesiyle kaydetti. Görüntü mahalle grubunda; dükkânına müşteri değil, meraklı geliyor.</t>
        </is>
      </c>
      <c r="L1535" s="6" t="inlineStr"/>
      <c r="M1535" s="5" t="inlineStr"/>
      <c r="N1535" s="5" t="inlineStr"/>
      <c r="O1535" s="6" t="inlineStr"/>
      <c r="P1535" s="6" t="inlineStr"/>
      <c r="Q1535" s="5" t="inlineStr"/>
      <c r="R1535" s="5" t="inlineStr"/>
      <c r="S1535" s="5" t="inlineStr"/>
      <c r="T1535" s="5" t="inlineStr"/>
      <c r="U1535" s="5" t="inlineStr"/>
      <c r="V1535" s="5" t="inlineStr">
        <is>
          <t>-hat-dolandirici, -hat-girisimci, -hat-goc, -hat-hekim, -hat-koy, -hat-polis, -hat-politika, -hat-sohret, -hat-usta, -hat-yargi, -meslek-beyazyaka, -meslek-memur, -meslek-serbest, hat-cete, meslek-esnaf</t>
        </is>
      </c>
      <c r="W1535" s="5" t="inlineStr"/>
      <c r="X1535" s="5" t="inlineStr"/>
      <c r="Y1535" s="5" t="inlineStr"/>
      <c r="Z1535" s="6" t="inlineStr"/>
      <c r="AA1535" s="5" t="inlineStr">
        <is>
          <t>hepsi -1</t>
        </is>
      </c>
      <c r="AB1535" s="5" t="inlineStr"/>
      <c r="AC1535" s="5" t="inlineStr"/>
      <c r="AD1535" s="5" t="inlineStr">
        <is>
          <t>Rahat</t>
        </is>
      </c>
      <c r="AE1535" s="5" t="inlineStr"/>
      <c r="AF1535" s="5" t="inlineStr"/>
      <c r="AG1535" s="5" t="inlineStr"/>
      <c r="AH1535" s="5" t="inlineStr"/>
      <c r="AI1535" s="5" t="inlineStr"/>
      <c r="AJ1535" s="5" t="inlineStr"/>
    </row>
    <row r="1536">
      <c r="A1536" s="5" t="inlineStr">
        <is>
          <t>k10-serbest</t>
        </is>
      </c>
      <c r="B1536" s="5" t="n">
        <v>1</v>
      </c>
      <c r="C1536" s="6" t="inlineStr">
        <is>
          <t>Kameraya geç</t>
        </is>
      </c>
      <c r="D1536" s="5" t="inlineStr">
        <is>
          <t>Pişkinlik</t>
        </is>
      </c>
      <c r="E1536" s="5" t="inlineStr">
        <is>
          <t>Zor</t>
        </is>
      </c>
      <c r="F1536" s="5" t="inlineStr"/>
      <c r="G1536" s="6" t="inlineStr"/>
      <c r="H1536" s="6" t="inlineStr">
        <is>
          <t>Cümleyi her gün başka bir tonla söyledin; bir gün annenle birlikte. O video ilkini geçti. Bir ay sonra televizyondan aradılar; annen “Ben de gelirim” dedi, geldi.</t>
        </is>
      </c>
      <c r="I1536" s="6" t="inlineStr">
        <is>
          <t>Cümle bir reklam şarkısı oldu, sen de reklamın yüzü. Sokakta çocuklar cümleyi bağırıyor; sen her seferinde tamamlıyorsun.</t>
        </is>
      </c>
      <c r="J1536" s="6" t="inlineStr">
        <is>
          <t>İkinci video tutmadı, üçüncüsünü kimse izlemedi. İşine döndün; komşunun oğlu artık başkasını çekiyor.</t>
        </is>
      </c>
      <c r="K1536" s="6" t="inlineStr">
        <is>
          <t>İkinci videoda cümleyi yanlış söyledin; yanlışı ilkinden hızlı yayıldı. İşine döndün. Annen bile telefonda yanlışıyla söylüyor; düzeltince “Öyle değildi ki” diyor.</t>
        </is>
      </c>
      <c r="L1536" s="6" t="inlineStr"/>
      <c r="M1536" s="5" t="inlineStr"/>
      <c r="N1536" s="5" t="inlineStr"/>
      <c r="O1536" s="6" t="inlineStr"/>
      <c r="P1536" s="6" t="inlineStr"/>
      <c r="Q1536" s="5" t="inlineStr"/>
      <c r="R1536" s="5" t="inlineStr"/>
      <c r="S1536" s="5" t="inlineStr"/>
      <c r="T1536" s="5" t="inlineStr"/>
      <c r="U1536" s="5" t="inlineStr"/>
      <c r="V1536" s="5" t="inlineStr">
        <is>
          <t>-hat-cete, -hat-dolandirici, -hat-girisimci, -hat-goc, -hat-hekim, -hat-koy, -hat-polis, -hat-politika, -hat-usta, -hat-yargi, -meslek-beyazyaka, -meslek-esnaf, -meslek-memur, hat-sohret, meslek-serbest</t>
        </is>
      </c>
      <c r="W1536" s="5" t="inlineStr"/>
      <c r="X1536" s="5" t="inlineStr"/>
      <c r="Y1536" s="5" t="inlineStr"/>
      <c r="Z1536" s="6" t="inlineStr"/>
      <c r="AA1536" s="5" t="inlineStr"/>
      <c r="AB1536" s="5" t="inlineStr"/>
      <c r="AC1536" s="5" t="inlineStr"/>
      <c r="AD1536" s="5" t="inlineStr"/>
      <c r="AE1536" s="5" t="inlineStr"/>
      <c r="AF1536" s="5" t="inlineStr"/>
      <c r="AG1536" s="5" t="inlineStr"/>
      <c r="AH1536" s="5" t="inlineStr"/>
      <c r="AI1536" s="5" t="inlineStr"/>
      <c r="AJ1536" s="5" t="inlineStr"/>
    </row>
    <row r="1537">
      <c r="A1537" s="5" t="inlineStr">
        <is>
          <t>k10-serbest</t>
        </is>
      </c>
      <c r="B1537" s="5" t="n">
        <v>2</v>
      </c>
      <c r="C1537" s="6" t="inlineStr">
        <is>
          <t>Viral işinden ajans kur</t>
        </is>
      </c>
      <c r="D1537" s="5" t="inlineStr">
        <is>
          <t>Akıl</t>
        </is>
      </c>
      <c r="E1537" s="5" t="inlineStr">
        <is>
          <t>Orta</t>
        </is>
      </c>
      <c r="F1537" s="5" t="inlineStr"/>
      <c r="G1537" s="6" t="inlineStr"/>
      <c r="H1537" s="6" t="inlineStr">
        <is>
          <t>Viral olmayı bilmiyordun ama bilmeyenlere anlatmayı bildin. Ajansının ilk üç müşterisi var; biri komşunun oğlu.</t>
        </is>
      </c>
      <c r="I1537" s="6" t="inlineStr">
        <is>
          <t>İlk yılda on iki kişiyi viral yaptın. Kendi cümlen hâlâ en büyüğü; ofisin duvarına yazdırdın.</t>
        </is>
      </c>
      <c r="J1537" s="6" t="inlineStr">
        <is>
          <t>Logoyu bitirene kadar viral dalga çoktan geçmişti. Logo güzel oldu, müşteri yok. Eski işine döndün.</t>
        </is>
      </c>
      <c r="K1537" s="6" t="inlineStr">
        <is>
          <t>İlk müşterin viral cümleni tişörtlere bastırıp sattı; sana tek kuruş ödemeden. Tişörtten sen de bir tane aldın, indirimli. Eski işine döndün.</t>
        </is>
      </c>
      <c r="L1537" s="6" t="inlineStr"/>
      <c r="M1537" s="5" t="inlineStr"/>
      <c r="N1537" s="5" t="inlineStr"/>
      <c r="O1537" s="6" t="inlineStr"/>
      <c r="P1537" s="6" t="inlineStr"/>
      <c r="Q1537" s="5" t="inlineStr"/>
      <c r="R1537" s="5" t="inlineStr"/>
      <c r="S1537" s="5" t="inlineStr"/>
      <c r="T1537" s="5" t="inlineStr"/>
      <c r="U1537" s="5" t="inlineStr"/>
      <c r="V1537" s="5" t="inlineStr">
        <is>
          <t>-hat-cete, -hat-dolandirici, -hat-goc, -hat-hekim, -hat-koy, -hat-polis, -hat-politika, -hat-sohret, -hat-usta, -hat-yargi, -meslek-beyazyaka, -meslek-esnaf, -meslek-memur, hat-girisimci, meslek-serbest</t>
        </is>
      </c>
      <c r="W1537" s="5" t="inlineStr"/>
      <c r="X1537" s="5" t="inlineStr"/>
      <c r="Y1537" s="5" t="inlineStr"/>
      <c r="Z1537" s="6" t="inlineStr"/>
      <c r="AA1537" s="5" t="inlineStr"/>
      <c r="AB1537" s="5" t="inlineStr"/>
      <c r="AC1537" s="5" t="inlineStr"/>
      <c r="AD1537" s="5" t="inlineStr"/>
      <c r="AE1537" s="5" t="inlineStr"/>
      <c r="AF1537" s="5" t="inlineStr"/>
      <c r="AG1537" s="5" t="inlineStr"/>
      <c r="AH1537" s="5" t="inlineStr"/>
      <c r="AI1537" s="5" t="inlineStr"/>
      <c r="AJ1537" s="5" t="inlineStr"/>
    </row>
    <row r="1538">
      <c r="A1538" s="5" t="inlineStr">
        <is>
          <t>k10-serbest</t>
        </is>
      </c>
      <c r="B1538" s="5" t="n">
        <v>3</v>
      </c>
      <c r="C1538" s="6" t="inlineStr">
        <is>
          <t>Viral geçsin, işine dön</t>
        </is>
      </c>
      <c r="D1538" s="5" t="inlineStr"/>
      <c r="E1538" s="5" t="inlineStr"/>
      <c r="F1538" s="5" t="inlineStr">
        <is>
          <t>Dayanıklılık +1, İtibar +1</t>
        </is>
      </c>
      <c r="G1538" s="6" t="inlineStr">
        <is>
          <t>Telefonu sessize alıp işine döndün. İki hafta sonra kimse cümleyi hatırlamıyordu; bir tek annen, her telefonda onu söylüyor.</t>
        </is>
      </c>
      <c r="H1538" s="6" t="inlineStr"/>
      <c r="I1538" s="6" t="inlineStr"/>
      <c r="J1538" s="6" t="inlineStr"/>
      <c r="K1538" s="6" t="inlineStr"/>
      <c r="L1538" s="6" t="inlineStr"/>
      <c r="M1538" s="5" t="inlineStr"/>
      <c r="N1538" s="5" t="inlineStr"/>
      <c r="O1538" s="6" t="inlineStr"/>
      <c r="P1538" s="6" t="inlineStr"/>
      <c r="Q1538" s="5" t="inlineStr"/>
      <c r="R1538" s="5" t="inlineStr"/>
      <c r="S1538" s="5" t="inlineStr"/>
      <c r="T1538" s="5" t="inlineStr"/>
      <c r="U1538" s="5" t="inlineStr"/>
      <c r="V1538" s="5" t="inlineStr"/>
      <c r="W1538" s="5" t="inlineStr"/>
      <c r="X1538" s="5" t="inlineStr"/>
      <c r="Y1538" s="5" t="inlineStr"/>
      <c r="Z1538" s="6" t="inlineStr"/>
      <c r="AA1538" s="5" t="inlineStr"/>
      <c r="AB1538" s="5" t="inlineStr"/>
      <c r="AC1538" s="5" t="inlineStr"/>
      <c r="AD1538" s="5" t="inlineStr"/>
      <c r="AE1538" s="5" t="inlineStr"/>
      <c r="AF1538" s="5" t="inlineStr"/>
      <c r="AG1538" s="5" t="inlineStr"/>
      <c r="AH1538" s="5" t="inlineStr"/>
      <c r="AI1538" s="5" t="inlineStr"/>
      <c r="AJ1538" s="5" t="inlineStr"/>
    </row>
    <row r="1539">
      <c r="A1539" s="5" t="inlineStr">
        <is>
          <t>b7-hapis-kogus-ilk-gun</t>
        </is>
      </c>
      <c r="B1539" s="5" t="n">
        <v>1</v>
      </c>
      <c r="C1539" s="6" t="inlineStr">
        <is>
          <t>“Nasıl gelirse” de</t>
        </is>
      </c>
      <c r="D1539" s="5" t="inlineStr"/>
      <c r="E1539" s="5" t="inlineStr"/>
      <c r="F1539" s="5" t="inlineStr">
        <is>
          <t>Dayanıklılık +1, Sosyal Radar +1</t>
        </is>
      </c>
      <c r="G1539" s="6" t="inlineStr">
        <is>
          <t>Çaycı uzun uzun baktı, bardağını yarım şekerli doldurdu. Koğuşta adın “Nasıl Gelirse” oldu; en az tartışılan isim.</t>
        </is>
      </c>
      <c r="H1539" s="6" t="inlineStr"/>
      <c r="I1539" s="6" t="inlineStr"/>
      <c r="J1539" s="6" t="inlineStr"/>
      <c r="K1539" s="6" t="inlineStr"/>
      <c r="L1539" s="6" t="inlineStr"/>
      <c r="M1539" s="5" t="inlineStr"/>
      <c r="N1539" s="5" t="inlineStr"/>
      <c r="O1539" s="6" t="inlineStr"/>
      <c r="P1539" s="6" t="inlineStr"/>
      <c r="Q1539" s="5" t="inlineStr"/>
      <c r="R1539" s="5" t="inlineStr"/>
      <c r="S1539" s="5" t="inlineStr"/>
      <c r="T1539" s="5" t="inlineStr"/>
      <c r="U1539" s="5" t="inlineStr"/>
      <c r="V1539" s="5" t="inlineStr"/>
      <c r="W1539" s="5" t="inlineStr"/>
      <c r="X1539" s="5" t="inlineStr"/>
      <c r="Y1539" s="5" t="inlineStr"/>
      <c r="Z1539" s="6" t="inlineStr"/>
      <c r="AA1539" s="5" t="inlineStr"/>
      <c r="AB1539" s="5" t="inlineStr"/>
      <c r="AC1539" s="5" t="inlineStr"/>
      <c r="AD1539" s="5" t="inlineStr"/>
      <c r="AE1539" s="5" t="inlineStr"/>
      <c r="AF1539" s="5" t="inlineStr"/>
      <c r="AG1539" s="5" t="inlineStr"/>
      <c r="AH1539" s="5" t="inlineStr"/>
      <c r="AI1539" s="5" t="inlineStr"/>
      <c r="AJ1539" s="5" t="inlineStr"/>
    </row>
    <row r="1540">
      <c r="A1540" s="5" t="inlineStr">
        <is>
          <t>b7-hapis-kogus-ilk-gun</t>
        </is>
      </c>
      <c r="B1540" s="5" t="n">
        <v>2</v>
      </c>
      <c r="C1540" s="6" t="inlineStr">
        <is>
          <t>Tavla hiyerarşisine meydan oku</t>
        </is>
      </c>
      <c r="D1540" s="5" t="inlineStr">
        <is>
          <t>Kurnazlık</t>
        </is>
      </c>
      <c r="E1540" s="5" t="inlineStr">
        <is>
          <t>Orta</t>
        </is>
      </c>
      <c r="F1540" s="5" t="inlineStr"/>
      <c r="G1540" s="6" t="inlineStr"/>
      <c r="H1540" s="6" t="inlineStr">
        <is>
          <t>Koğuşun tavla şampiyonunu ilk gece yendin. Ertesi sabah yatağın pencere kenarına taşındı; güneş de sana geçti.</t>
        </is>
      </c>
      <c r="I1540" s="6" t="inlineStr">
        <is>
          <t>Şampiyonu mars ettin; şampiyon kendi zarlarını sana hediye etti. Koğuşta sana artık kimse “yeni” demiyor.</t>
        </is>
      </c>
      <c r="J1540" s="6" t="inlineStr">
        <is>
          <t>Şampiyon seni üç elde yendi, sonra pulları nasıl dizeceğini anlattı. Ücretsiz ders; bedeli bulaşık.</t>
        </is>
      </c>
      <c r="K1540" s="6" t="inlineStr">
        <is>
          <t>Zar yatağın altına kaçtı. Eğilip aradın; doğrulduğunda yatağında biri yatıyordu, battaniyeni de çekmişti: “Boş sandım.” O gece kapının dibinde yattın.</t>
        </is>
      </c>
      <c r="L1540" s="6" t="inlineStr"/>
      <c r="M1540" s="5" t="inlineStr"/>
      <c r="N1540" s="5" t="inlineStr"/>
      <c r="O1540" s="6" t="inlineStr"/>
      <c r="P1540" s="6" t="inlineStr"/>
      <c r="Q1540" s="5" t="inlineStr"/>
      <c r="R1540" s="5" t="inlineStr"/>
      <c r="S1540" s="5" t="inlineStr"/>
      <c r="T1540" s="5" t="inlineStr"/>
      <c r="U1540" s="5" t="inlineStr"/>
      <c r="V1540" s="5" t="inlineStr">
        <is>
          <t>kogus-dostu</t>
        </is>
      </c>
      <c r="W1540" s="5" t="inlineStr"/>
      <c r="X1540" s="5" t="inlineStr"/>
      <c r="Y1540" s="5" t="inlineStr"/>
      <c r="Z1540" s="6" t="inlineStr"/>
      <c r="AA1540" s="5" t="inlineStr"/>
      <c r="AB1540" s="5" t="inlineStr"/>
      <c r="AC1540" s="5" t="inlineStr"/>
      <c r="AD1540" s="5" t="inlineStr"/>
      <c r="AE1540" s="5" t="inlineStr"/>
      <c r="AF1540" s="5" t="inlineStr"/>
      <c r="AG1540" s="5" t="inlineStr"/>
      <c r="AH1540" s="5" t="inlineStr"/>
      <c r="AI1540" s="5" t="inlineStr"/>
      <c r="AJ1540" s="5" t="inlineStr"/>
    </row>
    <row r="1541">
      <c r="A1541" s="5" t="inlineStr">
        <is>
          <t>b7-hapis-kogus-ilk-gun</t>
        </is>
      </c>
      <c r="B1541" s="5" t="n">
        <v>3</v>
      </c>
      <c r="C1541" s="6" t="inlineStr">
        <is>
          <t>Çay ocağına gönüllü ol</t>
        </is>
      </c>
      <c r="D1541" s="5" t="inlineStr">
        <is>
          <t>Çene</t>
        </is>
      </c>
      <c r="E1541" s="5" t="inlineStr">
        <is>
          <t>Orta</t>
        </is>
      </c>
      <c r="F1541" s="5" t="inlineStr"/>
      <c r="G1541" s="6" t="inlineStr"/>
      <c r="H1541" s="6" t="inlineStr">
        <is>
          <t>Ocağa girdin; artık herkesin şeker sayısını ve derdini biliyorsun. Koğuşta çay kimdeyse söz de onda.</t>
        </is>
      </c>
      <c r="I1541" s="6" t="inlineStr">
        <is>
          <t>Çayın o kadar iyi ki gardiyanlar da mola saatinde uğruyor. Ocak artık senin; kapının yanında bir de taburen var.</t>
        </is>
      </c>
      <c r="J1541" s="6" t="inlineStr">
        <is>
          <t>Sabırsızlanıp çayı erken koydun. Koğuş sana bir hafta “Açık Çay” dedi.</t>
        </is>
      </c>
      <c r="K1541" s="6" t="inlineStr">
        <is>
          <t>Demliği devirdin, şeker listesi ıslandı. Kimin kaç şeker içtiği artık bilinmiyor; koğuş bir hafta küs.</t>
        </is>
      </c>
      <c r="L1541" s="6" t="inlineStr"/>
      <c r="M1541" s="5" t="inlineStr"/>
      <c r="N1541" s="5" t="inlineStr"/>
      <c r="O1541" s="6" t="inlineStr"/>
      <c r="P1541" s="6" t="inlineStr"/>
      <c r="Q1541" s="5" t="inlineStr"/>
      <c r="R1541" s="5" t="inlineStr"/>
      <c r="S1541" s="5" t="inlineStr"/>
      <c r="T1541" s="5" t="inlineStr"/>
      <c r="U1541" s="5" t="inlineStr"/>
      <c r="V1541" s="5" t="inlineStr"/>
      <c r="W1541" s="5" t="inlineStr"/>
      <c r="X1541" s="5" t="inlineStr"/>
      <c r="Y1541" s="5" t="inlineStr"/>
      <c r="Z1541" s="6" t="inlineStr"/>
      <c r="AA1541" s="5" t="inlineStr"/>
      <c r="AB1541" s="5" t="inlineStr"/>
      <c r="AC1541" s="5" t="inlineStr"/>
      <c r="AD1541" s="5" t="inlineStr"/>
      <c r="AE1541" s="5" t="inlineStr"/>
      <c r="AF1541" s="5" t="inlineStr"/>
      <c r="AG1541" s="5" t="inlineStr"/>
      <c r="AH1541" s="5" t="inlineStr"/>
      <c r="AI1541" s="5" t="inlineStr"/>
      <c r="AJ1541" s="5" t="inlineStr"/>
    </row>
    <row r="1542">
      <c r="A1542" s="5" t="inlineStr">
        <is>
          <t>b7-hapis-gorus-gunu</t>
        </is>
      </c>
      <c r="B1542" s="5" t="n">
        <v>1</v>
      </c>
      <c r="C1542" s="6" t="inlineStr">
        <is>
          <t>Yirmi dakikayı dinleyerek geçir</t>
        </is>
      </c>
      <c r="D1542" s="5" t="inlineStr"/>
      <c r="E1542" s="5" t="inlineStr"/>
      <c r="F1542" s="5" t="inlineStr">
        <is>
          <t>Sosyal Radar +1, Gönül +1</t>
        </is>
      </c>
      <c r="G1542" s="6" t="inlineStr">
        <is>
          <t>Hiç konuşmadın; annen mahallenin bütün haberlerini anlattı. Sonunda “Sen de bir şey söyle” dedi. “Yemekler güzel” dedin; ağladı.</t>
        </is>
      </c>
      <c r="H1542" s="6" t="inlineStr"/>
      <c r="I1542" s="6" t="inlineStr"/>
      <c r="J1542" s="6" t="inlineStr"/>
      <c r="K1542" s="6" t="inlineStr"/>
      <c r="L1542" s="6" t="inlineStr"/>
      <c r="M1542" s="5" t="inlineStr"/>
      <c r="N1542" s="5" t="inlineStr"/>
      <c r="O1542" s="6" t="inlineStr"/>
      <c r="P1542" s="6" t="inlineStr"/>
      <c r="Q1542" s="5" t="inlineStr"/>
      <c r="R1542" s="5" t="inlineStr"/>
      <c r="S1542" s="5" t="inlineStr"/>
      <c r="T1542" s="5" t="inlineStr"/>
      <c r="U1542" s="5" t="inlineStr"/>
      <c r="V1542" s="5" t="inlineStr"/>
      <c r="W1542" s="5" t="inlineStr"/>
      <c r="X1542" s="5" t="inlineStr"/>
      <c r="Y1542" s="5" t="inlineStr"/>
      <c r="Z1542" s="6" t="inlineStr"/>
      <c r="AA1542" s="5" t="inlineStr"/>
      <c r="AB1542" s="5" t="inlineStr"/>
      <c r="AC1542" s="5" t="inlineStr"/>
      <c r="AD1542" s="5" t="inlineStr"/>
      <c r="AE1542" s="5" t="inlineStr"/>
      <c r="AF1542" s="5" t="inlineStr"/>
      <c r="AG1542" s="5" t="inlineStr"/>
      <c r="AH1542" s="5" t="inlineStr"/>
      <c r="AI1542" s="5" t="inlineStr"/>
      <c r="AJ1542" s="5" t="inlineStr"/>
    </row>
    <row r="1543">
      <c r="A1543" s="5" t="inlineStr">
        <is>
          <t>b7-hapis-gorus-gunu</t>
        </is>
      </c>
      <c r="B1543" s="5" t="n">
        <v>2</v>
      </c>
      <c r="C1543" s="6" t="inlineStr">
        <is>
          <t>Her şey yolunda gibi göster</t>
        </is>
      </c>
      <c r="D1543" s="5" t="inlineStr">
        <is>
          <t>Pişkinlik</t>
        </is>
      </c>
      <c r="E1543" s="5" t="inlineStr">
        <is>
          <t>Orta</t>
        </is>
      </c>
      <c r="F1543" s="5" t="inlineStr"/>
      <c r="G1543" s="6" t="inlineStr"/>
      <c r="H1543" s="6" t="inlineStr">
        <is>
          <t>Koğuşu bir yurt gibi anlattın: tavla, çay, sohbet. Annen rahatladı: “Bari arkadaş edinmişsin.” Çıkarken gardiyana döndü: “Bizimkine iyi bakın, üşür.”</t>
        </is>
      </c>
      <c r="I1543" s="6" t="inlineStr">
        <is>
          <t>Öyle anlattın ki annen bir sonraki görüşe arkadaşların için de börek getirdi. Koğuşta itibarın iki tepsi arttı.</t>
        </is>
      </c>
      <c r="J1543" s="6" t="inlineStr">
        <is>
          <t>“Her şey yolunda” derken arkandan “Süre bitti” sesi geldi. Cümlen yarım kaldı; annen yarısına inandı.</t>
        </is>
      </c>
      <c r="K1543" s="6" t="inlineStr">
        <is>
          <t>Ahize elinden kaydı; kalan on dakikayı işaretle anlaştınız. Annen “Çorap” anladı; gelecek ay otuz çift çorap geldi.</t>
        </is>
      </c>
      <c r="L1543" s="6" t="inlineStr">
        <is>
          <t>Yüzün tuttu, sesin tutmadı. Annen “İyiyim” kelimesine inandı, titremesine inanmadı.</t>
        </is>
      </c>
      <c r="M1543" s="5" t="inlineStr">
        <is>
          <t>lie</t>
        </is>
      </c>
      <c r="N1543" s="5" t="inlineStr">
        <is>
          <t>Görüş Camı</t>
        </is>
      </c>
      <c r="O1543" s="6" t="inlineStr">
        <is>
          <t>Söylediklerini aklında tut; sorulara çelişmeden cevap ver.</t>
        </is>
      </c>
      <c r="P1543" s="6" t="inlineStr">
        <is>
          <t>{"who": "Annen", "facts": ["Yemekler iyi.", "Üşümüyorum.", "Arkadaşlarım iyi."], "qs": [{"q": "Yemek veriyorlar mı?", "o": ["Evet, iyi.", "Pek değil.", "Çok kötü."]}, {"q": "Üşüyor musun?", "o": ["Hayır, battaniye var.", "Evet.", "Çok."]}, {"q": "Arkadaşların iyi mi?", "o": ["İyi, birlikte oyun oynuyoruz.", "Hiç arkadaşım yok.", "Kavga ediyoruz."]}]}</t>
        </is>
      </c>
      <c r="Q1543" s="5" t="inlineStr"/>
      <c r="R1543" s="5" t="inlineStr"/>
      <c r="S1543" s="5" t="inlineStr"/>
      <c r="T1543" s="5" t="inlineStr"/>
      <c r="U1543" s="5" t="inlineStr"/>
      <c r="V1543" s="5" t="inlineStr"/>
      <c r="W1543" s="5" t="inlineStr"/>
      <c r="X1543" s="5" t="inlineStr"/>
      <c r="Y1543" s="5" t="inlineStr"/>
      <c r="Z1543" s="6" t="inlineStr"/>
      <c r="AA1543" s="5" t="inlineStr"/>
      <c r="AB1543" s="5" t="inlineStr"/>
      <c r="AC1543" s="5" t="inlineStr"/>
      <c r="AD1543" s="5" t="inlineStr"/>
      <c r="AE1543" s="5" t="inlineStr"/>
      <c r="AF1543" s="5" t="inlineStr"/>
      <c r="AG1543" s="5" t="inlineStr"/>
      <c r="AH1543" s="5" t="inlineStr"/>
      <c r="AI1543" s="5" t="inlineStr"/>
      <c r="AJ1543" s="5" t="inlineStr"/>
    </row>
    <row r="1544">
      <c r="A1544" s="5" t="inlineStr">
        <is>
          <t>b7-hapis-gorus-gunu</t>
        </is>
      </c>
      <c r="B1544" s="5" t="n">
        <v>3</v>
      </c>
      <c r="C1544" s="6" t="inlineStr">
        <is>
          <t>Dışarıdaki işleri ahizeden yönet</t>
        </is>
      </c>
      <c r="D1544" s="5" t="inlineStr">
        <is>
          <t>Kurnazlık</t>
        </is>
      </c>
      <c r="E1544" s="5" t="inlineStr">
        <is>
          <t>Orta</t>
        </is>
      </c>
      <c r="F1544" s="5" t="inlineStr"/>
      <c r="G1544" s="6" t="inlineStr"/>
      <c r="H1544" s="6" t="inlineStr">
        <is>
          <t>Annene üç talimat verdin: kira, sigorta, bir de dükkânın kepengi. Annen kirayı yatırdı, sigortayı yatırdı; kepengi de her sabah açıp tezgâha kendisi oturdu. Mahalle ona artık “Usta” diyor.</t>
        </is>
      </c>
      <c r="I1544" s="6" t="inlineStr">
        <is>
          <t>Annen talimatları öyle iyi uyguladı ki dışarıda işler senin zamanından düzgün dönüyor. Çıkınca yerin olacak mı, emin değilsin.</t>
        </is>
      </c>
      <c r="J1544" s="6" t="inlineStr">
        <is>
          <t>Talimatları verdin; hat cızırdıyordu. Annen tek cümle duydu: “Sen üşüme yeter.”</t>
        </is>
      </c>
      <c r="K1544" s="6" t="inlineStr">
        <is>
          <t>Talimatların arasında bir kasa şifresi söyledin; yanlışını. Annen bir ay kasayla uğraştı; çilingir de artık seni tanıyor.</t>
        </is>
      </c>
      <c r="L1544" s="6" t="inlineStr"/>
      <c r="M1544" s="5" t="inlineStr"/>
      <c r="N1544" s="5" t="inlineStr"/>
      <c r="O1544" s="6" t="inlineStr"/>
      <c r="P1544" s="6" t="inlineStr"/>
      <c r="Q1544" s="5" t="inlineStr"/>
      <c r="R1544" s="5" t="inlineStr"/>
      <c r="S1544" s="5" t="inlineStr"/>
      <c r="T1544" s="5" t="inlineStr"/>
      <c r="U1544" s="5" t="inlineStr"/>
      <c r="V1544" s="5" t="inlineStr"/>
      <c r="W1544" s="5" t="inlineStr"/>
      <c r="X1544" s="5" t="inlineStr"/>
      <c r="Y1544" s="5" t="inlineStr"/>
      <c r="Z1544" s="6" t="inlineStr"/>
      <c r="AA1544" s="5" t="inlineStr"/>
      <c r="AB1544" s="5" t="inlineStr"/>
      <c r="AC1544" s="5" t="inlineStr"/>
      <c r="AD1544" s="5" t="inlineStr"/>
      <c r="AE1544" s="5" t="inlineStr"/>
      <c r="AF1544" s="5" t="inlineStr"/>
      <c r="AG1544" s="5" t="inlineStr"/>
      <c r="AH1544" s="5" t="inlineStr"/>
      <c r="AI1544" s="5" t="inlineStr"/>
      <c r="AJ1544" s="5" t="inlineStr"/>
    </row>
    <row r="1545">
      <c r="A1545" s="5" t="inlineStr">
        <is>
          <t>b7-hapis-gorus-gunu</t>
        </is>
      </c>
      <c r="B1545" s="5" t="n">
        <v>4</v>
      </c>
      <c r="C1545" s="6" t="inlineStr">
        <is>
          <t>Çocuğa bir masal anlat</t>
        </is>
      </c>
      <c r="D1545" s="5" t="inlineStr"/>
      <c r="E1545" s="5" t="inlineStr"/>
      <c r="F1545" s="5" t="inlineStr">
        <is>
          <t>Gönül +1</t>
        </is>
      </c>
      <c r="G1545" s="6" t="inlineStr">
        <is>
          <t>Yirmi dakikanın on beşini bir masala verdin: bir kral bir süre sarayda tatil yapıyormuş. Çocuk sonunu sordu. “Bir sonraki görüşte” dedin; söz verdin.</t>
        </is>
      </c>
      <c r="H1545" s="6" t="inlineStr"/>
      <c r="I1545" s="6" t="inlineStr"/>
      <c r="J1545" s="6" t="inlineStr"/>
      <c r="K1545" s="6" t="inlineStr"/>
      <c r="L1545" s="6" t="inlineStr"/>
      <c r="M1545" s="5" t="inlineStr"/>
      <c r="N1545" s="5" t="inlineStr"/>
      <c r="O1545" s="6" t="inlineStr"/>
      <c r="P1545" s="6" t="inlineStr"/>
      <c r="Q1545" s="5" t="inlineStr"/>
      <c r="R1545" s="5" t="inlineStr">
        <is>
          <t>cocuklu</t>
        </is>
      </c>
      <c r="S1545" s="5" t="inlineStr"/>
      <c r="T1545" s="5" t="inlineStr"/>
      <c r="U1545" s="5" t="inlineStr"/>
      <c r="V1545" s="5" t="inlineStr"/>
      <c r="W1545" s="5" t="inlineStr"/>
      <c r="X1545" s="5" t="inlineStr"/>
      <c r="Y1545" s="5" t="inlineStr"/>
      <c r="Z1545" s="6" t="inlineStr"/>
      <c r="AA1545" s="5" t="inlineStr"/>
      <c r="AB1545" s="5" t="inlineStr"/>
      <c r="AC1545" s="5" t="inlineStr"/>
      <c r="AD1545" s="5" t="inlineStr"/>
      <c r="AE1545" s="5" t="inlineStr"/>
      <c r="AF1545" s="5" t="inlineStr"/>
      <c r="AG1545" s="5" t="inlineStr"/>
      <c r="AH1545" s="5" t="inlineStr"/>
      <c r="AI1545" s="5" t="inlineStr"/>
      <c r="AJ1545" s="5" t="inlineStr"/>
    </row>
    <row r="1546">
      <c r="A1546" s="5" t="inlineStr">
        <is>
          <t>b7-hapis-islah-kursu</t>
        </is>
      </c>
      <c r="B1546" s="5" t="n">
        <v>1</v>
      </c>
      <c r="C1546" s="6" t="inlineStr">
        <is>
          <t>Sabun yapımına yazıl</t>
        </is>
      </c>
      <c r="D1546" s="5" t="inlineStr"/>
      <c r="E1546" s="5" t="inlineStr"/>
      <c r="F1546" s="5" t="inlineStr">
        <is>
          <t>Dayanıklılık +1, Akıl +1</t>
        </is>
      </c>
      <c r="G1546" s="6" t="inlineStr">
        <is>
          <t>Üç ayda lavanta kokulu kırk sabun yaptın. Sertifikan var; koğuş da artık lavanta kokuyor. Annene bir tane yolladın; banyoya koymadı, vitrine koydu.</t>
        </is>
      </c>
      <c r="H1546" s="6" t="inlineStr"/>
      <c r="I1546" s="6" t="inlineStr"/>
      <c r="J1546" s="6" t="inlineStr"/>
      <c r="K1546" s="6" t="inlineStr"/>
      <c r="L1546" s="6" t="inlineStr"/>
      <c r="M1546" s="5" t="inlineStr"/>
      <c r="N1546" s="5" t="inlineStr"/>
      <c r="O1546" s="6" t="inlineStr"/>
      <c r="P1546" s="6" t="inlineStr"/>
      <c r="Q1546" s="5" t="inlineStr"/>
      <c r="R1546" s="5" t="inlineStr"/>
      <c r="S1546" s="5" t="inlineStr"/>
      <c r="T1546" s="5" t="inlineStr"/>
      <c r="U1546" s="5" t="inlineStr">
        <is>
          <t>islah-sertifikasi</t>
        </is>
      </c>
      <c r="V1546" s="5" t="inlineStr"/>
      <c r="W1546" s="5" t="inlineStr"/>
      <c r="X1546" s="5" t="inlineStr"/>
      <c r="Y1546" s="5" t="inlineStr"/>
      <c r="Z1546" s="6" t="inlineStr"/>
      <c r="AA1546" s="5" t="inlineStr"/>
      <c r="AB1546" s="5" t="inlineStr"/>
      <c r="AC1546" s="5" t="inlineStr"/>
      <c r="AD1546" s="5" t="inlineStr"/>
      <c r="AE1546" s="5" t="inlineStr"/>
      <c r="AF1546" s="5" t="inlineStr"/>
      <c r="AG1546" s="5" t="inlineStr"/>
      <c r="AH1546" s="5" t="inlineStr"/>
      <c r="AI1546" s="5" t="inlineStr"/>
      <c r="AJ1546" s="5" t="inlineStr"/>
    </row>
    <row r="1547">
      <c r="A1547" s="5" t="inlineStr">
        <is>
          <t>b7-hapis-islah-kursu</t>
        </is>
      </c>
      <c r="B1547" s="5" t="n">
        <v>2</v>
      </c>
      <c r="C1547" s="6" t="inlineStr">
        <is>
          <t>Ahşap oymacılığında ustalaş</t>
        </is>
      </c>
      <c r="D1547" s="5" t="inlineStr">
        <is>
          <t>Dayanıklılık</t>
        </is>
      </c>
      <c r="E1547" s="5" t="inlineStr">
        <is>
          <t>Orta</t>
        </is>
      </c>
      <c r="F1547" s="5" t="inlineStr"/>
      <c r="G1547" s="6" t="inlineStr"/>
      <c r="H1547" s="6" t="inlineStr">
        <is>
          <t>İlk kaşık yamuk, ikincisi tahta, üçüncüsü kaşık. Sertifika töreninde müdür kaşığını evine götürdü.</t>
        </is>
      </c>
      <c r="I1547" s="6" t="inlineStr">
        <is>
          <t>Oyduğun tavla takımı cezaevi sergisinde birinci oldu. Koğuşun turnuvası artık senin tahtanda oynanıyor.</t>
        </is>
      </c>
      <c r="J1547" s="6" t="inlineStr">
        <is>
          <t>Kaşık olacaktı, kürdan oldu. Kürdanları koğuşa dağıttın; herkes seni sevdi ama sertifika yok.</t>
        </is>
      </c>
      <c r="K1547" s="6" t="inlineStr">
        <is>
          <t>Tahtayı yanlış yerinden oydun; elinde bir “eser” kaldı. Hoca adını “Soyut Dönem” koydu; koğuşta öyle çağrılıyorsun.</t>
        </is>
      </c>
      <c r="L1547" s="6" t="inlineStr"/>
      <c r="M1547" s="5" t="inlineStr"/>
      <c r="N1547" s="5" t="inlineStr"/>
      <c r="O1547" s="6" t="inlineStr"/>
      <c r="P1547" s="6" t="inlineStr"/>
      <c r="Q1547" s="5" t="inlineStr"/>
      <c r="R1547" s="5" t="inlineStr"/>
      <c r="S1547" s="5" t="inlineStr"/>
      <c r="T1547" s="5" t="inlineStr"/>
      <c r="U1547" s="5" t="inlineStr"/>
      <c r="V1547" s="5" t="inlineStr">
        <is>
          <t>islah-sertifikasi</t>
        </is>
      </c>
      <c r="W1547" s="5" t="inlineStr"/>
      <c r="X1547" s="5" t="inlineStr"/>
      <c r="Y1547" s="5" t="inlineStr"/>
      <c r="Z1547" s="6" t="inlineStr"/>
      <c r="AA1547" s="5" t="inlineStr"/>
      <c r="AB1547" s="5" t="inlineStr"/>
      <c r="AC1547" s="5" t="inlineStr"/>
      <c r="AD1547" s="5" t="inlineStr"/>
      <c r="AE1547" s="5" t="inlineStr"/>
      <c r="AF1547" s="5" t="inlineStr"/>
      <c r="AG1547" s="5" t="inlineStr"/>
      <c r="AH1547" s="5" t="inlineStr"/>
      <c r="AI1547" s="5" t="inlineStr">
        <is>
          <t>Soyut Dönem</t>
        </is>
      </c>
      <c r="AJ1547" s="5" t="inlineStr"/>
    </row>
    <row r="1548">
      <c r="A1548" s="5" t="inlineStr">
        <is>
          <t>b7-hapis-islah-kursu</t>
        </is>
      </c>
      <c r="B1548" s="5" t="n">
        <v>3</v>
      </c>
      <c r="C1548" s="6" t="inlineStr">
        <is>
          <t>Kişisel gelişim kursunu devral</t>
        </is>
      </c>
      <c r="D1548" s="5" t="inlineStr">
        <is>
          <t>Pişkinlik</t>
        </is>
      </c>
      <c r="E1548" s="5" t="inlineStr">
        <is>
          <t>Zor</t>
        </is>
      </c>
      <c r="F1548" s="5" t="inlineStr"/>
      <c r="G1548" s="6" t="inlineStr"/>
      <c r="H1548" s="6" t="inlineStr">
        <is>
          <t>Hocayı bir haftada koltuğundan ettin; derse artık sen giriyorsun. Konu: “Koğuşta Verimlilik.” Katılım zorunlu değil ama başka program yok.</t>
        </is>
      </c>
      <c r="I1548" s="6" t="inlineStr">
        <is>
          <t>Öbür koğuşlar da derslerini istedi. Son derste eski hoca en arka sıradan el kaldırdı: “Hocam, bir sorum var.” Müdür dosyana “örnek kursiyer” yazdı.</t>
        </is>
      </c>
      <c r="J1548" s="6" t="inlineStr">
        <is>
          <t>Hoca seni ön sıraya oturtup bütün dönem yalnızca sana soru sordu. Kişisel gelişimin boyun tutulması oldu.</t>
        </is>
      </c>
      <c r="K1548" s="6" t="inlineStr">
        <is>
          <t>Derste eski hocayı taklit ettin, o da seni. Koğuş ikinizi karıştırıyor; mektupların ona gidiyor.</t>
        </is>
      </c>
      <c r="L1548" s="6" t="inlineStr"/>
      <c r="M1548" s="5" t="inlineStr"/>
      <c r="N1548" s="5" t="inlineStr"/>
      <c r="O1548" s="6" t="inlineStr"/>
      <c r="P1548" s="6" t="inlineStr"/>
      <c r="Q1548" s="5" t="inlineStr"/>
      <c r="R1548" s="5" t="inlineStr"/>
      <c r="S1548" s="5" t="inlineStr"/>
      <c r="T1548" s="5" t="inlineStr">
        <is>
          <t>Tezgâh Ağzı</t>
        </is>
      </c>
      <c r="U1548" s="5" t="inlineStr"/>
      <c r="V1548" s="5" t="inlineStr">
        <is>
          <t>islah-sertifikasi</t>
        </is>
      </c>
      <c r="W1548" s="5" t="inlineStr"/>
      <c r="X1548" s="5" t="inlineStr"/>
      <c r="Y1548" s="5" t="inlineStr"/>
      <c r="Z1548" s="6" t="inlineStr"/>
      <c r="AA1548" s="5" t="inlineStr"/>
      <c r="AB1548" s="5" t="inlineStr"/>
      <c r="AC1548" s="5" t="inlineStr"/>
      <c r="AD1548" s="5" t="inlineStr"/>
      <c r="AE1548" s="5" t="inlineStr"/>
      <c r="AF1548" s="5" t="inlineStr"/>
      <c r="AG1548" s="5" t="inlineStr"/>
      <c r="AH1548" s="5" t="inlineStr"/>
      <c r="AI1548" s="5" t="inlineStr"/>
      <c r="AJ1548" s="5" t="inlineStr"/>
    </row>
    <row r="1549">
      <c r="A1549" s="5" t="inlineStr">
        <is>
          <t>b7-hapis-af-soylentisi</t>
        </is>
      </c>
      <c r="B1549" s="5" t="n">
        <v>1</v>
      </c>
      <c r="C1549" s="6" t="inlineStr">
        <is>
          <t>Söylentiye inanma, günleri say</t>
        </is>
      </c>
      <c r="D1549" s="5" t="inlineStr"/>
      <c r="E1549" s="5" t="inlineStr"/>
      <c r="F1549" s="5" t="inlineStr">
        <is>
          <t>Dayanıklılık +1</t>
        </is>
      </c>
      <c r="G1549" s="6" t="inlineStr">
        <is>
          <t>Duvara çizgiler çektin; söylentiye değil çizgilere güvendin. Af çıkmadı; çizgilerin doğru çıktı.</t>
        </is>
      </c>
      <c r="H1549" s="6" t="inlineStr"/>
      <c r="I1549" s="6" t="inlineStr"/>
      <c r="J1549" s="6" t="inlineStr"/>
      <c r="K1549" s="6" t="inlineStr"/>
      <c r="L1549" s="6" t="inlineStr"/>
      <c r="M1549" s="5" t="inlineStr"/>
      <c r="N1549" s="5" t="inlineStr"/>
      <c r="O1549" s="6" t="inlineStr"/>
      <c r="P1549" s="6" t="inlineStr"/>
      <c r="Q1549" s="5" t="inlineStr"/>
      <c r="R1549" s="5" t="inlineStr"/>
      <c r="S1549" s="5" t="inlineStr"/>
      <c r="T1549" s="5" t="inlineStr"/>
      <c r="U1549" s="5" t="inlineStr"/>
      <c r="V1549" s="5" t="inlineStr"/>
      <c r="W1549" s="5" t="inlineStr"/>
      <c r="X1549" s="5" t="inlineStr"/>
      <c r="Y1549" s="5" t="inlineStr"/>
      <c r="Z1549" s="6" t="inlineStr"/>
      <c r="AA1549" s="5" t="inlineStr"/>
      <c r="AB1549" s="5" t="inlineStr"/>
      <c r="AC1549" s="5" t="inlineStr"/>
      <c r="AD1549" s="5" t="inlineStr"/>
      <c r="AE1549" s="5" t="inlineStr"/>
      <c r="AF1549" s="5" t="inlineStr"/>
      <c r="AG1549" s="5" t="inlineStr"/>
      <c r="AH1549" s="5" t="inlineStr"/>
      <c r="AI1549" s="5" t="inlineStr"/>
      <c r="AJ1549" s="5" t="inlineStr"/>
    </row>
    <row r="1550">
      <c r="A1550" s="5" t="inlineStr">
        <is>
          <t>b7-hapis-af-soylentisi</t>
        </is>
      </c>
      <c r="B1550" s="5" t="n">
        <v>2</v>
      </c>
      <c r="C1550" s="6" t="inlineStr">
        <is>
          <t>Söylentiyi büyüt</t>
        </is>
      </c>
      <c r="D1550" s="5" t="inlineStr">
        <is>
          <t>Çene</t>
        </is>
      </c>
      <c r="E1550" s="5" t="inlineStr">
        <is>
          <t>Orta</t>
        </is>
      </c>
      <c r="F1550" s="5" t="inlineStr"/>
      <c r="G1550" s="6" t="inlineStr"/>
      <c r="H1550" s="6" t="inlineStr">
        <is>
          <t>Söylentiye bir tarih, bir madde numarası ve bir “kaynak” ekledin. Koğuş iki hafta mutlu yaşadı; iki hafta az değil.</t>
        </is>
      </c>
      <c r="I1550" s="6" t="inlineStr">
        <is>
          <t>Öbür koğuşlar tarihi senden teyit etmeye başladı. Af çıkmadı; ama çaycı takvimdeki tarihin yanına adını yazdı: “Kaynak.”</t>
        </is>
      </c>
      <c r="J1550" s="6" t="inlineStr">
        <is>
          <t>Söylentiyi büyütmek istedin; çaycı düzeltti: “O madde geçen yıl konuşuldu.” Kaynaklık çaycıda kaldı.</t>
        </is>
      </c>
      <c r="K1550" s="6" t="inlineStr">
        <is>
          <t>Söylentin gardiyanlara kadar ulaştı; onlar da inanıp izin planı yaptı. Af çıkmayınca kimse sana çay vermedi.</t>
        </is>
      </c>
      <c r="L1550" s="6" t="inlineStr"/>
      <c r="M1550" s="5" t="inlineStr"/>
      <c r="N1550" s="5" t="inlineStr"/>
      <c r="O1550" s="6" t="inlineStr"/>
      <c r="P1550" s="6" t="inlineStr"/>
      <c r="Q1550" s="5" t="inlineStr"/>
      <c r="R1550" s="5" t="inlineStr"/>
      <c r="S1550" s="5" t="inlineStr"/>
      <c r="T1550" s="5" t="inlineStr"/>
      <c r="U1550" s="5" t="inlineStr"/>
      <c r="V1550" s="5" t="inlineStr"/>
      <c r="W1550" s="5" t="inlineStr"/>
      <c r="X1550" s="5" t="inlineStr"/>
      <c r="Y1550" s="5" t="inlineStr"/>
      <c r="Z1550" s="6" t="inlineStr"/>
      <c r="AA1550" s="5" t="inlineStr"/>
      <c r="AB1550" s="5" t="inlineStr"/>
      <c r="AC1550" s="5" t="inlineStr"/>
      <c r="AD1550" s="5" t="inlineStr"/>
      <c r="AE1550" s="5" t="inlineStr"/>
      <c r="AF1550" s="5" t="inlineStr"/>
      <c r="AG1550" s="5" t="inlineStr"/>
      <c r="AH1550" s="5" t="inlineStr"/>
      <c r="AI1550" s="5" t="inlineStr"/>
      <c r="AJ1550" s="5" t="inlineStr"/>
    </row>
    <row r="1551">
      <c r="A1551" s="5" t="inlineStr">
        <is>
          <t>b7-hapis-af-soylentisi</t>
        </is>
      </c>
      <c r="B1551" s="5" t="n">
        <v>3</v>
      </c>
      <c r="C1551" s="6" t="inlineStr">
        <is>
          <t>Avukata mektup yaz</t>
        </is>
      </c>
      <c r="D1551" s="5" t="inlineStr">
        <is>
          <t>Akıl</t>
        </is>
      </c>
      <c r="E1551" s="5" t="inlineStr">
        <is>
          <t>Orta</t>
        </is>
      </c>
      <c r="F1551" s="5" t="inlineStr"/>
      <c r="G1551" s="6" t="inlineStr"/>
      <c r="H1551" s="6" t="inlineStr">
        <is>
          <t>Mektubu madde numaralarıyla üç kez yazdın. Avukat cevap verdi: “Dosyanda iyi hâl indirimi var.” Çıkış tarihini takvime işledin.</t>
        </is>
      </c>
      <c r="I1551" s="6" t="inlineStr">
        <is>
          <t>Avukat mektubunu öbür müvekkillerine örnek gösteriyor. İyi hâl dosyan kalınlaştı; kapı görünür oldu.</t>
        </is>
      </c>
      <c r="J1551" s="6" t="inlineStr">
        <is>
          <t>Avukat cevap vermedi; mektubu yanlış adrese göndermişsin. Başka bir avukat okudu, kartvizit yolladı.</t>
        </is>
      </c>
      <c r="K1551" s="6" t="inlineStr">
        <is>
          <t>Avukatın adını yanlış yazdın. Cevap geldi: “Ben o değilim ama geçmiş olsun.” Bir de fatura.</t>
        </is>
      </c>
      <c r="L1551" s="6" t="inlineStr"/>
      <c r="M1551" s="5" t="inlineStr"/>
      <c r="N1551" s="5" t="inlineStr"/>
      <c r="O1551" s="6" t="inlineStr"/>
      <c r="P1551" s="6" t="inlineStr"/>
      <c r="Q1551" s="5" t="inlineStr"/>
      <c r="R1551" s="5" t="inlineStr"/>
      <c r="S1551" s="5" t="inlineStr"/>
      <c r="T1551" s="5" t="inlineStr"/>
      <c r="U1551" s="5" t="inlineStr"/>
      <c r="V1551" s="5" t="inlineStr"/>
      <c r="W1551" s="5" t="inlineStr"/>
      <c r="X1551" s="5" t="inlineStr"/>
      <c r="Y1551" s="5" t="inlineStr"/>
      <c r="Z1551" s="6" t="inlineStr"/>
      <c r="AA1551" s="5" t="inlineStr"/>
      <c r="AB1551" s="5" t="inlineStr"/>
      <c r="AC1551" s="5" t="inlineStr"/>
      <c r="AD1551" s="5" t="inlineStr"/>
      <c r="AE1551" s="5" t="inlineStr"/>
      <c r="AF1551" s="5" t="inlineStr"/>
      <c r="AG1551" s="5" t="inlineStr"/>
      <c r="AH1551" s="5" t="inlineStr"/>
      <c r="AI1551" s="5" t="inlineStr"/>
      <c r="AJ1551" s="5" t="inlineStr"/>
    </row>
    <row r="1552">
      <c r="A1552" s="5" t="inlineStr">
        <is>
          <t>b7-cezaevi-kapisi</t>
        </is>
      </c>
      <c r="B1552" s="5" t="n">
        <v>1</v>
      </c>
      <c r="C1552" s="6" t="inlineStr">
        <is>
          <t>Islah kursundan esnaflığa geç</t>
        </is>
      </c>
      <c r="D1552" s="5" t="inlineStr"/>
      <c r="E1552" s="5" t="inlineStr"/>
      <c r="F1552" s="5" t="inlineStr">
        <is>
          <t>Dayanıklılık +1, İtibar +1</t>
        </is>
      </c>
      <c r="G1552" s="6" t="inlineStr">
        <is>
          <t>Mahallede küçük bir dükkân kiraladın; tabelaya “Kursta öğrendim” yazdırdın. İlk gün annen kapıya bir saksı fesleğen koydu: “Nazar değmesin.”</t>
        </is>
      </c>
      <c r="H1552" s="6" t="inlineStr"/>
      <c r="I1552" s="6" t="inlineStr"/>
      <c r="J1552" s="6" t="inlineStr"/>
      <c r="K1552" s="6" t="inlineStr"/>
      <c r="L1552" s="6" t="inlineStr"/>
      <c r="M1552" s="5" t="inlineStr"/>
      <c r="N1552" s="5" t="inlineStr"/>
      <c r="O1552" s="6" t="inlineStr"/>
      <c r="P1552" s="6" t="inlineStr"/>
      <c r="Q1552" s="5" t="inlineStr"/>
      <c r="R1552" s="5" t="inlineStr"/>
      <c r="S1552" s="5" t="inlineStr"/>
      <c r="T1552" s="5" t="inlineStr"/>
      <c r="U1552" s="5" t="inlineStr">
        <is>
          <t>-hat-cete, -hat-dolandirici, -hat-girisimci, -hat-goc, -hat-hekim, -hat-koy, -hat-polis, -hat-politika, -hat-sohret, -hat-usta, -hat-yargi, -meslek-beyazyaka, -meslek-memur, -meslek-serbest, meslek-esnaf, -hapis, eski-hukumlu</t>
        </is>
      </c>
      <c r="V1552" s="5" t="inlineStr"/>
      <c r="W1552" s="5" t="inlineStr"/>
      <c r="X1552" s="5" t="inlineStr"/>
      <c r="Y1552" s="5" t="inlineStr"/>
      <c r="Z1552" s="6" t="inlineStr"/>
      <c r="AA1552" s="5" t="inlineStr"/>
      <c r="AB1552" s="5" t="inlineStr"/>
      <c r="AC1552" s="5" t="inlineStr"/>
      <c r="AD1552" s="5" t="inlineStr">
        <is>
          <t>Kıt</t>
        </is>
      </c>
      <c r="AE1552" s="5" t="inlineStr"/>
      <c r="AF1552" s="5" t="inlineStr"/>
      <c r="AG1552" s="5" t="inlineStr"/>
      <c r="AH1552" s="5" t="inlineStr"/>
      <c r="AI1552" s="5" t="inlineStr"/>
      <c r="AJ1552" s="5" t="inlineStr"/>
    </row>
    <row r="1553">
      <c r="A1553" s="5" t="inlineStr">
        <is>
          <t>b7-cezaevi-kapisi</t>
        </is>
      </c>
      <c r="B1553" s="5" t="n">
        <v>2</v>
      </c>
      <c r="C1553" s="6" t="inlineStr">
        <is>
          <t>Eski işine dön</t>
        </is>
      </c>
      <c r="D1553" s="5" t="inlineStr"/>
      <c r="E1553" s="5" t="inlineStr"/>
      <c r="F1553" s="5" t="inlineStr">
        <is>
          <t>Pişkinlik +1, Cesaret +1</t>
        </is>
      </c>
      <c r="G1553" s="6" t="inlineStr">
        <is>
          <t>Eski telefonunu açtın: kırk iki cevapsız arama. Hiçbiri seni özlememiş, hepsi işi soruyor. Kaldığın yerden devam; biraz daha dikkatli.</t>
        </is>
      </c>
      <c r="H1553" s="6" t="inlineStr"/>
      <c r="I1553" s="6" t="inlineStr"/>
      <c r="J1553" s="6" t="inlineStr"/>
      <c r="K1553" s="6" t="inlineStr"/>
      <c r="L1553" s="6" t="inlineStr"/>
      <c r="M1553" s="5" t="inlineStr"/>
      <c r="N1553" s="5" t="inlineStr"/>
      <c r="O1553" s="6" t="inlineStr"/>
      <c r="P1553" s="6" t="inlineStr"/>
      <c r="Q1553" s="5" t="inlineStr"/>
      <c r="R1553" s="5" t="inlineStr"/>
      <c r="S1553" s="5" t="inlineStr"/>
      <c r="T1553" s="5" t="inlineStr"/>
      <c r="U1553" s="5" t="inlineStr">
        <is>
          <t>-hapis, eski-hukumlu</t>
        </is>
      </c>
      <c r="V1553" s="5" t="inlineStr"/>
      <c r="W1553" s="5" t="inlineStr"/>
      <c r="X1553" s="5" t="inlineStr"/>
      <c r="Y1553" s="5" t="inlineStr"/>
      <c r="Z1553" s="6" t="inlineStr"/>
      <c r="AA1553" s="5" t="inlineStr"/>
      <c r="AB1553" s="5" t="inlineStr"/>
      <c r="AC1553" s="5" t="inlineStr"/>
      <c r="AD1553" s="5" t="inlineStr"/>
      <c r="AE1553" s="5" t="inlineStr"/>
      <c r="AF1553" s="5" t="inlineStr"/>
      <c r="AG1553" s="5" t="inlineStr"/>
      <c r="AH1553" s="5" t="inlineStr"/>
      <c r="AI1553" s="5" t="inlineStr"/>
      <c r="AJ1553" s="5" t="inlineStr"/>
    </row>
    <row r="1554">
      <c r="A1554" s="5" t="inlineStr">
        <is>
          <t>b7-cezaevi-kapisi</t>
        </is>
      </c>
      <c r="B1554" s="5" t="n">
        <v>3</v>
      </c>
      <c r="C1554" s="6" t="inlineStr">
        <is>
          <t>Koğuş anılarını kitap yap</t>
        </is>
      </c>
      <c r="D1554" s="5" t="inlineStr">
        <is>
          <t>Çene</t>
        </is>
      </c>
      <c r="E1554" s="5" t="inlineStr">
        <is>
          <t>Zor</t>
        </is>
      </c>
      <c r="F1554" s="5" t="inlineStr"/>
      <c r="G1554" s="6" t="inlineStr"/>
      <c r="H1554" s="6" t="inlineStr">
        <is>
          <t>“Koğuşta Çay Nasıl Demlenir” çıktı. İlk imza gününe çaycı da geldi; kitaba bakmadan “Şekeri az yazmışsın” dedi.</t>
        </is>
      </c>
      <c r="I1554" s="6" t="inlineStr">
        <is>
          <t>Kitap çok satanlar rafında. Bir yapımcı dizisini çekmek istiyor; sen kendi rolünü oynamak istedin, kabul etti.</t>
        </is>
      </c>
      <c r="J1554" s="6" t="inlineStr">
        <is>
          <t>Kitabı yazdın, yayınevi “Bu fazla gerçekçi” dedi. Taslak çekmecede; sen eski hayatına dönüyorsun.</t>
        </is>
      </c>
      <c r="K1554" s="6" t="inlineStr">
        <is>
          <t>Kitap basıldı. Koğuştaki herkesi gerçek lakabıyla yazmıştın; ilk imza gününe hepsi geldi, kitap almak için değil. Yayınevi ikinci baskıyı lakapsız yaptı; o baskı satmadı.</t>
        </is>
      </c>
      <c r="L1554" s="6" t="inlineStr"/>
      <c r="M1554" s="5" t="inlineStr"/>
      <c r="N1554" s="5" t="inlineStr"/>
      <c r="O1554" s="6" t="inlineStr"/>
      <c r="P1554" s="6" t="inlineStr"/>
      <c r="Q1554" s="5" t="inlineStr"/>
      <c r="R1554" s="5" t="inlineStr"/>
      <c r="S1554" s="5" t="inlineStr"/>
      <c r="T1554" s="5" t="inlineStr"/>
      <c r="U1554" s="5" t="inlineStr"/>
      <c r="V1554" s="5" t="inlineStr">
        <is>
          <t>-hat-cete, -hat-dolandirici, -hat-girisimci, -hat-goc, -hat-hekim, -hat-koy, -hat-polis, -hat-politika, -hat-usta, -hat-yargi, -meslek-beyazyaka, -meslek-esnaf, -meslek-memur, hat-sohret, meslek-serbest, -hapis, eski-hukumlu</t>
        </is>
      </c>
      <c r="W1554" s="5" t="inlineStr">
        <is>
          <t>-hapis, eski-hukumlu</t>
        </is>
      </c>
      <c r="X1554" s="5" t="inlineStr"/>
      <c r="Y1554" s="5" t="inlineStr"/>
      <c r="Z1554" s="6" t="inlineStr"/>
      <c r="AA1554" s="5" t="inlineStr"/>
      <c r="AB1554" s="5" t="inlineStr">
        <is>
          <t>-hapis, eski-hukumlu</t>
        </is>
      </c>
      <c r="AC1554" s="5" t="inlineStr"/>
      <c r="AD1554" s="5" t="inlineStr"/>
      <c r="AE1554" s="5" t="inlineStr"/>
      <c r="AF1554" s="5" t="inlineStr"/>
      <c r="AG1554" s="5" t="inlineStr"/>
      <c r="AH1554" s="5" t="inlineStr"/>
      <c r="AI1554" s="5" t="inlineStr"/>
      <c r="AJ1554" s="5" t="inlineStr"/>
    </row>
    <row r="1555">
      <c r="A1555" s="5" t="inlineStr">
        <is>
          <t>b7-cezaevi-kapisi</t>
        </is>
      </c>
      <c r="B1555" s="5" t="n">
        <v>4</v>
      </c>
      <c r="C1555" s="6" t="inlineStr">
        <is>
          <t>“Sistemi içeriden tanıyorum” diye siyasete gir</t>
        </is>
      </c>
      <c r="D1555" s="5" t="inlineStr">
        <is>
          <t>Pişkinlik</t>
        </is>
      </c>
      <c r="E1555" s="5" t="inlineStr">
        <is>
          <t>Zor</t>
        </is>
      </c>
      <c r="F1555" s="5" t="inlineStr"/>
      <c r="G1555" s="6" t="inlineStr"/>
      <c r="H1555" s="6" t="inlineStr">
        <is>
          <t>Slogan tuttu. Bir partinin ilçe teşkilatı seni kapıda karşıladı; ilk mitingde en önde koğuştan çıkmış arkadaşların alkışlıyordu.</t>
        </is>
      </c>
      <c r="I1555" s="6" t="inlineStr">
        <is>
          <t>Sloganın afişlere basıldı. Rakiplerinin geçmişi sorulunca “Benimki belli” diyorsun; salon ayağa kalkıyor.</t>
        </is>
      </c>
      <c r="J1555" s="6" t="inlineStr">
        <is>
          <t>Parti binasında sloganını söyledin. Kapıdaki görevli başını salladı: “Bu hafta üçüncü geliyor bu slogan. Öbürleri de içeriden.” Eski hayatına döndün.</t>
        </is>
      </c>
      <c r="K1555" s="6" t="inlineStr">
        <is>
          <t>Eski hayatına döndün; ama önce kürsüde “Sistemi içeriden tanıyorum” dedin ve arkadan biri bağırdı: “Biz de seni içeriden tanıyoruz.”</t>
        </is>
      </c>
      <c r="L1555" s="6" t="inlineStr"/>
      <c r="M1555" s="5" t="inlineStr"/>
      <c r="N1555" s="5" t="inlineStr"/>
      <c r="O1555" s="6" t="inlineStr"/>
      <c r="P1555" s="6" t="inlineStr"/>
      <c r="Q1555" s="5" t="inlineStr"/>
      <c r="R1555" s="5" t="inlineStr"/>
      <c r="S1555" s="5" t="inlineStr"/>
      <c r="T1555" s="5" t="inlineStr"/>
      <c r="U1555" s="5" t="inlineStr"/>
      <c r="V1555" s="5" t="inlineStr">
        <is>
          <t>-hat-cete, -hat-dolandirici, -hat-girisimci, -hat-goc, -hat-hekim, -hat-koy, -hat-polis, -hat-sohret, -hat-usta, -hat-yargi, -meslek-beyazyaka, -meslek-esnaf, -meslek-memur, -meslek-serbest, hat-politika, -hapis, eski-hukumlu</t>
        </is>
      </c>
      <c r="W1555" s="5" t="inlineStr">
        <is>
          <t>-hapis, eski-hukumlu</t>
        </is>
      </c>
      <c r="X1555" s="5" t="inlineStr"/>
      <c r="Y1555" s="5" t="inlineStr"/>
      <c r="Z1555" s="6" t="inlineStr"/>
      <c r="AA1555" s="5" t="inlineStr"/>
      <c r="AB1555" s="5" t="inlineStr">
        <is>
          <t>-hapis, eski-hukumlu</t>
        </is>
      </c>
      <c r="AC1555" s="5" t="inlineStr"/>
      <c r="AD1555" s="5" t="inlineStr"/>
      <c r="AE1555" s="5" t="inlineStr"/>
      <c r="AF1555" s="5" t="inlineStr"/>
      <c r="AG1555" s="5" t="inlineStr"/>
      <c r="AH1555" s="5" t="inlineStr"/>
      <c r="AI1555" s="5" t="inlineStr"/>
      <c r="AJ1555" s="5" t="inlineStr"/>
    </row>
    <row r="1556">
      <c r="A1556" s="5" t="inlineStr">
        <is>
          <t>b7-cezaevi-kapisi</t>
        </is>
      </c>
      <c r="B1556" s="5" t="n">
        <v>5</v>
      </c>
      <c r="C1556" s="6" t="inlineStr">
        <is>
          <t>Mahallenin kefaletiyle iş bul</t>
        </is>
      </c>
      <c r="D1556" s="5" t="inlineStr"/>
      <c r="E1556" s="5" t="inlineStr"/>
      <c r="F1556" s="5" t="inlineStr">
        <is>
          <t>İtibar +1, Dayanıklılık +1</t>
        </is>
      </c>
      <c r="G1556" s="6" t="inlineStr">
        <is>
          <t>Kapıda seni çarşının en eski esnafı bekliyordu: “Senin için söz verdim, dükkânın arka tarafı senin.” Mahallede kimse geçmişini sormadı; sordurmadılar.</t>
        </is>
      </c>
      <c r="H1556" s="6" t="inlineStr"/>
      <c r="I1556" s="6" t="inlineStr"/>
      <c r="J1556" s="6" t="inlineStr"/>
      <c r="K1556" s="6" t="inlineStr"/>
      <c r="L1556" s="6" t="inlineStr"/>
      <c r="M1556" s="5" t="inlineStr"/>
      <c r="N1556" s="5" t="inlineStr"/>
      <c r="O1556" s="6" t="inlineStr"/>
      <c r="P1556" s="6" t="inlineStr"/>
      <c r="Q1556" s="5" t="inlineStr"/>
      <c r="R1556" s="5" t="inlineStr"/>
      <c r="S1556" s="5" t="inlineStr"/>
      <c r="T1556" s="5" t="inlineStr"/>
      <c r="U1556" s="5" t="inlineStr">
        <is>
          <t>-hat-cete, -hat-dolandirici, -hat-girisimci, -hat-goc, -hat-hekim, -hat-koy, -hat-polis, -hat-politika, -hat-sohret, -hat-usta, -hat-yargi, -meslek-beyazyaka, -meslek-memur, -meslek-serbest, meslek-esnaf, -hapis, eski-hukumlu, -ceza-indirimi</t>
        </is>
      </c>
      <c r="V1556" s="5" t="inlineStr"/>
      <c r="W1556" s="5" t="inlineStr"/>
      <c r="X1556" s="5" t="inlineStr"/>
      <c r="Y1556" s="5" t="inlineStr"/>
      <c r="Z1556" s="6" t="inlineStr"/>
      <c r="AA1556" s="5" t="inlineStr"/>
      <c r="AB1556" s="5" t="inlineStr"/>
      <c r="AC1556" s="5" t="inlineStr"/>
      <c r="AD1556" s="5" t="inlineStr">
        <is>
          <t>Kıt</t>
        </is>
      </c>
      <c r="AE1556" s="5" t="inlineStr"/>
      <c r="AF1556" s="5" t="inlineStr"/>
      <c r="AG1556" s="5" t="inlineStr"/>
      <c r="AH1556" s="5" t="inlineStr">
        <is>
          <t>İtibar 43</t>
        </is>
      </c>
      <c r="AI1556" s="5" t="inlineStr"/>
      <c r="AJ1556" s="5" t="inlineStr"/>
    </row>
    <row r="1557">
      <c r="A1557" s="5" t="inlineStr">
        <is>
          <t>b8-hapis-tavla-turnuvasi</t>
        </is>
      </c>
      <c r="B1557" s="5" t="n">
        <v>1</v>
      </c>
      <c r="C1557" s="6" t="inlineStr">
        <is>
          <t>Hikmet Amca'ya kazandır</t>
        </is>
      </c>
      <c r="D1557" s="5" t="inlineStr"/>
      <c r="E1557" s="5" t="inlineStr"/>
      <c r="F1557" s="5" t="inlineStr">
        <is>
          <t>İtibar +1, Sosyal Radar +1</t>
        </is>
      </c>
      <c r="G1557" s="6" t="inlineStr">
        <is>
          <t>Son elde bir pulu bile bile açık bıraktın. Hikmet Amca kazandı, Fikriye'yi öptü. Akşam koğuşuna bir tepsi revani geldi; notta tek kelime: “Gördüm.”</t>
        </is>
      </c>
      <c r="H1557" s="6" t="inlineStr"/>
      <c r="I1557" s="6" t="inlineStr"/>
      <c r="J1557" s="6" t="inlineStr"/>
      <c r="K1557" s="6" t="inlineStr"/>
      <c r="L1557" s="6" t="inlineStr"/>
      <c r="M1557" s="5" t="inlineStr"/>
      <c r="N1557" s="5" t="inlineStr"/>
      <c r="O1557" s="6" t="inlineStr"/>
      <c r="P1557" s="6" t="inlineStr"/>
      <c r="Q1557" s="5" t="inlineStr"/>
      <c r="R1557" s="5" t="inlineStr"/>
      <c r="S1557" s="5" t="inlineStr"/>
      <c r="T1557" s="5" t="inlineStr"/>
      <c r="U1557" s="5" t="inlineStr"/>
      <c r="V1557" s="5" t="inlineStr"/>
      <c r="W1557" s="5" t="inlineStr"/>
      <c r="X1557" s="5" t="inlineStr"/>
      <c r="Y1557" s="5" t="inlineStr"/>
      <c r="Z1557" s="6" t="inlineStr"/>
      <c r="AA1557" s="5" t="inlineStr"/>
      <c r="AB1557" s="5" t="inlineStr"/>
      <c r="AC1557" s="5" t="inlineStr"/>
      <c r="AD1557" s="5" t="inlineStr"/>
      <c r="AE1557" s="5" t="inlineStr"/>
      <c r="AF1557" s="5" t="inlineStr"/>
      <c r="AG1557" s="5" t="inlineStr"/>
      <c r="AH1557" s="5" t="inlineStr"/>
      <c r="AI1557" s="5" t="inlineStr"/>
      <c r="AJ1557" s="5" t="inlineStr"/>
    </row>
    <row r="1558">
      <c r="A1558" s="5" t="inlineStr">
        <is>
          <t>b8-hapis-tavla-turnuvasi</t>
        </is>
      </c>
      <c r="B1558" s="5" t="n">
        <v>2</v>
      </c>
      <c r="C1558" s="6" t="inlineStr">
        <is>
          <t>Kazanmak için oyna</t>
        </is>
      </c>
      <c r="D1558" s="5" t="inlineStr">
        <is>
          <t>Kurnazlık</t>
        </is>
      </c>
      <c r="E1558" s="5" t="inlineStr">
        <is>
          <t>Zor</t>
        </is>
      </c>
      <c r="F1558" s="5" t="inlineStr"/>
      <c r="G1558" s="6" t="inlineStr"/>
      <c r="H1558" s="6" t="inlineStr">
        <is>
          <t>Üç elin ikisini aldın. Hikmet Amca elini sıktı: “Nuriye bugün küstü.” Kupa, boş bir reçel kavanozu, artık pencerende.</t>
        </is>
      </c>
      <c r="I1558" s="6" t="inlineStr">
        <is>
          <t>Mars! Hikmet Amca uzun uzun tahtaya baktı, sonra Nuriye'yi avucuna koydu: “Bundan sonra senin. Bana zaten çok yalan söyledi.”</t>
        </is>
      </c>
      <c r="J1558" s="6" t="inlineStr">
        <is>
          <t>Hikmet Amca seni sakin sakin yendi. Kupayı aldı, sonra sana verdi: “Bende otuz tane var.”</t>
        </is>
      </c>
      <c r="K1558" s="6" t="inlineStr">
        <is>
          <t>Zarı öyle hırsla attın ki Hikmet Amca'nın çay bardağına düştü. Altı geldi. Hikmet Amca “Çaydan gelen sayılmaz” dedi; koğuş ikiye bölündü, Hikmet Amca bir ay konuşmadı.</t>
        </is>
      </c>
      <c r="L1558" s="6" t="inlineStr"/>
      <c r="M1558" s="5" t="inlineStr"/>
      <c r="N1558" s="5" t="inlineStr"/>
      <c r="O1558" s="6" t="inlineStr"/>
      <c r="P1558" s="6" t="inlineStr"/>
      <c r="Q1558" s="5" t="inlineStr"/>
      <c r="R1558" s="5" t="inlineStr"/>
      <c r="S1558" s="5" t="inlineStr"/>
      <c r="T1558" s="5" t="inlineStr">
        <is>
          <t>Tavla Kurdu</t>
        </is>
      </c>
      <c r="U1558" s="5" t="inlineStr"/>
      <c r="V1558" s="5" t="inlineStr">
        <is>
          <t>kogus-dostu</t>
        </is>
      </c>
      <c r="W1558" s="5" t="inlineStr"/>
      <c r="X1558" s="5" t="inlineStr"/>
      <c r="Y1558" s="5" t="inlineStr"/>
      <c r="Z1558" s="6" t="inlineStr"/>
      <c r="AA1558" s="5" t="inlineStr"/>
      <c r="AB1558" s="5" t="inlineStr"/>
      <c r="AC1558" s="5" t="inlineStr"/>
      <c r="AD1558" s="5" t="inlineStr"/>
      <c r="AE1558" s="5" t="inlineStr"/>
      <c r="AF1558" s="5" t="inlineStr"/>
      <c r="AG1558" s="5" t="inlineStr"/>
      <c r="AH1558" s="5" t="inlineStr"/>
      <c r="AI1558" s="5" t="inlineStr"/>
      <c r="AJ1558" s="5" t="inlineStr"/>
    </row>
    <row r="1559">
      <c r="A1559" s="5" t="inlineStr">
        <is>
          <t>b8-hapis-tavla-turnuvasi</t>
        </is>
      </c>
      <c r="B1559" s="5" t="n">
        <v>3</v>
      </c>
      <c r="C1559" s="6" t="inlineStr">
        <is>
          <t>Turnuvanın hakemi ol</t>
        </is>
      </c>
      <c r="D1559" s="5" t="inlineStr">
        <is>
          <t>Sosyal Radar</t>
        </is>
      </c>
      <c r="E1559" s="5" t="inlineStr">
        <is>
          <t>Orta</t>
        </is>
      </c>
      <c r="F1559" s="5" t="inlineStr"/>
      <c r="G1559" s="6" t="inlineStr"/>
      <c r="H1559" s="6" t="inlineStr">
        <is>
          <t>İki itiraz, bir zar kontrolü, sıfır kavga. Müdür raporuna turnuvanın bu yıl “sakin” geçtiğini yazdı.</t>
        </is>
      </c>
      <c r="I1559" s="6" t="inlineStr">
        <is>
          <t>Öyle tarafsızdın ki finalde iki taraf da sana kızdı; demek ki doğruydu. Ertesi yıl gardiyanlar kendi turnuvalarına seni hakem çağırdı.</t>
        </is>
      </c>
      <c r="J1559" s="6" t="inlineStr">
        <is>
          <t>Bir itirazda “Tekrar atın” dedin; iki taraf da kızdı. Kalan maçları çaycı yönetti.</t>
        </is>
      </c>
      <c r="K1559" s="6" t="inlineStr">
        <is>
          <t>Finalde “Kırık zar, yeniden atın!” dedin. Zar dümdüz duruyordu; Hikmet Amca'nın Nuriye'siydi. İki koğuş birden sana döndü; bir hafta yemekhanede tek başına oturdun.</t>
        </is>
      </c>
      <c r="L1559" s="6" t="inlineStr"/>
      <c r="M1559" s="5" t="inlineStr"/>
      <c r="N1559" s="5" t="inlineStr"/>
      <c r="O1559" s="6" t="inlineStr"/>
      <c r="P1559" s="6" t="inlineStr"/>
      <c r="Q1559" s="5" t="inlineStr"/>
      <c r="R1559" s="5" t="inlineStr"/>
      <c r="S1559" s="5" t="inlineStr"/>
      <c r="T1559" s="5" t="inlineStr"/>
      <c r="U1559" s="5" t="inlineStr"/>
      <c r="V1559" s="5" t="inlineStr"/>
      <c r="W1559" s="5" t="inlineStr"/>
      <c r="X1559" s="5" t="inlineStr"/>
      <c r="Y1559" s="5" t="inlineStr"/>
      <c r="Z1559" s="6" t="inlineStr"/>
      <c r="AA1559" s="5" t="inlineStr"/>
      <c r="AB1559" s="5" t="inlineStr"/>
      <c r="AC1559" s="5" t="inlineStr"/>
      <c r="AD1559" s="5" t="inlineStr"/>
      <c r="AE1559" s="5" t="inlineStr"/>
      <c r="AF1559" s="5" t="inlineStr"/>
      <c r="AG1559" s="5" t="inlineStr"/>
      <c r="AH1559" s="5" t="inlineStr"/>
      <c r="AI1559" s="5" t="inlineStr"/>
      <c r="AJ1559" s="5" t="inlineStr"/>
    </row>
    <row r="1560">
      <c r="A1560" s="5" t="inlineStr">
        <is>
          <t>b8-hapis-mektup</t>
        </is>
      </c>
      <c r="B1560" s="5" t="n">
        <v>1</v>
      </c>
      <c r="C1560" s="6" t="inlineStr">
        <is>
          <t>Önce kendi ailene yaz</t>
        </is>
      </c>
      <c r="D1560" s="5" t="inlineStr"/>
      <c r="E1560" s="5" t="inlineStr"/>
      <c r="F1560" s="5" t="inlineStr">
        <is>
          <t>Dayanıklılık +1, Gönül +1</t>
        </is>
      </c>
      <c r="G1560" s="6" t="inlineStr">
        <is>
          <t>Üç sayfa yazdın; ikisi hava durumuydu. Cevap iki ay sonra geldi: “Hava burada da öyle.” Satır arasını anladın.</t>
        </is>
      </c>
      <c r="H1560" s="6" t="inlineStr"/>
      <c r="I1560" s="6" t="inlineStr"/>
      <c r="J1560" s="6" t="inlineStr"/>
      <c r="K1560" s="6" t="inlineStr"/>
      <c r="L1560" s="6" t="inlineStr"/>
      <c r="M1560" s="5" t="inlineStr"/>
      <c r="N1560" s="5" t="inlineStr"/>
      <c r="O1560" s="6" t="inlineStr"/>
      <c r="P1560" s="6" t="inlineStr"/>
      <c r="Q1560" s="5" t="inlineStr"/>
      <c r="R1560" s="5" t="inlineStr"/>
      <c r="S1560" s="5" t="inlineStr"/>
      <c r="T1560" s="5" t="inlineStr"/>
      <c r="U1560" s="5" t="inlineStr"/>
      <c r="V1560" s="5" t="inlineStr"/>
      <c r="W1560" s="5" t="inlineStr"/>
      <c r="X1560" s="5" t="inlineStr"/>
      <c r="Y1560" s="5" t="inlineStr"/>
      <c r="Z1560" s="6" t="inlineStr"/>
      <c r="AA1560" s="5" t="inlineStr"/>
      <c r="AB1560" s="5" t="inlineStr"/>
      <c r="AC1560" s="5" t="inlineStr"/>
      <c r="AD1560" s="5" t="inlineStr"/>
      <c r="AE1560" s="5" t="inlineStr"/>
      <c r="AF1560" s="5" t="inlineStr"/>
      <c r="AG1560" s="5" t="inlineStr"/>
      <c r="AH1560" s="5" t="inlineStr"/>
      <c r="AI1560" s="5" t="inlineStr"/>
      <c r="AJ1560" s="5" t="inlineStr"/>
    </row>
    <row r="1561">
      <c r="A1561" s="5" t="inlineStr">
        <is>
          <t>b8-hapis-mektup</t>
        </is>
      </c>
      <c r="B1561" s="5" t="n">
        <v>2</v>
      </c>
      <c r="C1561" s="6" t="inlineStr">
        <is>
          <t>Koğuşun mektup kâtibi ol</t>
        </is>
      </c>
      <c r="D1561" s="5" t="inlineStr">
        <is>
          <t>Çene</t>
        </is>
      </c>
      <c r="E1561" s="5" t="inlineStr">
        <is>
          <t>Orta</t>
        </is>
      </c>
      <c r="F1561" s="5" t="inlineStr"/>
      <c r="G1561" s="6" t="inlineStr"/>
      <c r="H1561" s="6" t="inlineStr">
        <is>
          <t>Bir ayda kırk mektup yazdın. En gencin annesi cevap verdi, sana da selam yolladı. Koğuşta adın artık “Kâtip.”</t>
        </is>
      </c>
      <c r="I1561" s="6" t="inlineStr">
        <is>
          <t>Koğuşun en yaşlısının eski sevgilisi cevap yazdı; görüşe geliyor. Koğuş bir hafta boyunca onun saçını taradı, kolonyasını sıktı.</t>
        </is>
      </c>
      <c r="J1561" s="6" t="inlineStr">
        <is>
          <t>Zarfları karıştırdın; vergi dairesinin mektubu en gencin annesine gitti. Anne, evladının borcu sanıp ödedi. Borç başkasınınmış; o da şimdi teşekkür mektubu istiyor.</t>
        </is>
      </c>
      <c r="K1561" s="6" t="inlineStr">
        <is>
          <t>En gencin mektubunu fazla süsledin. Annesinin cevabı geldi: “Bunu sen yazmamışsın. Sen 'özledim' yazmazsın, 'para yolla' yazarsın.” En genç bir hafta seninle konuşmadı.</t>
        </is>
      </c>
      <c r="L1561" s="6" t="inlineStr"/>
      <c r="M1561" s="5" t="inlineStr"/>
      <c r="N1561" s="5" t="inlineStr"/>
      <c r="O1561" s="6" t="inlineStr"/>
      <c r="P1561" s="6" t="inlineStr"/>
      <c r="Q1561" s="5" t="inlineStr"/>
      <c r="R1561" s="5" t="inlineStr"/>
      <c r="S1561" s="5" t="inlineStr"/>
      <c r="T1561" s="5" t="inlineStr"/>
      <c r="U1561" s="5" t="inlineStr"/>
      <c r="V1561" s="5" t="inlineStr">
        <is>
          <t>kogus-dostu</t>
        </is>
      </c>
      <c r="W1561" s="5" t="inlineStr"/>
      <c r="X1561" s="5" t="inlineStr"/>
      <c r="Y1561" s="5" t="inlineStr"/>
      <c r="Z1561" s="6" t="inlineStr"/>
      <c r="AA1561" s="5" t="inlineStr"/>
      <c r="AB1561" s="5" t="inlineStr"/>
      <c r="AC1561" s="5" t="inlineStr"/>
      <c r="AD1561" s="5" t="inlineStr"/>
      <c r="AE1561" s="5" t="inlineStr"/>
      <c r="AF1561" s="5" t="inlineStr"/>
      <c r="AG1561" s="5" t="inlineStr"/>
      <c r="AH1561" s="5" t="inlineStr"/>
      <c r="AI1561" s="5" t="inlineStr"/>
      <c r="AJ1561" s="5" t="inlineStr"/>
    </row>
    <row r="1562">
      <c r="A1562" s="5" t="inlineStr">
        <is>
          <t>b8-hapis-mektup</t>
        </is>
      </c>
      <c r="B1562" s="5" t="n">
        <v>3</v>
      </c>
      <c r="C1562" s="6" t="inlineStr">
        <is>
          <t>Vergi dairesinin mektubunu üstlen</t>
        </is>
      </c>
      <c r="D1562" s="5" t="inlineStr">
        <is>
          <t>Kurnazlık</t>
        </is>
      </c>
      <c r="E1562" s="5" t="inlineStr">
        <is>
          <t>Orta</t>
        </is>
      </c>
      <c r="F1562" s="5" t="inlineStr"/>
      <c r="G1562" s="6" t="inlineStr"/>
      <c r="H1562" s="6" t="inlineStr">
        <is>
          <t>Kibar bir mektup yazdın; cevap geldi: gecikme faizi silinmiş. Koğuş arkadaşın mektubu yastığının altına koydu; o akşam mandalinasını seninle paylaştı.</t>
        </is>
      </c>
      <c r="I1562" s="6" t="inlineStr">
        <is>
          <t>Mektubun resmîliği daireyi bile şaşırttı; cevapta “Dilekçenizi örnek almak isteriz” yazıyordu. O günden beri koğuşta herkes borcunu sana anlatıyor; ödeyen yok.</t>
        </is>
      </c>
      <c r="J1562" s="6" t="inlineStr">
        <is>
          <t>Daire “Dilekçenizi şahsen veriniz” diye cevap yazdı. Şahsen gitmek şu an biraz zor.</t>
        </is>
      </c>
      <c r="K1562" s="6" t="inlineStr">
        <is>
          <t>Dosya numarasını yanlış yazdın; başka birinin borcu da koğuş arkadaşına geldi. Şimdi iki kişinin borcunu ödüyor ve seni affetmiyor.</t>
        </is>
      </c>
      <c r="L1562" s="6" t="inlineStr"/>
      <c r="M1562" s="5" t="inlineStr"/>
      <c r="N1562" s="5" t="inlineStr"/>
      <c r="O1562" s="6" t="inlineStr"/>
      <c r="P1562" s="6" t="inlineStr"/>
      <c r="Q1562" s="5" t="inlineStr"/>
      <c r="R1562" s="5" t="inlineStr"/>
      <c r="S1562" s="5" t="inlineStr"/>
      <c r="T1562" s="5" t="inlineStr"/>
      <c r="U1562" s="5" t="inlineStr"/>
      <c r="V1562" s="5" t="inlineStr"/>
      <c r="W1562" s="5" t="inlineStr"/>
      <c r="X1562" s="5" t="inlineStr"/>
      <c r="Y1562" s="5" t="inlineStr"/>
      <c r="Z1562" s="6" t="inlineStr"/>
      <c r="AA1562" s="5" t="inlineStr"/>
      <c r="AB1562" s="5" t="inlineStr"/>
      <c r="AC1562" s="5" t="inlineStr"/>
      <c r="AD1562" s="5" t="inlineStr"/>
      <c r="AE1562" s="5" t="inlineStr"/>
      <c r="AF1562" s="5" t="inlineStr"/>
      <c r="AG1562" s="5" t="inlineStr"/>
      <c r="AH1562" s="5" t="inlineStr"/>
      <c r="AI1562" s="5" t="inlineStr"/>
      <c r="AJ1562" s="5" t="inlineStr"/>
    </row>
    <row r="1563">
      <c r="A1563" s="5" t="inlineStr">
        <is>
          <t>b8-hapis-cay-ocagi</t>
        </is>
      </c>
      <c r="B1563" s="5" t="n">
        <v>1</v>
      </c>
      <c r="C1563" s="6" t="inlineStr">
        <is>
          <t>Demliği Deniz'e bırak</t>
        </is>
      </c>
      <c r="D1563" s="5" t="inlineStr"/>
      <c r="E1563" s="5" t="inlineStr"/>
      <c r="F1563" s="5" t="inlineStr">
        <is>
          <t>İtibar +1, Sosyal Radar +1</t>
        </is>
      </c>
      <c r="G1563" s="6" t="inlineStr">
        <is>
          <t>“Genç öğrensin” dedin. Deniz ilk hafta çayı acı demledi, ikinci hafta öğrendi. Senin bardağın her sabah ilk dolan.</t>
        </is>
      </c>
      <c r="H1563" s="6" t="inlineStr"/>
      <c r="I1563" s="6" t="inlineStr"/>
      <c r="J1563" s="6" t="inlineStr"/>
      <c r="K1563" s="6" t="inlineStr"/>
      <c r="L1563" s="6" t="inlineStr"/>
      <c r="M1563" s="5" t="inlineStr"/>
      <c r="N1563" s="5" t="inlineStr"/>
      <c r="O1563" s="6" t="inlineStr"/>
      <c r="P1563" s="6" t="inlineStr"/>
      <c r="Q1563" s="5" t="inlineStr"/>
      <c r="R1563" s="5" t="inlineStr"/>
      <c r="S1563" s="5" t="inlineStr"/>
      <c r="T1563" s="5" t="inlineStr"/>
      <c r="U1563" s="5" t="inlineStr"/>
      <c r="V1563" s="5" t="inlineStr"/>
      <c r="W1563" s="5" t="inlineStr"/>
      <c r="X1563" s="5" t="inlineStr"/>
      <c r="Y1563" s="5" t="inlineStr"/>
      <c r="Z1563" s="6" t="inlineStr"/>
      <c r="AA1563" s="5" t="inlineStr"/>
      <c r="AB1563" s="5" t="inlineStr"/>
      <c r="AC1563" s="5" t="inlineStr"/>
      <c r="AD1563" s="5" t="inlineStr"/>
      <c r="AE1563" s="5" t="inlineStr"/>
      <c r="AF1563" s="5" t="inlineStr"/>
      <c r="AG1563" s="5" t="inlineStr"/>
      <c r="AH1563" s="5" t="inlineStr"/>
      <c r="AI1563" s="5" t="inlineStr"/>
      <c r="AJ1563" s="5" t="inlineStr"/>
    </row>
    <row r="1564">
      <c r="A1564" s="5" t="inlineStr">
        <is>
          <t>b8-hapis-cay-ocagi</t>
        </is>
      </c>
      <c r="B1564" s="5" t="n">
        <v>2</v>
      </c>
      <c r="C1564" s="6" t="inlineStr">
        <is>
          <t>Deniz'le demleme yarışına gir</t>
        </is>
      </c>
      <c r="D1564" s="5" t="inlineStr">
        <is>
          <t>Dayanıklılık</t>
        </is>
      </c>
      <c r="E1564" s="5" t="inlineStr">
        <is>
          <t>Orta</t>
        </is>
      </c>
      <c r="F1564" s="5" t="inlineStr"/>
      <c r="G1564" s="6" t="inlineStr"/>
      <c r="H1564" s="6" t="inlineStr">
        <is>
          <t>Üç demlik, üç tur, jüri bütün koğuş. Kazandın. Deniz bardağını uzattı: “Bir tane daha koy; nasıl yaptığını hâlâ anlamadım.”</t>
        </is>
      </c>
      <c r="I1564" s="6" t="inlineStr">
        <is>
          <t>Çayın öyle iyi oldu ki eski çaycı tahliyesini bir gün erteletmek istedi. Olmadı; gönlü sende kaldı, demlik de.</t>
        </is>
      </c>
      <c r="J1564" s="6" t="inlineStr">
        <is>
          <t>Deniz kazandı. Çayı gerçekten iyiydi; sen de kabul ettin, bir bardak daha isteyerek.</t>
        </is>
      </c>
      <c r="K1564" s="6" t="inlineStr">
        <is>
          <t>Demliği ocakta unuttun, çay kömüre döndü. Koğuş bütün öğleden sonra yanık koktu; eski çaycı kapıdan çıkarken dönüp tek kelime söyledi: “Kömür.”</t>
        </is>
      </c>
      <c r="L1564" s="6" t="inlineStr">
        <is>
          <t>Çayın tavşan kanı olmadı ama içilir oldu. Jüri ikiye bölündü; sabah çayını sen, akşamkini Deniz demleyecek.</t>
        </is>
      </c>
      <c r="M1564" s="5" t="inlineStr">
        <is>
          <t>timing</t>
        </is>
      </c>
      <c r="N1564" s="5" t="inlineStr">
        <is>
          <t>Tavşan Kanı</t>
        </is>
      </c>
      <c r="O1564" s="6" t="inlineStr">
        <is>
          <t>İbre yeşil alandayken DURDUR'a bas. Art arda tutturdukça kombo kazanırsın.</t>
        </is>
      </c>
      <c r="P1564" s="6" t="n"/>
      <c r="Q1564" s="5" t="inlineStr"/>
      <c r="R1564" s="5" t="inlineStr"/>
      <c r="S1564" s="5" t="inlineStr"/>
      <c r="T1564" s="5" t="inlineStr"/>
      <c r="U1564" s="5" t="inlineStr"/>
      <c r="V1564" s="5" t="inlineStr"/>
      <c r="W1564" s="5" t="inlineStr"/>
      <c r="X1564" s="5" t="inlineStr"/>
      <c r="Y1564" s="5" t="inlineStr"/>
      <c r="Z1564" s="6" t="inlineStr"/>
      <c r="AA1564" s="5" t="inlineStr"/>
      <c r="AB1564" s="5" t="inlineStr"/>
      <c r="AC1564" s="5" t="inlineStr"/>
      <c r="AD1564" s="5" t="inlineStr"/>
      <c r="AE1564" s="5" t="inlineStr"/>
      <c r="AF1564" s="5" t="inlineStr"/>
      <c r="AG1564" s="5" t="inlineStr"/>
      <c r="AH1564" s="5" t="inlineStr"/>
      <c r="AI1564" s="5" t="inlineStr"/>
      <c r="AJ1564" s="5" t="inlineStr"/>
    </row>
    <row r="1565">
      <c r="A1565" s="5" t="inlineStr">
        <is>
          <t>b8-hapis-cay-ocagi</t>
        </is>
      </c>
      <c r="B1565" s="5" t="n">
        <v>3</v>
      </c>
      <c r="C1565" s="6" t="inlineStr">
        <is>
          <t>Ocağı bir düzene bağla</t>
        </is>
      </c>
      <c r="D1565" s="5" t="inlineStr">
        <is>
          <t>Akıl</t>
        </is>
      </c>
      <c r="E1565" s="5" t="inlineStr">
        <is>
          <t>Orta</t>
        </is>
      </c>
      <c r="F1565" s="5" t="inlineStr"/>
      <c r="G1565" s="6" t="inlineStr"/>
      <c r="H1565" s="6" t="inlineStr">
        <is>
          <t>Şeker listesini deftere geçirdin, sıra çizelgesi astın. İlk kez çay kavgası çıkmadı; herkes düzenden şikâyetçi ama sırasını bekliyor.</t>
        </is>
      </c>
      <c r="I1565" s="6" t="inlineStr">
        <is>
          <t>Düzenin tuttu; müdür çizelgeni bütün koğuşlara dağıttı. Ertesi hafta öbür koğuştan bir pusula geldi: “Sizin çizelge bizde kavga çıkardı. Şekeri kim sayacak?”</t>
        </is>
      </c>
      <c r="J1565" s="6" t="inlineStr">
        <is>
          <t>Çizelgeyi astın; kimse okumadı. Çay yine en yüksek sesle isteyene gitti.</t>
        </is>
      </c>
      <c r="K1565" s="6" t="inlineStr">
        <is>
          <t>Çizelgede kendini ilk sıraya yazdın. Koğuş fark etti; bir hafta herkes senden önce içti, sana sıra hiç gelmedi.</t>
        </is>
      </c>
      <c r="L1565" s="6" t="inlineStr"/>
      <c r="M1565" s="5" t="inlineStr"/>
      <c r="N1565" s="5" t="inlineStr"/>
      <c r="O1565" s="6" t="inlineStr"/>
      <c r="P1565" s="6" t="inlineStr"/>
      <c r="Q1565" s="5" t="inlineStr"/>
      <c r="R1565" s="5" t="inlineStr"/>
      <c r="S1565" s="5" t="inlineStr"/>
      <c r="T1565" s="5" t="inlineStr"/>
      <c r="U1565" s="5" t="inlineStr"/>
      <c r="V1565" s="5" t="inlineStr"/>
      <c r="W1565" s="5" t="inlineStr"/>
      <c r="X1565" s="5" t="inlineStr"/>
      <c r="Y1565" s="5" t="inlineStr"/>
      <c r="Z1565" s="6" t="inlineStr"/>
      <c r="AA1565" s="5" t="inlineStr"/>
      <c r="AB1565" s="5" t="inlineStr"/>
      <c r="AC1565" s="5" t="inlineStr"/>
      <c r="AD1565" s="5" t="inlineStr"/>
      <c r="AE1565" s="5" t="inlineStr"/>
      <c r="AF1565" s="5" t="inlineStr"/>
      <c r="AG1565" s="5" t="inlineStr"/>
      <c r="AH1565" s="5" t="inlineStr"/>
      <c r="AI1565" s="5" t="inlineStr"/>
      <c r="AJ1565" s="5" t="inlineStr"/>
    </row>
    <row r="1566">
      <c r="A1566" s="5" t="inlineStr">
        <is>
          <t>b8-hapis-gorus-gunu</t>
        </is>
      </c>
      <c r="B1566" s="5" t="n">
        <v>1</v>
      </c>
      <c r="C1566" s="6" t="inlineStr">
        <is>
          <t>Albümü sayfa sayfa gez</t>
        </is>
      </c>
      <c r="D1566" s="5" t="inlineStr"/>
      <c r="E1566" s="5" t="inlineStr"/>
      <c r="F1566" s="5" t="inlineStr">
        <is>
          <t>Dayanıklılık +1, Gönül +1</t>
        </is>
      </c>
      <c r="G1566" s="6" t="inlineStr">
        <is>
          <t>Yirmi dakikada iki düğün, bir mezuniyet, üç bayram gördün. Hepsinde kenarda boş bir sandalye vardı; senin için koymuşlar.</t>
        </is>
      </c>
      <c r="H1566" s="6" t="inlineStr"/>
      <c r="I1566" s="6" t="inlineStr"/>
      <c r="J1566" s="6" t="inlineStr"/>
      <c r="K1566" s="6" t="inlineStr"/>
      <c r="L1566" s="6" t="inlineStr"/>
      <c r="M1566" s="5" t="inlineStr"/>
      <c r="N1566" s="5" t="inlineStr"/>
      <c r="O1566" s="6" t="inlineStr"/>
      <c r="P1566" s="6" t="inlineStr"/>
      <c r="Q1566" s="5" t="inlineStr"/>
      <c r="R1566" s="5" t="inlineStr"/>
      <c r="S1566" s="5" t="inlineStr"/>
      <c r="T1566" s="5" t="inlineStr"/>
      <c r="U1566" s="5" t="inlineStr"/>
      <c r="V1566" s="5" t="inlineStr"/>
      <c r="W1566" s="5" t="inlineStr"/>
      <c r="X1566" s="5" t="inlineStr"/>
      <c r="Y1566" s="5" t="inlineStr"/>
      <c r="Z1566" s="6" t="inlineStr"/>
      <c r="AA1566" s="5" t="inlineStr"/>
      <c r="AB1566" s="5" t="inlineStr"/>
      <c r="AC1566" s="5" t="inlineStr"/>
      <c r="AD1566" s="5" t="inlineStr"/>
      <c r="AE1566" s="5" t="inlineStr"/>
      <c r="AF1566" s="5" t="inlineStr"/>
      <c r="AG1566" s="5" t="inlineStr"/>
      <c r="AH1566" s="5" t="inlineStr"/>
      <c r="AI1566" s="5" t="inlineStr"/>
      <c r="AJ1566" s="5" t="inlineStr"/>
    </row>
    <row r="1567">
      <c r="A1567" s="5" t="inlineStr">
        <is>
          <t>b8-hapis-gorus-gunu</t>
        </is>
      </c>
      <c r="B1567" s="5" t="n">
        <v>2</v>
      </c>
      <c r="C1567" s="6" t="inlineStr">
        <is>
          <t>Çıkınca yapacaklarını anlat</t>
        </is>
      </c>
      <c r="D1567" s="5" t="inlineStr">
        <is>
          <t>Çene</t>
        </is>
      </c>
      <c r="E1567" s="5" t="inlineStr">
        <is>
          <t>Orta</t>
        </is>
      </c>
      <c r="F1567" s="5" t="inlineStr"/>
      <c r="G1567" s="6" t="inlineStr"/>
      <c r="H1567" s="6" t="inlineStr">
        <is>
          <t>Planlarını öyle anlattın ki ziyaretçin not aldı. Çıkınca tek tek kontrol edecekmiş; sevgiyle.</t>
        </is>
      </c>
      <c r="I1567" s="6" t="inlineStr">
        <is>
          <t>Anlattığın plan öyle iyiydi ki dışarıda hazırlık başladı. Çıktığında bir iş, bir oda ve demlenmiş bir çay bekliyor.</t>
        </is>
      </c>
      <c r="J1567" s="6" t="inlineStr">
        <is>
          <t>Planları anlatırken süre doldu. Son kelimen “Bir de…” oldu; ne olduğunu ikiniz de merak ediyorsunuz.</t>
        </is>
      </c>
      <c r="K1567" s="6" t="inlineStr">
        <is>
          <t>Planlarını anlattın. Ziyaretçin cebinden katlanmış bir kâğıt çıkardı: önceki görüşlerde verdiğin sözler, tarihleriyle. Okumaya başladı; süre listenin yarısında bitti.</t>
        </is>
      </c>
      <c r="L1567" s="6" t="inlineStr"/>
      <c r="M1567" s="5" t="inlineStr"/>
      <c r="N1567" s="5" t="inlineStr"/>
      <c r="O1567" s="6" t="inlineStr"/>
      <c r="P1567" s="6" t="inlineStr"/>
      <c r="Q1567" s="5" t="inlineStr"/>
      <c r="R1567" s="5" t="inlineStr"/>
      <c r="S1567" s="5" t="inlineStr"/>
      <c r="T1567" s="5" t="inlineStr"/>
      <c r="U1567" s="5" t="inlineStr"/>
      <c r="V1567" s="5" t="inlineStr"/>
      <c r="W1567" s="5" t="inlineStr"/>
      <c r="X1567" s="5" t="inlineStr"/>
      <c r="Y1567" s="5" t="inlineStr"/>
      <c r="Z1567" s="6" t="inlineStr"/>
      <c r="AA1567" s="5" t="inlineStr"/>
      <c r="AB1567" s="5" t="inlineStr"/>
      <c r="AC1567" s="5" t="inlineStr"/>
      <c r="AD1567" s="5" t="inlineStr"/>
      <c r="AE1567" s="5" t="inlineStr"/>
      <c r="AF1567" s="5" t="inlineStr"/>
      <c r="AG1567" s="5" t="inlineStr"/>
      <c r="AH1567" s="5" t="inlineStr"/>
      <c r="AI1567" s="5" t="inlineStr"/>
      <c r="AJ1567" s="5" t="inlineStr"/>
    </row>
    <row r="1568">
      <c r="A1568" s="5" t="inlineStr">
        <is>
          <t>b8-hapis-gorus-gunu</t>
        </is>
      </c>
      <c r="B1568" s="5" t="n">
        <v>3</v>
      </c>
      <c r="C1568" s="6" t="inlineStr">
        <is>
          <t>Yan kabindeki teyzeye yardım et</t>
        </is>
      </c>
      <c r="D1568" s="5" t="inlineStr">
        <is>
          <t>Sosyal Radar</t>
        </is>
      </c>
      <c r="E1568" s="5" t="inlineStr">
        <is>
          <t>Orta</t>
        </is>
      </c>
      <c r="F1568" s="5" t="inlineStr"/>
      <c r="G1568" s="6" t="inlineStr"/>
      <c r="H1568" s="6" t="inlineStr">
        <is>
          <t>Yan kabindeki teyze ahizeyi ters tutuyordu. Düzelttin; evladıyla ilk kez net konuştu. Sana bir poşet kurabiye bıraktı.</t>
        </is>
      </c>
      <c r="I1568" s="6" t="inlineStr">
        <is>
          <t>Teyze her görüşte senin ziyaretçinle aynı otobüse binmeye başladı. Artık iki ailen var; kurabiye de iki kat.</t>
        </is>
      </c>
      <c r="J1568" s="6" t="inlineStr">
        <is>
          <t>Yardım ederken kendi süren bitti. Teyze teşekkür etti; senin ziyaretçin camın ardından el salladı.</t>
        </is>
      </c>
      <c r="K1568" s="6" t="inlineStr">
        <is>
          <t>Ahizeleri karıştırdınız. Teyze senin ziyaretçine evladının bütün marifetlerini anlattı, senin ziyaretçin de teyzeye seninkileri. Süre bitince ikisi kapıda kol kola çıktı; sana el sallamayı unuttular.</t>
        </is>
      </c>
      <c r="L1568" s="6" t="inlineStr"/>
      <c r="M1568" s="5" t="inlineStr"/>
      <c r="N1568" s="5" t="inlineStr"/>
      <c r="O1568" s="6" t="inlineStr"/>
      <c r="P1568" s="6" t="inlineStr"/>
      <c r="Q1568" s="5" t="inlineStr"/>
      <c r="R1568" s="5" t="inlineStr"/>
      <c r="S1568" s="5" t="inlineStr"/>
      <c r="T1568" s="5" t="inlineStr"/>
      <c r="U1568" s="5" t="inlineStr"/>
      <c r="V1568" s="5" t="inlineStr"/>
      <c r="W1568" s="5" t="inlineStr"/>
      <c r="X1568" s="5" t="inlineStr"/>
      <c r="Y1568" s="5" t="inlineStr"/>
      <c r="Z1568" s="6" t="inlineStr"/>
      <c r="AA1568" s="5" t="inlineStr"/>
      <c r="AB1568" s="5" t="inlineStr"/>
      <c r="AC1568" s="5" t="inlineStr"/>
      <c r="AD1568" s="5" t="inlineStr"/>
      <c r="AE1568" s="5" t="inlineStr"/>
      <c r="AF1568" s="5" t="inlineStr"/>
      <c r="AG1568" s="5" t="inlineStr"/>
      <c r="AH1568" s="5" t="inlineStr"/>
      <c r="AI1568" s="5" t="inlineStr"/>
      <c r="AJ1568" s="5" t="inlineStr"/>
    </row>
    <row r="1569">
      <c r="A1569" s="5" t="inlineStr">
        <is>
          <t>b8-cezaevi-kapisi</t>
        </is>
      </c>
      <c r="B1569" s="5" t="n">
        <v>1</v>
      </c>
      <c r="C1569" s="6" t="inlineStr">
        <is>
          <t>İçeride öğrendiğin sabunla tezgâh aç</t>
        </is>
      </c>
      <c r="D1569" s="5" t="inlineStr"/>
      <c r="E1569" s="5" t="inlineStr"/>
      <c r="F1569" s="5" t="inlineStr">
        <is>
          <t>Dayanıklılık +1, Akıl +1</t>
        </is>
      </c>
      <c r="G1569" s="6" t="inlineStr">
        <is>
          <t>Mahallenin pazarında küçük bir tezgâh açtın; içeride öğrendiğin sabunu satıyorsun. İlk müşterin emekli olmuş eski gardiyandı. Pazarlık etmedi, iki tane aldı.</t>
        </is>
      </c>
      <c r="H1569" s="6" t="inlineStr"/>
      <c r="I1569" s="6" t="inlineStr"/>
      <c r="J1569" s="6" t="inlineStr"/>
      <c r="K1569" s="6" t="inlineStr"/>
      <c r="L1569" s="6" t="inlineStr"/>
      <c r="M1569" s="5" t="inlineStr"/>
      <c r="N1569" s="5" t="inlineStr"/>
      <c r="O1569" s="6" t="inlineStr"/>
      <c r="P1569" s="6" t="inlineStr"/>
      <c r="Q1569" s="5" t="inlineStr"/>
      <c r="R1569" s="5" t="inlineStr"/>
      <c r="S1569" s="5" t="inlineStr"/>
      <c r="T1569" s="5" t="inlineStr"/>
      <c r="U1569" s="5" t="inlineStr">
        <is>
          <t>-hat-cete, -hat-dolandirici, -hat-girisimci, -hat-goc, -hat-hekim, -hat-koy, -hat-polis, -hat-politika, -hat-sohret, -hat-usta, -hat-yargi, -meslek-beyazyaka, -meslek-memur, -meslek-serbest, meslek-esnaf, -hapis, eski-hukumlu</t>
        </is>
      </c>
      <c r="V1569" s="5" t="inlineStr"/>
      <c r="W1569" s="5" t="inlineStr"/>
      <c r="X1569" s="5" t="inlineStr"/>
      <c r="Y1569" s="5" t="inlineStr"/>
      <c r="Z1569" s="6" t="inlineStr"/>
      <c r="AA1569" s="5" t="inlineStr"/>
      <c r="AB1569" s="5" t="inlineStr"/>
      <c r="AC1569" s="5" t="inlineStr"/>
      <c r="AD1569" s="5" t="inlineStr">
        <is>
          <t>Kıt</t>
        </is>
      </c>
      <c r="AE1569" s="5" t="inlineStr"/>
      <c r="AF1569" s="5" t="inlineStr"/>
      <c r="AG1569" s="5" t="inlineStr"/>
      <c r="AH1569" s="5" t="inlineStr"/>
      <c r="AI1569" s="5" t="inlineStr"/>
      <c r="AJ1569" s="5" t="inlineStr"/>
    </row>
    <row r="1570">
      <c r="A1570" s="5" t="inlineStr">
        <is>
          <t>b8-cezaevi-kapisi</t>
        </is>
      </c>
      <c r="B1570" s="5" t="n">
        <v>2</v>
      </c>
      <c r="C1570" s="6" t="inlineStr">
        <is>
          <t>Eski defteri aç</t>
        </is>
      </c>
      <c r="D1570" s="5" t="inlineStr"/>
      <c r="E1570" s="5" t="inlineStr"/>
      <c r="F1570" s="5" t="inlineStr">
        <is>
          <t>Pişkinlik +1, Kurnazlık +1</t>
        </is>
      </c>
      <c r="G1570" s="6" t="inlineStr">
        <is>
          <t>Defterdeki numaraların yarısı artık kullanılmıyor. Tanıyan tek kişi “Sen çıktın mı?” dedi ve kapattı. Masanı yine de kurdun; ilk işin yeni telefonun nasıl açıldığını öğrenmek oldu.</t>
        </is>
      </c>
      <c r="H1570" s="6" t="inlineStr"/>
      <c r="I1570" s="6" t="inlineStr"/>
      <c r="J1570" s="6" t="inlineStr"/>
      <c r="K1570" s="6" t="inlineStr"/>
      <c r="L1570" s="6" t="inlineStr"/>
      <c r="M1570" s="5" t="inlineStr"/>
      <c r="N1570" s="5" t="inlineStr"/>
      <c r="O1570" s="6" t="inlineStr"/>
      <c r="P1570" s="6" t="inlineStr"/>
      <c r="Q1570" s="5" t="inlineStr"/>
      <c r="R1570" s="5" t="inlineStr"/>
      <c r="S1570" s="5" t="inlineStr"/>
      <c r="T1570" s="5" t="inlineStr"/>
      <c r="U1570" s="5" t="inlineStr">
        <is>
          <t>-hapis, eski-hukumlu</t>
        </is>
      </c>
      <c r="V1570" s="5" t="inlineStr"/>
      <c r="W1570" s="5" t="inlineStr"/>
      <c r="X1570" s="5" t="inlineStr"/>
      <c r="Y1570" s="5" t="inlineStr"/>
      <c r="Z1570" s="6" t="inlineStr"/>
      <c r="AA1570" s="5" t="inlineStr"/>
      <c r="AB1570" s="5" t="inlineStr"/>
      <c r="AC1570" s="5" t="inlineStr"/>
      <c r="AD1570" s="5" t="inlineStr"/>
      <c r="AE1570" s="5" t="inlineStr"/>
      <c r="AF1570" s="5" t="inlineStr"/>
      <c r="AG1570" s="5" t="inlineStr"/>
      <c r="AH1570" s="5" t="inlineStr"/>
      <c r="AI1570" s="5" t="inlineStr"/>
      <c r="AJ1570" s="5" t="inlineStr"/>
    </row>
    <row r="1571">
      <c r="A1571" s="5" t="inlineStr">
        <is>
          <t>b8-cezaevi-kapisi</t>
        </is>
      </c>
      <c r="B1571" s="5" t="n">
        <v>3</v>
      </c>
      <c r="C1571" s="6" t="inlineStr">
        <is>
          <t>Koğuş yıllarını kitap yap</t>
        </is>
      </c>
      <c r="D1571" s="5" t="inlineStr">
        <is>
          <t>Çene</t>
        </is>
      </c>
      <c r="E1571" s="5" t="inlineStr">
        <is>
          <t>Zor</t>
        </is>
      </c>
      <c r="F1571" s="5" t="inlineStr"/>
      <c r="G1571" s="6" t="inlineStr"/>
      <c r="H1571" s="6" t="inlineStr">
        <is>
          <t>“Uzun Koğuş” adlı kitabın çıktı. Bir haber programı seni “yaşayan tanık” diye çağırdı; canlı yayında koğuşa selam gönderdin.</t>
        </is>
      </c>
      <c r="I1571" s="6" t="inlineStr">
        <is>
          <t>Kitap her yerde konuşuldu. İlk imza gününde kuyruğun başında, tahliye sabahı karşı kaldırımda simitle bekleyen yüz vardı. İlk imzayı ona attın; altına bir de “Simit borcum” yazdın.</t>
        </is>
      </c>
      <c r="J1571" s="6" t="inlineStr">
        <is>
          <t>Yayınevi “Anılar çok uzun, okur kısa” dedi. Taslağı dolaba kaldırdın, eski defterini çıkardın.</t>
        </is>
      </c>
      <c r="K1571" s="6" t="inlineStr">
        <is>
          <t>Eski yoluna döndün. Yayınevi kitabını basmış ama kapağa başkasının fotoğrafını koymuştu. İmza gününe gittin; seni içeri almadılar.</t>
        </is>
      </c>
      <c r="L1571" s="6" t="inlineStr"/>
      <c r="M1571" s="5" t="inlineStr"/>
      <c r="N1571" s="5" t="inlineStr"/>
      <c r="O1571" s="6" t="inlineStr"/>
      <c r="P1571" s="6" t="inlineStr"/>
      <c r="Q1571" s="5" t="inlineStr"/>
      <c r="R1571" s="5" t="inlineStr"/>
      <c r="S1571" s="5" t="inlineStr"/>
      <c r="T1571" s="5" t="inlineStr"/>
      <c r="U1571" s="5" t="inlineStr"/>
      <c r="V1571" s="5" t="inlineStr">
        <is>
          <t>-hat-cete, -hat-dolandirici, -hat-girisimci, -hat-goc, -hat-hekim, -hat-koy, -hat-polis, -hat-politika, -hat-usta, -hat-yargi, -meslek-beyazyaka, -meslek-esnaf, -meslek-memur, hat-sohret, meslek-serbest, -hapis, eski-hukumlu</t>
        </is>
      </c>
      <c r="W1571" s="5" t="inlineStr">
        <is>
          <t>-hapis, eski-hukumlu</t>
        </is>
      </c>
      <c r="X1571" s="5" t="inlineStr"/>
      <c r="Y1571" s="5" t="inlineStr"/>
      <c r="Z1571" s="6" t="inlineStr"/>
      <c r="AA1571" s="5" t="inlineStr"/>
      <c r="AB1571" s="5" t="inlineStr">
        <is>
          <t>-hapis, eski-hukumlu</t>
        </is>
      </c>
      <c r="AC1571" s="5" t="inlineStr"/>
      <c r="AD1571" s="5" t="inlineStr"/>
      <c r="AE1571" s="5" t="inlineStr"/>
      <c r="AF1571" s="5" t="inlineStr"/>
      <c r="AG1571" s="5" t="inlineStr"/>
      <c r="AH1571" s="5" t="inlineStr"/>
      <c r="AI1571" s="5" t="inlineStr"/>
      <c r="AJ1571" s="5" t="inlineStr"/>
    </row>
    <row r="1572">
      <c r="A1572" s="5" t="inlineStr">
        <is>
          <t>b8-cezaevi-kapisi</t>
        </is>
      </c>
      <c r="B1572" s="5" t="n">
        <v>4</v>
      </c>
      <c r="C1572" s="6" t="inlineStr">
        <is>
          <t>Afişe “Ben içeriyi gördüm” yaz, siyasete gir</t>
        </is>
      </c>
      <c r="D1572" s="5" t="inlineStr">
        <is>
          <t>Pişkinlik</t>
        </is>
      </c>
      <c r="E1572" s="5" t="inlineStr">
        <is>
          <t>Zor</t>
        </is>
      </c>
      <c r="F1572" s="5" t="inlineStr"/>
      <c r="G1572" s="6" t="inlineStr"/>
      <c r="H1572" s="6" t="inlineStr">
        <is>
          <t>Afişindeki cümle kısaydı: “Ben içeriyi gördüm.” İlk afişi, tahliye sabahı seni simitle bekleyen astı, eğri. Düzeltmene izin vermedi: “Böyle daha samimi.” Koğuştan her hafta bir destek mektubu geliyor.</t>
        </is>
      </c>
      <c r="I1572" s="6" t="inlineStr">
        <is>
          <t>Parti seni cezaevleriyle ilgili bir komisyona önerdi. İlk toplantıda çay ocaklarının yerini değiştirdin; herkes daha rahat, kimse nedenini bilmiyor.</t>
        </is>
      </c>
      <c r="J1572" s="6" t="inlineStr">
        <is>
          <t>Başvuru formunda “Son on yılınızı anlatınız” diye bir kutu vardı. Kutu küçük kaldı. Formu katlayıp cebine koydun; o akşam eski telefon defterini açtın.</t>
        </is>
      </c>
      <c r="K1572" s="6" t="inlineStr">
        <is>
          <t>Eski yoluna döndün. İlk mitingde kalabalığı “Arkadaşlar, sayım var!” diye topladın; yarısı dağıldı, kalan yarısı eski koğuş arkadaşlarındı.</t>
        </is>
      </c>
      <c r="L1572" s="6" t="inlineStr"/>
      <c r="M1572" s="5" t="inlineStr"/>
      <c r="N1572" s="5" t="inlineStr"/>
      <c r="O1572" s="6" t="inlineStr"/>
      <c r="P1572" s="6" t="inlineStr"/>
      <c r="Q1572" s="5" t="inlineStr"/>
      <c r="R1572" s="5" t="inlineStr"/>
      <c r="S1572" s="5" t="inlineStr"/>
      <c r="T1572" s="5" t="inlineStr"/>
      <c r="U1572" s="5" t="inlineStr"/>
      <c r="V1572" s="5" t="inlineStr">
        <is>
          <t>-hat-cete, -hat-dolandirici, -hat-girisimci, -hat-goc, -hat-hekim, -hat-koy, -hat-polis, -hat-sohret, -hat-usta, -hat-yargi, -meslek-beyazyaka, -meslek-esnaf, -meslek-memur, -meslek-serbest, hat-politika, -hapis, eski-hukumlu</t>
        </is>
      </c>
      <c r="W1572" s="5" t="inlineStr">
        <is>
          <t>-hapis, eski-hukumlu</t>
        </is>
      </c>
      <c r="X1572" s="5" t="inlineStr"/>
      <c r="Y1572" s="5" t="inlineStr"/>
      <c r="Z1572" s="6" t="inlineStr"/>
      <c r="AA1572" s="5" t="inlineStr"/>
      <c r="AB1572" s="5" t="inlineStr">
        <is>
          <t>-hapis, eski-hukumlu</t>
        </is>
      </c>
      <c r="AC1572" s="5" t="inlineStr"/>
      <c r="AD1572" s="5" t="inlineStr"/>
      <c r="AE1572" s="5" t="inlineStr"/>
      <c r="AF1572" s="5" t="inlineStr"/>
      <c r="AG1572" s="5" t="inlineStr"/>
      <c r="AH1572" s="5" t="inlineStr"/>
      <c r="AI1572" s="5" t="inlineStr"/>
      <c r="AJ1572" s="5" t="inlineStr"/>
    </row>
    <row r="1573">
      <c r="A1573" s="5" t="inlineStr">
        <is>
          <t>b8-cezaevi-kapisi</t>
        </is>
      </c>
      <c r="B1573" s="5" t="n">
        <v>5</v>
      </c>
      <c r="C1573" s="6" t="inlineStr">
        <is>
          <t>Bakkalın arka deposunda başla</t>
        </is>
      </c>
      <c r="D1573" s="5" t="inlineStr"/>
      <c r="E1573" s="5" t="inlineStr"/>
      <c r="F1573" s="5" t="inlineStr">
        <is>
          <t>İtibar +1, Dayanıklılık +1</t>
        </is>
      </c>
      <c r="G1573" s="6" t="inlineStr">
        <is>
          <t>Mahalleye döndüğün akşam bakkal kepengi yarıya indirip çıktı, eline bir anahtar tutuşturdu: “Arka depo senin, kirası sonra.” Veresiye defterine ilk satırı kendi elinle yazdın: “Kira, sonra.”</t>
        </is>
      </c>
      <c r="H1573" s="6" t="inlineStr"/>
      <c r="I1573" s="6" t="inlineStr"/>
      <c r="J1573" s="6" t="inlineStr"/>
      <c r="K1573" s="6" t="inlineStr"/>
      <c r="L1573" s="6" t="inlineStr"/>
      <c r="M1573" s="5" t="inlineStr"/>
      <c r="N1573" s="5" t="inlineStr"/>
      <c r="O1573" s="6" t="inlineStr"/>
      <c r="P1573" s="6" t="inlineStr"/>
      <c r="Q1573" s="5" t="inlineStr"/>
      <c r="R1573" s="5" t="inlineStr"/>
      <c r="S1573" s="5" t="inlineStr"/>
      <c r="T1573" s="5" t="inlineStr"/>
      <c r="U1573" s="5" t="inlineStr">
        <is>
          <t>-hat-cete, -hat-dolandirici, -hat-girisimci, -hat-goc, -hat-hekim, -hat-koy, -hat-polis, -hat-politika, -hat-sohret, -hat-usta, -hat-yargi, -meslek-beyazyaka, -meslek-memur, -meslek-serbest, meslek-esnaf, -hapis, eski-hukumlu, -ceza-indirimi</t>
        </is>
      </c>
      <c r="V1573" s="5" t="inlineStr"/>
      <c r="W1573" s="5" t="inlineStr"/>
      <c r="X1573" s="5" t="inlineStr"/>
      <c r="Y1573" s="5" t="inlineStr"/>
      <c r="Z1573" s="6" t="inlineStr"/>
      <c r="AA1573" s="5" t="inlineStr"/>
      <c r="AB1573" s="5" t="inlineStr"/>
      <c r="AC1573" s="5" t="inlineStr"/>
      <c r="AD1573" s="5" t="inlineStr">
        <is>
          <t>Kıt</t>
        </is>
      </c>
      <c r="AE1573" s="5" t="inlineStr"/>
      <c r="AF1573" s="5" t="inlineStr"/>
      <c r="AG1573" s="5" t="inlineStr"/>
      <c r="AH1573" s="5" t="inlineStr">
        <is>
          <t>İtibar 43</t>
        </is>
      </c>
      <c r="AI1573" s="5" t="inlineStr"/>
      <c r="AJ1573" s="5" t="inlineStr"/>
    </row>
    <row r="1574">
      <c r="A1574" s="5" t="inlineStr">
        <is>
          <t>b9-cezaevi-kapisi</t>
        </is>
      </c>
      <c r="B1574" s="5" t="n">
        <v>1</v>
      </c>
      <c r="C1574" s="6" t="inlineStr">
        <is>
          <t>Mahallede küçük bir tamirci aç</t>
        </is>
      </c>
      <c r="D1574" s="5" t="inlineStr"/>
      <c r="E1574" s="5" t="inlineStr"/>
      <c r="F1574" s="5" t="inlineStr">
        <is>
          <t>Dayanıklılık +1, Sosyal Radar +1</t>
        </is>
      </c>
      <c r="G1574" s="6" t="inlineStr">
        <is>
          <t>Saat, radyo, bir de gönül tamiri. Müşterilerin çoğu emekli; sohbet uzun, iş kısa. Kimse acele etmiyor, en çok da sen.</t>
        </is>
      </c>
      <c r="H1574" s="6" t="inlineStr"/>
      <c r="I1574" s="6" t="inlineStr"/>
      <c r="J1574" s="6" t="inlineStr"/>
      <c r="K1574" s="6" t="inlineStr"/>
      <c r="L1574" s="6" t="inlineStr"/>
      <c r="M1574" s="5" t="inlineStr"/>
      <c r="N1574" s="5" t="inlineStr"/>
      <c r="O1574" s="6" t="inlineStr"/>
      <c r="P1574" s="6" t="inlineStr"/>
      <c r="Q1574" s="5" t="inlineStr"/>
      <c r="R1574" s="5" t="inlineStr"/>
      <c r="S1574" s="5" t="inlineStr"/>
      <c r="T1574" s="5" t="inlineStr"/>
      <c r="U1574" s="5" t="inlineStr">
        <is>
          <t>-hat-cete, -hat-dolandirici, -hat-girisimci, -hat-goc, -hat-hekim, -hat-koy, -hat-polis, -hat-politika, -hat-sohret, -hat-usta, -hat-yargi, -meslek-beyazyaka, -meslek-memur, -meslek-serbest, meslek-esnaf, -hapis, eski-hukumlu</t>
        </is>
      </c>
      <c r="V1574" s="5" t="inlineStr"/>
      <c r="W1574" s="5" t="inlineStr"/>
      <c r="X1574" s="5" t="inlineStr"/>
      <c r="Y1574" s="5" t="inlineStr"/>
      <c r="Z1574" s="6" t="inlineStr"/>
      <c r="AA1574" s="5" t="inlineStr"/>
      <c r="AB1574" s="5" t="inlineStr"/>
      <c r="AC1574" s="5" t="inlineStr"/>
      <c r="AD1574" s="5" t="inlineStr">
        <is>
          <t>Kıt</t>
        </is>
      </c>
      <c r="AE1574" s="5" t="inlineStr"/>
      <c r="AF1574" s="5" t="inlineStr"/>
      <c r="AG1574" s="5" t="inlineStr"/>
      <c r="AH1574" s="5" t="inlineStr"/>
      <c r="AI1574" s="5" t="inlineStr"/>
      <c r="AJ1574" s="5" t="inlineStr"/>
    </row>
    <row r="1575">
      <c r="A1575" s="5" t="inlineStr">
        <is>
          <t>b9-cezaevi-kapisi</t>
        </is>
      </c>
      <c r="B1575" s="5" t="n">
        <v>2</v>
      </c>
      <c r="C1575" s="6" t="inlineStr">
        <is>
          <t>Eski işine dön</t>
        </is>
      </c>
      <c r="D1575" s="5" t="inlineStr"/>
      <c r="E1575" s="5" t="inlineStr"/>
      <c r="F1575" s="5" t="inlineStr">
        <is>
          <t>Pişkinlik +1, Cesaret +1</t>
        </is>
      </c>
      <c r="G1575" s="6" t="inlineStr">
        <is>
          <t>Eski çevreni aradın; çoğu emekli olmuş, birkaçı torun bakıyor. İşi kaldığı yerden sürdürüyorsun; öğle uykusuna ara vererek.</t>
        </is>
      </c>
      <c r="H1575" s="6" t="inlineStr"/>
      <c r="I1575" s="6" t="inlineStr"/>
      <c r="J1575" s="6" t="inlineStr"/>
      <c r="K1575" s="6" t="inlineStr"/>
      <c r="L1575" s="6" t="inlineStr"/>
      <c r="M1575" s="5" t="inlineStr"/>
      <c r="N1575" s="5" t="inlineStr"/>
      <c r="O1575" s="6" t="inlineStr"/>
      <c r="P1575" s="6" t="inlineStr"/>
      <c r="Q1575" s="5" t="inlineStr"/>
      <c r="R1575" s="5" t="inlineStr"/>
      <c r="S1575" s="5" t="inlineStr"/>
      <c r="T1575" s="5" t="inlineStr"/>
      <c r="U1575" s="5" t="inlineStr">
        <is>
          <t>-hapis, eski-hukumlu</t>
        </is>
      </c>
      <c r="V1575" s="5" t="inlineStr"/>
      <c r="W1575" s="5" t="inlineStr"/>
      <c r="X1575" s="5" t="inlineStr"/>
      <c r="Y1575" s="5" t="inlineStr"/>
      <c r="Z1575" s="6" t="inlineStr"/>
      <c r="AA1575" s="5" t="inlineStr"/>
      <c r="AB1575" s="5" t="inlineStr"/>
      <c r="AC1575" s="5" t="inlineStr"/>
      <c r="AD1575" s="5" t="inlineStr"/>
      <c r="AE1575" s="5" t="inlineStr"/>
      <c r="AF1575" s="5" t="inlineStr"/>
      <c r="AG1575" s="5" t="inlineStr"/>
      <c r="AH1575" s="5" t="inlineStr"/>
      <c r="AI1575" s="5" t="inlineStr"/>
      <c r="AJ1575" s="5" t="inlineStr"/>
    </row>
    <row r="1576">
      <c r="A1576" s="5" t="inlineStr">
        <is>
          <t>b9-cezaevi-kapisi</t>
        </is>
      </c>
      <c r="B1576" s="5" t="n">
        <v>3</v>
      </c>
      <c r="C1576" s="6" t="inlineStr">
        <is>
          <t>Koğuş yıllarını kitap yap</t>
        </is>
      </c>
      <c r="D1576" s="5" t="inlineStr">
        <is>
          <t>Çene</t>
        </is>
      </c>
      <c r="E1576" s="5" t="inlineStr">
        <is>
          <t>Zor</t>
        </is>
      </c>
      <c r="F1576" s="5" t="inlineStr"/>
      <c r="G1576" s="6" t="inlineStr"/>
      <c r="H1576" s="6" t="inlineStr">
        <is>
          <t>“Altmışa Doğru Koğuş” emekliler arasında elden ele dolaşıyor. Parkta imza günü yapıyorsun; kuyruk bankın öbür ucunda bitiyor.</t>
        </is>
      </c>
      <c r="I1576" s="6" t="inlineStr">
        <is>
          <t>Kitap bir tiyatro oyunu oldu. Galaya koğuştan çıkmış iki arkadaşın geldi; en çok onlar güldü, kendi repliklerine.</t>
        </is>
      </c>
      <c r="J1576" s="6" t="inlineStr">
        <is>
          <t>El yazını kimse okuyamadı. Mahalleden bir genç bilgisayara geçirmeye başladı, on sayfa sonra bıraktı: 'Ben bunu okuyunca geceleri uyuyamıyorum.' Defteri geri aldın, eski yoluna döndün.</t>
        </is>
      </c>
      <c r="K1576" s="6" t="inlineStr">
        <is>
          <t>Taslağı otobüste unuttun. Şoför okudu, beğendi, kendi adıyla yarışmaya gönderdi; ödül aldı. Sen eski yoluna döndün.</t>
        </is>
      </c>
      <c r="L1576" s="6" t="inlineStr"/>
      <c r="M1576" s="5" t="inlineStr"/>
      <c r="N1576" s="5" t="inlineStr"/>
      <c r="O1576" s="6" t="inlineStr"/>
      <c r="P1576" s="6" t="inlineStr"/>
      <c r="Q1576" s="5" t="inlineStr"/>
      <c r="R1576" s="5" t="inlineStr"/>
      <c r="S1576" s="5" t="inlineStr"/>
      <c r="T1576" s="5" t="inlineStr"/>
      <c r="U1576" s="5" t="inlineStr"/>
      <c r="V1576" s="5" t="inlineStr">
        <is>
          <t>-hat-cete, -hat-dolandirici, -hat-girisimci, -hat-goc, -hat-hekim, -hat-koy, -hat-polis, -hat-politika, -hat-usta, -hat-yargi, -meslek-beyazyaka, -meslek-esnaf, -meslek-memur, hat-sohret, meslek-serbest, -hapis, eski-hukumlu</t>
        </is>
      </c>
      <c r="W1576" s="5" t="inlineStr">
        <is>
          <t>-hapis, eski-hukumlu</t>
        </is>
      </c>
      <c r="X1576" s="5" t="inlineStr"/>
      <c r="Y1576" s="5" t="inlineStr"/>
      <c r="Z1576" s="6" t="inlineStr"/>
      <c r="AA1576" s="5" t="inlineStr"/>
      <c r="AB1576" s="5" t="inlineStr">
        <is>
          <t>-hapis, eski-hukumlu</t>
        </is>
      </c>
      <c r="AC1576" s="5" t="inlineStr"/>
      <c r="AD1576" s="5" t="inlineStr"/>
      <c r="AE1576" s="5" t="inlineStr"/>
      <c r="AF1576" s="5" t="inlineStr"/>
      <c r="AG1576" s="5" t="inlineStr"/>
      <c r="AH1576" s="5" t="inlineStr"/>
      <c r="AI1576" s="5" t="inlineStr"/>
      <c r="AJ1576" s="5" t="inlineStr"/>
    </row>
    <row r="1577">
      <c r="A1577" s="5" t="inlineStr">
        <is>
          <t>b9-cezaevi-kapisi</t>
        </is>
      </c>
      <c r="B1577" s="5" t="n">
        <v>4</v>
      </c>
      <c r="C1577" s="6" t="inlineStr">
        <is>
          <t>“Geç kaldım ama gördüm” diye siyasete gir</t>
        </is>
      </c>
      <c r="D1577" s="5" t="inlineStr">
        <is>
          <t>Pişkinlik</t>
        </is>
      </c>
      <c r="E1577" s="5" t="inlineStr">
        <is>
          <t>Zor</t>
        </is>
      </c>
      <c r="F1577" s="5" t="inlineStr"/>
      <c r="G1577" s="6" t="inlineStr"/>
      <c r="H1577" s="6" t="inlineStr">
        <is>
          <t>Sloganınla bir partinin emekliler kolunda göreve başladın. Toplantılar çay ocağı gibi: herkes konuşuyor, sen demliyorsun.</t>
        </is>
      </c>
      <c r="I1577" s="6" t="inlineStr">
        <is>
          <t>Mahalle seni muhtarlığa, parti de meclise aday gösterdi. Afişindeki fotoğraf cezaevi kapısında çekildi; bilerek.</t>
        </is>
      </c>
      <c r="J1577" s="6" t="inlineStr">
        <is>
          <t>Başvurun komisyonda kaldı. Komisyon toplanmadı; sen de beklemedin, eski yoluna döndün.</t>
        </is>
      </c>
      <c r="K1577" s="6" t="inlineStr">
        <is>
          <t>İlk konuşmanda mikrofonu tavla zarı gibi salladın. Salon güldü, seçim kurulu gülmedi. Eski yoluna döndün.</t>
        </is>
      </c>
      <c r="L1577" s="6" t="inlineStr"/>
      <c r="M1577" s="5" t="inlineStr"/>
      <c r="N1577" s="5" t="inlineStr"/>
      <c r="O1577" s="6" t="inlineStr"/>
      <c r="P1577" s="6" t="inlineStr"/>
      <c r="Q1577" s="5" t="inlineStr"/>
      <c r="R1577" s="5" t="inlineStr"/>
      <c r="S1577" s="5" t="inlineStr"/>
      <c r="T1577" s="5" t="inlineStr"/>
      <c r="U1577" s="5" t="inlineStr"/>
      <c r="V1577" s="5" t="inlineStr">
        <is>
          <t>-hat-cete, -hat-dolandirici, -hat-girisimci, -hat-goc, -hat-hekim, -hat-koy, -hat-polis, -hat-sohret, -hat-usta, -hat-yargi, -meslek-beyazyaka, -meslek-esnaf, -meslek-memur, -meslek-serbest, hat-politika, -hapis, eski-hukumlu</t>
        </is>
      </c>
      <c r="W1577" s="5" t="inlineStr">
        <is>
          <t>-hapis, eski-hukumlu</t>
        </is>
      </c>
      <c r="X1577" s="5" t="inlineStr"/>
      <c r="Y1577" s="5" t="inlineStr"/>
      <c r="Z1577" s="6" t="inlineStr"/>
      <c r="AA1577" s="5" t="inlineStr"/>
      <c r="AB1577" s="5" t="inlineStr">
        <is>
          <t>-hapis, eski-hukumlu</t>
        </is>
      </c>
      <c r="AC1577" s="5" t="inlineStr"/>
      <c r="AD1577" s="5" t="inlineStr"/>
      <c r="AE1577" s="5" t="inlineStr"/>
      <c r="AF1577" s="5" t="inlineStr"/>
      <c r="AG1577" s="5" t="inlineStr"/>
      <c r="AH1577" s="5" t="inlineStr"/>
      <c r="AI1577" s="5" t="inlineStr"/>
      <c r="AJ1577" s="5" t="inlineStr"/>
    </row>
    <row r="1578">
      <c r="A1578" s="5" t="inlineStr">
        <is>
          <t>b9-cezaevi-kapisi</t>
        </is>
      </c>
      <c r="B1578" s="5" t="n">
        <v>5</v>
      </c>
      <c r="C1578" s="6" t="inlineStr">
        <is>
          <t>Mahallenin kefaletiyle iş bul</t>
        </is>
      </c>
      <c r="D1578" s="5" t="inlineStr"/>
      <c r="E1578" s="5" t="inlineStr"/>
      <c r="F1578" s="5" t="inlineStr">
        <is>
          <t>İtibar +1, Dayanıklılık +1</t>
        </is>
      </c>
      <c r="G1578" s="6" t="inlineStr">
        <is>
          <t>Kapıda seni çarşının en eski esnafı bekliyordu: “Senin için söz verdim, dükkânın arka tarafı senin.” Mahallede kimse geçmişini sormadı; sordurmadılar.</t>
        </is>
      </c>
      <c r="H1578" s="6" t="inlineStr"/>
      <c r="I1578" s="6" t="inlineStr"/>
      <c r="J1578" s="6" t="inlineStr"/>
      <c r="K1578" s="6" t="inlineStr"/>
      <c r="L1578" s="6" t="inlineStr"/>
      <c r="M1578" s="5" t="inlineStr"/>
      <c r="N1578" s="5" t="inlineStr"/>
      <c r="O1578" s="6" t="inlineStr"/>
      <c r="P1578" s="6" t="inlineStr"/>
      <c r="Q1578" s="5" t="inlineStr"/>
      <c r="R1578" s="5" t="inlineStr"/>
      <c r="S1578" s="5" t="inlineStr"/>
      <c r="T1578" s="5" t="inlineStr"/>
      <c r="U1578" s="5" t="inlineStr">
        <is>
          <t>-hat-cete, -hat-dolandirici, -hat-girisimci, -hat-goc, -hat-hekim, -hat-koy, -hat-polis, -hat-politika, -hat-sohret, -hat-usta, -hat-yargi, -meslek-beyazyaka, -meslek-memur, -meslek-serbest, meslek-esnaf, -hapis, eski-hukumlu, -ceza-indirimi</t>
        </is>
      </c>
      <c r="V1578" s="5" t="inlineStr"/>
      <c r="W1578" s="5" t="inlineStr"/>
      <c r="X1578" s="5" t="inlineStr"/>
      <c r="Y1578" s="5" t="inlineStr"/>
      <c r="Z1578" s="6" t="inlineStr"/>
      <c r="AA1578" s="5" t="inlineStr"/>
      <c r="AB1578" s="5" t="inlineStr"/>
      <c r="AC1578" s="5" t="inlineStr"/>
      <c r="AD1578" s="5" t="inlineStr">
        <is>
          <t>Kıt</t>
        </is>
      </c>
      <c r="AE1578" s="5" t="inlineStr"/>
      <c r="AF1578" s="5" t="inlineStr"/>
      <c r="AG1578" s="5" t="inlineStr"/>
      <c r="AH1578" s="5" t="inlineStr">
        <is>
          <t>İtibar 45</t>
        </is>
      </c>
      <c r="AI1578" s="5" t="inlineStr"/>
      <c r="AJ1578" s="5" t="inlineStr"/>
    </row>
    <row r="1579">
      <c r="A1579" s="5" t="inlineStr">
        <is>
          <t>b7-sohret-secmeler</t>
        </is>
      </c>
      <c r="B1579" s="5" t="n">
        <v>1</v>
      </c>
      <c r="C1579" s="6" t="inlineStr">
        <is>
          <t>Metni yazıldığı gibi, kusursuz oku</t>
        </is>
      </c>
      <c r="D1579" s="5" t="inlineStr"/>
      <c r="E1579" s="5" t="inlineStr"/>
      <c r="F1579" s="5" t="inlineStr">
        <is>
          <t>Akıl +1, Dayanıklılık +1</t>
        </is>
      </c>
      <c r="G1579" s="6" t="inlineStr">
        <is>
          <t>Metni tek hata yapmadan okudun. Yapımcı “Teşekkürler” dedi. Rol, sandviç bitmeden okuyan birine gitti.</t>
        </is>
      </c>
      <c r="H1579" s="6" t="inlineStr"/>
      <c r="I1579" s="6" t="inlineStr"/>
      <c r="J1579" s="6" t="inlineStr"/>
      <c r="K1579" s="6" t="inlineStr"/>
      <c r="L1579" s="6" t="inlineStr"/>
      <c r="M1579" s="5" t="inlineStr"/>
      <c r="N1579" s="5" t="inlineStr"/>
      <c r="O1579" s="6" t="inlineStr"/>
      <c r="P1579" s="6" t="inlineStr"/>
      <c r="Q1579" s="5" t="inlineStr"/>
      <c r="R1579" s="5" t="inlineStr"/>
      <c r="S1579" s="5" t="inlineStr"/>
      <c r="T1579" s="5" t="inlineStr"/>
      <c r="U1579" s="5" t="inlineStr"/>
      <c r="V1579" s="5" t="inlineStr"/>
      <c r="W1579" s="5" t="inlineStr"/>
      <c r="X1579" s="5" t="inlineStr"/>
      <c r="Y1579" s="5" t="inlineStr"/>
      <c r="Z1579" s="6" t="inlineStr"/>
      <c r="AA1579" s="5" t="inlineStr"/>
      <c r="AB1579" s="5" t="inlineStr"/>
      <c r="AC1579" s="5" t="inlineStr"/>
      <c r="AD1579" s="5" t="inlineStr"/>
      <c r="AE1579" s="5" t="inlineStr"/>
      <c r="AF1579" s="5" t="inlineStr"/>
      <c r="AG1579" s="5" t="inlineStr"/>
      <c r="AH1579" s="5" t="inlineStr"/>
      <c r="AI1579" s="5" t="inlineStr"/>
      <c r="AJ1579" s="5" t="inlineStr"/>
    </row>
    <row r="1580">
      <c r="A1580" s="5" t="inlineStr">
        <is>
          <t>b7-sohret-secmeler</t>
        </is>
      </c>
      <c r="B1580" s="5" t="n">
        <v>2</v>
      </c>
      <c r="C1580" s="6" t="inlineStr">
        <is>
          <t>Repliği bağırarak, gözyaşıyla oyna</t>
        </is>
      </c>
      <c r="D1580" s="5" t="inlineStr">
        <is>
          <t>Pişkinlik</t>
        </is>
      </c>
      <c r="E1580" s="5" t="inlineStr">
        <is>
          <t>Orta</t>
        </is>
      </c>
      <c r="F1580" s="5" t="inlineStr"/>
      <c r="G1580" s="6" t="inlineStr"/>
      <c r="H1580" s="6" t="inlineStr">
        <is>
          <t>Koridordaki kırk kişi sustu. Yapımcı sandviçi bıraktı: “Arsa meselesine inandım.” Dizide küçük kardeşsin; arsa yine ağabeyin.</t>
        </is>
      </c>
      <c r="I1580" s="6" t="inlineStr">
        <is>
          <t>Yapımcı ağladı, kameraman ağladı, sandviç ıslandı. Rol senin; senaristler arsayı sana vermek için yeni bölüm yazıyor.</t>
        </is>
      </c>
      <c r="J1580" s="6" t="inlineStr">
        <is>
          <t>Bağırdın ama gözyaşı gelmedi. Yapımcı “Kuru ağlama da bir tarz” dedi ve sıradakini çağırdı.</t>
        </is>
      </c>
      <c r="K1580" s="6" t="inlineStr">
        <is>
          <t>O kadar bağırdın ki güvenlik geldi. Kapıya kadar kolundan tutup götürdüler; sen hâlâ “Arsa benim!” diye bağırıyordun. Koridordaki kırk kişi alkışladı. Rol, alkışlayanlardan birine gitti.</t>
        </is>
      </c>
      <c r="L1580" s="6" t="inlineStr"/>
      <c r="M1580" s="5" t="inlineStr"/>
      <c r="N1580" s="5" t="inlineStr"/>
      <c r="O1580" s="6" t="inlineStr"/>
      <c r="P1580" s="6" t="inlineStr"/>
      <c r="Q1580" s="5" t="inlineStr"/>
      <c r="R1580" s="5" t="inlineStr"/>
      <c r="S1580" s="5" t="inlineStr"/>
      <c r="T1580" s="5" t="inlineStr"/>
      <c r="U1580" s="5" t="inlineStr"/>
      <c r="V1580" s="5" t="inlineStr">
        <is>
          <t>sohret-dizi-rolu</t>
        </is>
      </c>
      <c r="W1580" s="5" t="inlineStr"/>
      <c r="X1580" s="5" t="inlineStr"/>
      <c r="Y1580" s="5" t="inlineStr"/>
      <c r="Z1580" s="6" t="inlineStr"/>
      <c r="AA1580" s="5" t="inlineStr"/>
      <c r="AB1580" s="5" t="inlineStr"/>
      <c r="AC1580" s="5" t="inlineStr"/>
      <c r="AD1580" s="5" t="inlineStr"/>
      <c r="AE1580" s="5" t="inlineStr"/>
      <c r="AF1580" s="5" t="inlineStr"/>
      <c r="AG1580" s="5" t="inlineStr"/>
      <c r="AH1580" s="5" t="inlineStr"/>
      <c r="AI1580" s="5" t="inlineStr"/>
      <c r="AJ1580" s="5" t="inlineStr"/>
    </row>
    <row r="1581">
      <c r="A1581" s="5" t="inlineStr">
        <is>
          <t>b7-sohret-secmeler</t>
        </is>
      </c>
      <c r="B1581" s="5" t="n">
        <v>3</v>
      </c>
      <c r="C1581" s="6" t="inlineStr">
        <is>
          <t>Yapımcının sandviçine laf at, buzu kır</t>
        </is>
      </c>
      <c r="D1581" s="5" t="inlineStr">
        <is>
          <t>Sosyal Radar</t>
        </is>
      </c>
      <c r="E1581" s="5" t="inlineStr">
        <is>
          <t>Orta</t>
        </is>
      </c>
      <c r="F1581" s="5" t="inlineStr"/>
      <c r="G1581" s="6" t="inlineStr"/>
      <c r="H1581" s="6" t="inlineStr">
        <is>
          <t>“Kaşarlı mı?” dedin. Güldü. Kardeş rolü başkasına gitti ama sana kahveciyi verdi. Kahveci her bölümde var.</t>
        </is>
      </c>
      <c r="I1581" s="6" t="inlineStr">
        <is>
          <t>Sandviç muhabbeti uzadı; aynı fırından ekmek aldığınız çıktı. Kahveci rolü yeniden yazıldı, adı da seninki oldu.</t>
        </is>
      </c>
      <c r="J1581" s="6" t="inlineStr">
        <is>
          <t>Sandviçe laf attın; yapımcı lokmasını yuttu: “Diyetteyim, bu kaçamak.” Sandviçi çöpe attı, sıradakini çağırdı. Sen de sandviçin peşinden çıktın.</t>
        </is>
      </c>
      <c r="K1581" s="6" t="inlineStr">
        <is>
          <t>Yapımcı sandviçi sana uzattı: “Madem merak ettin.” Repliği ağzın dolu okudun. Kayıt hâlâ dolaşıyor.</t>
        </is>
      </c>
      <c r="L1581" s="6" t="inlineStr"/>
      <c r="M1581" s="5" t="inlineStr"/>
      <c r="N1581" s="5" t="inlineStr"/>
      <c r="O1581" s="6" t="inlineStr"/>
      <c r="P1581" s="6" t="inlineStr"/>
      <c r="Q1581" s="5" t="inlineStr"/>
      <c r="R1581" s="5" t="inlineStr"/>
      <c r="S1581" s="5" t="inlineStr"/>
      <c r="T1581" s="5" t="inlineStr"/>
      <c r="U1581" s="5" t="inlineStr"/>
      <c r="V1581" s="5" t="inlineStr">
        <is>
          <t>sohret-dizi-rolu</t>
        </is>
      </c>
      <c r="W1581" s="5" t="inlineStr"/>
      <c r="X1581" s="5" t="inlineStr"/>
      <c r="Y1581" s="5" t="inlineStr"/>
      <c r="Z1581" s="6" t="inlineStr"/>
      <c r="AA1581" s="5" t="inlineStr"/>
      <c r="AB1581" s="5" t="inlineStr"/>
      <c r="AC1581" s="5" t="inlineStr"/>
      <c r="AD1581" s="5" t="inlineStr"/>
      <c r="AE1581" s="5" t="inlineStr"/>
      <c r="AF1581" s="5" t="inlineStr"/>
      <c r="AG1581" s="5" t="inlineStr"/>
      <c r="AH1581" s="5" t="inlineStr"/>
      <c r="AI1581" s="5" t="inlineStr"/>
      <c r="AJ1581" s="5" t="inlineStr"/>
    </row>
    <row r="1582">
      <c r="A1582" s="5" t="inlineStr">
        <is>
          <t>b7-sohret-reklam</t>
        </is>
      </c>
      <c r="B1582" s="5" t="n">
        <v>1</v>
      </c>
      <c r="C1582" s="6" t="inlineStr">
        <is>
          <t>Sözleşmeyi imzala, lekesiz yaşa</t>
        </is>
      </c>
      <c r="D1582" s="5" t="inlineStr"/>
      <c r="E1582" s="5" t="inlineStr"/>
      <c r="F1582" s="5" t="inlineStr">
        <is>
          <t>Pişkinlik +1, Dayanıklılık +1</t>
        </is>
      </c>
      <c r="G1582" s="6" t="inlineStr">
        <is>
          <t>Otobüs duraklarında gülümseyen dev bir sen var. Bir gün pantolonuna çay döküldü; üç kişi fotoğrafını çekti.</t>
        </is>
      </c>
      <c r="H1582" s="6" t="inlineStr"/>
      <c r="I1582" s="6" t="inlineStr"/>
      <c r="J1582" s="6" t="inlineStr"/>
      <c r="K1582" s="6" t="inlineStr"/>
      <c r="L1582" s="6" t="inlineStr"/>
      <c r="M1582" s="5" t="inlineStr"/>
      <c r="N1582" s="5" t="inlineStr"/>
      <c r="O1582" s="6" t="inlineStr"/>
      <c r="P1582" s="6" t="inlineStr"/>
      <c r="Q1582" s="5" t="inlineStr"/>
      <c r="R1582" s="5" t="inlineStr"/>
      <c r="S1582" s="5" t="inlineStr"/>
      <c r="T1582" s="5" t="inlineStr"/>
      <c r="U1582" s="5" t="inlineStr">
        <is>
          <t>sohret-reklam-yuzu</t>
        </is>
      </c>
      <c r="V1582" s="5" t="inlineStr"/>
      <c r="W1582" s="5" t="inlineStr"/>
      <c r="X1582" s="5" t="inlineStr"/>
      <c r="Y1582" s="5" t="inlineStr"/>
      <c r="Z1582" s="6" t="inlineStr"/>
      <c r="AA1582" s="5" t="inlineStr"/>
      <c r="AB1582" s="5" t="inlineStr"/>
      <c r="AC1582" s="5" t="inlineStr"/>
      <c r="AD1582" s="5" t="inlineStr">
        <is>
          <t>Orta</t>
        </is>
      </c>
      <c r="AE1582" s="5" t="inlineStr"/>
      <c r="AF1582" s="5" t="inlineStr"/>
      <c r="AG1582" s="5" t="inlineStr"/>
      <c r="AH1582" s="5" t="inlineStr"/>
      <c r="AI1582" s="5" t="inlineStr"/>
      <c r="AJ1582" s="5" t="inlineStr"/>
    </row>
    <row r="1583">
      <c r="A1583" s="5" t="inlineStr">
        <is>
          <t>b7-sohret-reklam</t>
        </is>
      </c>
      <c r="B1583" s="5" t="n">
        <v>2</v>
      </c>
      <c r="C1583" s="6" t="inlineStr">
        <is>
          <t>Cümleni tişörte, kupaya bas</t>
        </is>
      </c>
      <c r="D1583" s="5" t="inlineStr">
        <is>
          <t>Sosyal Radar</t>
        </is>
      </c>
      <c r="E1583" s="5" t="inlineStr">
        <is>
          <t>Orta</t>
        </is>
      </c>
      <c r="F1583" s="5" t="inlineStr"/>
      <c r="G1583" s="6" t="inlineStr"/>
      <c r="H1583" s="6" t="inlineStr">
        <is>
          <t>Cümleni tişörte, kupaya, anahtarlığa bastın. Mahallenin bakkalı bile satıyor; sana pay vermeden.</t>
        </is>
      </c>
      <c r="I1583" s="6" t="inlineStr">
        <is>
          <t>Cümlen okullarda söylenmeye başladı; öğretmenler yasakladı. Ertesi hafta tişörtler tükendi; yeğenin okula seninkini giydi, müdür odasına çağrıldı, gururla.</t>
        </is>
      </c>
      <c r="J1583" s="6" t="inlineStr">
        <is>
          <t>Kupalar geldi; cümlen yanlış basılmış. Kimse almadı. Evde çayı yanlış cümleden içiyorsun.</t>
        </is>
      </c>
      <c r="K1583" s="6" t="inlineStr">
        <is>
          <t>Cümlenin hakkını senden önce başkası almış. Kendi cümleni kullandığın için ondan ihtar yedin.</t>
        </is>
      </c>
      <c r="L1583" s="6" t="inlineStr"/>
      <c r="M1583" s="5" t="inlineStr"/>
      <c r="N1583" s="5" t="inlineStr"/>
      <c r="O1583" s="6" t="inlineStr"/>
      <c r="P1583" s="6" t="inlineStr"/>
      <c r="Q1583" s="5" t="inlineStr"/>
      <c r="R1583" s="5" t="inlineStr"/>
      <c r="S1583" s="5" t="inlineStr"/>
      <c r="T1583" s="5" t="inlineStr"/>
      <c r="U1583" s="5" t="inlineStr"/>
      <c r="V1583" s="5" t="inlineStr">
        <is>
          <t>fenomen</t>
        </is>
      </c>
      <c r="W1583" s="5" t="inlineStr"/>
      <c r="X1583" s="5" t="inlineStr"/>
      <c r="Y1583" s="5" t="inlineStr"/>
      <c r="Z1583" s="6" t="inlineStr"/>
      <c r="AA1583" s="5" t="inlineStr"/>
      <c r="AB1583" s="5" t="inlineStr"/>
      <c r="AC1583" s="5" t="inlineStr"/>
      <c r="AD1583" s="5" t="inlineStr"/>
      <c r="AE1583" s="5" t="inlineStr"/>
      <c r="AF1583" s="5" t="inlineStr"/>
      <c r="AG1583" s="5" t="inlineStr"/>
      <c r="AH1583" s="5" t="inlineStr"/>
      <c r="AI1583" s="5" t="inlineStr"/>
      <c r="AJ1583" s="5" t="inlineStr"/>
    </row>
    <row r="1584">
      <c r="A1584" s="5" t="inlineStr">
        <is>
          <t>b7-sohret-reklam</t>
        </is>
      </c>
      <c r="B1584" s="5" t="n">
        <v>3</v>
      </c>
      <c r="C1584" s="6" t="inlineStr">
        <is>
          <t>Reklamda senaryoyu bırak, doğaçla</t>
        </is>
      </c>
      <c r="D1584" s="5" t="inlineStr">
        <is>
          <t>Pişkinlik</t>
        </is>
      </c>
      <c r="E1584" s="5" t="inlineStr">
        <is>
          <t>Zor</t>
        </is>
      </c>
      <c r="F1584" s="5" t="inlineStr"/>
      <c r="G1584" s="6" t="inlineStr"/>
      <c r="H1584" s="6" t="inlineStr">
        <is>
          <t>Senaryoda “Mis gibi” yazıyordu; sen “Annem bile şaşırdı” dedin. Reklam tuttu. Annen hâlâ neye şaşırdığını soruyor.</t>
        </is>
      </c>
      <c r="I1584" s="6" t="inlineStr">
        <is>
          <t>Doğaçlaman reklam ödülü aldı. Firma yeni reklamların senaryosunu sana soruyor; deterjanını hâlâ markette parayla alıyorsun.</t>
        </is>
      </c>
      <c r="J1584" s="6" t="inlineStr">
        <is>
          <t>Doğaçlama kurguda kesildi. Reklamda yalnızca çamaşır makinesini açan elin var. El olarak iyi para.</t>
        </is>
      </c>
      <c r="K1584" s="6" t="inlineStr">
        <is>
          <t>Doğaçlarken rakip firmanın adını andın. Reklam yayından kalktı; sen de sözleşmeden.</t>
        </is>
      </c>
      <c r="L1584" s="6" t="inlineStr"/>
      <c r="M1584" s="5" t="inlineStr"/>
      <c r="N1584" s="5" t="inlineStr"/>
      <c r="O1584" s="6" t="inlineStr"/>
      <c r="P1584" s="6" t="inlineStr"/>
      <c r="Q1584" s="5" t="inlineStr"/>
      <c r="R1584" s="5" t="inlineStr"/>
      <c r="S1584" s="5" t="inlineStr"/>
      <c r="T1584" s="5" t="inlineStr">
        <is>
          <t>Sahne Sever</t>
        </is>
      </c>
      <c r="U1584" s="5" t="inlineStr"/>
      <c r="V1584" s="5" t="inlineStr">
        <is>
          <t>sohret-reklam-yuzu</t>
        </is>
      </c>
      <c r="W1584" s="5" t="inlineStr"/>
      <c r="X1584" s="5" t="inlineStr"/>
      <c r="Y1584" s="5" t="inlineStr"/>
      <c r="Z1584" s="6" t="inlineStr"/>
      <c r="AA1584" s="5" t="inlineStr"/>
      <c r="AB1584" s="5" t="inlineStr"/>
      <c r="AC1584" s="5" t="inlineStr"/>
      <c r="AD1584" s="5" t="inlineStr"/>
      <c r="AE1584" s="5" t="inlineStr"/>
      <c r="AF1584" s="5" t="inlineStr"/>
      <c r="AG1584" s="5" t="inlineStr"/>
      <c r="AH1584" s="5" t="inlineStr"/>
      <c r="AI1584" s="5" t="inlineStr"/>
      <c r="AJ1584" s="5" t="inlineStr"/>
    </row>
    <row r="1585">
      <c r="A1585" s="5" t="inlineStr">
        <is>
          <t>b7-sohret-taninma</t>
        </is>
      </c>
      <c r="B1585" s="5" t="n">
        <v>1</v>
      </c>
      <c r="C1585" s="6" t="inlineStr">
        <is>
          <t>“Bankadaki arkadaşıyım” de, geç</t>
        </is>
      </c>
      <c r="D1585" s="5" t="inlineStr"/>
      <c r="E1585" s="5" t="inlineStr"/>
      <c r="F1585" s="5" t="inlineStr">
        <is>
          <t>Kurnazlık +1, Dayanıklılık +1</t>
        </is>
      </c>
      <c r="G1585" s="6" t="inlineStr">
        <is>
          <t>Teyze memnun oldu, sıra ilerledi. Ertesi hafta damadı bankada seni sormuş. Artık bir bankada bir arkadaşın var.</t>
        </is>
      </c>
      <c r="H1585" s="6" t="inlineStr"/>
      <c r="I1585" s="6" t="inlineStr"/>
      <c r="J1585" s="6" t="inlineStr"/>
      <c r="K1585" s="6" t="inlineStr"/>
      <c r="L1585" s="6" t="inlineStr"/>
      <c r="M1585" s="5" t="inlineStr"/>
      <c r="N1585" s="5" t="inlineStr"/>
      <c r="O1585" s="6" t="inlineStr"/>
      <c r="P1585" s="6" t="inlineStr"/>
      <c r="Q1585" s="5" t="inlineStr"/>
      <c r="R1585" s="5" t="inlineStr"/>
      <c r="S1585" s="5" t="inlineStr"/>
      <c r="T1585" s="5" t="inlineStr"/>
      <c r="U1585" s="5" t="inlineStr"/>
      <c r="V1585" s="5" t="inlineStr"/>
      <c r="W1585" s="5" t="inlineStr"/>
      <c r="X1585" s="5" t="inlineStr"/>
      <c r="Y1585" s="5" t="inlineStr"/>
      <c r="Z1585" s="6" t="inlineStr"/>
      <c r="AA1585" s="5" t="inlineStr"/>
      <c r="AB1585" s="5" t="inlineStr"/>
      <c r="AC1585" s="5" t="inlineStr"/>
      <c r="AD1585" s="5" t="inlineStr"/>
      <c r="AE1585" s="5" t="inlineStr"/>
      <c r="AF1585" s="5" t="inlineStr"/>
      <c r="AG1585" s="5" t="inlineStr"/>
      <c r="AH1585" s="5" t="inlineStr"/>
      <c r="AI1585" s="5" t="inlineStr"/>
      <c r="AJ1585" s="5" t="inlineStr"/>
    </row>
    <row r="1586">
      <c r="A1586" s="5" t="inlineStr">
        <is>
          <t>b7-sohret-taninma</t>
        </is>
      </c>
      <c r="B1586" s="5" t="n">
        <v>2</v>
      </c>
      <c r="C1586" s="6" t="inlineStr">
        <is>
          <t>Dizideki repliğini orada söyle</t>
        </is>
      </c>
      <c r="D1586" s="5" t="inlineStr">
        <is>
          <t>Pişkinlik</t>
        </is>
      </c>
      <c r="E1586" s="5" t="inlineStr">
        <is>
          <t>Orta</t>
        </is>
      </c>
      <c r="F1586" s="5" t="inlineStr"/>
      <c r="G1586" s="6" t="inlineStr"/>
      <c r="H1586" s="6" t="inlineStr">
        <is>
          <t>Repliği söyledin; kasiyer de tanıdı, sıra alkışladı. Teyze fotoğraf çekti, damadına gönderdi.</t>
        </is>
      </c>
      <c r="I1586" s="6" t="inlineStr">
        <is>
          <t>Market müdürü anonsla seni kasaya çağırdı, alışverişin hediye oldu. Karşılığında raflar arasında on fotoğraf verdin.</t>
        </is>
      </c>
      <c r="J1586" s="6" t="inlineStr">
        <is>
          <t>Repliği söyledin; teyze “Yok, o değil” dedi. Kasiyer “Ben biliyorum, siz bankadakisiniz” dedi. Poşetlerini aldın, bankacı olarak çıktın.</t>
        </is>
      </c>
      <c r="K1586" s="6" t="inlineStr">
        <is>
          <t>Teyze seni başka dizideki kötü karakter sandı: “O garibanı evden kovan sen değil misin?” Sırada kendini savundun; kasiyer de teyzeden yana çıktı. Ekmeği almadan çıktın.</t>
        </is>
      </c>
      <c r="L1586" s="6" t="inlineStr"/>
      <c r="M1586" s="5" t="inlineStr"/>
      <c r="N1586" s="5" t="inlineStr"/>
      <c r="O1586" s="6" t="inlineStr"/>
      <c r="P1586" s="6" t="inlineStr"/>
      <c r="Q1586" s="5" t="inlineStr"/>
      <c r="R1586" s="5" t="inlineStr"/>
      <c r="S1586" s="5" t="inlineStr"/>
      <c r="T1586" s="5" t="inlineStr"/>
      <c r="U1586" s="5" t="inlineStr"/>
      <c r="V1586" s="5" t="inlineStr"/>
      <c r="W1586" s="5" t="inlineStr"/>
      <c r="X1586" s="5" t="inlineStr"/>
      <c r="Y1586" s="5" t="inlineStr"/>
      <c r="Z1586" s="6" t="inlineStr"/>
      <c r="AA1586" s="5" t="inlineStr"/>
      <c r="AB1586" s="5" t="inlineStr"/>
      <c r="AC1586" s="5" t="inlineStr"/>
      <c r="AD1586" s="5" t="inlineStr"/>
      <c r="AE1586" s="5" t="inlineStr"/>
      <c r="AF1586" s="5" t="inlineStr"/>
      <c r="AG1586" s="5" t="inlineStr"/>
      <c r="AH1586" s="5" t="inlineStr"/>
      <c r="AI1586" s="5" t="inlineStr"/>
      <c r="AJ1586" s="5" t="inlineStr"/>
    </row>
    <row r="1587">
      <c r="A1587" s="5" t="inlineStr">
        <is>
          <t>b7-sohret-taninma</t>
        </is>
      </c>
      <c r="B1587" s="5" t="n">
        <v>3</v>
      </c>
      <c r="C1587" s="6" t="inlineStr">
        <is>
          <t>Sırayı imza dağıtarak hızlandır</t>
        </is>
      </c>
      <c r="D1587" s="5" t="inlineStr">
        <is>
          <t>Sosyal Radar</t>
        </is>
      </c>
      <c r="E1587" s="5" t="inlineStr">
        <is>
          <t>Orta</t>
        </is>
      </c>
      <c r="F1587" s="5" t="inlineStr"/>
      <c r="G1587" s="6" t="inlineStr"/>
      <c r="H1587" s="6" t="inlineStr">
        <is>
          <t>Fişlerin arkasını imzaladın. Sıra hızlandı, herkes mutlu. Kasiyer imzalı fişi vitrine astı.</t>
        </is>
      </c>
      <c r="I1587" s="6" t="inlineStr">
        <is>
          <t>İmza dağıtırken kasiyerin de oyuncu olmak istediğini öğrendin, yapımcıya önerdin. Seçildi. Mahallenin ikinci ünlüsü senin keşfin.</t>
        </is>
      </c>
      <c r="J1587" s="6" t="inlineStr">
        <is>
          <t>Bir amca imzayı fişin önüne attırdı; fiş geçersiz oldu. İade kuyruğu senden sorumlu.</t>
        </is>
      </c>
      <c r="K1587" s="6" t="inlineStr">
        <is>
          <t>Kalemin mürekkebi patladı, teyzenin paltosu lekelendi. Deterjan reklamlarındaki gibi çıkmadı.</t>
        </is>
      </c>
      <c r="L1587" s="6" t="inlineStr"/>
      <c r="M1587" s="5" t="inlineStr"/>
      <c r="N1587" s="5" t="inlineStr"/>
      <c r="O1587" s="6" t="inlineStr"/>
      <c r="P1587" s="6" t="inlineStr"/>
      <c r="Q1587" s="5" t="inlineStr"/>
      <c r="R1587" s="5" t="inlineStr"/>
      <c r="S1587" s="5" t="inlineStr"/>
      <c r="T1587" s="5" t="inlineStr"/>
      <c r="U1587" s="5" t="inlineStr"/>
      <c r="V1587" s="5" t="inlineStr"/>
      <c r="W1587" s="5" t="inlineStr"/>
      <c r="X1587" s="5" t="inlineStr"/>
      <c r="Y1587" s="5" t="inlineStr"/>
      <c r="Z1587" s="6" t="inlineStr"/>
      <c r="AA1587" s="5" t="inlineStr"/>
      <c r="AB1587" s="5" t="inlineStr"/>
      <c r="AC1587" s="5" t="inlineStr"/>
      <c r="AD1587" s="5" t="inlineStr"/>
      <c r="AE1587" s="5" t="inlineStr"/>
      <c r="AF1587" s="5" t="inlineStr"/>
      <c r="AG1587" s="5" t="inlineStr"/>
      <c r="AH1587" s="5" t="inlineStr"/>
      <c r="AI1587" s="5" t="inlineStr"/>
      <c r="AJ1587" s="5" t="inlineStr"/>
    </row>
    <row r="1588">
      <c r="A1588" s="5" t="inlineStr">
        <is>
          <t>b7-sohret-taninma</t>
        </is>
      </c>
      <c r="B1588" s="5" t="n">
        <v>4</v>
      </c>
      <c r="C1588" s="6" t="inlineStr">
        <is>
          <t>Canlı yayın aç, kasa sırasını yayına al</t>
        </is>
      </c>
      <c r="D1588" s="5" t="inlineStr">
        <is>
          <t>Pişkinlik</t>
        </is>
      </c>
      <c r="E1588" s="5" t="inlineStr">
        <is>
          <t>Zor</t>
        </is>
      </c>
      <c r="F1588" s="5" t="inlineStr"/>
      <c r="G1588" s="6" t="inlineStr"/>
      <c r="H1588" s="6" t="inlineStr">
        <is>
          <t>Kırk bin kişi kasa sırasını canlı izledi. Teyze yorumlarda tanındı; damadı da kendini gösterdi.</t>
        </is>
      </c>
      <c r="I1588" s="6" t="inlineStr">
        <is>
          <t>Yayın o kadar izlendi ki market zinciri seni “kasa sırası elçisi” yaptı. Sıra artık senin için bekliyor.</t>
        </is>
      </c>
      <c r="J1588" s="6" t="inlineStr">
        <is>
          <t>Yayını açtın; marketin interneti çekmedi. Ekranda dönen bir daire, sırada tek başına telefona konuşan sen. Teyze kasiyere eğildi: “Dizide değil bu, belli.”</t>
        </is>
      </c>
      <c r="K1588" s="6" t="inlineStr">
        <is>
          <t>Yayında teyze sana hayat dersi verdi; yorumlar onu tuttu. Teyzenin artık senden çok takipçisi var.</t>
        </is>
      </c>
      <c r="L1588" s="6" t="inlineStr"/>
      <c r="M1588" s="5" t="inlineStr"/>
      <c r="N1588" s="5" t="inlineStr"/>
      <c r="O1588" s="6" t="inlineStr"/>
      <c r="P1588" s="6" t="inlineStr"/>
      <c r="Q1588" s="5" t="inlineStr"/>
      <c r="R1588" s="5" t="inlineStr">
        <is>
          <t>fenomen</t>
        </is>
      </c>
      <c r="S1588" s="5" t="inlineStr"/>
      <c r="T1588" s="5" t="inlineStr">
        <is>
          <t>Odayı Okur</t>
        </is>
      </c>
      <c r="U1588" s="5" t="inlineStr"/>
      <c r="V1588" s="5" t="inlineStr"/>
      <c r="W1588" s="5" t="inlineStr"/>
      <c r="X1588" s="5" t="inlineStr"/>
      <c r="Y1588" s="5" t="inlineStr"/>
      <c r="Z1588" s="6" t="inlineStr"/>
      <c r="AA1588" s="5" t="inlineStr"/>
      <c r="AB1588" s="5" t="inlineStr"/>
      <c r="AC1588" s="5" t="inlineStr"/>
      <c r="AD1588" s="5" t="inlineStr"/>
      <c r="AE1588" s="5" t="inlineStr"/>
      <c r="AF1588" s="5" t="inlineStr"/>
      <c r="AG1588" s="5" t="inlineStr"/>
      <c r="AH1588" s="5" t="inlineStr"/>
      <c r="AI1588" s="5" t="inlineStr"/>
      <c r="AJ1588" s="5" t="inlineStr"/>
    </row>
    <row r="1589">
      <c r="A1589" s="5" t="inlineStr">
        <is>
          <t>b8-sohret-kapak</t>
        </is>
      </c>
      <c r="B1589" s="5" t="n">
        <v>1</v>
      </c>
      <c r="C1589" s="6" t="inlineStr">
        <is>
          <t>Başlığı editöre bırak</t>
        </is>
      </c>
      <c r="D1589" s="5" t="inlineStr"/>
      <c r="E1589" s="5" t="inlineStr"/>
      <c r="F1589" s="5" t="inlineStr">
        <is>
          <t>Dayanıklılık +1</t>
        </is>
      </c>
      <c r="G1589" s="6" t="inlineStr">
        <is>
          <t>Başlık çıktı: “Hiç bu kadar samimi olmamıştı.” Röportajda üç cümle kurdun; ikisi senin değil.</t>
        </is>
      </c>
      <c r="H1589" s="6" t="inlineStr"/>
      <c r="I1589" s="6" t="inlineStr"/>
      <c r="J1589" s="6" t="inlineStr"/>
      <c r="K1589" s="6" t="inlineStr"/>
      <c r="L1589" s="6" t="inlineStr"/>
      <c r="M1589" s="5" t="inlineStr"/>
      <c r="N1589" s="5" t="inlineStr"/>
      <c r="O1589" s="6" t="inlineStr"/>
      <c r="P1589" s="6" t="inlineStr"/>
      <c r="Q1589" s="5" t="inlineStr"/>
      <c r="R1589" s="5" t="inlineStr"/>
      <c r="S1589" s="5" t="inlineStr"/>
      <c r="T1589" s="5" t="inlineStr"/>
      <c r="U1589" s="5" t="inlineStr">
        <is>
          <t>sohret-kapak-oldu</t>
        </is>
      </c>
      <c r="V1589" s="5" t="inlineStr"/>
      <c r="W1589" s="5" t="inlineStr"/>
      <c r="X1589" s="5" t="inlineStr"/>
      <c r="Y1589" s="5" t="inlineStr"/>
      <c r="Z1589" s="6" t="inlineStr"/>
      <c r="AA1589" s="5" t="inlineStr"/>
      <c r="AB1589" s="5" t="inlineStr"/>
      <c r="AC1589" s="5" t="inlineStr"/>
      <c r="AD1589" s="5" t="inlineStr"/>
      <c r="AE1589" s="5" t="inlineStr"/>
      <c r="AF1589" s="5" t="inlineStr"/>
      <c r="AG1589" s="5" t="inlineStr"/>
      <c r="AH1589" s="5" t="inlineStr"/>
      <c r="AI1589" s="5" t="inlineStr"/>
      <c r="AJ1589" s="5" t="inlineStr"/>
    </row>
    <row r="1590">
      <c r="A1590" s="5" t="inlineStr">
        <is>
          <t>b8-sohret-kapak</t>
        </is>
      </c>
      <c r="B1590" s="5" t="n">
        <v>2</v>
      </c>
      <c r="C1590" s="6" t="inlineStr">
        <is>
          <t>Röportajda itiraf gibi bir şey söyle</t>
        </is>
      </c>
      <c r="D1590" s="5" t="inlineStr">
        <is>
          <t>Pişkinlik</t>
        </is>
      </c>
      <c r="E1590" s="5" t="inlineStr">
        <is>
          <t>Orta</t>
        </is>
      </c>
      <c r="F1590" s="5" t="inlineStr"/>
      <c r="G1590" s="6" t="inlineStr"/>
      <c r="H1590" s="6" t="inlineStr">
        <is>
          <t>“Aslında çok utangacım” dedin. Başlık bu oldu. Dergi tükendi; utangaçlığın kırk bin nüsha sattı.</t>
        </is>
      </c>
      <c r="I1590" s="6" t="inlineStr">
        <is>
          <t>İtirafın o kadar konuşuldu ki bütün akşam programları seni istedi. Utangaçlık turuna çıktın, her kanalda.</t>
        </is>
      </c>
      <c r="J1590" s="6" t="inlineStr">
        <is>
          <t>İtiraf gibi bir şey söyledin ama editör anlamadı. Başlık: “Yeni projeler yolda.” Yolda olan yok.</t>
        </is>
      </c>
      <c r="K1590" s="6" t="inlineStr">
        <is>
          <t>İtiraf diye çocukken komşunun erik ağacına tırmandığını anlattın. Komşu teyze dergiyi okudu, mahalleye gösterdi, sonra aradı: “Otuz beş yıldır kim yaptı diye merak ediyordum. Eriklerimi faiziyle isterim.”</t>
        </is>
      </c>
      <c r="L1590" s="6" t="inlineStr"/>
      <c r="M1590" s="5" t="inlineStr"/>
      <c r="N1590" s="5" t="inlineStr"/>
      <c r="O1590" s="6" t="inlineStr"/>
      <c r="P1590" s="6" t="inlineStr"/>
      <c r="Q1590" s="5" t="inlineStr"/>
      <c r="R1590" s="5" t="inlineStr"/>
      <c r="S1590" s="5" t="inlineStr"/>
      <c r="T1590" s="5" t="inlineStr"/>
      <c r="U1590" s="5" t="inlineStr"/>
      <c r="V1590" s="5" t="inlineStr">
        <is>
          <t>sohret-kapak-oldu</t>
        </is>
      </c>
      <c r="W1590" s="5" t="inlineStr"/>
      <c r="X1590" s="5" t="inlineStr"/>
      <c r="Y1590" s="5" t="inlineStr"/>
      <c r="Z1590" s="6" t="inlineStr"/>
      <c r="AA1590" s="5" t="inlineStr"/>
      <c r="AB1590" s="5" t="inlineStr"/>
      <c r="AC1590" s="5" t="inlineStr"/>
      <c r="AD1590" s="5" t="inlineStr"/>
      <c r="AE1590" s="5" t="inlineStr"/>
      <c r="AF1590" s="5" t="inlineStr"/>
      <c r="AG1590" s="5" t="inlineStr"/>
      <c r="AH1590" s="5" t="inlineStr"/>
      <c r="AI1590" s="5" t="inlineStr">
        <is>
          <t>Erik Hırsızı</t>
        </is>
      </c>
      <c r="AJ1590" s="5" t="inlineStr"/>
    </row>
    <row r="1591">
      <c r="A1591" s="5" t="inlineStr">
        <is>
          <t>b8-sohret-kapak</t>
        </is>
      </c>
      <c r="B1591" s="5" t="n">
        <v>3</v>
      </c>
      <c r="C1591" s="6" t="inlineStr">
        <is>
          <t>Fotoğrafçıya doğal pozu sen göster</t>
        </is>
      </c>
      <c r="D1591" s="5" t="inlineStr">
        <is>
          <t>Sosyal Radar</t>
        </is>
      </c>
      <c r="E1591" s="5" t="inlineStr">
        <is>
          <t>Zor</t>
        </is>
      </c>
      <c r="F1591" s="5" t="inlineStr"/>
      <c r="G1591" s="6" t="inlineStr"/>
      <c r="H1591" s="6" t="inlineStr">
        <is>
          <t>Ceketlerin ikisini çıkardın, balkonda çay içerken çekildin. Kapak “yılın en doğal kapağı” seçildi; çay soğudu.</t>
        </is>
      </c>
      <c r="I1591" s="6" t="inlineStr">
        <is>
          <t>Balkon fotoğrafı öyle sevildi ki ceketin markası sana teşekkür yazdı; o ceketi giymemişken. Stilist küs.</t>
        </is>
      </c>
      <c r="J1591" s="6" t="inlineStr">
        <is>
          <t>Pozu gösterdin; fotoğrafçı “Bu doğal değil, yorgun” dedi. Üç ceketle çekildin; kapakta terlisin.</t>
        </is>
      </c>
      <c r="K1591" s="6" t="inlineStr">
        <is>
          <t>Doğal olmak için ceketlerin üçünü de çıkardın; kapağa evde giydiğin delik tişörtle çıktın. Annen dergileri topluyor, komşular buluyor.</t>
        </is>
      </c>
      <c r="L1591" s="6" t="inlineStr"/>
      <c r="M1591" s="5" t="inlineStr"/>
      <c r="N1591" s="5" t="inlineStr"/>
      <c r="O1591" s="6" t="inlineStr"/>
      <c r="P1591" s="6" t="inlineStr"/>
      <c r="Q1591" s="5" t="inlineStr"/>
      <c r="R1591" s="5" t="inlineStr"/>
      <c r="S1591" s="5" t="inlineStr"/>
      <c r="T1591" s="5" t="inlineStr">
        <is>
          <t>Odayı Okur</t>
        </is>
      </c>
      <c r="U1591" s="5" t="inlineStr"/>
      <c r="V1591" s="5" t="inlineStr">
        <is>
          <t>sohret-kapak-oldu</t>
        </is>
      </c>
      <c r="W1591" s="5" t="inlineStr"/>
      <c r="X1591" s="5" t="inlineStr"/>
      <c r="Y1591" s="5" t="inlineStr"/>
      <c r="Z1591" s="6" t="inlineStr"/>
      <c r="AA1591" s="5" t="inlineStr"/>
      <c r="AB1591" s="5" t="inlineStr"/>
      <c r="AC1591" s="5" t="inlineStr"/>
      <c r="AD1591" s="5" t="inlineStr"/>
      <c r="AE1591" s="5" t="inlineStr"/>
      <c r="AF1591" s="5" t="inlineStr"/>
      <c r="AG1591" s="5" t="inlineStr"/>
      <c r="AH1591" s="5" t="inlineStr"/>
      <c r="AI1591" s="5" t="inlineStr"/>
      <c r="AJ1591" s="5" t="inlineStr"/>
    </row>
    <row r="1592">
      <c r="A1592" s="5" t="inlineStr">
        <is>
          <t>b8-sohret-program</t>
        </is>
      </c>
      <c r="B1592" s="5" t="n">
        <v>1</v>
      </c>
      <c r="C1592" s="6" t="inlineStr">
        <is>
          <t>İlk konuk olarak anneni çağır</t>
        </is>
      </c>
      <c r="D1592" s="5" t="inlineStr"/>
      <c r="E1592" s="5" t="inlineStr"/>
      <c r="F1592" s="5" t="inlineStr">
        <is>
          <t>Sosyal Radar +1, Gönül +1</t>
        </is>
      </c>
      <c r="G1592" s="6" t="inlineStr">
        <is>
          <t>Annen stüdyoya börekle geldi, çocukluğunu anlattı. Reyting iyi; ikinci bölüme de o gelmek istiyor, börekle.</t>
        </is>
      </c>
      <c r="H1592" s="6" t="inlineStr"/>
      <c r="I1592" s="6" t="inlineStr"/>
      <c r="J1592" s="6" t="inlineStr"/>
      <c r="K1592" s="6" t="inlineStr"/>
      <c r="L1592" s="6" t="inlineStr"/>
      <c r="M1592" s="5" t="inlineStr"/>
      <c r="N1592" s="5" t="inlineStr"/>
      <c r="O1592" s="6" t="inlineStr"/>
      <c r="P1592" s="6" t="inlineStr"/>
      <c r="Q1592" s="5" t="inlineStr"/>
      <c r="R1592" s="5" t="inlineStr"/>
      <c r="S1592" s="5" t="inlineStr"/>
      <c r="T1592" s="5" t="inlineStr"/>
      <c r="U1592" s="5" t="inlineStr"/>
      <c r="V1592" s="5" t="inlineStr"/>
      <c r="W1592" s="5" t="inlineStr"/>
      <c r="X1592" s="5" t="inlineStr"/>
      <c r="Y1592" s="5" t="inlineStr"/>
      <c r="Z1592" s="6" t="inlineStr"/>
      <c r="AA1592" s="5" t="inlineStr"/>
      <c r="AB1592" s="5" t="inlineStr"/>
      <c r="AC1592" s="5" t="inlineStr"/>
      <c r="AD1592" s="5" t="inlineStr"/>
      <c r="AE1592" s="5" t="inlineStr"/>
      <c r="AF1592" s="5" t="inlineStr"/>
      <c r="AG1592" s="5" t="inlineStr"/>
      <c r="AH1592" s="5" t="inlineStr"/>
      <c r="AI1592" s="5" t="inlineStr"/>
      <c r="AJ1592" s="5" t="inlineStr"/>
    </row>
    <row r="1593">
      <c r="A1593" s="5" t="inlineStr">
        <is>
          <t>b8-sohret-program</t>
        </is>
      </c>
      <c r="B1593" s="5" t="n">
        <v>2</v>
      </c>
      <c r="C1593" s="6" t="inlineStr">
        <is>
          <t>Konuğu sert sorularla sıkıştır</t>
        </is>
      </c>
      <c r="D1593" s="5" t="inlineStr">
        <is>
          <t>Cesaret</t>
        </is>
      </c>
      <c r="E1593" s="5" t="inlineStr">
        <is>
          <t>Orta</t>
        </is>
      </c>
      <c r="F1593" s="5" t="inlineStr"/>
      <c r="G1593" s="6" t="inlineStr"/>
      <c r="H1593" s="6" t="inlineStr">
        <is>
          <t>Konuğun ter döktü, reyting yükseldi. Programın adı “Sıcak Koltuk” oldu; koltuk gerçekten ısınıyor.</t>
        </is>
      </c>
      <c r="I1593" s="6" t="inlineStr">
        <is>
          <t>Sert sorun ertesi gün bütün sabah programlarında konuşuldu. Kanal seni hafta sonuna da istiyor; hafta sonun gidiyor.</t>
        </is>
      </c>
      <c r="J1593" s="6" t="inlineStr">
        <is>
          <t>Sert soruyu sordun; konuk güldü, cevap vermedi. Kalan yarım saati sehpadaki suyu yudumlayarak doldurdun.</t>
        </is>
      </c>
      <c r="K1593" s="6" t="inlineStr">
        <is>
          <t>Sert soruyu sordun; konuk canlı yayında ağlamaya başladı. Peçeteyi ona sen uzattın, kamera da seni çekti. Yayın bitmeden annen aradı: “Ayıp ettin.”</t>
        </is>
      </c>
      <c r="L1593" s="6" t="inlineStr"/>
      <c r="M1593" s="5" t="inlineStr"/>
      <c r="N1593" s="5" t="inlineStr"/>
      <c r="O1593" s="6" t="inlineStr"/>
      <c r="P1593" s="6" t="inlineStr"/>
      <c r="Q1593" s="5" t="inlineStr"/>
      <c r="R1593" s="5" t="inlineStr"/>
      <c r="S1593" s="5" t="inlineStr"/>
      <c r="T1593" s="5" t="inlineStr"/>
      <c r="U1593" s="5" t="inlineStr"/>
      <c r="V1593" s="5" t="inlineStr"/>
      <c r="W1593" s="5" t="inlineStr"/>
      <c r="X1593" s="5" t="inlineStr"/>
      <c r="Y1593" s="5" t="inlineStr"/>
      <c r="Z1593" s="6" t="inlineStr"/>
      <c r="AA1593" s="5" t="inlineStr"/>
      <c r="AB1593" s="5" t="inlineStr"/>
      <c r="AC1593" s="5" t="inlineStr"/>
      <c r="AD1593" s="5" t="inlineStr"/>
      <c r="AE1593" s="5" t="inlineStr"/>
      <c r="AF1593" s="5" t="inlineStr"/>
      <c r="AG1593" s="5" t="inlineStr"/>
      <c r="AH1593" s="5" t="inlineStr"/>
      <c r="AI1593" s="5" t="inlineStr"/>
      <c r="AJ1593" s="5" t="inlineStr"/>
    </row>
    <row r="1594">
      <c r="A1594" s="5" t="inlineStr">
        <is>
          <t>b8-sohret-program</t>
        </is>
      </c>
      <c r="B1594" s="5" t="n">
        <v>3</v>
      </c>
      <c r="C1594" s="6" t="inlineStr">
        <is>
          <t>Programı kendi hikâyenle aç</t>
        </is>
      </c>
      <c r="D1594" s="5" t="inlineStr">
        <is>
          <t>Pişkinlik</t>
        </is>
      </c>
      <c r="E1594" s="5" t="inlineStr">
        <is>
          <t>Zor</t>
        </is>
      </c>
      <c r="F1594" s="5" t="inlineStr"/>
      <c r="G1594" s="6" t="inlineStr"/>
      <c r="H1594" s="6" t="inlineStr">
        <is>
          <t>Hayatını on dakikada anlattın; stüdyo sustu, sonra alkışladı. Program tuttu. Sahte kütüphaneye gerçek kitaplar geldi.</t>
        </is>
      </c>
      <c r="I1594" s="6" t="inlineStr">
        <is>
          <t>İlk bölümden sonra sokakta insanlar seni durdurup dert anlatmaya başladı: bakkal veresiye defterini, komşu kayınvalidesini. Kanal ikinci sezonun adını koydu: “Bir Derdim Var.”</t>
        </is>
      </c>
      <c r="J1594" s="6" t="inlineStr">
        <is>
          <t>Hikâyeni anlattın; reji tam o sırada reklama girdi. İzleyici sonunu bilmiyor, sen de artık hatırlamıyorsun.</t>
        </is>
      </c>
      <c r="K1594" s="6" t="inlineStr">
        <is>
          <t>Anlatırken sahte kütüphaneye yaslandın; kütüphane devrildi, kitapların hepsi kartonmuş. Kamera hepsini çekti. Program o günden beri jenerikte bu anla açılıyor.</t>
        </is>
      </c>
      <c r="L1594" s="6" t="inlineStr"/>
      <c r="M1594" s="5" t="inlineStr"/>
      <c r="N1594" s="5" t="inlineStr"/>
      <c r="O1594" s="6" t="inlineStr"/>
      <c r="P1594" s="6" t="inlineStr"/>
      <c r="Q1594" s="5" t="inlineStr"/>
      <c r="R1594" s="5" t="inlineStr"/>
      <c r="S1594" s="5" t="inlineStr"/>
      <c r="T1594" s="5" t="inlineStr">
        <is>
          <t>Son Sözü Söyler</t>
        </is>
      </c>
      <c r="U1594" s="5" t="inlineStr"/>
      <c r="V1594" s="5" t="inlineStr"/>
      <c r="W1594" s="5" t="inlineStr"/>
      <c r="X1594" s="5" t="inlineStr"/>
      <c r="Y1594" s="5" t="inlineStr"/>
      <c r="Z1594" s="6" t="inlineStr"/>
      <c r="AA1594" s="5" t="inlineStr"/>
      <c r="AB1594" s="5" t="inlineStr"/>
      <c r="AC1594" s="5" t="inlineStr"/>
      <c r="AD1594" s="5" t="inlineStr"/>
      <c r="AE1594" s="5" t="inlineStr"/>
      <c r="AF1594" s="5" t="inlineStr"/>
      <c r="AG1594" s="5" t="inlineStr"/>
      <c r="AH1594" s="5" t="inlineStr"/>
      <c r="AI1594" s="5" t="inlineStr"/>
      <c r="AJ1594" s="5" t="inlineStr"/>
    </row>
    <row r="1595">
      <c r="A1595" s="5" t="inlineStr">
        <is>
          <t>b8-sohret-program</t>
        </is>
      </c>
      <c r="B1595" s="5" t="n">
        <v>4</v>
      </c>
      <c r="C1595" s="6" t="inlineStr">
        <is>
          <t>Seyirciyle şarkı söyleyerek aç</t>
        </is>
      </c>
      <c r="D1595" s="5" t="inlineStr">
        <is>
          <t>Sosyal Radar</t>
        </is>
      </c>
      <c r="E1595" s="5" t="inlineStr">
        <is>
          <t>Orta</t>
        </is>
      </c>
      <c r="F1595" s="5" t="inlineStr"/>
      <c r="G1595" s="6" t="inlineStr"/>
      <c r="H1595" s="6" t="inlineStr">
        <is>
          <t>Açılışta seyirciyle şarkı söyledin. Program müzikli sohbete döndü; konuklar gelmeden önce ses açıyor.</t>
        </is>
      </c>
      <c r="I1595" s="6" t="inlineStr">
        <is>
          <t>Açılış şarkın o kadar sevildi ki düğünlerde çalınıyor. Düğünlere davet ediliyorsun; gelinle damat seni tanımıyor.</t>
        </is>
      </c>
      <c r="J1595" s="6" t="inlineStr">
        <is>
          <t>Seyirci şarkıyı bilmiyordu; tek başına söyledin. Reji sesini kıstı, alkış da kısık geldi.</t>
        </is>
      </c>
      <c r="K1595" s="6" t="inlineStr">
        <is>
          <t>Şarkıya yanlış tondan girdin; orkestra nezaketen seni takip etti, seyirci etmedi. Ertesi hafta orkestra gelmedi; program o günden beri yalnızca senin sesinle açılıyor.</t>
        </is>
      </c>
      <c r="L1595" s="6" t="inlineStr"/>
      <c r="M1595" s="5" t="inlineStr"/>
      <c r="N1595" s="5" t="inlineStr"/>
      <c r="O1595" s="6" t="inlineStr"/>
      <c r="P1595" s="6" t="inlineStr"/>
      <c r="Q1595" s="5" t="inlineStr">
        <is>
          <t>Sahne Sever</t>
        </is>
      </c>
      <c r="R1595" s="5" t="inlineStr"/>
      <c r="S1595" s="5" t="inlineStr"/>
      <c r="T1595" s="5" t="inlineStr"/>
      <c r="U1595" s="5" t="inlineStr"/>
      <c r="V1595" s="5" t="inlineStr"/>
      <c r="W1595" s="5" t="inlineStr"/>
      <c r="X1595" s="5" t="inlineStr"/>
      <c r="Y1595" s="5" t="inlineStr"/>
      <c r="Z1595" s="6" t="inlineStr"/>
      <c r="AA1595" s="5" t="inlineStr"/>
      <c r="AB1595" s="5" t="inlineStr"/>
      <c r="AC1595" s="5" t="inlineStr"/>
      <c r="AD1595" s="5" t="inlineStr"/>
      <c r="AE1595" s="5" t="inlineStr"/>
      <c r="AF1595" s="5" t="inlineStr"/>
      <c r="AG1595" s="5" t="inlineStr"/>
      <c r="AH1595" s="5" t="inlineStr"/>
      <c r="AI1595" s="5" t="inlineStr"/>
      <c r="AJ1595" s="5" t="inlineStr"/>
    </row>
    <row r="1596">
      <c r="A1596" s="5" t="inlineStr">
        <is>
          <t>b9-sohret-juri</t>
        </is>
      </c>
      <c r="B1596" s="5" t="n">
        <v>1</v>
      </c>
      <c r="C1596" s="6" t="inlineStr">
        <is>
          <t>Nazikçe düzelt, puanını ver</t>
        </is>
      </c>
      <c r="D1596" s="5" t="inlineStr"/>
      <c r="E1596" s="5" t="inlineStr"/>
      <c r="F1596" s="5" t="inlineStr">
        <is>
          <t>İtibar +1, Akıl +1</t>
        </is>
      </c>
      <c r="G1596" s="6" t="inlineStr">
        <is>
          <t>Repliği düzelttin; yarışmacı teşekkür etti, yine yanlış okudu. Puanını verdin. Yirmi beş yıl önce seni de kimse düzeltmemişti.</t>
        </is>
      </c>
      <c r="H1596" s="6" t="inlineStr"/>
      <c r="I1596" s="6" t="inlineStr"/>
      <c r="J1596" s="6" t="inlineStr"/>
      <c r="K1596" s="6" t="inlineStr"/>
      <c r="L1596" s="6" t="inlineStr"/>
      <c r="M1596" s="5" t="inlineStr"/>
      <c r="N1596" s="5" t="inlineStr"/>
      <c r="O1596" s="6" t="inlineStr"/>
      <c r="P1596" s="6" t="inlineStr"/>
      <c r="Q1596" s="5" t="inlineStr"/>
      <c r="R1596" s="5" t="inlineStr"/>
      <c r="S1596" s="5" t="inlineStr"/>
      <c r="T1596" s="5" t="inlineStr"/>
      <c r="U1596" s="5" t="inlineStr"/>
      <c r="V1596" s="5" t="inlineStr"/>
      <c r="W1596" s="5" t="inlineStr"/>
      <c r="X1596" s="5" t="inlineStr"/>
      <c r="Y1596" s="5" t="inlineStr"/>
      <c r="Z1596" s="6" t="inlineStr"/>
      <c r="AA1596" s="5" t="inlineStr"/>
      <c r="AB1596" s="5" t="inlineStr"/>
      <c r="AC1596" s="5" t="inlineStr"/>
      <c r="AD1596" s="5" t="inlineStr"/>
      <c r="AE1596" s="5" t="inlineStr"/>
      <c r="AF1596" s="5" t="inlineStr"/>
      <c r="AG1596" s="5" t="inlineStr"/>
      <c r="AH1596" s="5" t="inlineStr"/>
      <c r="AI1596" s="5" t="inlineStr"/>
      <c r="AJ1596" s="5" t="inlineStr"/>
    </row>
    <row r="1597">
      <c r="A1597" s="5" t="inlineStr">
        <is>
          <t>b9-sohret-juri</t>
        </is>
      </c>
      <c r="B1597" s="5" t="n">
        <v>2</v>
      </c>
      <c r="C1597" s="6" t="inlineStr">
        <is>
          <t>Sert jüri ol, masaya damga vur</t>
        </is>
      </c>
      <c r="D1597" s="5" t="inlineStr">
        <is>
          <t>Pişkinlik</t>
        </is>
      </c>
      <c r="E1597" s="5" t="inlineStr">
        <is>
          <t>Orta</t>
        </is>
      </c>
      <c r="F1597" s="5" t="inlineStr"/>
      <c r="G1597" s="6" t="inlineStr"/>
      <c r="H1597" s="6" t="inlineStr">
        <is>
          <t>“Bu replik senin değil, benim” dedin. Salon alkışladı. Program sana “Demir Jüri” dedi; mahallenin çocukları seni sokakta bu adla çağırıyor.</t>
        </is>
      </c>
      <c r="I1597" s="6" t="inlineStr">
        <is>
          <t>Sert yorumun kısa video uygulamasında milyonlarca izlendi. Gençler seni ilk kez tanıdı, eski dizini baştan izliyorlar.</t>
        </is>
      </c>
      <c r="J1597" s="6" t="inlineStr">
        <is>
          <t>Sert konuştun; yarışmacı ağladı, seyirci onu tuttu. Program seni “duygusuz jüri” diye tanıtmaya başladı.</t>
        </is>
      </c>
      <c r="K1597" s="6" t="inlineStr">
        <is>
          <t>Ayağa kalkarken mikrofon kablosuna takıldın, jüri masasını devirdin. Program o anı her bölümün jeneriğine koydu; mahallede çocuklar oyun oynarken masa devirip senin adını bağırıyor.</t>
        </is>
      </c>
      <c r="L1597" s="6" t="inlineStr"/>
      <c r="M1597" s="5" t="inlineStr"/>
      <c r="N1597" s="5" t="inlineStr"/>
      <c r="O1597" s="6" t="inlineStr"/>
      <c r="P1597" s="6" t="inlineStr"/>
      <c r="Q1597" s="5" t="inlineStr"/>
      <c r="R1597" s="5" t="inlineStr"/>
      <c r="S1597" s="5" t="inlineStr"/>
      <c r="T1597" s="5" t="inlineStr"/>
      <c r="U1597" s="5" t="inlineStr"/>
      <c r="V1597" s="5" t="inlineStr"/>
      <c r="W1597" s="5" t="inlineStr"/>
      <c r="X1597" s="5" t="inlineStr"/>
      <c r="Y1597" s="5" t="inlineStr"/>
      <c r="Z1597" s="6" t="inlineStr"/>
      <c r="AA1597" s="5" t="inlineStr"/>
      <c r="AB1597" s="5" t="inlineStr"/>
      <c r="AC1597" s="5" t="inlineStr"/>
      <c r="AD1597" s="5" t="inlineStr"/>
      <c r="AE1597" s="5" t="inlineStr"/>
      <c r="AF1597" s="5" t="inlineStr"/>
      <c r="AG1597" s="5" t="inlineStr"/>
      <c r="AH1597" s="5" t="inlineStr"/>
      <c r="AI1597" s="5" t="inlineStr"/>
      <c r="AJ1597" s="5" t="inlineStr"/>
    </row>
    <row r="1598">
      <c r="A1598" s="5" t="inlineStr">
        <is>
          <t>b9-sohret-juri</t>
        </is>
      </c>
      <c r="B1598" s="5" t="n">
        <v>3</v>
      </c>
      <c r="C1598" s="6" t="inlineStr">
        <is>
          <t>“Nerede O Eski Yıldızlar”da anılarını anlat</t>
        </is>
      </c>
      <c r="D1598" s="5" t="inlineStr">
        <is>
          <t>Sosyal Radar</t>
        </is>
      </c>
      <c r="E1598" s="5" t="inlineStr">
        <is>
          <t>Orta</t>
        </is>
      </c>
      <c r="F1598" s="5" t="inlineStr"/>
      <c r="G1598" s="6" t="inlineStr"/>
      <c r="H1598" s="6" t="inlineStr">
        <is>
          <t>Eski setleri anlattın; stüdyo kahkahaya boğuldu. Eski rol arkadaşların aradı, bir araya gelme planı yapılıyor.</t>
        </is>
      </c>
      <c r="I1598" s="6" t="inlineStr">
        <is>
          <t>Anıların öyle sevildi ki eski dizinin devamı çekilecek. Rolün aynı, bu sefer torunlu; yapımcı yine sandviç yiyor.</t>
        </is>
      </c>
      <c r="J1598" s="6" t="inlineStr">
        <is>
          <t>Anılarını anlattın; sunucu her cümlenin ortasında reklama girdi. Hiçbir anı bitmedi.</t>
        </is>
      </c>
      <c r="K1598" s="6" t="inlineStr">
        <is>
          <t>Anlattığın anı başka bir oyuncuya aitmiş; o da izliyormuş. Ertesi gün canlı bağlandı, düzeltti.</t>
        </is>
      </c>
      <c r="L1598" s="6" t="inlineStr"/>
      <c r="M1598" s="5" t="inlineStr"/>
      <c r="N1598" s="5" t="inlineStr"/>
      <c r="O1598" s="6" t="inlineStr"/>
      <c r="P1598" s="6" t="inlineStr"/>
      <c r="Q1598" s="5" t="inlineStr"/>
      <c r="R1598" s="5" t="inlineStr"/>
      <c r="S1598" s="5" t="inlineStr"/>
      <c r="T1598" s="5" t="inlineStr"/>
      <c r="U1598" s="5" t="inlineStr"/>
      <c r="V1598" s="5" t="inlineStr"/>
      <c r="W1598" s="5" t="inlineStr"/>
      <c r="X1598" s="5" t="inlineStr"/>
      <c r="Y1598" s="5" t="inlineStr"/>
      <c r="Z1598" s="6" t="inlineStr"/>
      <c r="AA1598" s="5" t="inlineStr"/>
      <c r="AB1598" s="5" t="inlineStr"/>
      <c r="AC1598" s="5" t="inlineStr"/>
      <c r="AD1598" s="5" t="inlineStr"/>
      <c r="AE1598" s="5" t="inlineStr"/>
      <c r="AF1598" s="5" t="inlineStr"/>
      <c r="AG1598" s="5" t="inlineStr"/>
      <c r="AH1598" s="5" t="inlineStr"/>
      <c r="AI1598" s="5" t="inlineStr"/>
      <c r="AJ1598" s="5" t="inlineStr"/>
    </row>
    <row r="1599">
      <c r="A1599" s="5" t="inlineStr">
        <is>
          <t>b9-sohret-juri</t>
        </is>
      </c>
      <c r="B1599" s="5" t="n">
        <v>4</v>
      </c>
      <c r="C1599" s="6" t="inlineStr">
        <is>
          <t>Eski kapak fotoğrafını yeniden çektir</t>
        </is>
      </c>
      <c r="D1599" s="5" t="inlineStr">
        <is>
          <t>Pişkinlik</t>
        </is>
      </c>
      <c r="E1599" s="5" t="inlineStr">
        <is>
          <t>Zor</t>
        </is>
      </c>
      <c r="F1599" s="5" t="inlineStr"/>
      <c r="G1599" s="6" t="inlineStr"/>
      <c r="H1599" s="6" t="inlineStr">
        <is>
          <t>Yıllar önceki kapağının aynısını çektin. Dergi ikisini yan yana bastı; okurlar farkı değil, benzerliği konuştu.</t>
        </is>
      </c>
      <c r="I1599" s="6" t="inlineStr">
        <is>
          <t>Eski ve yeni kapak yan yana satışa çıktı; iki dergi birden tükendi. Editör üçüncüsü için tarih istiyor.</t>
        </is>
      </c>
      <c r="J1599" s="6" t="inlineStr">
        <is>
          <t>Aynı pozu verdin; fotoğrafçı “Tamam, şimdi rahat durun” dedi. Rahat durdun; o kare kullanıldı.</t>
        </is>
      </c>
      <c r="K1599" s="6" t="inlineStr">
        <is>
          <t>Aynı pozu verirken belin tuttu. Kapakta pozun yarısı çıktı; başlık: “Yepyeni bir duruş.”</t>
        </is>
      </c>
      <c r="L1599" s="6" t="inlineStr"/>
      <c r="M1599" s="5" t="inlineStr"/>
      <c r="N1599" s="5" t="inlineStr"/>
      <c r="O1599" s="6" t="inlineStr"/>
      <c r="P1599" s="6" t="inlineStr"/>
      <c r="Q1599" s="5" t="inlineStr"/>
      <c r="R1599" s="5" t="inlineStr">
        <is>
          <t>sohret-kapak-oldu</t>
        </is>
      </c>
      <c r="S1599" s="5" t="inlineStr"/>
      <c r="T1599" s="5" t="inlineStr">
        <is>
          <t>Kendine Gülebilir</t>
        </is>
      </c>
      <c r="U1599" s="5" t="inlineStr"/>
      <c r="V1599" s="5" t="inlineStr"/>
      <c r="W1599" s="5" t="inlineStr"/>
      <c r="X1599" s="5" t="inlineStr"/>
      <c r="Y1599" s="5" t="inlineStr"/>
      <c r="Z1599" s="6" t="inlineStr"/>
      <c r="AA1599" s="5" t="inlineStr"/>
      <c r="AB1599" s="5" t="inlineStr"/>
      <c r="AC1599" s="5" t="inlineStr"/>
      <c r="AD1599" s="5" t="inlineStr"/>
      <c r="AE1599" s="5" t="inlineStr"/>
      <c r="AF1599" s="5" t="inlineStr"/>
      <c r="AG1599" s="5" t="inlineStr"/>
      <c r="AH1599" s="5" t="inlineStr"/>
      <c r="AI1599" s="5" t="inlineStr"/>
      <c r="AJ1599" s="5" t="inlineStr"/>
    </row>
    <row r="1600">
      <c r="A1600" s="5" t="inlineStr">
        <is>
          <t>b7-girisim-garaj</t>
        </is>
      </c>
      <c r="B1600" s="5" t="n">
        <v>1</v>
      </c>
      <c r="C1600" s="6" t="inlineStr">
        <is>
          <t>Kuzene hisse ver, arabayı unutsun</t>
        </is>
      </c>
      <c r="D1600" s="5" t="inlineStr"/>
      <c r="E1600" s="5" t="inlineStr"/>
      <c r="F1600" s="5" t="inlineStr">
        <is>
          <t>Kurnazlık +1, Sosyal Radar +1</t>
        </is>
      </c>
      <c r="G1600" s="6" t="inlineStr">
        <is>
          <t>Kuzen yüzde beşi aldı, arabayı unuttu. Artık her bayram sofrasında seni “ortağım” diye tanıştırıyor.</t>
        </is>
      </c>
      <c r="H1600" s="6" t="inlineStr"/>
      <c r="I1600" s="6" t="inlineStr"/>
      <c r="J1600" s="6" t="inlineStr"/>
      <c r="K1600" s="6" t="inlineStr"/>
      <c r="L1600" s="6" t="inlineStr"/>
      <c r="M1600" s="5" t="inlineStr"/>
      <c r="N1600" s="5" t="inlineStr"/>
      <c r="O1600" s="6" t="inlineStr"/>
      <c r="P1600" s="6" t="inlineStr"/>
      <c r="Q1600" s="5" t="inlineStr"/>
      <c r="R1600" s="5" t="inlineStr"/>
      <c r="S1600" s="5" t="inlineStr"/>
      <c r="T1600" s="5" t="inlineStr"/>
      <c r="U1600" s="5" t="inlineStr"/>
      <c r="V1600" s="5" t="inlineStr"/>
      <c r="W1600" s="5" t="inlineStr"/>
      <c r="X1600" s="5" t="inlineStr"/>
      <c r="Y1600" s="5" t="inlineStr"/>
      <c r="Z1600" s="6" t="inlineStr"/>
      <c r="AA1600" s="5" t="inlineStr"/>
      <c r="AB1600" s="5" t="inlineStr"/>
      <c r="AC1600" s="5" t="inlineStr"/>
      <c r="AD1600" s="5" t="inlineStr"/>
      <c r="AE1600" s="5" t="inlineStr"/>
      <c r="AF1600" s="5" t="inlineStr"/>
      <c r="AG1600" s="5" t="inlineStr"/>
      <c r="AH1600" s="5" t="inlineStr"/>
      <c r="AI1600" s="5" t="inlineStr"/>
      <c r="AJ1600" s="5" t="inlineStr"/>
    </row>
    <row r="1601">
      <c r="A1601" s="5" t="inlineStr">
        <is>
          <t>b7-girisim-garaj</t>
        </is>
      </c>
      <c r="B1601" s="5" t="n">
        <v>2</v>
      </c>
      <c r="C1601" s="6" t="inlineStr">
        <is>
          <t>İlk müşteriyi kapı kapı bul</t>
        </is>
      </c>
      <c r="D1601" s="5" t="inlineStr">
        <is>
          <t>Cesaret</t>
        </is>
      </c>
      <c r="E1601" s="5" t="inlineStr">
        <is>
          <t>Orta</t>
        </is>
      </c>
      <c r="F1601" s="5" t="inlineStr"/>
      <c r="G1601" s="6" t="inlineStr"/>
      <c r="H1601" s="6" t="inlineStr">
        <is>
          <t>On dokuzuncu kapıda kırtasiyeci “Deneyelim” dedi. İlk müşterin oldu; ilk ödemeyi bir kutu kalemle yaptı. Faturaları hâlâ o kalemlerle yazıyorsun.</t>
        </is>
      </c>
      <c r="I1601" s="6" t="inlineStr">
        <is>
          <t>Kırtasiyeci ürünü bütün esnaf derneğine anlattı. Garajın önünde kuyruk var; baban arabayı çıkaramıyor.</t>
        </is>
      </c>
      <c r="J1601" s="6" t="inlineStr">
        <is>
          <t>Kırk kapı çaldın; otuz dokuzu “Biz kâğıtla idare ediyoruz” dedi, biri köpeğini gönderdi. Köpek sadece baktı.</t>
        </is>
      </c>
      <c r="K1601" s="6" t="inlineStr">
        <is>
          <t>Site yöneticisi seni seyyar satıcı sandı. Site grubunda fotoğrafın dolaşıyor: “Dikkat!”</t>
        </is>
      </c>
      <c r="L1601" s="6" t="inlineStr"/>
      <c r="M1601" s="5" t="inlineStr"/>
      <c r="N1601" s="5" t="inlineStr"/>
      <c r="O1601" s="6" t="inlineStr"/>
      <c r="P1601" s="6" t="inlineStr"/>
      <c r="Q1601" s="5" t="inlineStr"/>
      <c r="R1601" s="5" t="inlineStr"/>
      <c r="S1601" s="5" t="inlineStr"/>
      <c r="T1601" s="5" t="inlineStr"/>
      <c r="U1601" s="5" t="inlineStr"/>
      <c r="V1601" s="5" t="inlineStr">
        <is>
          <t>girisim-ilk-musteri</t>
        </is>
      </c>
      <c r="W1601" s="5" t="inlineStr"/>
      <c r="X1601" s="5" t="inlineStr"/>
      <c r="Y1601" s="5" t="inlineStr"/>
      <c r="Z1601" s="6" t="inlineStr"/>
      <c r="AA1601" s="5" t="inlineStr"/>
      <c r="AB1601" s="5" t="inlineStr"/>
      <c r="AC1601" s="5" t="inlineStr"/>
      <c r="AD1601" s="5" t="inlineStr"/>
      <c r="AE1601" s="5" t="inlineStr"/>
      <c r="AF1601" s="5" t="inlineStr"/>
      <c r="AG1601" s="5" t="inlineStr"/>
      <c r="AH1601" s="5" t="inlineStr"/>
      <c r="AI1601" s="5" t="inlineStr"/>
      <c r="AJ1601" s="5" t="inlineStr"/>
    </row>
    <row r="1602">
      <c r="A1602" s="5" t="inlineStr">
        <is>
          <t>b7-girisim-garaj</t>
        </is>
      </c>
      <c r="B1602" s="5" t="n">
        <v>3</v>
      </c>
      <c r="C1602" s="6" t="inlineStr">
        <is>
          <t>Buzdolabındaki sunucuyu hızlandır</t>
        </is>
      </c>
      <c r="D1602" s="5" t="inlineStr">
        <is>
          <t>Akıl</t>
        </is>
      </c>
      <c r="E1602" s="5" t="inlineStr">
        <is>
          <t>Zor</t>
        </is>
      </c>
      <c r="F1602" s="5" t="inlineStr"/>
      <c r="G1602" s="6" t="inlineStr"/>
      <c r="H1602" s="6" t="inlineStr">
        <is>
          <t>Sunucuyu soğusun diye buzdolabının içine aldın. Hız iki katına çıktı. Annenin dolmaları artık bulutta.</t>
        </is>
      </c>
      <c r="I1602" s="6" t="inlineStr">
        <is>
          <t>Buzdolabı sunucunu bir teknoloji dergisi yazdı. Garaja ziyaretçi akıyor; şirketin ürünü yok ama turistik yeri var.</t>
        </is>
      </c>
      <c r="J1602" s="6" t="inlineStr">
        <is>
          <t>Hızlandırırken buzdolabı buz çözme moduna girdi. Veriler kurtuldu, dondurmalar kurtulmadı.</t>
        </is>
      </c>
      <c r="K1602" s="6" t="inlineStr">
        <is>
          <t>Kabloları ters bağladın; sokağın elektriği gitti. Bütün mahalle kapı önünde garaja bakıyor.</t>
        </is>
      </c>
      <c r="L1602" s="6" t="inlineStr"/>
      <c r="M1602" s="5" t="inlineStr"/>
      <c r="N1602" s="5" t="inlineStr"/>
      <c r="O1602" s="6" t="inlineStr"/>
      <c r="P1602" s="6" t="inlineStr"/>
      <c r="Q1602" s="5" t="inlineStr"/>
      <c r="R1602" s="5" t="inlineStr"/>
      <c r="S1602" s="5" t="inlineStr"/>
      <c r="T1602" s="5" t="inlineStr">
        <is>
          <t>Ukala Ama Haklı</t>
        </is>
      </c>
      <c r="U1602" s="5" t="inlineStr"/>
      <c r="V1602" s="5" t="inlineStr"/>
      <c r="W1602" s="5" t="inlineStr"/>
      <c r="X1602" s="5" t="inlineStr"/>
      <c r="Y1602" s="5" t="inlineStr"/>
      <c r="Z1602" s="6" t="inlineStr"/>
      <c r="AA1602" s="5" t="inlineStr"/>
      <c r="AB1602" s="5" t="inlineStr"/>
      <c r="AC1602" s="5" t="inlineStr"/>
      <c r="AD1602" s="5" t="inlineStr"/>
      <c r="AE1602" s="5" t="inlineStr"/>
      <c r="AF1602" s="5" t="inlineStr"/>
      <c r="AG1602" s="5" t="inlineStr"/>
      <c r="AH1602" s="5" t="inlineStr"/>
      <c r="AI1602" s="5" t="inlineStr"/>
      <c r="AJ1602" s="5" t="inlineStr"/>
    </row>
    <row r="1603">
      <c r="A1603" s="5" t="inlineStr">
        <is>
          <t>b7-girisim-pivot</t>
        </is>
      </c>
      <c r="B1603" s="5" t="n">
        <v>1</v>
      </c>
      <c r="C1603" s="6" t="inlineStr">
        <is>
          <t>Dönme; ürünü daha iyi yap</t>
        </is>
      </c>
      <c r="D1603" s="5" t="inlineStr"/>
      <c r="E1603" s="5" t="inlineStr"/>
      <c r="F1603" s="5" t="inlineStr">
        <is>
          <t>İtibar +1, Dayanıklılık +1</t>
        </is>
      </c>
      <c r="G1603" s="6" t="inlineStr">
        <is>
          <t>Pivot yapmadın; üç ay gece yarısına kadar ürünü düzelttin. Yatırımcı toplantıda yine tek kelime söyledi: “İnat.” Müşteriler de tek kelime yazdı: “Düzelmiş.”</t>
        </is>
      </c>
      <c r="H1603" s="6" t="inlineStr"/>
      <c r="I1603" s="6" t="inlineStr"/>
      <c r="J1603" s="6" t="inlineStr"/>
      <c r="K1603" s="6" t="inlineStr"/>
      <c r="L1603" s="6" t="inlineStr"/>
      <c r="M1603" s="5" t="inlineStr"/>
      <c r="N1603" s="5" t="inlineStr"/>
      <c r="O1603" s="6" t="inlineStr"/>
      <c r="P1603" s="6" t="inlineStr"/>
      <c r="Q1603" s="5" t="inlineStr"/>
      <c r="R1603" s="5" t="inlineStr"/>
      <c r="S1603" s="5" t="inlineStr"/>
      <c r="T1603" s="5" t="inlineStr"/>
      <c r="U1603" s="5" t="inlineStr"/>
      <c r="V1603" s="5" t="inlineStr"/>
      <c r="W1603" s="5" t="inlineStr"/>
      <c r="X1603" s="5" t="inlineStr"/>
      <c r="Y1603" s="5" t="inlineStr"/>
      <c r="Z1603" s="6" t="inlineStr"/>
      <c r="AA1603" s="5" t="inlineStr"/>
      <c r="AB1603" s="5" t="inlineStr"/>
      <c r="AC1603" s="5" t="inlineStr"/>
      <c r="AD1603" s="5" t="inlineStr"/>
      <c r="AE1603" s="5" t="inlineStr"/>
      <c r="AF1603" s="5" t="inlineStr"/>
      <c r="AG1603" s="5" t="inlineStr"/>
      <c r="AH1603" s="5" t="inlineStr"/>
      <c r="AI1603" s="5" t="inlineStr"/>
      <c r="AJ1603" s="5" t="inlineStr"/>
    </row>
    <row r="1604">
      <c r="A1604" s="5" t="inlineStr">
        <is>
          <t>b7-girisim-pivot</t>
        </is>
      </c>
      <c r="B1604" s="5" t="n">
        <v>2</v>
      </c>
      <c r="C1604" s="6" t="inlineStr">
        <is>
          <t>Şirketi bir gecede yapay zekâ şirketi yap</t>
        </is>
      </c>
      <c r="D1604" s="5" t="inlineStr">
        <is>
          <t>Pişkinlik</t>
        </is>
      </c>
      <c r="E1604" s="5" t="inlineStr">
        <is>
          <t>Orta</t>
        </is>
      </c>
      <c r="F1604" s="5" t="inlineStr"/>
      <c r="G1604" s="6" t="inlineStr"/>
      <c r="H1604" s="6" t="inlineStr">
        <is>
          <t>Logoya bir yıldız, adına “Zekâ” ekledin. Ürün aynı, şirketin değeri üç katı. Kimse içini açıp bakmadı.</t>
        </is>
      </c>
      <c r="I1604" s="6" t="inlineStr">
        <is>
          <t>Ekosistem etkinliklerinde ana konuşmacı oldun. Yapay zekân hakkında konuşuyorsun; ürünü hâlâ kuzen elle çalıştırıyor.</t>
        </is>
      </c>
      <c r="J1604" s="6" t="inlineStr">
        <is>
          <t>Logoyu değiştirdin; yatırımcı ürünün aynı olduğunu fark etti. Yıldız logodan silindi, yatırımcı toplantıdan.</t>
        </is>
      </c>
      <c r="K1604" s="6" t="inlineStr">
        <is>
          <t>Sunumda “Yapay zekâmız şu an sizi dinliyor” dedin; ekrana kuzeninin kamerası düştü. Kuzen ağzında simit, klavyede hızlı hızlı cevap yazıyordu. Yatırımcı öne eğildi: “Bu modelin adı ne?” Kuzen ekrandan cevap verdi: “Ben.”</t>
        </is>
      </c>
      <c r="L1604" s="6" t="inlineStr"/>
      <c r="M1604" s="5" t="inlineStr"/>
      <c r="N1604" s="5" t="inlineStr"/>
      <c r="O1604" s="6" t="inlineStr"/>
      <c r="P1604" s="6" t="inlineStr"/>
      <c r="Q1604" s="5" t="inlineStr"/>
      <c r="R1604" s="5" t="inlineStr"/>
      <c r="S1604" s="5" t="inlineStr"/>
      <c r="T1604" s="5" t="inlineStr"/>
      <c r="U1604" s="5" t="inlineStr"/>
      <c r="V1604" s="5" t="inlineStr">
        <is>
          <t>girisim-pivotcu</t>
        </is>
      </c>
      <c r="W1604" s="5" t="inlineStr"/>
      <c r="X1604" s="5" t="inlineStr"/>
      <c r="Y1604" s="5" t="inlineStr"/>
      <c r="Z1604" s="6" t="inlineStr"/>
      <c r="AA1604" s="5" t="inlineStr"/>
      <c r="AB1604" s="5" t="inlineStr"/>
      <c r="AC1604" s="5" t="inlineStr"/>
      <c r="AD1604" s="5" t="inlineStr"/>
      <c r="AE1604" s="5" t="inlineStr"/>
      <c r="AF1604" s="5" t="inlineStr"/>
      <c r="AG1604" s="5" t="inlineStr"/>
      <c r="AH1604" s="5" t="inlineStr"/>
      <c r="AI1604" s="5" t="inlineStr"/>
      <c r="AJ1604" s="5" t="inlineStr"/>
    </row>
    <row r="1605">
      <c r="A1605" s="5" t="inlineStr">
        <is>
          <t>b7-girisim-pivot</t>
        </is>
      </c>
      <c r="B1605" s="5" t="n">
        <v>3</v>
      </c>
      <c r="C1605" s="6" t="inlineStr">
        <is>
          <t>Rakibin mühendislerini kendi tarafına çek</t>
        </is>
      </c>
      <c r="D1605" s="5" t="inlineStr">
        <is>
          <t>Cesaret</t>
        </is>
      </c>
      <c r="E1605" s="5" t="inlineStr">
        <is>
          <t>Orta</t>
        </is>
      </c>
      <c r="F1605" s="5" t="inlineStr"/>
      <c r="G1605" s="6" t="inlineStr"/>
      <c r="H1605" s="6" t="inlineStr">
        <is>
          <t>İki mühendisi kahveye çağırdın, üçüncü kahvede ikna ettin. Rakip bir hafta ürününü güncelleyemedi.</t>
        </is>
      </c>
      <c r="I1605" s="6" t="inlineStr">
        <is>
          <t>Rakibin bütün ekibi sana geçti; bir hafta sonra kurucusu da. Şimdi ürün müdürün; her toplantıda yapay zekâdan bahsediyor.</t>
        </is>
      </c>
      <c r="J1605" s="6" t="inlineStr">
        <is>
          <t>Mühendisler kahveyi içti, gelmedi. Hesabı sen ödedin: üç kahve, iki poğaça.</t>
        </is>
      </c>
      <c r="K1605" s="6" t="inlineStr">
        <is>
          <t>Mühendislere yüksek bir maaş teklif ettin. Gelmediler; ama rakamı senin ekibin duydu. Ertesi sabah bütün ekibin aynı maaşı istedi.</t>
        </is>
      </c>
      <c r="L1605" s="6" t="inlineStr"/>
      <c r="M1605" s="5" t="inlineStr"/>
      <c r="N1605" s="5" t="inlineStr"/>
      <c r="O1605" s="6" t="inlineStr"/>
      <c r="P1605" s="6" t="inlineStr"/>
      <c r="Q1605" s="5" t="inlineStr"/>
      <c r="R1605" s="5" t="inlineStr"/>
      <c r="S1605" s="5" t="inlineStr"/>
      <c r="T1605" s="5" t="inlineStr"/>
      <c r="U1605" s="5" t="inlineStr"/>
      <c r="V1605" s="5" t="inlineStr"/>
      <c r="W1605" s="5" t="inlineStr"/>
      <c r="X1605" s="5" t="inlineStr"/>
      <c r="Y1605" s="5" t="inlineStr"/>
      <c r="Z1605" s="6" t="inlineStr"/>
      <c r="AA1605" s="5" t="inlineStr"/>
      <c r="AB1605" s="5" t="inlineStr"/>
      <c r="AC1605" s="5" t="inlineStr"/>
      <c r="AD1605" s="5" t="inlineStr"/>
      <c r="AE1605" s="5" t="inlineStr"/>
      <c r="AF1605" s="5" t="inlineStr"/>
      <c r="AG1605" s="5" t="inlineStr"/>
      <c r="AH1605" s="5" t="inlineStr"/>
      <c r="AI1605" s="5" t="inlineStr"/>
      <c r="AJ1605" s="5" t="inlineStr"/>
    </row>
    <row r="1606">
      <c r="A1606" s="5" t="inlineStr">
        <is>
          <t>b7-girisim-ekosistem</t>
        </is>
      </c>
      <c r="B1606" s="5" t="n">
        <v>1</v>
      </c>
      <c r="C1606" s="6" t="inlineStr">
        <is>
          <t>Dürüstçe “Şans” de</t>
        </is>
      </c>
      <c r="D1606" s="5" t="inlineStr"/>
      <c r="E1606" s="5" t="inlineStr"/>
      <c r="F1606" s="5" t="inlineStr">
        <is>
          <t>İtibar +1, Sosyal Radar +1</t>
        </is>
      </c>
      <c r="G1606" s="6" t="inlineStr">
        <is>
          <t>“Şans” dedin. Salon güldü, sonra not aldı. Ertesi hafta biri “şans odaklı büyüme” eğitimi satmaya başladı.</t>
        </is>
      </c>
      <c r="H1606" s="6" t="inlineStr"/>
      <c r="I1606" s="6" t="inlineStr"/>
      <c r="J1606" s="6" t="inlineStr"/>
      <c r="K1606" s="6" t="inlineStr"/>
      <c r="L1606" s="6" t="inlineStr"/>
      <c r="M1606" s="5" t="inlineStr"/>
      <c r="N1606" s="5" t="inlineStr"/>
      <c r="O1606" s="6" t="inlineStr"/>
      <c r="P1606" s="6" t="inlineStr"/>
      <c r="Q1606" s="5" t="inlineStr"/>
      <c r="R1606" s="5" t="inlineStr"/>
      <c r="S1606" s="5" t="inlineStr"/>
      <c r="T1606" s="5" t="inlineStr"/>
      <c r="U1606" s="5" t="inlineStr"/>
      <c r="V1606" s="5" t="inlineStr"/>
      <c r="W1606" s="5" t="inlineStr"/>
      <c r="X1606" s="5" t="inlineStr"/>
      <c r="Y1606" s="5" t="inlineStr"/>
      <c r="Z1606" s="6" t="inlineStr"/>
      <c r="AA1606" s="5" t="inlineStr"/>
      <c r="AB1606" s="5" t="inlineStr"/>
      <c r="AC1606" s="5" t="inlineStr"/>
      <c r="AD1606" s="5" t="inlineStr"/>
      <c r="AE1606" s="5" t="inlineStr"/>
      <c r="AF1606" s="5" t="inlineStr"/>
      <c r="AG1606" s="5" t="inlineStr"/>
      <c r="AH1606" s="5" t="inlineStr"/>
      <c r="AI1606" s="5" t="inlineStr"/>
      <c r="AJ1606" s="5" t="inlineStr"/>
    </row>
    <row r="1607">
      <c r="A1607" s="5" t="inlineStr">
        <is>
          <t>b7-girisim-ekosistem</t>
        </is>
      </c>
      <c r="B1607" s="5" t="n">
        <v>2</v>
      </c>
      <c r="C1607" s="6" t="inlineStr">
        <is>
          <t>Yöntemine bir ad koy, kitap sözü ver</t>
        </is>
      </c>
      <c r="D1607" s="5" t="inlineStr">
        <is>
          <t>Çene</t>
        </is>
      </c>
      <c r="E1607" s="5" t="inlineStr">
        <is>
          <t>Orta</t>
        </is>
      </c>
      <c r="F1607" s="5" t="inlineStr"/>
      <c r="G1607" s="6" t="inlineStr"/>
      <c r="H1607" s="6" t="inlineStr">
        <is>
          <t>“Garaj Metodu” dedin. Salon alkışladı, üç yayınevi aradı. Metodun içini henüz doldurmadın.</t>
        </is>
      </c>
      <c r="I1607" s="6" t="inlineStr">
        <is>
          <t>Garaj Metodu daha yazılmadan ön siparişte en çok satanlara girdi. Şimdi kitabı yazman lazım.</t>
        </is>
      </c>
      <c r="J1607" s="6" t="inlineStr">
        <is>
          <t>Yöntemine ad koydun; salondan biri aynı adla kurs verdiğini söyledi. Kartvizitini değil, kurs broşürünü dağıttı.</t>
        </is>
      </c>
      <c r="K1607" s="6" t="inlineStr">
        <is>
          <t>Anlatırken slaytlar karıştı; ekrana tatil fotoğrafların geldi, şişme simitle. Moderatör kurtarmaya çalıştı: “Demek ki sır dinlenmekmiş.” Ertesi gün buluşmadan paylaşılan tek fotoğraf o oldu.</t>
        </is>
      </c>
      <c r="L1607" s="6" t="inlineStr"/>
      <c r="M1607" s="5" t="inlineStr"/>
      <c r="N1607" s="5" t="inlineStr"/>
      <c r="O1607" s="6" t="inlineStr"/>
      <c r="P1607" s="6" t="inlineStr"/>
      <c r="Q1607" s="5" t="inlineStr"/>
      <c r="R1607" s="5" t="inlineStr"/>
      <c r="S1607" s="5" t="inlineStr"/>
      <c r="T1607" s="5" t="inlineStr"/>
      <c r="U1607" s="5" t="inlineStr"/>
      <c r="V1607" s="5" t="inlineStr"/>
      <c r="W1607" s="5" t="inlineStr"/>
      <c r="X1607" s="5" t="inlineStr"/>
      <c r="Y1607" s="5" t="inlineStr"/>
      <c r="Z1607" s="6" t="inlineStr"/>
      <c r="AA1607" s="5" t="inlineStr"/>
      <c r="AB1607" s="5" t="inlineStr"/>
      <c r="AC1607" s="5" t="inlineStr"/>
      <c r="AD1607" s="5" t="inlineStr"/>
      <c r="AE1607" s="5" t="inlineStr"/>
      <c r="AF1607" s="5" t="inlineStr"/>
      <c r="AG1607" s="5" t="inlineStr"/>
      <c r="AH1607" s="5" t="inlineStr"/>
      <c r="AI1607" s="5" t="inlineStr"/>
      <c r="AJ1607" s="5" t="inlineStr"/>
    </row>
    <row r="1608">
      <c r="A1608" s="5" t="inlineStr">
        <is>
          <t>b7-girisim-ekosistem</t>
        </is>
      </c>
      <c r="B1608" s="5" t="n">
        <v>3</v>
      </c>
      <c r="C1608" s="6" t="inlineStr">
        <is>
          <t>Mikrofonu bırakma, yeni fikrini sat</t>
        </is>
      </c>
      <c r="D1608" s="5" t="inlineStr">
        <is>
          <t>Cesaret</t>
        </is>
      </c>
      <c r="E1608" s="5" t="inlineStr">
        <is>
          <t>Zor</t>
        </is>
      </c>
      <c r="F1608" s="5" t="inlineStr"/>
      <c r="G1608" s="6" t="inlineStr"/>
      <c r="H1608" s="6" t="inlineStr">
        <is>
          <t>Mikrofonu bırakmadan yeni fikrini anlattın. Buluşma bitmeden iki yatırımcı seni kahveye çağırdı; hesabı onlar ödedi.</t>
        </is>
      </c>
      <c r="I1608" s="6" t="inlineStr">
        <is>
          <t>Bir yatırımcı ayağa kalkıp “Varım” dedi, diğerleri kaçırmamak için peşinden. Fikrin henüz bir cümle; değeri bir apartman.</t>
        </is>
      </c>
      <c r="J1608" s="6" t="inlineStr">
        <is>
          <t>Moderatör süre dolduğunu söyleyip mikrofonu aldı. Fikrin koridorda devam etti; koridor boştu.</t>
        </is>
      </c>
      <c r="K1608" s="6" t="inlineStr">
        <is>
          <t>Anlattığın fikir, ön sıradaki gencin geçen ay kurduğu şirketin ta kendisiymiş. Genç el kaldırıp teşekkür etti.</t>
        </is>
      </c>
      <c r="L1608" s="6" t="inlineStr"/>
      <c r="M1608" s="5" t="inlineStr"/>
      <c r="N1608" s="5" t="inlineStr"/>
      <c r="O1608" s="6" t="inlineStr"/>
      <c r="P1608" s="6" t="inlineStr"/>
      <c r="Q1608" s="5" t="inlineStr"/>
      <c r="R1608" s="5" t="inlineStr"/>
      <c r="S1608" s="5" t="inlineStr"/>
      <c r="T1608" s="5" t="inlineStr">
        <is>
          <t>Kendi Patronu</t>
        </is>
      </c>
      <c r="U1608" s="5" t="inlineStr"/>
      <c r="V1608" s="5" t="inlineStr"/>
      <c r="W1608" s="5" t="inlineStr"/>
      <c r="X1608" s="5" t="inlineStr"/>
      <c r="Y1608" s="5" t="inlineStr"/>
      <c r="Z1608" s="6" t="inlineStr"/>
      <c r="AA1608" s="5" t="inlineStr"/>
      <c r="AB1608" s="5" t="inlineStr"/>
      <c r="AC1608" s="5" t="inlineStr"/>
      <c r="AD1608" s="5" t="inlineStr"/>
      <c r="AE1608" s="5" t="inlineStr"/>
      <c r="AF1608" s="5" t="inlineStr"/>
      <c r="AG1608" s="5" t="inlineStr"/>
      <c r="AH1608" s="5" t="inlineStr"/>
      <c r="AI1608" s="5" t="inlineStr"/>
      <c r="AJ1608" s="5" t="inlineStr"/>
    </row>
    <row r="1609">
      <c r="A1609" s="5" t="inlineStr">
        <is>
          <t>b8-girisim-kurul</t>
        </is>
      </c>
      <c r="B1609" s="5" t="n">
        <v>1</v>
      </c>
      <c r="C1609" s="6" t="inlineStr">
        <is>
          <t>Masa tenisinde çalışanlarla tanış</t>
        </is>
      </c>
      <c r="D1609" s="5" t="inlineStr"/>
      <c r="E1609" s="5" t="inlineStr"/>
      <c r="F1609" s="5" t="inlineStr">
        <is>
          <t>Sosyal Radar +1</t>
        </is>
      </c>
      <c r="G1609" s="6" t="inlineStr">
        <is>
          <t>On ikisini yendin, yirmisine yenildin. Artık adlarını biliyorsun; onlar da senin servisini.</t>
        </is>
      </c>
      <c r="H1609" s="6" t="inlineStr"/>
      <c r="I1609" s="6" t="inlineStr"/>
      <c r="J1609" s="6" t="inlineStr"/>
      <c r="K1609" s="6" t="inlineStr"/>
      <c r="L1609" s="6" t="inlineStr"/>
      <c r="M1609" s="5" t="inlineStr"/>
      <c r="N1609" s="5" t="inlineStr"/>
      <c r="O1609" s="6" t="inlineStr"/>
      <c r="P1609" s="6" t="inlineStr"/>
      <c r="Q1609" s="5" t="inlineStr"/>
      <c r="R1609" s="5" t="inlineStr"/>
      <c r="S1609" s="5" t="inlineStr"/>
      <c r="T1609" s="5" t="inlineStr"/>
      <c r="U1609" s="5" t="inlineStr"/>
      <c r="V1609" s="5" t="inlineStr"/>
      <c r="W1609" s="5" t="inlineStr"/>
      <c r="X1609" s="5" t="inlineStr"/>
      <c r="Y1609" s="5" t="inlineStr"/>
      <c r="Z1609" s="6" t="inlineStr"/>
      <c r="AA1609" s="5" t="inlineStr"/>
      <c r="AB1609" s="5" t="inlineStr"/>
      <c r="AC1609" s="5" t="inlineStr"/>
      <c r="AD1609" s="5" t="inlineStr"/>
      <c r="AE1609" s="5" t="inlineStr"/>
      <c r="AF1609" s="5" t="inlineStr"/>
      <c r="AG1609" s="5" t="inlineStr"/>
      <c r="AH1609" s="5" t="inlineStr"/>
      <c r="AI1609" s="5" t="inlineStr"/>
      <c r="AJ1609" s="5" t="inlineStr"/>
    </row>
    <row r="1610">
      <c r="A1610" s="5" t="inlineStr">
        <is>
          <t>b8-girisim-kurul</t>
        </is>
      </c>
      <c r="B1610" s="5" t="n">
        <v>2</v>
      </c>
      <c r="C1610" s="6" t="inlineStr">
        <is>
          <t>Kurulda “tarihî” olmadığını kanıtla</t>
        </is>
      </c>
      <c r="D1610" s="5" t="inlineStr">
        <is>
          <t>Akıl</t>
        </is>
      </c>
      <c r="E1610" s="5" t="inlineStr">
        <is>
          <t>Orta</t>
        </is>
      </c>
      <c r="F1610" s="5" t="inlineStr"/>
      <c r="G1610" s="6" t="inlineStr"/>
      <c r="H1610" s="6" t="inlineStr">
        <is>
          <t>Rakamları ezberden okudun, kurul şaşırdı. Fotoğrafının altındaki yazı “Kurucu (hâlâ)” oldu.</t>
        </is>
      </c>
      <c r="I1610" s="6" t="inlineStr">
        <is>
          <t>Sunumu devraldın, kırk dakika konuştun, kurul planı değiştirdi. Kültür sunumunu yapan genç çıkışta yanına geldi: “Slayttaki fotoğrafı değiştiriyorum.”</t>
        </is>
      </c>
      <c r="J1610" s="6" t="inlineStr">
        <is>
          <t>Rakamlarla konuştun; kurul yeni finans müdürünün rakamlarına daha çok güvendi. Seninkiler de doğruydu, sadece eskiydi.</t>
        </is>
      </c>
      <c r="K1610" s="6" t="inlineStr">
        <is>
          <t>Rakamları okurken geçen yılın dosyasını açtın. Kurul, şirketin geçen yıl daha iyi olduğunu senden öğrendi.</t>
        </is>
      </c>
      <c r="L1610" s="6" t="inlineStr"/>
      <c r="M1610" s="5" t="inlineStr"/>
      <c r="N1610" s="5" t="inlineStr"/>
      <c r="O1610" s="6" t="inlineStr"/>
      <c r="P1610" s="6" t="inlineStr"/>
      <c r="Q1610" s="5" t="inlineStr"/>
      <c r="R1610" s="5" t="inlineStr"/>
      <c r="S1610" s="5" t="inlineStr"/>
      <c r="T1610" s="5" t="inlineStr"/>
      <c r="U1610" s="5" t="inlineStr"/>
      <c r="V1610" s="5" t="inlineStr"/>
      <c r="W1610" s="5" t="inlineStr"/>
      <c r="X1610" s="5" t="inlineStr"/>
      <c r="Y1610" s="5" t="inlineStr"/>
      <c r="Z1610" s="6" t="inlineStr"/>
      <c r="AA1610" s="5" t="inlineStr"/>
      <c r="AB1610" s="5" t="inlineStr"/>
      <c r="AC1610" s="5" t="inlineStr"/>
      <c r="AD1610" s="5" t="inlineStr"/>
      <c r="AE1610" s="5" t="inlineStr"/>
      <c r="AF1610" s="5" t="inlineStr"/>
      <c r="AG1610" s="5" t="inlineStr"/>
      <c r="AH1610" s="5" t="inlineStr"/>
      <c r="AI1610" s="5" t="inlineStr"/>
      <c r="AJ1610" s="5" t="inlineStr"/>
    </row>
    <row r="1611">
      <c r="A1611" s="5" t="inlineStr">
        <is>
          <t>b8-girisim-kurul</t>
        </is>
      </c>
      <c r="B1611" s="5" t="n">
        <v>3</v>
      </c>
      <c r="C1611" s="6" t="inlineStr">
        <is>
          <t>Kurulu dağıt, herkesi garaja götür</t>
        </is>
      </c>
      <c r="D1611" s="5" t="inlineStr">
        <is>
          <t>Cesaret</t>
        </is>
      </c>
      <c r="E1611" s="5" t="inlineStr">
        <is>
          <t>Zor</t>
        </is>
      </c>
      <c r="F1611" s="5" t="inlineStr"/>
      <c r="G1611" s="6" t="inlineStr"/>
      <c r="H1611" s="6" t="inlineStr">
        <is>
          <t>Bir haftalığına herkesi garaja taşıdın. Ürün iki haftada yenilendi; masa tenisi ofiste yalnız kaldı.</t>
        </is>
      </c>
      <c r="I1611" s="6" t="inlineStr">
        <is>
          <t>Garaj haftası efsane oldu; rakipler de çalışanlarını garaja taşıdı. Babanın garajının önünde artık kuyruk var; baban kapıda bilet kesiyor.</t>
        </is>
      </c>
      <c r="J1611" s="6" t="inlineStr">
        <is>
          <t>Kırk kişi garaja sığmadı. Toplantı kaldırımda yapıldı, zabıta gelince bitti.</t>
        </is>
      </c>
      <c r="K1611" s="6" t="inlineStr">
        <is>
          <t>Kurul garaj fikrine karşı oy verdi; lehte tek oy seninki. Çıkarken kapı kartın çalışmadı.</t>
        </is>
      </c>
      <c r="L1611" s="6" t="inlineStr"/>
      <c r="M1611" s="5" t="inlineStr"/>
      <c r="N1611" s="5" t="inlineStr"/>
      <c r="O1611" s="6" t="inlineStr"/>
      <c r="P1611" s="6" t="inlineStr"/>
      <c r="Q1611" s="5" t="inlineStr"/>
      <c r="R1611" s="5" t="inlineStr"/>
      <c r="S1611" s="5" t="inlineStr"/>
      <c r="T1611" s="5" t="inlineStr">
        <is>
          <t>Geri Adım Atmaz</t>
        </is>
      </c>
      <c r="U1611" s="5" t="inlineStr"/>
      <c r="V1611" s="5" t="inlineStr"/>
      <c r="W1611" s="5" t="inlineStr"/>
      <c r="X1611" s="5" t="inlineStr"/>
      <c r="Y1611" s="5" t="inlineStr"/>
      <c r="Z1611" s="6" t="inlineStr"/>
      <c r="AA1611" s="5" t="inlineStr"/>
      <c r="AB1611" s="5" t="inlineStr"/>
      <c r="AC1611" s="5" t="inlineStr"/>
      <c r="AD1611" s="5" t="inlineStr"/>
      <c r="AE1611" s="5" t="inlineStr"/>
      <c r="AF1611" s="5" t="inlineStr"/>
      <c r="AG1611" s="5" t="inlineStr"/>
      <c r="AH1611" s="5" t="inlineStr"/>
      <c r="AI1611" s="5" t="inlineStr"/>
      <c r="AJ1611" s="5" t="inlineStr"/>
    </row>
    <row r="1612">
      <c r="A1612" s="5" t="inlineStr">
        <is>
          <t>b8-girisim-kader</t>
        </is>
      </c>
      <c r="B1612" s="5" t="n">
        <v>1</v>
      </c>
      <c r="C1612" s="6" t="inlineStr">
        <is>
          <t>Küçül ama kimseyi kovma</t>
        </is>
      </c>
      <c r="D1612" s="5" t="inlineStr"/>
      <c r="E1612" s="5" t="inlineStr"/>
      <c r="F1612" s="5" t="inlineStr">
        <is>
          <t>İtibar +2</t>
        </is>
      </c>
      <c r="G1612" s="6" t="inlineStr">
        <is>
          <t>Şirket yarıya indi, kimse kovulmadı. Bayramda kırk çalışandan mesaj geldi; kırkına da cevap yazdın, tek tek.</t>
        </is>
      </c>
      <c r="H1612" s="6" t="inlineStr"/>
      <c r="I1612" s="6" t="inlineStr"/>
      <c r="J1612" s="6" t="inlineStr"/>
      <c r="K1612" s="6" t="inlineStr"/>
      <c r="L1612" s="6" t="inlineStr"/>
      <c r="M1612" s="5" t="inlineStr"/>
      <c r="N1612" s="5" t="inlineStr"/>
      <c r="O1612" s="6" t="inlineStr"/>
      <c r="P1612" s="6" t="inlineStr"/>
      <c r="Q1612" s="5" t="inlineStr"/>
      <c r="R1612" s="5" t="inlineStr"/>
      <c r="S1612" s="5" t="inlineStr"/>
      <c r="T1612" s="5" t="inlineStr"/>
      <c r="U1612" s="5" t="inlineStr"/>
      <c r="V1612" s="5" t="inlineStr"/>
      <c r="W1612" s="5" t="inlineStr"/>
      <c r="X1612" s="5" t="inlineStr"/>
      <c r="Y1612" s="5" t="inlineStr"/>
      <c r="Z1612" s="6" t="inlineStr"/>
      <c r="AA1612" s="5" t="inlineStr"/>
      <c r="AB1612" s="5" t="inlineStr"/>
      <c r="AC1612" s="5" t="inlineStr"/>
      <c r="AD1612" s="5" t="inlineStr"/>
      <c r="AE1612" s="5" t="inlineStr"/>
      <c r="AF1612" s="5" t="n">
        <v>1</v>
      </c>
      <c r="AG1612" s="5" t="inlineStr"/>
      <c r="AH1612" s="5" t="inlineStr"/>
      <c r="AI1612" s="5" t="inlineStr"/>
      <c r="AJ1612" s="5" t="inlineStr"/>
    </row>
    <row r="1613">
      <c r="A1613" s="5" t="inlineStr">
        <is>
          <t>b8-girisim-kader</t>
        </is>
      </c>
      <c r="B1613" s="5" t="n">
        <v>2</v>
      </c>
      <c r="C1613" s="6" t="inlineStr">
        <is>
          <t>Holdingi kur, bir de otel al</t>
        </is>
      </c>
      <c r="D1613" s="5" t="inlineStr">
        <is>
          <t>Cesaret</t>
        </is>
      </c>
      <c r="E1613" s="5" t="inlineStr">
        <is>
          <t>Zor</t>
        </is>
      </c>
      <c r="F1613" s="5" t="inlineStr"/>
      <c r="G1613" s="6" t="inlineStr"/>
      <c r="H1613" s="6" t="inlineStr">
        <is>
          <t>Grup şirketleri dosyası kazandı. Holdingin var: bir yazılım şirketi, bir kafe zinciri ve nedenini bilmediğin bir otel.</t>
        </is>
      </c>
      <c r="I1613" s="6" t="inlineStr">
        <is>
          <t>Holdingin logosu bir gökdelende yanıyor. Otelin en üst katı senin; kuzen hâlâ şirket arabası istiyor, artık filo var.</t>
        </is>
      </c>
      <c r="J1613" s="6" t="inlineStr">
        <is>
          <t>Otel teklifi reddedildi, kredi de. Müdür kalkarken senin karton bardağını da aldı; sen daha içmemiştin.</t>
        </is>
      </c>
      <c r="K1613" s="6" t="inlineStr">
        <is>
          <t>Oteli aldın; ilk yağmurda lobide kurbağalar öttü. Temel bataklıkmış. Holding bir hafta sürdü; kurbağalar hâlâ orada, borç da.</t>
        </is>
      </c>
      <c r="L1613" s="6" t="inlineStr"/>
      <c r="M1613" s="5" t="inlineStr"/>
      <c r="N1613" s="5" t="inlineStr"/>
      <c r="O1613" s="6" t="inlineStr"/>
      <c r="P1613" s="6" t="inlineStr"/>
      <c r="Q1613" s="5" t="inlineStr"/>
      <c r="R1613" s="5" t="inlineStr"/>
      <c r="S1613" s="5" t="inlineStr"/>
      <c r="T1613" s="5" t="inlineStr"/>
      <c r="U1613" s="5" t="inlineStr"/>
      <c r="V1613" s="5" t="inlineStr">
        <is>
          <t>holding</t>
        </is>
      </c>
      <c r="W1613" s="5" t="inlineStr"/>
      <c r="X1613" s="5" t="inlineStr"/>
      <c r="Y1613" s="5" t="inlineStr"/>
      <c r="Z1613" s="6" t="inlineStr"/>
      <c r="AA1613" s="5" t="inlineStr"/>
      <c r="AB1613" s="5" t="inlineStr">
        <is>
          <t>borclu</t>
        </is>
      </c>
      <c r="AC1613" s="5" t="inlineStr"/>
      <c r="AD1613" s="5" t="inlineStr">
        <is>
          <t>Varlıklı</t>
        </is>
      </c>
      <c r="AE1613" s="5" t="inlineStr"/>
      <c r="AF1613" s="5" t="inlineStr"/>
      <c r="AG1613" s="5" t="inlineStr"/>
      <c r="AH1613" s="5" t="inlineStr"/>
      <c r="AI1613" s="5" t="inlineStr"/>
      <c r="AJ1613" s="5" t="inlineStr"/>
    </row>
    <row r="1614">
      <c r="A1614" s="5" t="inlineStr">
        <is>
          <t>b8-girisim-kader</t>
        </is>
      </c>
      <c r="B1614" s="5" t="n">
        <v>3</v>
      </c>
      <c r="C1614" s="6" t="inlineStr">
        <is>
          <t>Müdürü ikna et, vade uzasın</t>
        </is>
      </c>
      <c r="D1614" s="5" t="inlineStr">
        <is>
          <t>Çene</t>
        </is>
      </c>
      <c r="E1614" s="5" t="inlineStr">
        <is>
          <t>Orta</t>
        </is>
      </c>
      <c r="F1614" s="5" t="inlineStr"/>
      <c r="G1614" s="6" t="inlineStr"/>
      <c r="H1614" s="6" t="inlineStr">
        <is>
          <t>Müdürle bir saat konuştun; vade bir yıl uzadı. Çıkarken çayın da cam bardakta geldi.</t>
        </is>
      </c>
      <c r="I1614" s="6" t="inlineStr">
        <is>
          <t>Müdür o kadar ikna oldu ki kendi birikimini şirketine yatırdı. Artık her toplantıya o da geliyor, kendi çayıyla.</t>
        </is>
      </c>
      <c r="J1614" s="6" t="inlineStr">
        <is>
          <t>Müdür “Genel müdürlüğe soralım” dedi. Üç hafta sonra cevap geldi: “Şubenizle görüşünüz.” Şube yine aynı masa, sen yine karton bardak.</t>
        </is>
      </c>
      <c r="K1614" s="6" t="inlineStr">
        <is>
          <t>İkna ederken heyecanla masaya vurdun; müdürün cam bardağı devrildi, çay dosyalara aktı. Islanan dosya seninkiydi. Vade kısaldı; bardağın yine karton.</t>
        </is>
      </c>
      <c r="L1614" s="6" t="inlineStr"/>
      <c r="M1614" s="5" t="inlineStr"/>
      <c r="N1614" s="5" t="inlineStr"/>
      <c r="O1614" s="6" t="inlineStr"/>
      <c r="P1614" s="6" t="inlineStr"/>
      <c r="Q1614" s="5" t="inlineStr"/>
      <c r="R1614" s="5" t="inlineStr"/>
      <c r="S1614" s="5" t="inlineStr"/>
      <c r="T1614" s="5" t="inlineStr"/>
      <c r="U1614" s="5" t="inlineStr"/>
      <c r="V1614" s="5" t="inlineStr"/>
      <c r="W1614" s="5" t="inlineStr">
        <is>
          <t>borclu</t>
        </is>
      </c>
      <c r="X1614" s="5" t="inlineStr"/>
      <c r="Y1614" s="5" t="inlineStr"/>
      <c r="Z1614" s="6" t="inlineStr"/>
      <c r="AA1614" s="5" t="inlineStr"/>
      <c r="AB1614" s="5" t="inlineStr"/>
      <c r="AC1614" s="5" t="inlineStr"/>
      <c r="AD1614" s="5" t="inlineStr"/>
      <c r="AE1614" s="5" t="inlineStr"/>
      <c r="AF1614" s="5" t="inlineStr"/>
      <c r="AG1614" s="5" t="inlineStr"/>
      <c r="AH1614" s="5" t="inlineStr"/>
      <c r="AI1614" s="5" t="inlineStr"/>
      <c r="AJ1614" s="5" t="inlineStr"/>
    </row>
    <row r="1615">
      <c r="A1615" s="5" t="inlineStr">
        <is>
          <t>b9-girisim-nasihat</t>
        </is>
      </c>
      <c r="B1615" s="5" t="n">
        <v>1</v>
      </c>
      <c r="C1615" s="6" t="inlineStr">
        <is>
          <t>Garaj hikâyeni olduğu gibi anlat</t>
        </is>
      </c>
      <c r="D1615" s="5" t="inlineStr"/>
      <c r="E1615" s="5" t="inlineStr"/>
      <c r="F1615" s="5" t="inlineStr">
        <is>
          <t>İtibar +1, Çene +1</t>
        </is>
      </c>
      <c r="G1615" s="6" t="inlineStr">
        <is>
          <t>Buzdolabını, kuzeni, kırtasiyeciyi anlattın. Gençler not almadı, güldü. Çıkışta biri garajının adresini verdi: “Bakar mısınız?”</t>
        </is>
      </c>
      <c r="H1615" s="6" t="inlineStr"/>
      <c r="I1615" s="6" t="inlineStr"/>
      <c r="J1615" s="6" t="inlineStr"/>
      <c r="K1615" s="6" t="inlineStr"/>
      <c r="L1615" s="6" t="inlineStr"/>
      <c r="M1615" s="5" t="inlineStr"/>
      <c r="N1615" s="5" t="inlineStr"/>
      <c r="O1615" s="6" t="inlineStr"/>
      <c r="P1615" s="6" t="inlineStr"/>
      <c r="Q1615" s="5" t="inlineStr"/>
      <c r="R1615" s="5" t="inlineStr"/>
      <c r="S1615" s="5" t="inlineStr"/>
      <c r="T1615" s="5" t="inlineStr"/>
      <c r="U1615" s="5" t="inlineStr"/>
      <c r="V1615" s="5" t="inlineStr"/>
      <c r="W1615" s="5" t="inlineStr"/>
      <c r="X1615" s="5" t="inlineStr"/>
      <c r="Y1615" s="5" t="inlineStr"/>
      <c r="Z1615" s="6" t="inlineStr"/>
      <c r="AA1615" s="5" t="inlineStr"/>
      <c r="AB1615" s="5" t="inlineStr"/>
      <c r="AC1615" s="5" t="inlineStr"/>
      <c r="AD1615" s="5" t="inlineStr"/>
      <c r="AE1615" s="5" t="inlineStr"/>
      <c r="AF1615" s="5" t="inlineStr"/>
      <c r="AG1615" s="5" t="inlineStr"/>
      <c r="AH1615" s="5" t="inlineStr"/>
      <c r="AI1615" s="5" t="inlineStr"/>
      <c r="AJ1615" s="5" t="inlineStr"/>
    </row>
    <row r="1616">
      <c r="A1616" s="5" t="inlineStr">
        <is>
          <t>b9-girisim-nasihat</t>
        </is>
      </c>
      <c r="B1616" s="5" t="n">
        <v>2</v>
      </c>
      <c r="C1616" s="6" t="inlineStr">
        <is>
          <t>Soran gencin uygulamasına yatırım yap</t>
        </is>
      </c>
      <c r="D1616" s="5" t="inlineStr">
        <is>
          <t>Akıl</t>
        </is>
      </c>
      <c r="E1616" s="5" t="inlineStr">
        <is>
          <t>Orta</t>
        </is>
      </c>
      <c r="F1616" s="5" t="inlineStr"/>
      <c r="G1616" s="6" t="inlineStr"/>
      <c r="H1616" s="6" t="inlineStr">
        <is>
          <t>Emeklilik uygulamasına küçük bir yatırım yaptın. İlk kullanıcısı da sen oldun; seni “çok aktif” buldu.</t>
        </is>
      </c>
      <c r="I1616" s="6" t="inlineStr">
        <is>
          <t>Genç iki yılda şirketini büyüttü, sana yönetim kurulunda yer açtı. Emekliliğin yine toplantıyla geçiyor.</t>
        </is>
      </c>
      <c r="J1616" s="6" t="inlineStr">
        <is>
          <t>Bir ay sonra genç “Yön değiştirdik” dedi; uygulama artık köpek gezdiriyor. Senin köpeğin yok. Yatırımcı toplantısına yine de çağrıldın; komşunun köpeğini ödünç aldın.</t>
        </is>
      </c>
      <c r="K1616" s="6" t="inlineStr">
        <is>
          <t>Genç parayla ofise masa tenisi aldı. Ürün yok, masa tenisi var. Bu sahneyi bir yerden hatırlıyorsun.</t>
        </is>
      </c>
      <c r="L1616" s="6" t="inlineStr"/>
      <c r="M1616" s="5" t="inlineStr"/>
      <c r="N1616" s="5" t="inlineStr"/>
      <c r="O1616" s="6" t="inlineStr"/>
      <c r="P1616" s="6" t="inlineStr"/>
      <c r="Q1616" s="5" t="inlineStr"/>
      <c r="R1616" s="5" t="inlineStr"/>
      <c r="S1616" s="5" t="inlineStr"/>
      <c r="T1616" s="5" t="inlineStr"/>
      <c r="U1616" s="5" t="inlineStr"/>
      <c r="V1616" s="5" t="inlineStr"/>
      <c r="W1616" s="5" t="inlineStr"/>
      <c r="X1616" s="5" t="inlineStr"/>
      <c r="Y1616" s="5" t="inlineStr"/>
      <c r="Z1616" s="6" t="inlineStr"/>
      <c r="AA1616" s="5" t="inlineStr"/>
      <c r="AB1616" s="5" t="inlineStr"/>
      <c r="AC1616" s="5" t="inlineStr"/>
      <c r="AD1616" s="5" t="inlineStr"/>
      <c r="AE1616" s="5" t="inlineStr"/>
      <c r="AF1616" s="5" t="inlineStr"/>
      <c r="AG1616" s="5" t="inlineStr"/>
      <c r="AH1616" s="5" t="inlineStr"/>
      <c r="AI1616" s="5" t="inlineStr"/>
      <c r="AJ1616" s="5" t="inlineStr"/>
    </row>
    <row r="1617">
      <c r="A1617" s="5" t="inlineStr">
        <is>
          <t>b9-girisim-nasihat</t>
        </is>
      </c>
      <c r="B1617" s="5" t="n">
        <v>3</v>
      </c>
      <c r="C1617" s="6" t="inlineStr">
        <is>
          <t>“Asla pes etmeyin” deme, gerçeği söyle</t>
        </is>
      </c>
      <c r="D1617" s="5" t="inlineStr">
        <is>
          <t>Cesaret</t>
        </is>
      </c>
      <c r="E1617" s="5" t="inlineStr">
        <is>
          <t>Orta</t>
        </is>
      </c>
      <c r="F1617" s="5" t="inlineStr"/>
      <c r="G1617" s="6" t="inlineStr"/>
      <c r="H1617" s="6" t="inlineStr">
        <is>
          <t>“Çoğunuz batacak, bu normal” dedin. Salon sustu, sonra ayağa kalktı. Alkış bu kez gerçekti.</t>
        </is>
      </c>
      <c r="I1617" s="6" t="inlineStr">
        <is>
          <t>Konuşman üniversitenin ders programına girdi: “Batmayı Öğrenmek.” Dersi sen veriyorsun; kontenjan doldu.</t>
        </is>
      </c>
      <c r="J1617" s="6" t="inlineStr">
        <is>
          <t>Gerçeği söyledin; moderatör araya girip “Ama umut da önemli” dedi. Salon moderatörü alkışladı.</t>
        </is>
      </c>
      <c r="K1617" s="6" t="inlineStr">
        <is>
          <t>Ön sıradaki genç ağladı. Onun şirketini, senin yatırımcı olduğun bir fon alıp kapatmış; ikiniz de şimdi öğrendiniz.</t>
        </is>
      </c>
      <c r="L1617" s="6" t="inlineStr"/>
      <c r="M1617" s="5" t="inlineStr"/>
      <c r="N1617" s="5" t="inlineStr"/>
      <c r="O1617" s="6" t="inlineStr"/>
      <c r="P1617" s="6" t="inlineStr"/>
      <c r="Q1617" s="5" t="inlineStr"/>
      <c r="R1617" s="5" t="inlineStr"/>
      <c r="S1617" s="5" t="inlineStr"/>
      <c r="T1617" s="5" t="inlineStr"/>
      <c r="U1617" s="5" t="inlineStr"/>
      <c r="V1617" s="5" t="inlineStr"/>
      <c r="W1617" s="5" t="inlineStr"/>
      <c r="X1617" s="5" t="inlineStr"/>
      <c r="Y1617" s="5" t="inlineStr"/>
      <c r="Z1617" s="6" t="inlineStr"/>
      <c r="AA1617" s="5" t="inlineStr"/>
      <c r="AB1617" s="5" t="inlineStr"/>
      <c r="AC1617" s="5" t="inlineStr"/>
      <c r="AD1617" s="5" t="inlineStr"/>
      <c r="AE1617" s="5" t="inlineStr"/>
      <c r="AF1617" s="5" t="inlineStr"/>
      <c r="AG1617" s="5" t="inlineStr"/>
      <c r="AH1617" s="5" t="inlineStr"/>
      <c r="AI1617" s="5" t="inlineStr"/>
      <c r="AJ1617" s="5" t="inlineStr"/>
    </row>
    <row r="1618">
      <c r="A1618" s="5" t="inlineStr">
        <is>
          <t>b9-girisim-nasihat</t>
        </is>
      </c>
      <c r="B1618" s="5" t="n">
        <v>4</v>
      </c>
      <c r="C1618" s="6" t="inlineStr">
        <is>
          <t>Holdingde staj programı aç</t>
        </is>
      </c>
      <c r="D1618" s="5" t="inlineStr">
        <is>
          <t>Sosyal Radar</t>
        </is>
      </c>
      <c r="E1618" s="5" t="inlineStr">
        <is>
          <t>Zor</t>
        </is>
      </c>
      <c r="F1618" s="5" t="inlineStr"/>
      <c r="G1618" s="6" t="inlineStr"/>
      <c r="H1618" s="6" t="inlineStr">
        <is>
          <t>Staj programını anlattın; salondaki yüz gencin doksanı başvurdu. Başvuruları bir yapay zekâ ayıklıyor. Seni de ayıkladı; eski özgeçmişin sistemde kalmış.</t>
        </is>
      </c>
      <c r="I1618" s="6" t="inlineStr">
        <is>
          <t>Stajyerlerden biri holdingin en kârlı birimini kurdu. Sana “Kurucu (tarihî)” diyor; bu sefer saygıyla.</t>
        </is>
      </c>
      <c r="J1618" s="6" t="inlineStr">
        <is>
          <t>Gençler yazılım yerine holdingin kafe zincirinde staj yapmayı seçti. Kafeler doldu, yazılım boş.</t>
        </is>
      </c>
      <c r="K1618" s="6" t="inlineStr">
        <is>
          <t>Anlatırken insan kaynakları aradı: program bütçeden çıkarılmış. Salonda yüz genç, sende bir özür.</t>
        </is>
      </c>
      <c r="L1618" s="6" t="inlineStr"/>
      <c r="M1618" s="5" t="inlineStr"/>
      <c r="N1618" s="5" t="inlineStr"/>
      <c r="O1618" s="6" t="inlineStr"/>
      <c r="P1618" s="6" t="inlineStr"/>
      <c r="Q1618" s="5" t="inlineStr"/>
      <c r="R1618" s="5" t="inlineStr">
        <is>
          <t>holding</t>
        </is>
      </c>
      <c r="S1618" s="5" t="inlineStr"/>
      <c r="T1618" s="5" t="inlineStr">
        <is>
          <t>Plaza Diplomatı</t>
        </is>
      </c>
      <c r="U1618" s="5" t="inlineStr"/>
      <c r="V1618" s="5" t="inlineStr"/>
      <c r="W1618" s="5" t="inlineStr"/>
      <c r="X1618" s="5" t="inlineStr"/>
      <c r="Y1618" s="5" t="inlineStr"/>
      <c r="Z1618" s="6" t="inlineStr"/>
      <c r="AA1618" s="5" t="inlineStr"/>
      <c r="AB1618" s="5" t="inlineStr"/>
      <c r="AC1618" s="5" t="inlineStr"/>
      <c r="AD1618" s="5" t="inlineStr"/>
      <c r="AE1618" s="5" t="inlineStr"/>
      <c r="AF1618" s="5" t="inlineStr"/>
      <c r="AG1618" s="5" t="inlineStr"/>
      <c r="AH1618" s="5" t="inlineStr"/>
      <c r="AI1618" s="5" t="inlineStr"/>
      <c r="AJ1618" s="5" t="inlineStr"/>
    </row>
    <row r="1619">
      <c r="A1619" s="5" t="inlineStr">
        <is>
          <t>b7-politika-cay</t>
        </is>
      </c>
      <c r="B1619" s="5" t="n">
        <v>1</v>
      </c>
      <c r="C1619" s="6" t="inlineStr">
        <is>
          <t>Çayı mahalledeki kahveden ısmarla</t>
        </is>
      </c>
      <c r="D1619" s="5" t="inlineStr"/>
      <c r="E1619" s="5" t="inlineStr"/>
      <c r="F1619" s="5" t="inlineStr">
        <is>
          <t>Kurnazlık +1, Sosyal Radar +1</t>
        </is>
      </c>
      <c r="G1619" s="6" t="inlineStr">
        <is>
          <t>Kahveci iki yüz çayı getirdi, faturayı partiye kesti. Mitinge en çok kahvedekiler geldi; çay bitince gittiler.</t>
        </is>
      </c>
      <c r="H1619" s="6" t="inlineStr"/>
      <c r="I1619" s="6" t="inlineStr"/>
      <c r="J1619" s="6" t="inlineStr"/>
      <c r="K1619" s="6" t="inlineStr"/>
      <c r="L1619" s="6" t="inlineStr"/>
      <c r="M1619" s="5" t="inlineStr"/>
      <c r="N1619" s="5" t="inlineStr"/>
      <c r="O1619" s="6" t="inlineStr"/>
      <c r="P1619" s="6" t="inlineStr"/>
      <c r="Q1619" s="5" t="inlineStr"/>
      <c r="R1619" s="5" t="inlineStr"/>
      <c r="S1619" s="5" t="inlineStr"/>
      <c r="T1619" s="5" t="inlineStr"/>
      <c r="U1619" s="5" t="inlineStr"/>
      <c r="V1619" s="5" t="inlineStr"/>
      <c r="W1619" s="5" t="inlineStr"/>
      <c r="X1619" s="5" t="inlineStr"/>
      <c r="Y1619" s="5" t="inlineStr"/>
      <c r="Z1619" s="6" t="inlineStr"/>
      <c r="AA1619" s="5" t="inlineStr"/>
      <c r="AB1619" s="5" t="inlineStr"/>
      <c r="AC1619" s="5" t="inlineStr"/>
      <c r="AD1619" s="5" t="inlineStr"/>
      <c r="AE1619" s="5" t="inlineStr"/>
      <c r="AF1619" s="5" t="inlineStr"/>
      <c r="AG1619" s="5" t="inlineStr"/>
      <c r="AH1619" s="5" t="inlineStr"/>
      <c r="AI1619" s="5" t="inlineStr"/>
      <c r="AJ1619" s="5" t="inlineStr"/>
    </row>
    <row r="1620">
      <c r="A1620" s="5" t="inlineStr">
        <is>
          <t>b7-politika-cay</t>
        </is>
      </c>
      <c r="B1620" s="5" t="n">
        <v>2</v>
      </c>
      <c r="C1620" s="6" t="inlineStr">
        <is>
          <t>İki yüz çayı semaverle sen yetiştir</t>
        </is>
      </c>
      <c r="D1620" s="5" t="inlineStr">
        <is>
          <t>Dayanıklılık</t>
        </is>
      </c>
      <c r="E1620" s="5" t="inlineStr">
        <is>
          <t>Orta</t>
        </is>
      </c>
      <c r="F1620" s="5" t="inlineStr"/>
      <c r="G1620" s="6" t="inlineStr"/>
      <c r="H1620" s="6" t="inlineStr">
        <is>
          <t>Dört saat semaver başında durdun; iki yüz çay, sıfır şikâyet. İl başkanı adını sordu. Bir dahakine yine soracak.</t>
        </is>
      </c>
      <c r="I1620" s="6" t="inlineStr">
        <is>
          <t>Çayın o kadar övüldü ki seni il yöneticisi yaptılar. Görev tanımında hâlâ “çay” yazıyor; ama büyük harfle.</t>
        </is>
      </c>
      <c r="J1620" s="6" t="inlineStr">
        <is>
          <t>Semaver yetişmedi; son elli kişiye çay ılık gitti. İl başkanı bir yudum aldı, bardağı geri koydu: “Bunu kim demledi?” Elli kişi aynı anda sana döndü.</t>
        </is>
      </c>
      <c r="K1620" s="6" t="inlineStr">
        <is>
          <t>Semaver taştı, pankart ıslandı. “Yeşil Balkon” yazısı “Yeş Bal” oldu; fotoğraflar çoktan çekilmişti.</t>
        </is>
      </c>
      <c r="L1620" s="6" t="inlineStr">
        <is>
          <t>İki yüz çayın yarısı tavşan kanı, yarısı açık. Miting de yarı yarıya ısındı.</t>
        </is>
      </c>
      <c r="M1620" s="5" t="inlineStr">
        <is>
          <t>timing</t>
        </is>
      </c>
      <c r="N1620" s="5" t="inlineStr">
        <is>
          <t>Semaver Demi</t>
        </is>
      </c>
      <c r="O1620" s="6" t="inlineStr">
        <is>
          <t>İbre yeşil alandayken DURDUR'a bas. Art arda tutturdukça kombo kazanırsın.</t>
        </is>
      </c>
      <c r="P1620" s="6" t="n"/>
      <c r="Q1620" s="5" t="inlineStr"/>
      <c r="R1620" s="5" t="inlineStr"/>
      <c r="S1620" s="5" t="inlineStr"/>
      <c r="T1620" s="5" t="inlineStr"/>
      <c r="U1620" s="5" t="inlineStr"/>
      <c r="V1620" s="5" t="inlineStr">
        <is>
          <t>parti-il-yoneticisi</t>
        </is>
      </c>
      <c r="W1620" s="5" t="inlineStr"/>
      <c r="X1620" s="5" t="inlineStr"/>
      <c r="Y1620" s="5" t="inlineStr"/>
      <c r="Z1620" s="6" t="inlineStr"/>
      <c r="AA1620" s="5" t="inlineStr"/>
      <c r="AB1620" s="5" t="inlineStr"/>
      <c r="AC1620" s="5" t="inlineStr"/>
      <c r="AD1620" s="5" t="inlineStr"/>
      <c r="AE1620" s="5" t="inlineStr"/>
      <c r="AF1620" s="5" t="inlineStr"/>
      <c r="AG1620" s="5" t="inlineStr"/>
      <c r="AH1620" s="5" t="inlineStr"/>
      <c r="AI1620" s="5" t="inlineStr">
        <is>
          <t>Yeş Bal</t>
        </is>
      </c>
      <c r="AJ1620" s="5" t="inlineStr"/>
    </row>
    <row r="1621">
      <c r="A1621" s="5" t="inlineStr">
        <is>
          <t>b7-politika-cay</t>
        </is>
      </c>
      <c r="B1621" s="5" t="n">
        <v>3</v>
      </c>
      <c r="C1621" s="6" t="inlineStr">
        <is>
          <t>Çayı bırak, il başkanı gelmeden kürsüye çık</t>
        </is>
      </c>
      <c r="D1621" s="5" t="inlineStr">
        <is>
          <t>Cesaret</t>
        </is>
      </c>
      <c r="E1621" s="5" t="inlineStr">
        <is>
          <t>Zor</t>
        </is>
      </c>
      <c r="F1621" s="5" t="inlineStr"/>
      <c r="G1621" s="6" t="inlineStr"/>
      <c r="H1621" s="6" t="inlineStr">
        <is>
          <t>Başkan gecikince mikrofonu aldın, kalabalığı ısıttın. O geldiğinde miting bitmişti; seni il yöneticisi yaptı, mecburen.</t>
        </is>
      </c>
      <c r="I1621" s="6" t="inlineStr">
        <is>
          <t>Kalabalık il başkanını değil seni istedi. Başkan seni yanına aldı, kulağına tek kelime söyledi: “Yavaş.”</t>
        </is>
      </c>
      <c r="J1621" s="6" t="inlineStr">
        <is>
          <t>Mikrofon açılmadı. On dakika kalabalığa dudak okuttun. Sonra çay dağıttın; ondan kaçış yok.</t>
        </is>
      </c>
      <c r="K1621" s="6" t="inlineStr">
        <is>
          <t>Kürsüde il başkanının adını üç kez yanlış söyledin. Başkan geldiğinde kalabalık onu o adla karşıladı.</t>
        </is>
      </c>
      <c r="L1621" s="6" t="inlineStr"/>
      <c r="M1621" s="5" t="inlineStr"/>
      <c r="N1621" s="5" t="inlineStr"/>
      <c r="O1621" s="6" t="inlineStr"/>
      <c r="P1621" s="6" t="inlineStr"/>
      <c r="Q1621" s="5" t="inlineStr"/>
      <c r="R1621" s="5" t="inlineStr"/>
      <c r="S1621" s="5" t="inlineStr"/>
      <c r="T1621" s="5" t="inlineStr">
        <is>
          <t>Teneffüs Başkanı</t>
        </is>
      </c>
      <c r="U1621" s="5" t="inlineStr"/>
      <c r="V1621" s="5" t="inlineStr">
        <is>
          <t>parti-il-yoneticisi</t>
        </is>
      </c>
      <c r="W1621" s="5" t="inlineStr"/>
      <c r="X1621" s="5" t="inlineStr"/>
      <c r="Y1621" s="5" t="inlineStr"/>
      <c r="Z1621" s="6" t="inlineStr"/>
      <c r="AA1621" s="5" t="inlineStr"/>
      <c r="AB1621" s="5" t="inlineStr"/>
      <c r="AC1621" s="5" t="inlineStr"/>
      <c r="AD1621" s="5" t="inlineStr"/>
      <c r="AE1621" s="5" t="inlineStr"/>
      <c r="AF1621" s="5" t="inlineStr"/>
      <c r="AG1621" s="5" t="inlineStr"/>
      <c r="AH1621" s="5" t="inlineStr"/>
      <c r="AI1621" s="5" t="inlineStr"/>
      <c r="AJ1621" s="5" t="inlineStr"/>
    </row>
    <row r="1622">
      <c r="A1622" s="5" t="inlineStr">
        <is>
          <t>b7-politika-kaldirim</t>
        </is>
      </c>
      <c r="B1622" s="5" t="n">
        <v>1</v>
      </c>
      <c r="C1622" s="6" t="inlineStr">
        <is>
          <t>Kaldırımın taşını kendin döşe</t>
        </is>
      </c>
      <c r="D1622" s="5" t="inlineStr"/>
      <c r="E1622" s="5" t="inlineStr"/>
      <c r="F1622" s="5" t="inlineStr">
        <is>
          <t>Dayanıklılık +1, İtibar +1</t>
        </is>
      </c>
      <c r="G1622" s="6" t="inlineStr">
        <is>
          <t>Bir hafta sonu tek başına on metre kaldırım döşedin. Seçimi o on metre kazandırmadı ama mahalle oradan yürüyor, adını anarak.</t>
        </is>
      </c>
      <c r="H1622" s="6" t="inlineStr"/>
      <c r="I1622" s="6" t="inlineStr"/>
      <c r="J1622" s="6" t="inlineStr"/>
      <c r="K1622" s="6" t="inlineStr"/>
      <c r="L1622" s="6" t="inlineStr"/>
      <c r="M1622" s="5" t="inlineStr"/>
      <c r="N1622" s="5" t="inlineStr"/>
      <c r="O1622" s="6" t="inlineStr"/>
      <c r="P1622" s="6" t="inlineStr"/>
      <c r="Q1622" s="5" t="inlineStr"/>
      <c r="R1622" s="5" t="inlineStr"/>
      <c r="S1622" s="5" t="inlineStr"/>
      <c r="T1622" s="5" t="inlineStr"/>
      <c r="U1622" s="5" t="inlineStr"/>
      <c r="V1622" s="5" t="inlineStr"/>
      <c r="W1622" s="5" t="inlineStr"/>
      <c r="X1622" s="5" t="inlineStr"/>
      <c r="Y1622" s="5" t="inlineStr"/>
      <c r="Z1622" s="6" t="inlineStr"/>
      <c r="AA1622" s="5" t="inlineStr"/>
      <c r="AB1622" s="5" t="inlineStr"/>
      <c r="AC1622" s="5" t="inlineStr"/>
      <c r="AD1622" s="5" t="inlineStr"/>
      <c r="AE1622" s="5" t="inlineStr"/>
      <c r="AF1622" s="5" t="inlineStr"/>
      <c r="AG1622" s="5" t="inlineStr"/>
      <c r="AH1622" s="5" t="inlineStr"/>
      <c r="AI1622" s="5" t="inlineStr"/>
      <c r="AJ1622" s="5" t="inlineStr"/>
    </row>
    <row r="1623">
      <c r="A1623" s="5" t="inlineStr">
        <is>
          <t>b7-politika-kaldirim</t>
        </is>
      </c>
      <c r="B1623" s="5" t="n">
        <v>2</v>
      </c>
      <c r="C1623" s="6" t="inlineStr">
        <is>
          <t>Rakibi aş: kaldırıma bank ve ağaç da koy</t>
        </is>
      </c>
      <c r="D1623" s="5" t="inlineStr">
        <is>
          <t>Çene</t>
        </is>
      </c>
      <c r="E1623" s="5" t="inlineStr">
        <is>
          <t>Orta</t>
        </is>
      </c>
      <c r="F1623" s="5" t="inlineStr"/>
      <c r="G1623" s="6" t="inlineStr"/>
      <c r="H1623" s="6" t="inlineStr">
        <is>
          <t>“Kaldırım, bank ve ağaç” dedin. Mahalle ağaca ikna oldu. Meclis üyesi seçildin; fidan yolda.</t>
        </is>
      </c>
      <c r="I1623" s="6" t="inlineStr">
        <is>
          <t>Seçildin. Açılış günü kaldırımın ilk taşını sen değil, kırk yıldır çamurda yürüyen bakkal döşedi; sen arkada fidanı tuttun. Fotoğrafta bakkal gülüyor.</t>
        </is>
      </c>
      <c r="J1623" s="6" t="inlineStr">
        <is>
          <t>Sen bank dedin, rakip “Bank ve çardak” dedi. Seçim açık artırmaya döndü; çardak kazandı.</t>
        </is>
      </c>
      <c r="K1623" s="6" t="inlineStr">
        <is>
          <t>Vaatler öyle uzadı ki biri haritada kaldırıma yer kalmadığını gösterdi. Afişlerin kaldırımın üstünde; yürünmüyor.</t>
        </is>
      </c>
      <c r="L1623" s="6" t="inlineStr"/>
      <c r="M1623" s="5" t="inlineStr"/>
      <c r="N1623" s="5" t="inlineStr"/>
      <c r="O1623" s="6" t="inlineStr"/>
      <c r="P1623" s="6" t="inlineStr"/>
      <c r="Q1623" s="5" t="inlineStr"/>
      <c r="R1623" s="5" t="inlineStr"/>
      <c r="S1623" s="5" t="inlineStr"/>
      <c r="T1623" s="5" t="inlineStr"/>
      <c r="U1623" s="5" t="inlineStr"/>
      <c r="V1623" s="5" t="inlineStr">
        <is>
          <t>meclis-uyesi</t>
        </is>
      </c>
      <c r="W1623" s="5" t="inlineStr"/>
      <c r="X1623" s="5" t="inlineStr"/>
      <c r="Y1623" s="5" t="inlineStr"/>
      <c r="Z1623" s="6" t="inlineStr"/>
      <c r="AA1623" s="5" t="inlineStr"/>
      <c r="AB1623" s="5" t="inlineStr"/>
      <c r="AC1623" s="5" t="inlineStr"/>
      <c r="AD1623" s="5" t="inlineStr"/>
      <c r="AE1623" s="5" t="inlineStr"/>
      <c r="AF1623" s="5" t="inlineStr"/>
      <c r="AG1623" s="5" t="inlineStr"/>
      <c r="AH1623" s="5" t="inlineStr"/>
      <c r="AI1623" s="5" t="inlineStr"/>
      <c r="AJ1623" s="5" t="inlineStr"/>
    </row>
    <row r="1624">
      <c r="A1624" s="5" t="inlineStr">
        <is>
          <t>b7-politika-kaldirim</t>
        </is>
      </c>
      <c r="B1624" s="5" t="n">
        <v>3</v>
      </c>
      <c r="C1624" s="6" t="inlineStr">
        <is>
          <t>Rakiple yerel kanalda kaldırım tartış</t>
        </is>
      </c>
      <c r="D1624" s="5" t="inlineStr">
        <is>
          <t>Pişkinlik</t>
        </is>
      </c>
      <c r="E1624" s="5" t="inlineStr">
        <is>
          <t>Zor</t>
        </is>
      </c>
      <c r="F1624" s="5" t="inlineStr"/>
      <c r="G1624" s="6" t="inlineStr"/>
      <c r="H1624" s="6" t="inlineStr">
        <is>
          <t>Kırk dakika kaldırım konuştunuz. Sen “Yürüdüm, biliyorum” dedin; rakip yürümemişti. Meclis üyesi seçildin.</t>
        </is>
      </c>
      <c r="I1624" s="6" t="inlineStr">
        <is>
          <t>Rakibin ayakkabı tabanlarının hiç aşınmadığını kameraya gösterdin. Oyların üçte ikisi seninki.</t>
        </is>
      </c>
      <c r="J1624" s="6" t="inlineStr">
        <is>
          <t>Rakip kaldırımın metrekare fiyatını ezbere bildi, sen bilmedin. Seçimi o kazandı; kaldırım hâlâ yok.</t>
        </is>
      </c>
      <c r="K1624" s="6" t="inlineStr">
        <is>
          <t>Yayında kaldırıma “yaya yolu”, sonra “şu taşlı yer” dedin. Yerel kanal seni hâlâ “Şu Taşlı Yer” diye anıyor.</t>
        </is>
      </c>
      <c r="L1624" s="6" t="inlineStr"/>
      <c r="M1624" s="5" t="inlineStr"/>
      <c r="N1624" s="5" t="inlineStr"/>
      <c r="O1624" s="6" t="inlineStr"/>
      <c r="P1624" s="6" t="inlineStr"/>
      <c r="Q1624" s="5" t="inlineStr"/>
      <c r="R1624" s="5" t="inlineStr"/>
      <c r="S1624" s="5" t="inlineStr"/>
      <c r="T1624" s="5" t="inlineStr">
        <is>
          <t>Son Sözü Söyler</t>
        </is>
      </c>
      <c r="U1624" s="5" t="inlineStr"/>
      <c r="V1624" s="5" t="inlineStr">
        <is>
          <t>meclis-uyesi</t>
        </is>
      </c>
      <c r="W1624" s="5" t="inlineStr"/>
      <c r="X1624" s="5" t="inlineStr"/>
      <c r="Y1624" s="5" t="inlineStr"/>
      <c r="Z1624" s="6" t="inlineStr"/>
      <c r="AA1624" s="5" t="inlineStr"/>
      <c r="AB1624" s="5" t="inlineStr"/>
      <c r="AC1624" s="5" t="inlineStr"/>
      <c r="AD1624" s="5" t="inlineStr"/>
      <c r="AE1624" s="5" t="inlineStr"/>
      <c r="AF1624" s="5" t="inlineStr"/>
      <c r="AG1624" s="5" t="inlineStr"/>
      <c r="AH1624" s="5" t="inlineStr"/>
      <c r="AI1624" s="5" t="inlineStr">
        <is>
          <t>Şu Taşlı Yer</t>
        </is>
      </c>
      <c r="AJ1624" s="5" t="inlineStr"/>
    </row>
    <row r="1625">
      <c r="A1625" s="5" t="inlineStr">
        <is>
          <t>b8-politika-otobus</t>
        </is>
      </c>
      <c r="B1625" s="5" t="n">
        <v>1</v>
      </c>
      <c r="C1625" s="6" t="inlineStr">
        <is>
          <t>Otobüsten in, yürüyerek gez</t>
        </is>
      </c>
      <c r="D1625" s="5" t="inlineStr"/>
      <c r="E1625" s="5" t="inlineStr"/>
      <c r="F1625" s="5" t="inlineStr">
        <is>
          <t>Dayanıklılık +1, Sosyal Radar +1</t>
        </is>
      </c>
      <c r="G1625" s="6" t="inlineStr">
        <is>
          <t>Otobüs arkandan boş geldi, hoparlör sana şarkı söyledi. Günde üç mahalle gezdin ama her kapıda çay içtin. Her çay yarım oy.</t>
        </is>
      </c>
      <c r="H1625" s="6" t="inlineStr"/>
      <c r="I1625" s="6" t="inlineStr"/>
      <c r="J1625" s="6" t="inlineStr"/>
      <c r="K1625" s="6" t="inlineStr"/>
      <c r="L1625" s="6" t="inlineStr"/>
      <c r="M1625" s="5" t="inlineStr"/>
      <c r="N1625" s="5" t="inlineStr"/>
      <c r="O1625" s="6" t="inlineStr"/>
      <c r="P1625" s="6" t="inlineStr"/>
      <c r="Q1625" s="5" t="inlineStr"/>
      <c r="R1625" s="5" t="inlineStr"/>
      <c r="S1625" s="5" t="inlineStr"/>
      <c r="T1625" s="5" t="inlineStr"/>
      <c r="U1625" s="5" t="inlineStr"/>
      <c r="V1625" s="5" t="inlineStr"/>
      <c r="W1625" s="5" t="inlineStr"/>
      <c r="X1625" s="5" t="inlineStr"/>
      <c r="Y1625" s="5" t="inlineStr"/>
      <c r="Z1625" s="6" t="inlineStr"/>
      <c r="AA1625" s="5" t="inlineStr"/>
      <c r="AB1625" s="5" t="inlineStr"/>
      <c r="AC1625" s="5" t="inlineStr"/>
      <c r="AD1625" s="5" t="inlineStr"/>
      <c r="AE1625" s="5" t="inlineStr"/>
      <c r="AF1625" s="5" t="inlineStr"/>
      <c r="AG1625" s="5" t="inlineStr"/>
      <c r="AH1625" s="5" t="inlineStr"/>
      <c r="AI1625" s="5" t="inlineStr"/>
      <c r="AJ1625" s="5" t="inlineStr"/>
    </row>
    <row r="1626">
      <c r="A1626" s="5" t="inlineStr">
        <is>
          <t>b8-politika-otobus</t>
        </is>
      </c>
      <c r="B1626" s="5" t="n">
        <v>2</v>
      </c>
      <c r="C1626" s="6" t="inlineStr">
        <is>
          <t>Hoparlörden kendin konuş</t>
        </is>
      </c>
      <c r="D1626" s="5" t="inlineStr">
        <is>
          <t>Çene</t>
        </is>
      </c>
      <c r="E1626" s="5" t="inlineStr">
        <is>
          <t>Orta</t>
        </is>
      </c>
      <c r="F1626" s="5" t="inlineStr"/>
      <c r="G1626" s="6" t="inlineStr"/>
      <c r="H1626" s="6" t="inlineStr">
        <is>
          <t>Mahalle mahalle isim sayarak konuştun. Herkes adını duydu; seçimi kazandın. Şarkıyı kimse özlemedi.</t>
        </is>
      </c>
      <c r="I1626" s="6" t="inlineStr">
        <is>
          <t>Anonsların öyle sevildi ki seçimden sonra da çalınmasını istediler. Belediye başkanısın; sesin hâlâ sokakta.</t>
        </is>
      </c>
      <c r="J1626" s="6" t="inlineStr">
        <is>
          <t>Otobüs alt geçide girdi; “Değerli hemşehrilerim” yankılandı, gerisi uğultu oldu. Seçimi kırk oyla kaybettin. O alt geçidin üstünde tam kırk hane var.</t>
        </is>
      </c>
      <c r="K1626" s="6" t="inlineStr">
        <is>
          <t>Hoparlörü kapatmayı unuttun; şoföre “Klimayı bana da çevir, pişiyorum!” diye bağırışın bütün mahalleye yayınlandı. Balkondan bir teyze seslendi: “Biz de pişiyoruz evladım!” Klima oy kaybettirdi.</t>
        </is>
      </c>
      <c r="L1626" s="6" t="inlineStr"/>
      <c r="M1626" s="5" t="inlineStr"/>
      <c r="N1626" s="5" t="inlineStr"/>
      <c r="O1626" s="6" t="inlineStr"/>
      <c r="P1626" s="6" t="inlineStr"/>
      <c r="Q1626" s="5" t="inlineStr"/>
      <c r="R1626" s="5" t="inlineStr"/>
      <c r="S1626" s="5" t="inlineStr"/>
      <c r="T1626" s="5" t="inlineStr"/>
      <c r="U1626" s="5" t="inlineStr"/>
      <c r="V1626" s="5" t="inlineStr">
        <is>
          <t>belediye-baskani</t>
        </is>
      </c>
      <c r="W1626" s="5" t="inlineStr"/>
      <c r="X1626" s="5" t="inlineStr"/>
      <c r="Y1626" s="5" t="inlineStr"/>
      <c r="Z1626" s="6" t="inlineStr"/>
      <c r="AA1626" s="5" t="inlineStr"/>
      <c r="AB1626" s="5" t="inlineStr"/>
      <c r="AC1626" s="5" t="inlineStr"/>
      <c r="AD1626" s="5" t="inlineStr"/>
      <c r="AE1626" s="5" t="inlineStr"/>
      <c r="AF1626" s="5" t="inlineStr"/>
      <c r="AG1626" s="5" t="inlineStr"/>
      <c r="AH1626" s="5" t="inlineStr"/>
      <c r="AI1626" s="5" t="inlineStr"/>
      <c r="AJ1626" s="5" t="inlineStr"/>
    </row>
    <row r="1627">
      <c r="A1627" s="5" t="inlineStr">
        <is>
          <t>b8-politika-otobus</t>
        </is>
      </c>
      <c r="B1627" s="5" t="n">
        <v>3</v>
      </c>
      <c r="C1627" s="6" t="inlineStr">
        <is>
          <t>Rakibin otobüsüyle aynı caddede yarış</t>
        </is>
      </c>
      <c r="D1627" s="5" t="inlineStr">
        <is>
          <t>Cesaret</t>
        </is>
      </c>
      <c r="E1627" s="5" t="inlineStr">
        <is>
          <t>Zor</t>
        </is>
      </c>
      <c r="F1627" s="5" t="inlineStr"/>
      <c r="G1627" s="6" t="inlineStr"/>
      <c r="H1627" s="6" t="inlineStr">
        <is>
          <t>İki otobüs yan yana durdu; senin şoförün önce korna çaldı. Mahalle kornayı sevdi, seni seçti.</t>
        </is>
      </c>
      <c r="I1627" s="6" t="inlineStr">
        <is>
          <t>Rakibin otobüsü bozuldu; durup onu da kendi otobüsüne aldın. Fotoğraf her yerde. Başkansın; rakip yardımcın.</t>
        </is>
      </c>
      <c r="J1627" s="6" t="inlineStr">
        <is>
          <t>İki otobüs dar sokağa sıkıştı. Seçmen iki adayı da yaya gördü, kararsız kaldı. Kararsızlık kazandı.</t>
        </is>
      </c>
      <c r="K1627" s="6" t="inlineStr">
        <is>
          <t>Rakibi geçerken hoparlörün yanlışlıkla onun şarkısını çaldı. Mahallenin kafası karıştı, oyunu ona verdi.</t>
        </is>
      </c>
      <c r="L1627" s="6" t="inlineStr"/>
      <c r="M1627" s="5" t="inlineStr"/>
      <c r="N1627" s="5" t="inlineStr"/>
      <c r="O1627" s="6" t="inlineStr"/>
      <c r="P1627" s="6" t="inlineStr"/>
      <c r="Q1627" s="5" t="inlineStr"/>
      <c r="R1627" s="5" t="inlineStr"/>
      <c r="S1627" s="5" t="inlineStr"/>
      <c r="T1627" s="5" t="inlineStr"/>
      <c r="U1627" s="5" t="inlineStr"/>
      <c r="V1627" s="5" t="inlineStr">
        <is>
          <t>belediye-baskani</t>
        </is>
      </c>
      <c r="W1627" s="5" t="inlineStr"/>
      <c r="X1627" s="5" t="inlineStr"/>
      <c r="Y1627" s="5" t="inlineStr"/>
      <c r="Z1627" s="6" t="inlineStr"/>
      <c r="AA1627" s="5" t="inlineStr"/>
      <c r="AB1627" s="5" t="inlineStr"/>
      <c r="AC1627" s="5" t="inlineStr"/>
      <c r="AD1627" s="5" t="inlineStr"/>
      <c r="AE1627" s="5" t="inlineStr"/>
      <c r="AF1627" s="5" t="inlineStr"/>
      <c r="AG1627" s="5" t="inlineStr"/>
      <c r="AH1627" s="5" t="inlineStr"/>
      <c r="AI1627" s="5" t="inlineStr"/>
      <c r="AJ1627" s="5" t="inlineStr"/>
    </row>
    <row r="1628">
      <c r="A1628" s="5" t="inlineStr">
        <is>
          <t>b8-politika-tartisma</t>
        </is>
      </c>
      <c r="B1628" s="5" t="n">
        <v>1</v>
      </c>
      <c r="C1628" s="6" t="inlineStr">
        <is>
          <t>İki tarafı da haklı bul</t>
        </is>
      </c>
      <c r="D1628" s="5" t="inlineStr"/>
      <c r="E1628" s="5" t="inlineStr"/>
      <c r="F1628" s="5" t="inlineStr">
        <is>
          <t>Sosyal Radar +1, İtibar +1</t>
        </is>
      </c>
      <c r="G1628" s="6" t="inlineStr">
        <is>
          <t>“Göbek de güzel, ışık da” dedin. Program seni “uzlaşmacı” diye tanıttı; bir daha çağırmadı.</t>
        </is>
      </c>
      <c r="H1628" s="6" t="inlineStr"/>
      <c r="I1628" s="6" t="inlineStr"/>
      <c r="J1628" s="6" t="inlineStr"/>
      <c r="K1628" s="6" t="inlineStr"/>
      <c r="L1628" s="6" t="inlineStr"/>
      <c r="M1628" s="5" t="inlineStr"/>
      <c r="N1628" s="5" t="inlineStr"/>
      <c r="O1628" s="6" t="inlineStr"/>
      <c r="P1628" s="6" t="inlineStr"/>
      <c r="Q1628" s="5" t="inlineStr"/>
      <c r="R1628" s="5" t="inlineStr"/>
      <c r="S1628" s="5" t="inlineStr"/>
      <c r="T1628" s="5" t="inlineStr"/>
      <c r="U1628" s="5" t="inlineStr"/>
      <c r="V1628" s="5" t="inlineStr"/>
      <c r="W1628" s="5" t="inlineStr"/>
      <c r="X1628" s="5" t="inlineStr"/>
      <c r="Y1628" s="5" t="inlineStr"/>
      <c r="Z1628" s="6" t="inlineStr"/>
      <c r="AA1628" s="5" t="inlineStr"/>
      <c r="AB1628" s="5" t="inlineStr"/>
      <c r="AC1628" s="5" t="inlineStr"/>
      <c r="AD1628" s="5" t="inlineStr"/>
      <c r="AE1628" s="5" t="inlineStr"/>
      <c r="AF1628" s="5" t="inlineStr"/>
      <c r="AG1628" s="5" t="inlineStr"/>
      <c r="AH1628" s="5" t="inlineStr"/>
      <c r="AI1628" s="5" t="inlineStr"/>
      <c r="AJ1628" s="5" t="inlineStr"/>
    </row>
    <row r="1629">
      <c r="A1629" s="5" t="inlineStr">
        <is>
          <t>b8-politika-tartisma</t>
        </is>
      </c>
      <c r="B1629" s="5" t="n">
        <v>2</v>
      </c>
      <c r="C1629" s="6" t="inlineStr">
        <is>
          <t>Göbeği ondan yüksek sesle savun</t>
        </is>
      </c>
      <c r="D1629" s="5" t="inlineStr">
        <is>
          <t>Çene</t>
        </is>
      </c>
      <c r="E1629" s="5" t="inlineStr">
        <is>
          <t>Orta</t>
        </is>
      </c>
      <c r="F1629" s="5" t="inlineStr"/>
      <c r="G1629" s="6" t="inlineStr"/>
      <c r="H1629" s="6" t="inlineStr">
        <is>
          <t>Göbeği öyle savundun ki karşındaki konuk ışığa geçti. Sunucu zili çaldı; alkış bitmedi.</t>
        </is>
      </c>
      <c r="I1629" s="6" t="inlineStr">
        <is>
          <t>Gecenin en çok izlenen yayını oldu. Kanal seni her salı istiyor; göbek konusu tükendi, sırada rampalar var.</t>
        </is>
      </c>
      <c r="J1629" s="6" t="inlineStr">
        <is>
          <t>Göbeği savundun; karşındaki de savundu, daha yüksek sesle. Tartışma değil düet oldu. Sunucu zili hiç çalmadı; reklama erken girildi.</t>
        </is>
      </c>
      <c r="K1629" s="6" t="inlineStr">
        <is>
          <t>Heyecanla masaya vurdun; tek bardak su sunucunun kucağına döküldü. Zil bu kez senin için çaldı; reklama girildi.</t>
        </is>
      </c>
      <c r="L1629" s="6" t="inlineStr"/>
      <c r="M1629" s="5" t="inlineStr"/>
      <c r="N1629" s="5" t="inlineStr"/>
      <c r="O1629" s="6" t="inlineStr"/>
      <c r="P1629" s="6" t="inlineStr"/>
      <c r="Q1629" s="5" t="inlineStr"/>
      <c r="R1629" s="5" t="inlineStr"/>
      <c r="S1629" s="5" t="inlineStr"/>
      <c r="T1629" s="5" t="inlineStr"/>
      <c r="U1629" s="5" t="inlineStr"/>
      <c r="V1629" s="5" t="inlineStr">
        <is>
          <t>tv-tartismaci</t>
        </is>
      </c>
      <c r="W1629" s="5" t="inlineStr"/>
      <c r="X1629" s="5" t="inlineStr"/>
      <c r="Y1629" s="5" t="inlineStr"/>
      <c r="Z1629" s="6" t="inlineStr"/>
      <c r="AA1629" s="5" t="inlineStr"/>
      <c r="AB1629" s="5" t="inlineStr"/>
      <c r="AC1629" s="5" t="inlineStr"/>
      <c r="AD1629" s="5" t="inlineStr"/>
      <c r="AE1629" s="5" t="inlineStr"/>
      <c r="AF1629" s="5" t="inlineStr"/>
      <c r="AG1629" s="5" t="inlineStr"/>
      <c r="AH1629" s="5" t="inlineStr"/>
      <c r="AI1629" s="5" t="inlineStr"/>
      <c r="AJ1629" s="5" t="inlineStr"/>
    </row>
    <row r="1630">
      <c r="A1630" s="5" t="inlineStr">
        <is>
          <t>b8-politika-tartisma</t>
        </is>
      </c>
      <c r="B1630" s="5" t="n">
        <v>3</v>
      </c>
      <c r="C1630" s="6" t="inlineStr">
        <is>
          <t>Sunucunun zilini ele geçir</t>
        </is>
      </c>
      <c r="D1630" s="5" t="inlineStr">
        <is>
          <t>Pişkinlik</t>
        </is>
      </c>
      <c r="E1630" s="5" t="inlineStr">
        <is>
          <t>Zor</t>
        </is>
      </c>
      <c r="F1630" s="5" t="inlineStr"/>
      <c r="G1630" s="6" t="inlineStr"/>
      <c r="H1630" s="6" t="inlineStr">
        <is>
          <t>Zili aldın, sözün her kesildiğinde çaldın. Salon güldü, konuklar sustu. Son sözü sen söyledin; zille.</t>
        </is>
      </c>
      <c r="I1630" s="6" t="inlineStr">
        <is>
          <t>Zil sende kaldı; sunucu üç kez geri istedi, üçünde de zili çaldın. Sahne kısa video uygulamasında milyonlarca kez izlendi; çocuklar okulda teneffüs zilini senin gibi çalıyor.</t>
        </is>
      </c>
      <c r="J1630" s="6" t="inlineStr">
        <is>
          <t>Zile uzandın; sunucu elini çekmedi. Canlı yayında iki yetişkin bir zili paylaştı; kimse kazanmadı.</t>
        </is>
      </c>
      <c r="K1630" s="6" t="inlineStr">
        <is>
          <t>Zil elinden kaydı, masanın altına yuvarlandı. Programın kalanını masanın altından konuştun.</t>
        </is>
      </c>
      <c r="L1630" s="6" t="inlineStr">
        <is>
          <t>Zil bir sende kaldı, bir sunucuda. Konuklar sustu; seyirci kimin kazandığını hâlâ tartışıyor.</t>
        </is>
      </c>
      <c r="M1630" s="5" t="inlineStr">
        <is>
          <t>fight</t>
        </is>
      </c>
      <c r="N1630" s="5" t="inlineStr">
        <is>
          <t>Zil Kapışması</t>
        </is>
      </c>
      <c r="O1630" s="6" t="inlineStr">
        <is>
          <t>Saldırının geldiği yöne karşılık ver.</t>
        </is>
      </c>
      <c r="P1630" s="6" t="inlineStr">
        <is>
          <t>{"mode": "parry", "opp": "🔔"}</t>
        </is>
      </c>
      <c r="Q1630" s="5" t="inlineStr"/>
      <c r="R1630" s="5" t="inlineStr"/>
      <c r="S1630" s="5" t="inlineStr"/>
      <c r="T1630" s="5" t="inlineStr">
        <is>
          <t>Yüzü Kızarmaz</t>
        </is>
      </c>
      <c r="U1630" s="5" t="inlineStr"/>
      <c r="V1630" s="5" t="inlineStr">
        <is>
          <t>tv-tartismaci</t>
        </is>
      </c>
      <c r="W1630" s="5" t="inlineStr"/>
      <c r="X1630" s="5" t="inlineStr"/>
      <c r="Y1630" s="5" t="inlineStr"/>
      <c r="Z1630" s="6" t="inlineStr"/>
      <c r="AA1630" s="5" t="inlineStr"/>
      <c r="AB1630" s="5" t="inlineStr"/>
      <c r="AC1630" s="5" t="inlineStr"/>
      <c r="AD1630" s="5" t="inlineStr"/>
      <c r="AE1630" s="5" t="inlineStr"/>
      <c r="AF1630" s="5" t="inlineStr"/>
      <c r="AG1630" s="5" t="inlineStr"/>
      <c r="AH1630" s="5" t="inlineStr"/>
      <c r="AI1630" s="5" t="inlineStr"/>
      <c r="AJ1630" s="5" t="inlineStr"/>
    </row>
    <row r="1631">
      <c r="A1631" s="5" t="inlineStr">
        <is>
          <t>b8-politika-kurdele</t>
        </is>
      </c>
      <c r="B1631" s="5" t="n">
        <v>1</v>
      </c>
      <c r="C1631" s="6" t="inlineStr">
        <is>
          <t>Makası bırak, kurdeleyi düğümünden çöz</t>
        </is>
      </c>
      <c r="D1631" s="5" t="inlineStr"/>
      <c r="E1631" s="5" t="inlineStr"/>
      <c r="F1631" s="5" t="inlineStr">
        <is>
          <t>Kurnazlık +1, Dayanıklılık +1</t>
        </is>
      </c>
      <c r="G1631" s="6" t="inlineStr">
        <is>
          <t>Kurdeleyi düğümünden çözdün. Kimse kesilmediğini fark etmedi; fotoğrafta bir makas var, yeter.</t>
        </is>
      </c>
      <c r="H1631" s="6" t="inlineStr"/>
      <c r="I1631" s="6" t="inlineStr"/>
      <c r="J1631" s="6" t="inlineStr"/>
      <c r="K1631" s="6" t="inlineStr"/>
      <c r="L1631" s="6" t="inlineStr"/>
      <c r="M1631" s="5" t="inlineStr"/>
      <c r="N1631" s="5" t="inlineStr"/>
      <c r="O1631" s="6" t="inlineStr"/>
      <c r="P1631" s="6" t="inlineStr"/>
      <c r="Q1631" s="5" t="inlineStr"/>
      <c r="R1631" s="5" t="inlineStr"/>
      <c r="S1631" s="5" t="inlineStr"/>
      <c r="T1631" s="5" t="inlineStr"/>
      <c r="U1631" s="5" t="inlineStr"/>
      <c r="V1631" s="5" t="inlineStr"/>
      <c r="W1631" s="5" t="inlineStr"/>
      <c r="X1631" s="5" t="inlineStr"/>
      <c r="Y1631" s="5" t="inlineStr"/>
      <c r="Z1631" s="6" t="inlineStr"/>
      <c r="AA1631" s="5" t="inlineStr"/>
      <c r="AB1631" s="5" t="inlineStr"/>
      <c r="AC1631" s="5" t="inlineStr"/>
      <c r="AD1631" s="5" t="inlineStr"/>
      <c r="AE1631" s="5" t="inlineStr"/>
      <c r="AF1631" s="5" t="inlineStr"/>
      <c r="AG1631" s="5" t="inlineStr"/>
      <c r="AH1631" s="5" t="inlineStr"/>
      <c r="AI1631" s="5" t="inlineStr"/>
      <c r="AJ1631" s="5" t="inlineStr"/>
    </row>
    <row r="1632">
      <c r="A1632" s="5" t="inlineStr">
        <is>
          <t>b8-politika-kurdele</t>
        </is>
      </c>
      <c r="B1632" s="5" t="n">
        <v>2</v>
      </c>
      <c r="C1632" s="6" t="inlineStr">
        <is>
          <t>Kesmeden önce uzun bir konuşma yap</t>
        </is>
      </c>
      <c r="D1632" s="5" t="inlineStr">
        <is>
          <t>Çene</t>
        </is>
      </c>
      <c r="E1632" s="5" t="inlineStr">
        <is>
          <t>Orta</t>
        </is>
      </c>
      <c r="F1632" s="5" t="inlineStr"/>
      <c r="G1632" s="6" t="inlineStr"/>
      <c r="H1632" s="6" t="inlineStr">
        <is>
          <t>Çeşmenin tarihini anlattın; çeşme dün yapılmıştı. Yine de alkış aldın, kurdele de kesildi.</t>
        </is>
      </c>
      <c r="I1632" s="6" t="inlineStr">
        <is>
          <t>Konuşman biterken çeşmeden su aktı; zamanlama kusursuzdu. Kalabalık bunu senin başarın saydı. Sen de.</t>
        </is>
      </c>
      <c r="J1632" s="6" t="inlineStr">
        <is>
          <t>Konuşma uzadı, kalabalık dağıldı, kurdeleyi bir çocuk kopardı. Fotoğrafta çocuk var.</t>
        </is>
      </c>
      <c r="K1632" s="6" t="inlineStr">
        <is>
          <t>Tam doruk noktasında çeşme çalıştı; basınç fazlaydı. Ön sıradaki teyzelerin fönü, konuşma kâğıdın ve kurdele aynı anda ıslandı. Mahallede o çeşmenin adı hâlâ “Islak Açılış.”</t>
        </is>
      </c>
      <c r="L1632" s="6" t="inlineStr"/>
      <c r="M1632" s="5" t="inlineStr"/>
      <c r="N1632" s="5" t="inlineStr"/>
      <c r="O1632" s="6" t="inlineStr"/>
      <c r="P1632" s="6" t="inlineStr"/>
      <c r="Q1632" s="5" t="inlineStr"/>
      <c r="R1632" s="5" t="inlineStr"/>
      <c r="S1632" s="5" t="inlineStr"/>
      <c r="T1632" s="5" t="inlineStr"/>
      <c r="U1632" s="5" t="inlineStr"/>
      <c r="V1632" s="5" t="inlineStr"/>
      <c r="W1632" s="5" t="inlineStr"/>
      <c r="X1632" s="5" t="inlineStr"/>
      <c r="Y1632" s="5" t="inlineStr"/>
      <c r="Z1632" s="6" t="inlineStr"/>
      <c r="AA1632" s="5" t="inlineStr"/>
      <c r="AB1632" s="5" t="inlineStr"/>
      <c r="AC1632" s="5" t="inlineStr"/>
      <c r="AD1632" s="5" t="inlineStr"/>
      <c r="AE1632" s="5" t="inlineStr"/>
      <c r="AF1632" s="5" t="inlineStr"/>
      <c r="AG1632" s="5" t="inlineStr"/>
      <c r="AH1632" s="5" t="inlineStr"/>
      <c r="AI1632" s="5" t="inlineStr"/>
      <c r="AJ1632" s="5" t="inlineStr"/>
    </row>
    <row r="1633">
      <c r="A1633" s="5" t="inlineStr">
        <is>
          <t>b8-politika-kurdele</t>
        </is>
      </c>
      <c r="B1633" s="5" t="n">
        <v>3</v>
      </c>
      <c r="C1633" s="6" t="inlineStr">
        <is>
          <t>Kör makası kameraya göster, şakaya vur</t>
        </is>
      </c>
      <c r="D1633" s="5" t="inlineStr">
        <is>
          <t>Pişkinlik</t>
        </is>
      </c>
      <c r="E1633" s="5" t="inlineStr">
        <is>
          <t>Orta</t>
        </is>
      </c>
      <c r="F1633" s="5" t="inlineStr"/>
      <c r="G1633" s="6" t="inlineStr"/>
      <c r="H1633" s="6" t="inlineStr">
        <is>
          <t>“Bu makas da seçim vaadi gibi, kesiyormuş gibi yapıyor” dedin. Herkes güldü; espri kurdeleden uzun yaşadı.</t>
        </is>
      </c>
      <c r="I1633" s="6" t="inlineStr">
        <is>
          <t>Esprin haberlere çıktı; bir makas firması sana yeni makas yolladı. Açılış davetlerin ikiye katlandı.</t>
        </is>
      </c>
      <c r="J1633" s="6" t="inlineStr">
        <is>
          <t>Makası getiren görevli bozuldu; makas babasından kalmaymış. Kurdeleyi elinden alıp kendisi kesti, iki hamlede.</t>
        </is>
      </c>
      <c r="K1633" s="6" t="inlineStr">
        <is>
          <t>Makası sallarken kurdeleyi değil mikrofon kablosunu kestin. Açılışın sesi orada bitti.</t>
        </is>
      </c>
      <c r="L1633" s="6" t="inlineStr"/>
      <c r="M1633" s="5" t="inlineStr"/>
      <c r="N1633" s="5" t="inlineStr"/>
      <c r="O1633" s="6" t="inlineStr"/>
      <c r="P1633" s="6" t="inlineStr"/>
      <c r="Q1633" s="5" t="inlineStr"/>
      <c r="R1633" s="5" t="inlineStr"/>
      <c r="S1633" s="5" t="inlineStr"/>
      <c r="T1633" s="5" t="inlineStr"/>
      <c r="U1633" s="5" t="inlineStr"/>
      <c r="V1633" s="5" t="inlineStr"/>
      <c r="W1633" s="5" t="inlineStr"/>
      <c r="X1633" s="5" t="inlineStr"/>
      <c r="Y1633" s="5" t="inlineStr"/>
      <c r="Z1633" s="6" t="inlineStr"/>
      <c r="AA1633" s="5" t="inlineStr"/>
      <c r="AB1633" s="5" t="inlineStr"/>
      <c r="AC1633" s="5" t="inlineStr"/>
      <c r="AD1633" s="5" t="inlineStr"/>
      <c r="AE1633" s="5" t="inlineStr"/>
      <c r="AF1633" s="5" t="inlineStr"/>
      <c r="AG1633" s="5" t="inlineStr"/>
      <c r="AH1633" s="5" t="inlineStr"/>
      <c r="AI1633" s="5" t="inlineStr"/>
      <c r="AJ1633" s="5" t="inlineStr"/>
    </row>
    <row r="1634">
      <c r="A1634" s="5" t="inlineStr">
        <is>
          <t>b8-politika-kurdele</t>
        </is>
      </c>
      <c r="B1634" s="5" t="n">
        <v>4</v>
      </c>
      <c r="C1634" s="6" t="inlineStr">
        <is>
          <t>Açılışı bırak, Meclis'e yetiş, kürsüye çık</t>
        </is>
      </c>
      <c r="D1634" s="5" t="inlineStr">
        <is>
          <t>Cesaret</t>
        </is>
      </c>
      <c r="E1634" s="5" t="inlineStr">
        <is>
          <t>Zor</t>
        </is>
      </c>
      <c r="F1634" s="5" t="inlineStr"/>
      <c r="G1634" s="6" t="inlineStr"/>
      <c r="H1634" s="6" t="inlineStr">
        <is>
          <t>Kürsüdeki ilk konuşmanda çeşmeyi anlattın. Meclis güldü, sonra alkışladı. Tutanakta iki kez “(Alkışlar)” yazıyor.</t>
        </is>
      </c>
      <c r="I1634" s="6" t="inlineStr">
        <is>
          <t>İlk konuşmanı her sıradan vekil ayakta alkışladı. Kantinde tost sana ikram edildi; ayran da.</t>
        </is>
      </c>
      <c r="J1634" s="6" t="inlineStr">
        <is>
          <t>Süren yirmi saniyeydi, ilk cümlen otuz. Tutanakta yalnızca “Sayın Başkan” yazıyor.</t>
        </is>
      </c>
      <c r="K1634" s="6" t="inlineStr">
        <is>
          <t>Kurdele ceketine takılı kalmış. Konuşman unutuldu; kurdeleli fotoğrafın kaldı.</t>
        </is>
      </c>
      <c r="L1634" s="6" t="inlineStr"/>
      <c r="M1634" s="5" t="inlineStr"/>
      <c r="N1634" s="5" t="inlineStr"/>
      <c r="O1634" s="6" t="inlineStr"/>
      <c r="P1634" s="6" t="inlineStr"/>
      <c r="Q1634" s="5" t="inlineStr"/>
      <c r="R1634" s="5" t="inlineStr">
        <is>
          <t>secim-kazandi</t>
        </is>
      </c>
      <c r="S1634" s="5" t="inlineStr"/>
      <c r="T1634" s="5" t="inlineStr">
        <is>
          <t>Sözünü Geçirir</t>
        </is>
      </c>
      <c r="U1634" s="5" t="inlineStr"/>
      <c r="V1634" s="5" t="inlineStr"/>
      <c r="W1634" s="5" t="inlineStr"/>
      <c r="X1634" s="5" t="inlineStr"/>
      <c r="Y1634" s="5" t="inlineStr"/>
      <c r="Z1634" s="6" t="inlineStr"/>
      <c r="AA1634" s="5" t="inlineStr"/>
      <c r="AB1634" s="5" t="inlineStr"/>
      <c r="AC1634" s="5" t="inlineStr"/>
      <c r="AD1634" s="5" t="inlineStr"/>
      <c r="AE1634" s="5" t="inlineStr"/>
      <c r="AF1634" s="5" t="inlineStr"/>
      <c r="AG1634" s="5" t="inlineStr"/>
      <c r="AH1634" s="5" t="inlineStr"/>
      <c r="AI1634" s="5" t="inlineStr"/>
      <c r="AJ1634" s="5" t="inlineStr"/>
    </row>
    <row r="1635">
      <c r="A1635" s="5" t="inlineStr">
        <is>
          <t>b9-politika-ani</t>
        </is>
      </c>
      <c r="B1635" s="5" t="n">
        <v>1</v>
      </c>
      <c r="C1635" s="6" t="inlineStr">
        <is>
          <t>Her şeyi olduğu gibi yaz</t>
        </is>
      </c>
      <c r="D1635" s="5" t="inlineStr"/>
      <c r="E1635" s="5" t="inlineStr"/>
      <c r="F1635" s="5" t="inlineStr">
        <is>
          <t>İtibar +1, Akıl +1</t>
        </is>
      </c>
      <c r="G1635" s="6" t="inlineStr">
        <is>
          <t>Kitap dürüst oldu; kırk iki tane sattı. Otuzunu akrabalar aldı. Birini eski rakibin aldı, altını çize çize okuyor.</t>
        </is>
      </c>
      <c r="H1635" s="6" t="inlineStr"/>
      <c r="I1635" s="6" t="inlineStr"/>
      <c r="J1635" s="6" t="inlineStr"/>
      <c r="K1635" s="6" t="inlineStr"/>
      <c r="L1635" s="6" t="inlineStr"/>
      <c r="M1635" s="5" t="inlineStr"/>
      <c r="N1635" s="5" t="inlineStr"/>
      <c r="O1635" s="6" t="inlineStr"/>
      <c r="P1635" s="6" t="inlineStr"/>
      <c r="Q1635" s="5" t="inlineStr"/>
      <c r="R1635" s="5" t="inlineStr"/>
      <c r="S1635" s="5" t="inlineStr"/>
      <c r="T1635" s="5" t="inlineStr"/>
      <c r="U1635" s="5" t="inlineStr"/>
      <c r="V1635" s="5" t="inlineStr"/>
      <c r="W1635" s="5" t="inlineStr"/>
      <c r="X1635" s="5" t="inlineStr"/>
      <c r="Y1635" s="5" t="inlineStr"/>
      <c r="Z1635" s="6" t="inlineStr"/>
      <c r="AA1635" s="5" t="inlineStr"/>
      <c r="AB1635" s="5" t="inlineStr"/>
      <c r="AC1635" s="5" t="inlineStr"/>
      <c r="AD1635" s="5" t="inlineStr"/>
      <c r="AE1635" s="5" t="inlineStr"/>
      <c r="AF1635" s="5" t="inlineStr"/>
      <c r="AG1635" s="5" t="inlineStr"/>
      <c r="AH1635" s="5" t="inlineStr"/>
      <c r="AI1635" s="5" t="inlineStr"/>
      <c r="AJ1635" s="5" t="inlineStr"/>
    </row>
    <row r="1636">
      <c r="A1636" s="5" t="inlineStr">
        <is>
          <t>b9-politika-ani</t>
        </is>
      </c>
      <c r="B1636" s="5" t="n">
        <v>2</v>
      </c>
      <c r="C1636" s="6" t="inlineStr">
        <is>
          <t>Küçük bir sır uydur</t>
        </is>
      </c>
      <c r="D1636" s="5" t="inlineStr">
        <is>
          <t>Pişkinlik</t>
        </is>
      </c>
      <c r="E1636" s="5" t="inlineStr">
        <is>
          <t>Orta</t>
        </is>
      </c>
      <c r="F1636" s="5" t="inlineStr"/>
      <c r="G1636" s="6" t="inlineStr"/>
      <c r="H1636" s="6" t="inlineStr">
        <is>
          <t>“Semaverin gizli tarifi” diye bir bölüm ekledin. Kitap okundu; tarif denendi, tutmadı. Kimse şikâyet etmedi.</t>
        </is>
      </c>
      <c r="I1636" s="6" t="inlineStr">
        <is>
          <t>Uydurduğun sır bir televizyon programına konu oldu. Doğrulaman için çağrıldın; doğruladın.</t>
        </is>
      </c>
      <c r="J1636" s="6" t="inlineStr">
        <is>
          <t>Editör “Bu sırrı biri daha önce yazmış” dedi. Yazan, eski il başkanın.</t>
        </is>
      </c>
      <c r="K1636" s="6" t="inlineStr">
        <is>
          <t>Sırrın kahramanı eski bir parti arkadaşın; kitabı okumuş. Fuarda imza kuyruğuna girdi, kitabı imzalattı, sonra kuyruğa dönüp okudu: 'O gece ben orada değildim.' Kuyruk dağıldı; yarısı ondan imza almaya gitti.</t>
        </is>
      </c>
      <c r="L1636" s="6" t="inlineStr"/>
      <c r="M1636" s="5" t="inlineStr"/>
      <c r="N1636" s="5" t="inlineStr"/>
      <c r="O1636" s="6" t="inlineStr"/>
      <c r="P1636" s="6" t="inlineStr"/>
      <c r="Q1636" s="5" t="inlineStr"/>
      <c r="R1636" s="5" t="inlineStr"/>
      <c r="S1636" s="5" t="inlineStr"/>
      <c r="T1636" s="5" t="inlineStr"/>
      <c r="U1636" s="5" t="inlineStr"/>
      <c r="V1636" s="5" t="inlineStr"/>
      <c r="W1636" s="5" t="inlineStr"/>
      <c r="X1636" s="5" t="inlineStr"/>
      <c r="Y1636" s="5" t="inlineStr"/>
      <c r="Z1636" s="6" t="inlineStr"/>
      <c r="AA1636" s="5" t="inlineStr"/>
      <c r="AB1636" s="5" t="inlineStr"/>
      <c r="AC1636" s="5" t="inlineStr"/>
      <c r="AD1636" s="5" t="inlineStr"/>
      <c r="AE1636" s="5" t="inlineStr"/>
      <c r="AF1636" s="5" t="inlineStr"/>
      <c r="AG1636" s="5" t="inlineStr"/>
      <c r="AH1636" s="5" t="inlineStr"/>
      <c r="AI1636" s="5" t="inlineStr"/>
      <c r="AJ1636" s="5" t="inlineStr"/>
    </row>
    <row r="1637">
      <c r="A1637" s="5" t="inlineStr">
        <is>
          <t>b9-politika-ani</t>
        </is>
      </c>
      <c r="B1637" s="5" t="n">
        <v>3</v>
      </c>
      <c r="C1637" s="6" t="inlineStr">
        <is>
          <t>Eski rakibinle ortak kitap yaz</t>
        </is>
      </c>
      <c r="D1637" s="5" t="inlineStr">
        <is>
          <t>Sosyal Radar</t>
        </is>
      </c>
      <c r="E1637" s="5" t="inlineStr">
        <is>
          <t>Zor</t>
        </is>
      </c>
      <c r="F1637" s="5" t="inlineStr"/>
      <c r="G1637" s="6" t="inlineStr"/>
      <c r="H1637" s="6" t="inlineStr">
        <is>
          <t>Her bölümü ikişer kez yazdınız, bir kez kavga ettiniz. Kitap “uzlaşmanın anıları” diye satıldı.</t>
        </is>
      </c>
      <c r="I1637" s="6" t="inlineStr">
        <is>
          <t>İmza gününde ikiniz aynı kalemi kullandınız. Fotoğraf ders kitaplarına girdi, “Nezaket” başlığının altına.</t>
        </is>
      </c>
      <c r="J1637" s="6" t="inlineStr">
        <is>
          <t>Anlaşamadınız; aynı kapakla iki ayrı kitap çıktı. Kitapçılar yan yana dizdi.</t>
        </is>
      </c>
      <c r="K1637" s="6" t="inlineStr">
        <is>
          <t>Önsözde anlaşamadınız; önsöz iki yüz sayfa oldu. Kitap önsözden ibaret.</t>
        </is>
      </c>
      <c r="L1637" s="6" t="inlineStr"/>
      <c r="M1637" s="5" t="inlineStr"/>
      <c r="N1637" s="5" t="inlineStr"/>
      <c r="O1637" s="6" t="inlineStr"/>
      <c r="P1637" s="6" t="inlineStr"/>
      <c r="Q1637" s="5" t="inlineStr"/>
      <c r="R1637" s="5" t="inlineStr"/>
      <c r="S1637" s="5" t="inlineStr"/>
      <c r="T1637" s="5" t="inlineStr">
        <is>
          <t>Odayı Okur</t>
        </is>
      </c>
      <c r="U1637" s="5" t="inlineStr"/>
      <c r="V1637" s="5" t="inlineStr"/>
      <c r="W1637" s="5" t="inlineStr"/>
      <c r="X1637" s="5" t="inlineStr"/>
      <c r="Y1637" s="5" t="inlineStr"/>
      <c r="Z1637" s="6" t="inlineStr"/>
      <c r="AA1637" s="5" t="inlineStr"/>
      <c r="AB1637" s="5" t="inlineStr"/>
      <c r="AC1637" s="5" t="inlineStr"/>
      <c r="AD1637" s="5" t="inlineStr"/>
      <c r="AE1637" s="5" t="inlineStr"/>
      <c r="AF1637" s="5" t="inlineStr"/>
      <c r="AG1637" s="5" t="inlineStr"/>
      <c r="AH1637" s="5" t="inlineStr"/>
      <c r="AI1637" s="5" t="inlineStr"/>
      <c r="AJ1637" s="5" t="inlineStr"/>
    </row>
    <row r="1638">
      <c r="A1638" s="5" t="inlineStr">
        <is>
          <t>b9-politika-kahve</t>
        </is>
      </c>
      <c r="B1638" s="5" t="n">
        <v>1</v>
      </c>
      <c r="C1638" s="6" t="inlineStr">
        <is>
          <t>Hepsini dinle, önce kediyle ilgilen</t>
        </is>
      </c>
      <c r="D1638" s="5" t="inlineStr"/>
      <c r="E1638" s="5" t="inlineStr"/>
      <c r="F1638" s="5" t="inlineStr">
        <is>
          <t>İtibar +1, Sosyal Radar +1</t>
        </is>
      </c>
      <c r="G1638" s="6" t="inlineStr">
        <is>
          <t>Kediyi belediyeye götürdün; ceza çöp kutusunu devirmekten. Cezayı ödedin. Kedi artık kahvede, senin masanda uyuyor.</t>
        </is>
      </c>
      <c r="H1638" s="6" t="inlineStr"/>
      <c r="I1638" s="6" t="inlineStr"/>
      <c r="J1638" s="6" t="inlineStr"/>
      <c r="K1638" s="6" t="inlineStr"/>
      <c r="L1638" s="6" t="inlineStr"/>
      <c r="M1638" s="5" t="inlineStr"/>
      <c r="N1638" s="5" t="inlineStr"/>
      <c r="O1638" s="6" t="inlineStr"/>
      <c r="P1638" s="6" t="inlineStr"/>
      <c r="Q1638" s="5" t="inlineStr"/>
      <c r="R1638" s="5" t="inlineStr"/>
      <c r="S1638" s="5" t="inlineStr"/>
      <c r="T1638" s="5" t="inlineStr"/>
      <c r="U1638" s="5" t="inlineStr"/>
      <c r="V1638" s="5" t="inlineStr"/>
      <c r="W1638" s="5" t="inlineStr"/>
      <c r="X1638" s="5" t="inlineStr"/>
      <c r="Y1638" s="5" t="inlineStr"/>
      <c r="Z1638" s="6" t="inlineStr"/>
      <c r="AA1638" s="5" t="inlineStr"/>
      <c r="AB1638" s="5" t="inlineStr"/>
      <c r="AC1638" s="5" t="inlineStr"/>
      <c r="AD1638" s="5" t="inlineStr"/>
      <c r="AE1638" s="5" t="inlineStr"/>
      <c r="AF1638" s="5" t="inlineStr"/>
      <c r="AG1638" s="5" t="inlineStr"/>
      <c r="AH1638" s="5" t="inlineStr"/>
      <c r="AI1638" s="5" t="inlineStr"/>
      <c r="AJ1638" s="5" t="inlineStr"/>
    </row>
    <row r="1639">
      <c r="A1639" s="5" t="inlineStr">
        <is>
          <t>b9-politika-kahve</t>
        </is>
      </c>
      <c r="B1639" s="5" t="n">
        <v>2</v>
      </c>
      <c r="C1639" s="6" t="inlineStr">
        <is>
          <t>Eski telefon defterini aç, birkaç yeri ara</t>
        </is>
      </c>
      <c r="D1639" s="5" t="inlineStr">
        <is>
          <t>Çene</t>
        </is>
      </c>
      <c r="E1639" s="5" t="inlineStr">
        <is>
          <t>Orta</t>
        </is>
      </c>
      <c r="F1639" s="5" t="inlineStr"/>
      <c r="G1639" s="6" t="inlineStr"/>
      <c r="H1639" s="6" t="inlineStr">
        <is>
          <t>Üç yeri aradın, ikisi açtı, biri seni hatırladı. Kaldırım programa alındı; beş yıl sonrasına ama alındı.</t>
        </is>
      </c>
      <c r="I1639" s="6" t="inlineStr">
        <is>
          <t>Aradığın herkes hatırladı: torun işe girdi, kaldırım döküldü, kedinin cezası silindi. Bütün gün çayın ısmarlandı.</t>
        </is>
      </c>
      <c r="J1639" s="6" t="inlineStr">
        <is>
          <t>Numaraların yarısı başkasına geçmiş. Biri pizzacı çıktı; mecburen bir şey sipariş ettin.</t>
        </is>
      </c>
      <c r="K1639" s="6" t="inlineStr">
        <is>
          <t>Yanlış numarayı aradın; eski rakibin açtı. Ricayı dinledi, kaldırımı kendisi yaptırdı. Kahve artık onu seviyor.</t>
        </is>
      </c>
      <c r="L1639" s="6" t="inlineStr"/>
      <c r="M1639" s="5" t="inlineStr"/>
      <c r="N1639" s="5" t="inlineStr"/>
      <c r="O1639" s="6" t="inlineStr"/>
      <c r="P1639" s="6" t="inlineStr"/>
      <c r="Q1639" s="5" t="inlineStr"/>
      <c r="R1639" s="5" t="inlineStr"/>
      <c r="S1639" s="5" t="inlineStr"/>
      <c r="T1639" s="5" t="inlineStr"/>
      <c r="U1639" s="5" t="inlineStr"/>
      <c r="V1639" s="5" t="inlineStr"/>
      <c r="W1639" s="5" t="inlineStr"/>
      <c r="X1639" s="5" t="inlineStr"/>
      <c r="Y1639" s="5" t="inlineStr"/>
      <c r="Z1639" s="6" t="inlineStr"/>
      <c r="AA1639" s="5" t="inlineStr"/>
      <c r="AB1639" s="5" t="inlineStr"/>
      <c r="AC1639" s="5" t="inlineStr"/>
      <c r="AD1639" s="5" t="inlineStr"/>
      <c r="AE1639" s="5" t="inlineStr"/>
      <c r="AF1639" s="5" t="inlineStr"/>
      <c r="AG1639" s="5" t="inlineStr"/>
      <c r="AH1639" s="5" t="inlineStr"/>
      <c r="AI1639" s="5" t="inlineStr"/>
      <c r="AJ1639" s="5" t="inlineStr"/>
    </row>
    <row r="1640">
      <c r="A1640" s="5" t="inlineStr">
        <is>
          <t>b9-politika-kahve</t>
        </is>
      </c>
      <c r="B1640" s="5" t="n">
        <v>3</v>
      </c>
      <c r="C1640" s="6" t="inlineStr">
        <is>
          <t>Ricaları bir mahalle toplantısına çevir</t>
        </is>
      </c>
      <c r="D1640" s="5" t="inlineStr">
        <is>
          <t>Pişkinlik</t>
        </is>
      </c>
      <c r="E1640" s="5" t="inlineStr">
        <is>
          <t>Orta</t>
        </is>
      </c>
      <c r="F1640" s="5" t="inlineStr"/>
      <c r="G1640" s="6" t="inlineStr"/>
      <c r="H1640" s="6" t="inlineStr">
        <is>
          <t>Masaları birleştirdin, kahveyi mahalle meclisine çevirdin. Kaldırım için imza toplandı; kedi de patisini bastı.</t>
        </is>
      </c>
      <c r="I1640" s="6" t="inlineStr">
        <is>
          <t>Toplantılar öyle sevildi ki belediye her ay birini gönderiyor. Yine “Başkanım”sın; bu sefer bir sebebi var.</t>
        </is>
      </c>
      <c r="J1640" s="6" t="inlineStr">
        <is>
          <t>Toplantıya kimse gelmedi; tavla turnuvası vardı. Sen de oynadın, kaybettin.</t>
        </is>
      </c>
      <c r="K1640" s="6" t="inlineStr">
        <is>
          <t>Kaldırımcıyla kedi sahibi kavgaya tutuştu; kedi çöp kutusunu yine devirdi. Ceza bu kez senin adına kesildi.</t>
        </is>
      </c>
      <c r="L1640" s="6" t="inlineStr"/>
      <c r="M1640" s="5" t="inlineStr"/>
      <c r="N1640" s="5" t="inlineStr"/>
      <c r="O1640" s="6" t="inlineStr"/>
      <c r="P1640" s="6" t="inlineStr"/>
      <c r="Q1640" s="5" t="inlineStr"/>
      <c r="R1640" s="5" t="inlineStr"/>
      <c r="S1640" s="5" t="inlineStr"/>
      <c r="T1640" s="5" t="inlineStr"/>
      <c r="U1640" s="5" t="inlineStr"/>
      <c r="V1640" s="5" t="inlineStr"/>
      <c r="W1640" s="5" t="inlineStr"/>
      <c r="X1640" s="5" t="inlineStr"/>
      <c r="Y1640" s="5" t="inlineStr"/>
      <c r="Z1640" s="6" t="inlineStr"/>
      <c r="AA1640" s="5" t="inlineStr"/>
      <c r="AB1640" s="5" t="inlineStr"/>
      <c r="AC1640" s="5" t="inlineStr"/>
      <c r="AD1640" s="5" t="inlineStr"/>
      <c r="AE1640" s="5" t="inlineStr"/>
      <c r="AF1640" s="5" t="inlineStr"/>
      <c r="AG1640" s="5" t="inlineStr"/>
      <c r="AH1640" s="5" t="inlineStr"/>
      <c r="AI1640" s="5" t="inlineStr"/>
      <c r="AJ1640" s="5" t="inlineStr"/>
    </row>
    <row r="1641">
      <c r="A1641" s="5" t="inlineStr">
        <is>
          <t>b9-politika-kahve</t>
        </is>
      </c>
      <c r="B1641" s="5" t="n">
        <v>4</v>
      </c>
      <c r="C1641" s="6" t="inlineStr">
        <is>
          <t>“Eski Meclis üyesi” kartını çıkar</t>
        </is>
      </c>
      <c r="D1641" s="5" t="inlineStr">
        <is>
          <t>Pişkinlik</t>
        </is>
      </c>
      <c r="E1641" s="5" t="inlineStr">
        <is>
          <t>Zor</t>
        </is>
      </c>
      <c r="F1641" s="5" t="inlineStr"/>
      <c r="G1641" s="6" t="inlineStr"/>
      <c r="H1641" s="6" t="inlineStr">
        <is>
          <t>Kartı gösterdin; belediyede kapılar açıldı, kedinin cezası 'sehven' diye silindi. Kahveye döndüğünde kedi senin sandalyendeydi; kalkmadı.</t>
        </is>
      </c>
      <c r="I1641" s="6" t="inlineStr">
        <is>
          <t>Başkan yardımcısı eski stajyerin çıktı. Kaldırım bir haftada döküldü; adı “Vekil Yolu” oldu.</t>
        </is>
      </c>
      <c r="J1641" s="6" t="inlineStr">
        <is>
          <t>Güvenlikteki genç kartının süresinin çoktan dolduğunu söyledi. Ziyaretçi kartıyla girdin.</t>
        </is>
      </c>
      <c r="K1641" s="6" t="inlineStr">
        <is>
          <t>Kartı çıkarırken cüzdandan eski miting fotoğrafların döküldü; bekleme salonu tek tek inceledi. Cezayı ödeyip çıktın.</t>
        </is>
      </c>
      <c r="L1641" s="6" t="inlineStr"/>
      <c r="M1641" s="5" t="inlineStr"/>
      <c r="N1641" s="5" t="inlineStr"/>
      <c r="O1641" s="6" t="inlineStr"/>
      <c r="P1641" s="6" t="inlineStr"/>
      <c r="Q1641" s="5" t="inlineStr"/>
      <c r="R1641" s="5" t="inlineStr">
        <is>
          <t>secim-kazandi</t>
        </is>
      </c>
      <c r="S1641" s="5" t="inlineStr"/>
      <c r="T1641" s="5" t="inlineStr">
        <is>
          <t>Kendine Gülebilir</t>
        </is>
      </c>
      <c r="U1641" s="5" t="inlineStr"/>
      <c r="V1641" s="5" t="inlineStr"/>
      <c r="W1641" s="5" t="inlineStr"/>
      <c r="X1641" s="5" t="inlineStr"/>
      <c r="Y1641" s="5" t="inlineStr"/>
      <c r="Z1641" s="6" t="inlineStr"/>
      <c r="AA1641" s="5" t="inlineStr"/>
      <c r="AB1641" s="5" t="inlineStr"/>
      <c r="AC1641" s="5" t="inlineStr"/>
      <c r="AD1641" s="5" t="inlineStr"/>
      <c r="AE1641" s="5" t="inlineStr"/>
      <c r="AF1641" s="5" t="inlineStr"/>
      <c r="AG1641" s="5" t="inlineStr"/>
      <c r="AH1641" s="5" t="inlineStr"/>
      <c r="AI1641" s="5" t="inlineStr"/>
      <c r="AJ1641" s="5" t="inlineStr"/>
    </row>
    <row r="1642">
      <c r="A1642" s="5" t="inlineStr">
        <is>
          <t>k10-sohret</t>
        </is>
      </c>
      <c r="B1642" s="5" t="n">
        <v>1</v>
      </c>
      <c r="C1642" s="6" t="inlineStr">
        <is>
          <t>Özür videosu çek</t>
        </is>
      </c>
      <c r="D1642" s="5" t="inlineStr">
        <is>
          <t>Çene</t>
        </is>
      </c>
      <c r="E1642" s="5" t="inlineStr">
        <is>
          <t>Orta</t>
        </is>
      </c>
      <c r="F1642" s="5" t="inlineStr"/>
      <c r="G1642" s="6" t="inlineStr"/>
      <c r="H1642" s="6" t="inlineStr">
        <is>
          <t>Beyaz tişört, sade duvar, titrek ses. Özrün kabul edildi; garson bile yorum yazdı: “Tamam, artık tanıyorum.” Sponsorlar döndü.</t>
        </is>
      </c>
      <c r="I1642" s="6" t="inlineStr">
        <is>
          <t>Özür videon, olay videosundan çok izlendi. Garsonla birlikte reklam çektiniz. Artık garsonu da herkes tanıyor.</t>
        </is>
      </c>
      <c r="J1642" s="6" t="inlineStr">
        <is>
          <t>Işık kötüydü, sesin fazla prova edilmişti. Yorumlar “Oyunculuk bu mu?” diyor. Kimse affetmedi; bekliyorlar.</t>
        </is>
      </c>
      <c r="K1642" s="6" t="inlineStr">
        <is>
          <t>Videonun sonunda “Beni tanıyanlar bilir” dedin. Aynı cümle. İkinci video da her yerde.</t>
        </is>
      </c>
      <c r="L1642" s="6" t="inlineStr"/>
      <c r="M1642" s="5" t="inlineStr"/>
      <c r="N1642" s="5" t="inlineStr"/>
      <c r="O1642" s="6" t="inlineStr"/>
      <c r="P1642" s="6" t="inlineStr"/>
      <c r="Q1642" s="5" t="inlineStr"/>
      <c r="R1642" s="5" t="inlineStr"/>
      <c r="S1642" s="5" t="inlineStr"/>
      <c r="T1642" s="5" t="inlineStr"/>
      <c r="U1642" s="5" t="inlineStr"/>
      <c r="V1642" s="5" t="inlineStr"/>
      <c r="W1642" s="5" t="inlineStr"/>
      <c r="X1642" s="5" t="inlineStr"/>
      <c r="Y1642" s="5" t="inlineStr"/>
      <c r="Z1642" s="6" t="inlineStr"/>
      <c r="AA1642" s="5" t="inlineStr"/>
      <c r="AB1642" s="5" t="inlineStr"/>
      <c r="AC1642" s="5" t="inlineStr"/>
      <c r="AD1642" s="5" t="inlineStr">
        <is>
          <t>Rahat</t>
        </is>
      </c>
      <c r="AE1642" s="5" t="inlineStr"/>
      <c r="AF1642" s="5" t="inlineStr"/>
      <c r="AG1642" s="5" t="inlineStr"/>
      <c r="AH1642" s="5" t="inlineStr"/>
      <c r="AI1642" s="5" t="inlineStr"/>
      <c r="AJ1642" s="5" t="inlineStr"/>
    </row>
    <row r="1643">
      <c r="A1643" s="5" t="inlineStr">
        <is>
          <t>k10-sohret</t>
        </is>
      </c>
      <c r="B1643" s="5" t="n">
        <v>2</v>
      </c>
      <c r="C1643" s="6" t="inlineStr">
        <is>
          <t>Sessiz kal, geri dönüşü bekle</t>
        </is>
      </c>
      <c r="D1643" s="5" t="inlineStr">
        <is>
          <t>Dayanıklılık</t>
        </is>
      </c>
      <c r="E1643" s="5" t="inlineStr">
        <is>
          <t>Zor</t>
        </is>
      </c>
      <c r="F1643" s="5" t="inlineStr"/>
      <c r="G1643" s="6" t="inlineStr"/>
      <c r="H1643" s="6" t="inlineStr">
        <is>
          <t>Altı ay tek kelime etmedin. Sonra bir yarışma programında bir kez gülümsedin. Herkes affetti; neyi affettiğini kimse hatırlamıyor.</t>
        </is>
      </c>
      <c r="I1643" s="6" t="inlineStr">
        <is>
          <t>Sessizliğin uzadıkça “Nerede bu?” diye haber yapıldı. Dönüş röportajında sunucu ilk soruyu gülümseyerek sordu: “Bizi tanıyor musunuz?”</t>
        </is>
      </c>
      <c r="J1643" s="6" t="inlineStr">
        <is>
          <t>Sessiz kaldın; seni herkes unuttu, skandal da dahil. Geri dönmek için önce hatırlanman lazım.</t>
        </is>
      </c>
      <c r="K1643" s="6" t="inlineStr">
        <is>
          <t>Sessizliğinin üçüncü ayında yanlışlıkla canlı yayın açtın; kırk dakika buzdolabına baktın. Bu da yeni skandal sayıldı.</t>
        </is>
      </c>
      <c r="L1643" s="6" t="inlineStr"/>
      <c r="M1643" s="5" t="inlineStr"/>
      <c r="N1643" s="5" t="inlineStr"/>
      <c r="O1643" s="6" t="inlineStr"/>
      <c r="P1643" s="6" t="inlineStr"/>
      <c r="Q1643" s="5" t="inlineStr"/>
      <c r="R1643" s="5" t="inlineStr"/>
      <c r="S1643" s="5" t="inlineStr"/>
      <c r="T1643" s="5" t="inlineStr"/>
      <c r="U1643" s="5" t="inlineStr"/>
      <c r="V1643" s="5" t="inlineStr">
        <is>
          <t>sohret-donus</t>
        </is>
      </c>
      <c r="W1643" s="5" t="inlineStr"/>
      <c r="X1643" s="5" t="inlineStr"/>
      <c r="Y1643" s="5" t="inlineStr"/>
      <c r="Z1643" s="6" t="inlineStr"/>
      <c r="AA1643" s="5" t="inlineStr"/>
      <c r="AB1643" s="5" t="inlineStr"/>
      <c r="AC1643" s="5" t="inlineStr"/>
      <c r="AD1643" s="5" t="inlineStr">
        <is>
          <t>Rahat</t>
        </is>
      </c>
      <c r="AE1643" s="5" t="inlineStr"/>
      <c r="AF1643" s="5" t="inlineStr"/>
      <c r="AG1643" s="5" t="inlineStr"/>
      <c r="AH1643" s="5" t="inlineStr"/>
      <c r="AI1643" s="5" t="inlineStr"/>
      <c r="AJ1643" s="5" t="inlineStr"/>
    </row>
    <row r="1644">
      <c r="A1644" s="5" t="inlineStr">
        <is>
          <t>k10-sohret</t>
        </is>
      </c>
      <c r="B1644" s="5" t="n">
        <v>3</v>
      </c>
      <c r="C1644" s="6" t="inlineStr">
        <is>
          <t>Her şeyi bırak, köye çekil</t>
        </is>
      </c>
      <c r="D1644" s="5" t="inlineStr"/>
      <c r="E1644" s="5" t="inlineStr"/>
      <c r="F1644" s="5" t="inlineStr">
        <is>
          <t>İtibar +1, Dayanıklılık +1</t>
        </is>
      </c>
      <c r="G1644" s="6" t="inlineStr">
        <is>
          <t>Telefonu kapattın, köye yerleştin. Köyde seni kimse tanımıyor; bir teyze hariç. O da garsonun annesi.</t>
        </is>
      </c>
      <c r="H1644" s="6" t="inlineStr"/>
      <c r="I1644" s="6" t="inlineStr"/>
      <c r="J1644" s="6" t="inlineStr"/>
      <c r="K1644" s="6" t="inlineStr"/>
      <c r="L1644" s="6" t="inlineStr"/>
      <c r="M1644" s="5" t="inlineStr"/>
      <c r="N1644" s="5" t="inlineStr"/>
      <c r="O1644" s="6" t="inlineStr"/>
      <c r="P1644" s="6" t="inlineStr"/>
      <c r="Q1644" s="5" t="inlineStr"/>
      <c r="R1644" s="5" t="inlineStr"/>
      <c r="S1644" s="5" t="inlineStr"/>
      <c r="T1644" s="5" t="inlineStr"/>
      <c r="U1644" s="5" t="inlineStr">
        <is>
          <t>-hat-cete, -hat-dolandirici, -hat-girisimci, -hat-goc, -hat-hekim, -hat-polis, -hat-politika, -hat-sohret, -hat-usta, -hat-yargi, -meslek-beyazyaka, -meslek-memur, -meslek-serbest, hat-koy, meslek-esnaf</t>
        </is>
      </c>
      <c r="V1644" s="5" t="inlineStr"/>
      <c r="W1644" s="5" t="inlineStr"/>
      <c r="X1644" s="5" t="inlineStr"/>
      <c r="Y1644" s="5" t="inlineStr"/>
      <c r="Z1644" s="6" t="inlineStr"/>
      <c r="AA1644" s="5" t="inlineStr"/>
      <c r="AB1644" s="5" t="inlineStr"/>
      <c r="AC1644" s="5" t="inlineStr"/>
      <c r="AD1644" s="5" t="inlineStr"/>
      <c r="AE1644" s="5" t="inlineStr"/>
      <c r="AF1644" s="5" t="inlineStr"/>
      <c r="AG1644" s="5" t="inlineStr"/>
      <c r="AH1644" s="5" t="inlineStr"/>
      <c r="AI1644" s="5" t="inlineStr"/>
      <c r="AJ1644" s="5" t="inlineStr"/>
    </row>
    <row r="1645">
      <c r="A1645" s="5" t="inlineStr">
        <is>
          <t>k10-girisimci</t>
        </is>
      </c>
      <c r="B1645" s="5" t="n">
        <v>1</v>
      </c>
      <c r="C1645" s="6" t="inlineStr">
        <is>
          <t>Büyü: parayı al, üç şehre birden açıl</t>
        </is>
      </c>
      <c r="D1645" s="5" t="inlineStr">
        <is>
          <t>Akıl</t>
        </is>
      </c>
      <c r="E1645" s="5" t="inlineStr">
        <is>
          <t>Zor</t>
        </is>
      </c>
      <c r="F1645" s="5" t="inlineStr"/>
      <c r="G1645" s="6" t="inlineStr"/>
      <c r="H1645" s="6" t="inlineStr">
        <is>
          <t>Üç şehre açıldın, üçünde de tuttu. Şirketin adı artık sonuna “Grup” alıyor. Kuzen arabasını aldı.</t>
        </is>
      </c>
      <c r="I1645" s="6" t="inlineStr">
        <is>
          <t>Fon ikinci turu sen istemeden verdi. Yeni binanın açılışında kurdeleyi annen kesti, makası çantasına koyup götürdü. Kuzen arabasını aldı; şimdi şoför istiyor.</t>
        </is>
      </c>
      <c r="J1645" s="6" t="inlineStr">
        <is>
          <t>Üç şehrin birinde tuttu, ikisinde battı. Fon parayı istemiyor ama banka istiyor. Borç senin adına.</t>
        </is>
      </c>
      <c r="K1645" s="6" t="inlineStr">
        <is>
          <t>Açıldığın şehirlerden birinde şirketin adı yerel bir küfre denk geldi. Şube kapandı; borç açık kaldı.</t>
        </is>
      </c>
      <c r="L1645" s="6" t="inlineStr"/>
      <c r="M1645" s="5" t="inlineStr"/>
      <c r="N1645" s="5" t="inlineStr"/>
      <c r="O1645" s="6" t="inlineStr"/>
      <c r="P1645" s="6" t="inlineStr"/>
      <c r="Q1645" s="5" t="inlineStr"/>
      <c r="R1645" s="5" t="inlineStr"/>
      <c r="S1645" s="5" t="inlineStr"/>
      <c r="T1645" s="5" t="inlineStr"/>
      <c r="U1645" s="5" t="inlineStr"/>
      <c r="V1645" s="5" t="inlineStr">
        <is>
          <t>holding</t>
        </is>
      </c>
      <c r="W1645" s="5" t="inlineStr"/>
      <c r="X1645" s="5" t="inlineStr"/>
      <c r="Y1645" s="5" t="inlineStr"/>
      <c r="Z1645" s="6" t="inlineStr"/>
      <c r="AA1645" s="5" t="inlineStr"/>
      <c r="AB1645" s="5" t="inlineStr">
        <is>
          <t>borclu</t>
        </is>
      </c>
      <c r="AC1645" s="5" t="inlineStr"/>
      <c r="AD1645" s="5" t="inlineStr">
        <is>
          <t>Varlıklı</t>
        </is>
      </c>
      <c r="AE1645" s="5" t="inlineStr"/>
      <c r="AF1645" s="5" t="inlineStr"/>
      <c r="AG1645" s="5" t="inlineStr"/>
      <c r="AH1645" s="5" t="inlineStr"/>
      <c r="AI1645" s="5" t="inlineStr"/>
      <c r="AJ1645" s="5" t="inlineStr"/>
    </row>
    <row r="1646">
      <c r="A1646" s="5" t="inlineStr">
        <is>
          <t>k10-girisimci</t>
        </is>
      </c>
      <c r="B1646" s="5" t="n">
        <v>2</v>
      </c>
      <c r="C1646" s="6" t="inlineStr">
        <is>
          <t>Şirketi holdinge sat</t>
        </is>
      </c>
      <c r="D1646" s="5" t="inlineStr"/>
      <c r="E1646" s="5" t="inlineStr"/>
      <c r="F1646" s="5" t="inlineStr">
        <is>
          <t>Akıl +1, Kurnazlık +1</t>
        </is>
      </c>
      <c r="G1646" s="6" t="inlineStr">
        <is>
          <t>Holding şirketi aldı, adını kapıdan söktü. Hesabında hiç görmediğin bir rakam var. Kuzen de payını aldı; artık iki araba istiyor.</t>
        </is>
      </c>
      <c r="H1646" s="6" t="inlineStr"/>
      <c r="I1646" s="6" t="inlineStr"/>
      <c r="J1646" s="6" t="inlineStr"/>
      <c r="K1646" s="6" t="inlineStr"/>
      <c r="L1646" s="6" t="inlineStr"/>
      <c r="M1646" s="5" t="inlineStr"/>
      <c r="N1646" s="5" t="inlineStr"/>
      <c r="O1646" s="6" t="inlineStr"/>
      <c r="P1646" s="6" t="inlineStr"/>
      <c r="Q1646" s="5" t="inlineStr"/>
      <c r="R1646" s="5" t="inlineStr"/>
      <c r="S1646" s="5" t="inlineStr"/>
      <c r="T1646" s="5" t="inlineStr"/>
      <c r="U1646" s="5" t="inlineStr">
        <is>
          <t>sirketi-satti</t>
        </is>
      </c>
      <c r="V1646" s="5" t="inlineStr"/>
      <c r="W1646" s="5" t="inlineStr"/>
      <c r="X1646" s="5" t="inlineStr"/>
      <c r="Y1646" s="5" t="inlineStr"/>
      <c r="Z1646" s="6" t="inlineStr"/>
      <c r="AA1646" s="5" t="inlineStr"/>
      <c r="AB1646" s="5" t="inlineStr"/>
      <c r="AC1646" s="5" t="inlineStr"/>
      <c r="AD1646" s="5" t="inlineStr">
        <is>
          <t>Rahat</t>
        </is>
      </c>
      <c r="AE1646" s="5" t="inlineStr"/>
      <c r="AF1646" s="5" t="inlineStr"/>
      <c r="AG1646" s="5" t="inlineStr"/>
      <c r="AH1646" s="5" t="inlineStr"/>
      <c r="AI1646" s="5" t="inlineStr"/>
      <c r="AJ1646" s="5" t="inlineStr"/>
    </row>
    <row r="1647">
      <c r="A1647" s="5" t="inlineStr">
        <is>
          <t>k10-girisimci</t>
        </is>
      </c>
      <c r="B1647" s="5" t="n">
        <v>3</v>
      </c>
      <c r="C1647" s="6" t="inlineStr">
        <is>
          <t>Batmadan kapat, köye dön</t>
        </is>
      </c>
      <c r="D1647" s="5" t="inlineStr"/>
      <c r="E1647" s="5" t="inlineStr"/>
      <c r="F1647" s="5" t="inlineStr">
        <is>
          <t>İtibar +1, Dayanıklılık +1</t>
        </is>
      </c>
      <c r="G1647" s="6" t="inlineStr">
        <is>
          <t>Şirketi kapattın, borçları ödedin, kalanla köye döndün. Annen kapıda sordu: “Şirket ne oldu?” “Kapattım.” “İyi. Otur, dolma var.”</t>
        </is>
      </c>
      <c r="H1647" s="6" t="inlineStr"/>
      <c r="I1647" s="6" t="inlineStr"/>
      <c r="J1647" s="6" t="inlineStr"/>
      <c r="K1647" s="6" t="inlineStr"/>
      <c r="L1647" s="6" t="inlineStr"/>
      <c r="M1647" s="5" t="inlineStr"/>
      <c r="N1647" s="5" t="inlineStr"/>
      <c r="O1647" s="6" t="inlineStr"/>
      <c r="P1647" s="6" t="inlineStr"/>
      <c r="Q1647" s="5" t="inlineStr"/>
      <c r="R1647" s="5" t="inlineStr"/>
      <c r="S1647" s="5" t="inlineStr"/>
      <c r="T1647" s="5" t="inlineStr"/>
      <c r="U1647" s="5" t="inlineStr">
        <is>
          <t>-hat-cete, -hat-dolandirici, -hat-girisimci, -hat-goc, -hat-hekim, -hat-polis, -hat-politika, -hat-sohret, -hat-usta, -hat-yargi, -meslek-beyazyaka, -meslek-memur, -meslek-serbest, hat-koy, meslek-esnaf</t>
        </is>
      </c>
      <c r="V1647" s="5" t="inlineStr"/>
      <c r="W1647" s="5" t="inlineStr"/>
      <c r="X1647" s="5" t="inlineStr"/>
      <c r="Y1647" s="5" t="inlineStr"/>
      <c r="Z1647" s="6" t="inlineStr"/>
      <c r="AA1647" s="5" t="inlineStr"/>
      <c r="AB1647" s="5" t="inlineStr"/>
      <c r="AC1647" s="5" t="inlineStr"/>
      <c r="AD1647" s="5" t="inlineStr"/>
      <c r="AE1647" s="5" t="inlineStr"/>
      <c r="AF1647" s="5" t="n">
        <v>1</v>
      </c>
      <c r="AG1647" s="5" t="inlineStr"/>
      <c r="AH1647" s="5" t="inlineStr"/>
      <c r="AI1647" s="5" t="inlineStr"/>
      <c r="AJ1647" s="5" t="inlineStr"/>
    </row>
    <row r="1648">
      <c r="A1648" s="5" t="inlineStr">
        <is>
          <t>k10-politika</t>
        </is>
      </c>
      <c r="B1648" s="5" t="n">
        <v>1</v>
      </c>
      <c r="C1648" s="6" t="inlineStr">
        <is>
          <t>Kazanmak için son mitingi yap</t>
        </is>
      </c>
      <c r="D1648" s="5" t="inlineStr">
        <is>
          <t>Çene</t>
        </is>
      </c>
      <c r="E1648" s="5" t="inlineStr">
        <is>
          <t>Zor</t>
        </is>
      </c>
      <c r="F1648" s="5" t="inlineStr"/>
      <c r="G1648" s="6" t="inlineStr"/>
      <c r="H1648" s="6" t="inlineStr">
        <is>
          <t>Son miting meydanı doldurdu; çay yetmedi, oylar yetti. Seçim gecesi sonuç geldi: Makarya Meclisi'ndesin.</t>
        </is>
      </c>
      <c r="I1648" s="6" t="inlineStr">
        <is>
          <t>Öyle konuştun ki rakip bile videonu paylaştı. Rekor oyla seçildin; seçim otobüsü müzeye kaldırıldı.</t>
        </is>
      </c>
      <c r="J1648" s="6" t="inlineStr">
        <is>
          <t>Miting güzeldi, sonuç değil. Ertesi gün bir kanal aradı; artık her akşam ekrandasın. Adının altındaki yazı hiç değişmiyor: “Eski aday.”</t>
        </is>
      </c>
      <c r="K1648" s="6" t="inlineStr">
        <is>
          <t>Mikrofon rakip mitingin hoparlörüne bağlanmış; bütün konuşman karşı meydanda çaldı. Rakip kazandı, sana teşekkür plaketi yolladı. Kanallar seni yine yorumcu olarak çağırıyor; her yayın “O mikrofon…” sorusuyla açılıyor.</t>
        </is>
      </c>
      <c r="L1648" s="6" t="inlineStr"/>
      <c r="M1648" s="5" t="inlineStr"/>
      <c r="N1648" s="5" t="inlineStr"/>
      <c r="O1648" s="6" t="inlineStr"/>
      <c r="P1648" s="6" t="inlineStr"/>
      <c r="Q1648" s="5" t="inlineStr"/>
      <c r="R1648" s="5" t="inlineStr"/>
      <c r="S1648" s="5" t="inlineStr"/>
      <c r="T1648" s="5" t="inlineStr"/>
      <c r="U1648" s="5" t="inlineStr"/>
      <c r="V1648" s="5" t="inlineStr">
        <is>
          <t>secim-kazandi</t>
        </is>
      </c>
      <c r="W1648" s="5" t="inlineStr"/>
      <c r="X1648" s="5" t="inlineStr"/>
      <c r="Y1648" s="5" t="inlineStr"/>
      <c r="Z1648" s="6" t="inlineStr"/>
      <c r="AA1648" s="5" t="inlineStr"/>
      <c r="AB1648" s="5" t="inlineStr">
        <is>
          <t>-hat-cete, -hat-dolandirici, -hat-girisimci, -hat-goc, -hat-hekim, -hat-koy, -hat-polis, -hat-politika, -hat-usta, -hat-yargi, -meslek-beyazyaka, -meslek-esnaf, -meslek-memur, hat-sohret, meslek-serbest</t>
        </is>
      </c>
      <c r="AC1648" s="5" t="inlineStr"/>
      <c r="AD1648" s="5" t="inlineStr">
        <is>
          <t>Rahat</t>
        </is>
      </c>
      <c r="AE1648" s="5" t="inlineStr"/>
      <c r="AF1648" s="5" t="inlineStr"/>
      <c r="AG1648" s="5" t="inlineStr"/>
      <c r="AH1648" s="5" t="inlineStr"/>
      <c r="AI1648" s="5" t="inlineStr"/>
      <c r="AJ1648" s="5" t="inlineStr"/>
    </row>
    <row r="1649">
      <c r="A1649" s="5" t="inlineStr">
        <is>
          <t>k10-politika</t>
        </is>
      </c>
      <c r="B1649" s="5" t="n">
        <v>2</v>
      </c>
      <c r="C1649" s="6" t="inlineStr">
        <is>
          <t>İhale teklifini kabul et</t>
        </is>
      </c>
      <c r="D1649" s="5" t="inlineStr">
        <is>
          <t>Kurnazlık</t>
        </is>
      </c>
      <c r="E1649" s="5" t="inlineStr">
        <is>
          <t>Zor</t>
        </is>
      </c>
      <c r="F1649" s="5" t="inlineStr"/>
      <c r="G1649" s="6" t="inlineStr"/>
      <c r="H1649" s="6" t="inlineStr">
        <is>
          <t>Müteahhitle bir çay içtin; kâğıtlar tertemiz göründü. Seçimi kaybetsen de hesabın kazandı. Bayramda telefonun hiç susmadı; arayanların hiçbiri aileden değildi.</t>
        </is>
      </c>
      <c r="I1649" s="6" t="inlineStr">
        <is>
          <t>İhale öyle sessiz kapandı ki kimse bir şey sormadı. Müteahhit teşekkür için bir köprü açtı, kurdelesini sen kestin. Ailen izlemedi.</t>
        </is>
      </c>
      <c r="J1649" s="6" t="inlineStr">
        <is>
          <t>Çay içtiğiniz masanın altında bir mikrofon varmış; kaşık sesleri bile kayıtta. Seçim gecesini karakolda, sonrasını içeride geçirdin.</t>
        </is>
      </c>
      <c r="K1649" s="6" t="inlineStr">
        <is>
          <t>İhale dosyasını yanlışlıkla parti grubuna gönderdin. Sonuçlardan önce savcılık geldi; seçim gecesini içeride izledin.</t>
        </is>
      </c>
      <c r="L1649" s="6" t="inlineStr"/>
      <c r="M1649" s="5" t="inlineStr"/>
      <c r="N1649" s="5" t="inlineStr"/>
      <c r="O1649" s="6" t="inlineStr"/>
      <c r="P1649" s="6" t="inlineStr"/>
      <c r="Q1649" s="5" t="inlineStr"/>
      <c r="R1649" s="5" t="inlineStr"/>
      <c r="S1649" s="5" t="inlineStr"/>
      <c r="T1649" s="5" t="inlineStr"/>
      <c r="U1649" s="5" t="inlineStr"/>
      <c r="V1649" s="5" t="inlineStr">
        <is>
          <t>ihaleci</t>
        </is>
      </c>
      <c r="W1649" s="5" t="inlineStr"/>
      <c r="X1649" s="5" t="inlineStr"/>
      <c r="Y1649" s="5" t="inlineStr"/>
      <c r="Z1649" s="6" t="inlineStr"/>
      <c r="AA1649" s="5" t="inlineStr">
        <is>
          <t>hepsi -1</t>
        </is>
      </c>
      <c r="AB1649" s="5" t="inlineStr">
        <is>
          <t>hapis</t>
        </is>
      </c>
      <c r="AC1649" s="5" t="inlineStr"/>
      <c r="AD1649" s="5" t="inlineStr">
        <is>
          <t>Varlıklı</t>
        </is>
      </c>
      <c r="AE1649" s="5" t="inlineStr"/>
      <c r="AF1649" s="5" t="inlineStr"/>
      <c r="AG1649" s="5" t="inlineStr"/>
      <c r="AH1649" s="5" t="inlineStr"/>
      <c r="AI1649" s="5" t="inlineStr"/>
      <c r="AJ1649" s="5" t="inlineStr"/>
    </row>
    <row r="1650">
      <c r="A1650" s="5" t="inlineStr">
        <is>
          <t>k10-politika</t>
        </is>
      </c>
      <c r="B1650" s="5" t="n">
        <v>3</v>
      </c>
      <c r="C1650" s="6" t="inlineStr">
        <is>
          <t>Adaylıktan çekil, danışman ol</t>
        </is>
      </c>
      <c r="D1650" s="5" t="inlineStr"/>
      <c r="E1650" s="5" t="inlineStr"/>
      <c r="F1650" s="5" t="inlineStr">
        <is>
          <t>Akıl +1, Sosyal Radar +1</t>
        </is>
      </c>
      <c r="G1650" s="6" t="inlineStr">
        <is>
          <t>Adaylıktan çekildin, kazanan adayın danışmanı oldun. Meclis'e her gün giriyorsun; oy vermiyorsun, tost yiyorsun.</t>
        </is>
      </c>
      <c r="H1650" s="6" t="inlineStr"/>
      <c r="I1650" s="6" t="inlineStr"/>
      <c r="J1650" s="6" t="inlineStr"/>
      <c r="K1650" s="6" t="inlineStr"/>
      <c r="L1650" s="6" t="inlineStr"/>
      <c r="M1650" s="5" t="inlineStr"/>
      <c r="N1650" s="5" t="inlineStr"/>
      <c r="O1650" s="6" t="inlineStr"/>
      <c r="P1650" s="6" t="inlineStr"/>
      <c r="Q1650" s="5" t="inlineStr"/>
      <c r="R1650" s="5" t="inlineStr"/>
      <c r="S1650" s="5" t="inlineStr"/>
      <c r="T1650" s="5" t="inlineStr"/>
      <c r="U1650" s="5" t="inlineStr"/>
      <c r="V1650" s="5" t="inlineStr"/>
      <c r="W1650" s="5" t="inlineStr"/>
      <c r="X1650" s="5" t="inlineStr"/>
      <c r="Y1650" s="5" t="inlineStr"/>
      <c r="Z1650" s="6" t="inlineStr"/>
      <c r="AA1650" s="5" t="inlineStr"/>
      <c r="AB1650" s="5" t="inlineStr"/>
      <c r="AC1650" s="5" t="inlineStr"/>
      <c r="AD1650" s="5" t="inlineStr"/>
      <c r="AE1650" s="5" t="inlineStr"/>
      <c r="AF1650" s="5" t="inlineStr"/>
      <c r="AG1650" s="5" t="inlineStr"/>
      <c r="AH1650" s="5" t="inlineStr"/>
      <c r="AI1650" s="5" t="inlineStr"/>
      <c r="AJ1650" s="5" t="inlineStr"/>
    </row>
    <row r="1651">
      <c r="A1651" s="5" t="inlineStr">
        <is>
          <t>k10-politika</t>
        </is>
      </c>
      <c r="B1651" s="5" t="n">
        <v>4</v>
      </c>
      <c r="C1651" s="6" t="inlineStr">
        <is>
          <t>Mahallenin adayı ol</t>
        </is>
      </c>
      <c r="D1651" s="5" t="inlineStr">
        <is>
          <t>İtibar</t>
        </is>
      </c>
      <c r="E1651" s="5" t="inlineStr">
        <is>
          <t>Zor</t>
        </is>
      </c>
      <c r="F1651" s="5" t="inlineStr"/>
      <c r="G1651" s="6" t="inlineStr"/>
      <c r="H1651" s="6" t="inlineStr">
        <is>
          <t>Afişe gerek kalmadı; mahalle seni zaten tanıyordu. Seçim gecesi kahvede sayım yapıldı, sonuç sokakta kutlandı.</t>
        </is>
      </c>
      <c r="I1651" s="6" t="inlineStr">
        <is>
          <t>Rakip parti bile seni tebrik etti; “Sizin mahallede bizim adayımız da size oy verdi” dediler.</t>
        </is>
      </c>
      <c r="J1651" s="6" t="inlineStr">
        <is>
          <t>Mahalle sana oy verdi, ilçe vermedi. Kaybettin ama ertesi sabah kapına üç tencere yemek geldi.</t>
        </is>
      </c>
      <c r="K1651" s="6" t="inlineStr">
        <is>
          <t>Seçim gecesi mahalle sana o kadar güvendi ki kimse sandığa gitmedi: “Nasılsa kazanır.” Kaybettin.</t>
        </is>
      </c>
      <c r="L1651" s="6" t="inlineStr"/>
      <c r="M1651" s="5" t="inlineStr"/>
      <c r="N1651" s="5" t="inlineStr"/>
      <c r="O1651" s="6" t="inlineStr"/>
      <c r="P1651" s="6" t="inlineStr"/>
      <c r="Q1651" s="5" t="inlineStr"/>
      <c r="R1651" s="5" t="inlineStr"/>
      <c r="S1651" s="5" t="inlineStr"/>
      <c r="T1651" s="5" t="inlineStr"/>
      <c r="U1651" s="5" t="inlineStr"/>
      <c r="V1651" s="5" t="inlineStr">
        <is>
          <t>secim-kazandi</t>
        </is>
      </c>
      <c r="W1651" s="5" t="inlineStr"/>
      <c r="X1651" s="5" t="inlineStr"/>
      <c r="Y1651" s="5" t="inlineStr"/>
      <c r="Z1651" s="6" t="inlineStr"/>
      <c r="AA1651" s="5" t="inlineStr"/>
      <c r="AB1651" s="5" t="inlineStr"/>
      <c r="AC1651" s="5" t="inlineStr"/>
      <c r="AD1651" s="5" t="inlineStr">
        <is>
          <t>Rahat</t>
        </is>
      </c>
      <c r="AE1651" s="5" t="inlineStr"/>
      <c r="AF1651" s="5" t="inlineStr"/>
      <c r="AG1651" s="5" t="inlineStr"/>
      <c r="AH1651" s="5" t="inlineStr">
        <is>
          <t>İtibar 43</t>
        </is>
      </c>
      <c r="AI1651" s="5" t="inlineStr"/>
      <c r="AJ1651" s="5" t="inlineStr"/>
    </row>
    <row r="1652">
      <c r="A1652" s="5" t="inlineStr">
        <is>
          <t>b7-goc-oturma-izni</t>
        </is>
      </c>
      <c r="B1652" s="5" t="n">
        <v>1</v>
      </c>
      <c r="C1652" s="6" t="inlineStr">
        <is>
          <t>Sabah beşte kapıda sıraya gir</t>
        </is>
      </c>
      <c r="D1652" s="5" t="inlineStr"/>
      <c r="E1652" s="5" t="inlineStr"/>
      <c r="F1652" s="5" t="inlineStr">
        <is>
          <t>Dayanıklılık +1</t>
        </is>
      </c>
      <c r="G1652" s="6" t="inlineStr">
        <is>
          <t>Sabah beşte kapıdaydın; önünde on bir kişi vardı, üçü Makaryalı. Sırada termos çay döndü. Randevusuz içeri girdin; çay sayesinde değil ama çay da iyiydi.</t>
        </is>
      </c>
      <c r="H1652" s="6" t="inlineStr"/>
      <c r="I1652" s="6" t="inlineStr"/>
      <c r="J1652" s="6" t="inlineStr"/>
      <c r="K1652" s="6" t="inlineStr"/>
      <c r="L1652" s="6" t="inlineStr"/>
      <c r="M1652" s="5" t="inlineStr"/>
      <c r="N1652" s="5" t="inlineStr"/>
      <c r="O1652" s="6" t="inlineStr"/>
      <c r="P1652" s="6" t="inlineStr"/>
      <c r="Q1652" s="5" t="inlineStr"/>
      <c r="R1652" s="5" t="inlineStr"/>
      <c r="S1652" s="5" t="inlineStr"/>
      <c r="T1652" s="5" t="inlineStr"/>
      <c r="U1652" s="5" t="inlineStr"/>
      <c r="V1652" s="5" t="inlineStr"/>
      <c r="W1652" s="5" t="inlineStr"/>
      <c r="X1652" s="5" t="inlineStr"/>
      <c r="Y1652" s="5" t="inlineStr"/>
      <c r="Z1652" s="6" t="inlineStr"/>
      <c r="AA1652" s="5" t="inlineStr"/>
      <c r="AB1652" s="5" t="inlineStr"/>
      <c r="AC1652" s="5" t="inlineStr"/>
      <c r="AD1652" s="5" t="inlineStr"/>
      <c r="AE1652" s="5" t="inlineStr"/>
      <c r="AF1652" s="5" t="inlineStr"/>
      <c r="AG1652" s="5" t="inlineStr"/>
      <c r="AH1652" s="5" t="inlineStr"/>
      <c r="AI1652" s="5" t="inlineStr"/>
      <c r="AJ1652" s="5" t="inlineStr"/>
    </row>
    <row r="1653">
      <c r="A1653" s="5" t="inlineStr">
        <is>
          <t>b7-goc-oturma-izni</t>
        </is>
      </c>
      <c r="B1653" s="5" t="n">
        <v>2</v>
      </c>
      <c r="C1653" s="6" t="inlineStr">
        <is>
          <t>Babana ikinci bir ad bul, formu eksiksiz doldur</t>
        </is>
      </c>
      <c r="D1653" s="5" t="inlineStr">
        <is>
          <t>Akıl</t>
        </is>
      </c>
      <c r="E1653" s="5" t="inlineStr">
        <is>
          <t>Orta</t>
        </is>
      </c>
      <c r="F1653" s="5" t="inlineStr"/>
      <c r="G1653" s="6" t="inlineStr"/>
      <c r="H1653" s="6" t="inlineStr">
        <is>
          <t>Dedesinin adını yazdın, nüfus belgesiyle destekledin. İzin iki yıl uzadı. Baban telefonda yeni adını sordu; beğendi.</t>
        </is>
      </c>
      <c r="I1653" s="6" t="inlineStr">
        <is>
          <t>Formu öyle düzgün doldurdun ki memur onu “örnek dosya” diye panoya astı. İzin beş yıl uzadı; senin dosyan artık duvarda.</t>
        </is>
      </c>
      <c r="J1653" s="6" t="inlineStr">
        <is>
          <t>Babanın ikinci adını yazdın ama nüfus kaydında yok. Dosya “eksik” damgası yedi; damga iki dilliydi.</t>
        </is>
      </c>
      <c r="K1653" s="6" t="inlineStr">
        <is>
          <t>Kutuya babanın mahalledeki lakabını yazdın. Dosyan “Babanızın adı: Kasap” diye işlendi. Düzeltme randevusu dört ay sonra.</t>
        </is>
      </c>
      <c r="L1653" s="6" t="inlineStr"/>
      <c r="M1653" s="5" t="inlineStr"/>
      <c r="N1653" s="5" t="inlineStr"/>
      <c r="O1653" s="6" t="inlineStr"/>
      <c r="P1653" s="6" t="inlineStr"/>
      <c r="Q1653" s="5" t="inlineStr"/>
      <c r="R1653" s="5" t="inlineStr"/>
      <c r="S1653" s="5" t="inlineStr"/>
      <c r="T1653" s="5" t="inlineStr"/>
      <c r="U1653" s="5" t="inlineStr"/>
      <c r="V1653" s="5" t="inlineStr"/>
      <c r="W1653" s="5" t="inlineStr"/>
      <c r="X1653" s="5" t="inlineStr"/>
      <c r="Y1653" s="5" t="inlineStr"/>
      <c r="Z1653" s="6" t="inlineStr"/>
      <c r="AA1653" s="5" t="inlineStr"/>
      <c r="AB1653" s="5" t="inlineStr"/>
      <c r="AC1653" s="5" t="inlineStr"/>
      <c r="AD1653" s="5" t="inlineStr"/>
      <c r="AE1653" s="5" t="inlineStr"/>
      <c r="AF1653" s="5" t="inlineStr"/>
      <c r="AG1653" s="5" t="inlineStr"/>
      <c r="AH1653" s="5" t="inlineStr"/>
      <c r="AI1653" s="5" t="inlineStr"/>
      <c r="AJ1653" s="5" t="inlineStr"/>
    </row>
    <row r="1654">
      <c r="A1654" s="5" t="inlineStr">
        <is>
          <t>b7-goc-oturma-izni</t>
        </is>
      </c>
      <c r="B1654" s="5" t="n">
        <v>3</v>
      </c>
      <c r="C1654" s="6" t="inlineStr">
        <is>
          <t>Memura kutunun gereksiz olduğunu anlat</t>
        </is>
      </c>
      <c r="D1654" s="5" t="inlineStr">
        <is>
          <t>Çene</t>
        </is>
      </c>
      <c r="E1654" s="5" t="inlineStr">
        <is>
          <t>Zor</t>
        </is>
      </c>
      <c r="F1654" s="5" t="inlineStr"/>
      <c r="G1654" s="6" t="inlineStr"/>
      <c r="H1654" s="6" t="inlineStr">
        <is>
          <t>Yönetmeliğin kendi dipnotunu gösterdin: kutu isteğe bağlıymış. Memur dipnotu okudu, iç çekti, damgayı bastı.</t>
        </is>
      </c>
      <c r="I1654" s="6" t="inlineStr">
        <is>
          <t>Memur seni amirine götürdü, amir not aldı. Yedinci kutu gelecek yıl formdan kalkıyor; kimse senin sayende olduğunu bilmeyecek.</t>
        </is>
      </c>
      <c r="J1654" s="6" t="inlineStr">
        <is>
          <t>Anlattın; memur dinledi ve “Kutu kutudur” dedi. Bu cümle iki dilde de aynı çalışıyor.</t>
        </is>
      </c>
      <c r="K1654" s="6" t="inlineStr">
        <is>
          <t>Tartışma uzadı, sıran geçti, memur pencereyi kapattı. Arkandaki Makaryalı amca memleket diliyle söylendi: “Bir kutu için iki saat yaktı bizi.” Memur başını kaldırdı: “Haklısınız amca.” Makaryaca biliyormuş.</t>
        </is>
      </c>
      <c r="L1654" s="6" t="inlineStr"/>
      <c r="M1654" s="5" t="inlineStr"/>
      <c r="N1654" s="5" t="inlineStr"/>
      <c r="O1654" s="6" t="inlineStr"/>
      <c r="P1654" s="6" t="inlineStr"/>
      <c r="Q1654" s="5" t="inlineStr"/>
      <c r="R1654" s="5" t="inlineStr"/>
      <c r="S1654" s="5" t="inlineStr"/>
      <c r="T1654" s="5" t="inlineStr">
        <is>
          <t>Mevzuat Kalkanı</t>
        </is>
      </c>
      <c r="U1654" s="5" t="inlineStr"/>
      <c r="V1654" s="5" t="inlineStr"/>
      <c r="W1654" s="5" t="inlineStr"/>
      <c r="X1654" s="5" t="inlineStr"/>
      <c r="Y1654" s="5" t="inlineStr"/>
      <c r="Z1654" s="6" t="inlineStr"/>
      <c r="AA1654" s="5" t="inlineStr"/>
      <c r="AB1654" s="5" t="inlineStr"/>
      <c r="AC1654" s="5" t="inlineStr"/>
      <c r="AD1654" s="5" t="inlineStr"/>
      <c r="AE1654" s="5" t="inlineStr"/>
      <c r="AF1654" s="5" t="inlineStr"/>
      <c r="AG1654" s="5" t="inlineStr"/>
      <c r="AH1654" s="5" t="inlineStr"/>
      <c r="AI1654" s="5" t="inlineStr"/>
      <c r="AJ1654" s="5" t="inlineStr"/>
    </row>
    <row r="1655">
      <c r="A1655" s="5" t="inlineStr">
        <is>
          <t>b7-goc-akrabalar</t>
        </is>
      </c>
      <c r="B1655" s="5" t="n">
        <v>1</v>
      </c>
      <c r="C1655" s="6" t="inlineStr">
        <is>
          <t>Valizdeki çikolataları eşit dağıt</t>
        </is>
      </c>
      <c r="D1655" s="5" t="inlineStr"/>
      <c r="E1655" s="5" t="inlineStr"/>
      <c r="F1655" s="5" t="inlineStr">
        <is>
          <t>İtibar +1, Sosyal Radar +1</t>
        </is>
      </c>
      <c r="G1655" s="6" t="inlineStr">
        <is>
          <t>Her akrabaya bir kutu çikolata verdin. Sayılar tuttu, kutular tutmadı: teyzeninki büyüktü. Bayrama kadar bu konuşulacak.</t>
        </is>
      </c>
      <c r="H1655" s="6" t="inlineStr"/>
      <c r="I1655" s="6" t="inlineStr"/>
      <c r="J1655" s="6" t="inlineStr"/>
      <c r="K1655" s="6" t="inlineStr"/>
      <c r="L1655" s="6" t="inlineStr"/>
      <c r="M1655" s="5" t="inlineStr"/>
      <c r="N1655" s="5" t="inlineStr"/>
      <c r="O1655" s="6" t="inlineStr"/>
      <c r="P1655" s="6" t="inlineStr"/>
      <c r="Q1655" s="5" t="inlineStr"/>
      <c r="R1655" s="5" t="inlineStr"/>
      <c r="S1655" s="5" t="inlineStr"/>
      <c r="T1655" s="5" t="inlineStr"/>
      <c r="U1655" s="5" t="inlineStr"/>
      <c r="V1655" s="5" t="inlineStr"/>
      <c r="W1655" s="5" t="inlineStr"/>
      <c r="X1655" s="5" t="inlineStr"/>
      <c r="Y1655" s="5" t="inlineStr"/>
      <c r="Z1655" s="6" t="inlineStr"/>
      <c r="AA1655" s="5" t="inlineStr"/>
      <c r="AB1655" s="5" t="inlineStr"/>
      <c r="AC1655" s="5" t="inlineStr"/>
      <c r="AD1655" s="5" t="inlineStr"/>
      <c r="AE1655" s="5" t="inlineStr"/>
      <c r="AF1655" s="5" t="inlineStr"/>
      <c r="AG1655" s="5" t="inlineStr"/>
      <c r="AH1655" s="5" t="inlineStr"/>
      <c r="AI1655" s="5" t="inlineStr"/>
      <c r="AJ1655" s="5" t="inlineStr"/>
    </row>
    <row r="1656">
      <c r="A1656" s="5" t="inlineStr">
        <is>
          <t>b7-goc-akrabalar</t>
        </is>
      </c>
      <c r="B1656" s="5" t="n">
        <v>2</v>
      </c>
      <c r="C1656" s="6" t="inlineStr">
        <is>
          <t>Maaşını kira ve faturalarla birlikte anlat</t>
        </is>
      </c>
      <c r="D1656" s="5" t="inlineStr">
        <is>
          <t>Akıl</t>
        </is>
      </c>
      <c r="E1656" s="5" t="inlineStr">
        <is>
          <t>Orta</t>
        </is>
      </c>
      <c r="F1656" s="5" t="inlineStr"/>
      <c r="G1656" s="6" t="inlineStr"/>
      <c r="H1656" s="6" t="inlineStr">
        <is>
          <t>Kirayı, vergiyi, kışın ısınma faturasını hesapladın. Sofra sustu. Amcan “Burada kalsaydın ya” dedi; ilk kez merak ederek.</t>
        </is>
      </c>
      <c r="I1656" s="6" t="inlineStr">
        <is>
          <t>Öyle iyi anlattın ki kuzen iş fikrinden vazgeçti, teyzen sana harçlık uzattı. Almadın; cebine kendisi koydu.</t>
        </is>
      </c>
      <c r="J1656" s="6" t="inlineStr">
        <is>
          <t>Hesapları anlattın, kimse inanmadı. “Alçakgönüllülük yapıyor” dendi. Üstüne bir de takdir aldın.</t>
        </is>
      </c>
      <c r="K1656" s="6" t="inlineStr">
        <is>
          <t>Maaşını anlatırken kuzen telefonda memleket parasına çevirip yüksek sesle okudu. Sofra sustu. Ertesi sabah kapıda üç akraba vardı: biri düğün, biri dükkân, biri “öylesine” borç istiyordu.</t>
        </is>
      </c>
      <c r="L1656" s="6" t="inlineStr"/>
      <c r="M1656" s="5" t="inlineStr"/>
      <c r="N1656" s="5" t="inlineStr"/>
      <c r="O1656" s="6" t="inlineStr"/>
      <c r="P1656" s="6" t="inlineStr"/>
      <c r="Q1656" s="5" t="inlineStr"/>
      <c r="R1656" s="5" t="inlineStr"/>
      <c r="S1656" s="5" t="inlineStr"/>
      <c r="T1656" s="5" t="inlineStr"/>
      <c r="U1656" s="5" t="inlineStr"/>
      <c r="V1656" s="5" t="inlineStr"/>
      <c r="W1656" s="5" t="inlineStr"/>
      <c r="X1656" s="5" t="inlineStr"/>
      <c r="Y1656" s="5" t="inlineStr"/>
      <c r="Z1656" s="6" t="inlineStr"/>
      <c r="AA1656" s="5" t="inlineStr"/>
      <c r="AB1656" s="5" t="inlineStr"/>
      <c r="AC1656" s="5" t="inlineStr"/>
      <c r="AD1656" s="5" t="inlineStr"/>
      <c r="AE1656" s="5" t="inlineStr"/>
      <c r="AF1656" s="5" t="inlineStr"/>
      <c r="AG1656" s="5" t="inlineStr"/>
      <c r="AH1656" s="5" t="inlineStr"/>
      <c r="AI1656" s="5" t="inlineStr"/>
      <c r="AJ1656" s="5" t="inlineStr"/>
    </row>
    <row r="1657">
      <c r="A1657" s="5" t="inlineStr">
        <is>
          <t>b7-goc-akrabalar</t>
        </is>
      </c>
      <c r="B1657" s="5" t="n">
        <v>3</v>
      </c>
      <c r="C1657" s="6" t="inlineStr">
        <is>
          <t>Memlekette küçük bir ev al</t>
        </is>
      </c>
      <c r="D1657" s="5" t="inlineStr">
        <is>
          <t>Kurnazlık</t>
        </is>
      </c>
      <c r="E1657" s="5" t="inlineStr">
        <is>
          <t>Zor</t>
        </is>
      </c>
      <c r="F1657" s="5" t="inlineStr"/>
      <c r="G1657" s="6" t="inlineStr"/>
      <c r="H1657" s="6" t="inlineStr">
        <is>
          <t>Deniz görmeyen ama dağ gören bir ev buldun, pazarlıkla aldın. Anahtar annende; her hafta perdeleri açıp kapatıyor.</t>
        </is>
      </c>
      <c r="I1657" s="6" t="inlineStr">
        <is>
          <t>Ev sahibi eski sınıf arkadaşının babası çıktı; fiyat düştü, bahçedeki erik ağacı da pazarlığa girdi. Komşu teyze ilk gün çitin üstünden seslendi: “Erikler olunca bize de getirirsin, değil mi? Eskiden hep bizimdi.”</t>
        </is>
      </c>
      <c r="J1657" s="6" t="inlineStr">
        <is>
          <t>Evi gezdin, fiyat her gezişte arttı. Emlakçı “gurbetçi fiyatı” demedi; gözleri dedi.</t>
        </is>
      </c>
      <c r="K1657" s="6" t="inlineStr">
        <is>
          <t>Kaparoyu verdin; ertesi gün ev sahibi evi başka bir gurbetçiye, daha pahalıya sattı. Kaparo eksik döndü; emlakçı farkı “masraf” diye anlattı. Akşam teyzen teselli etti: “Üzülme, orada herkes zengin.”</t>
        </is>
      </c>
      <c r="L1657" s="6" t="inlineStr">
        <is>
          <t>Fiyatı biraz indirdin. Ev senin ama bahçedeki erik ağacı “ayrıca konuşulacak”.</t>
        </is>
      </c>
      <c r="M1657" s="5" t="inlineStr">
        <is>
          <t>duel</t>
        </is>
      </c>
      <c r="N1657" s="5" t="inlineStr">
        <is>
          <t>Gurbetçi Fiyatı</t>
        </is>
      </c>
      <c r="O1657" s="6" t="inlineStr">
        <is>
          <t>Karşındakinin sabrı bitmeden en iyi cevabı seç.</t>
        </is>
      </c>
      <c r="P1657" s="6" t="inlineStr">
        <is>
          <t>{"who": "Emlakçı", "item": "memlekette ev", "mode": "buy"}</t>
        </is>
      </c>
      <c r="Q1657" s="5" t="inlineStr"/>
      <c r="R1657" s="5" t="inlineStr"/>
      <c r="S1657" s="5" t="inlineStr"/>
      <c r="T1657" s="5" t="inlineStr">
        <is>
          <t>Pazarlık Duayeni</t>
        </is>
      </c>
      <c r="U1657" s="5" t="inlineStr"/>
      <c r="V1657" s="5" t="inlineStr">
        <is>
          <t>memlekette-ev</t>
        </is>
      </c>
      <c r="W1657" s="5" t="inlineStr"/>
      <c r="X1657" s="5" t="inlineStr"/>
      <c r="Y1657" s="5" t="inlineStr"/>
      <c r="Z1657" s="6" t="inlineStr"/>
      <c r="AA1657" s="5" t="inlineStr"/>
      <c r="AB1657" s="5" t="inlineStr"/>
      <c r="AC1657" s="5" t="inlineStr"/>
      <c r="AD1657" s="5" t="inlineStr"/>
      <c r="AE1657" s="5" t="inlineStr"/>
      <c r="AF1657" s="5" t="n">
        <v>1</v>
      </c>
      <c r="AG1657" s="5" t="inlineStr"/>
      <c r="AH1657" s="5" t="inlineStr"/>
      <c r="AI1657" s="5" t="inlineStr"/>
      <c r="AJ1657" s="5" t="inlineStr"/>
    </row>
    <row r="1658">
      <c r="A1658" s="5" t="inlineStr">
        <is>
          <t>b7-goc-bayram-sofrasi</t>
        </is>
      </c>
      <c r="B1658" s="5" t="n">
        <v>1</v>
      </c>
      <c r="C1658" s="6" t="inlineStr">
        <is>
          <t>Telefonu sofranın başına koy</t>
        </is>
      </c>
      <c r="D1658" s="5" t="inlineStr"/>
      <c r="E1658" s="5" t="inlineStr"/>
      <c r="F1658" s="5" t="inlineStr">
        <is>
          <t>Dayanıklılık +1, Gönül +1</t>
        </is>
      </c>
      <c r="G1658" s="6" t="inlineStr">
        <is>
          <t>Telefonu şekerliğe yasladın. Annen bütün sofrayı yönetti: kim ne yiyecek, komşu neden az yiyor. Komşu ikinci tabağı annenden çekindiği için aldı.</t>
        </is>
      </c>
      <c r="H1658" s="6" t="inlineStr"/>
      <c r="I1658" s="6" t="inlineStr"/>
      <c r="J1658" s="6" t="inlineStr"/>
      <c r="K1658" s="6" t="inlineStr"/>
      <c r="L1658" s="6" t="inlineStr"/>
      <c r="M1658" s="5" t="inlineStr"/>
      <c r="N1658" s="5" t="inlineStr"/>
      <c r="O1658" s="6" t="inlineStr"/>
      <c r="P1658" s="6" t="inlineStr"/>
      <c r="Q1658" s="5" t="inlineStr"/>
      <c r="R1658" s="5" t="inlineStr"/>
      <c r="S1658" s="5" t="inlineStr"/>
      <c r="T1658" s="5" t="inlineStr"/>
      <c r="U1658" s="5" t="inlineStr"/>
      <c r="V1658" s="5" t="inlineStr"/>
      <c r="W1658" s="5" t="inlineStr"/>
      <c r="X1658" s="5" t="inlineStr"/>
      <c r="Y1658" s="5" t="inlineStr"/>
      <c r="Z1658" s="6" t="inlineStr"/>
      <c r="AA1658" s="5" t="inlineStr"/>
      <c r="AB1658" s="5" t="inlineStr"/>
      <c r="AC1658" s="5" t="inlineStr"/>
      <c r="AD1658" s="5" t="inlineStr"/>
      <c r="AE1658" s="5" t="inlineStr"/>
      <c r="AF1658" s="5" t="inlineStr"/>
      <c r="AG1658" s="5" t="inlineStr"/>
      <c r="AH1658" s="5" t="inlineStr"/>
      <c r="AI1658" s="5" t="inlineStr"/>
      <c r="AJ1658" s="5" t="inlineStr"/>
    </row>
    <row r="1659">
      <c r="A1659" s="5" t="inlineStr">
        <is>
          <t>b7-goc-bayram-sofrasi</t>
        </is>
      </c>
      <c r="B1659" s="5" t="n">
        <v>2</v>
      </c>
      <c r="C1659" s="6" t="inlineStr">
        <is>
          <t>Komşulara bayramı iki dilde anlat</t>
        </is>
      </c>
      <c r="D1659" s="5" t="inlineStr">
        <is>
          <t>Akıl</t>
        </is>
      </c>
      <c r="E1659" s="5" t="inlineStr">
        <is>
          <t>Orta</t>
        </is>
      </c>
      <c r="F1659" s="5" t="inlineStr"/>
      <c r="G1659" s="6" t="inlineStr"/>
      <c r="H1659" s="6" t="inlineStr">
        <is>
          <t>El öpmeyi, harçlığı, kolonyayı anlattın. Komşunun çocuğu hemen elini öpmek istedi; harçlık kısmını daha iyi anlamıştı.</t>
        </is>
      </c>
      <c r="I1659" s="6" t="inlineStr">
        <is>
          <t>Öyle sevildi ki apartman gelecek bayramı ortak kutlamaya karar verdi. Yönetim bütçeye bir kalem ekledi: kolonya.</t>
        </is>
      </c>
      <c r="J1659" s="6" t="inlineStr">
        <is>
          <t>“Bayram” kelimesinin karşılığı yok. Üç kelime denedin; komşular sonunda bunu bir çeşit doğum günü sandı.</t>
        </is>
      </c>
      <c r="K1659" s="6" t="inlineStr">
        <is>
          <t>Kolonyayı gösterirken şişe elinden kaydı, komşunun halısına döküldü. Halı üç gün bayram koktu; komşu şikâyet formu doldurdu.</t>
        </is>
      </c>
      <c r="L1659" s="6" t="inlineStr"/>
      <c r="M1659" s="5" t="inlineStr"/>
      <c r="N1659" s="5" t="inlineStr"/>
      <c r="O1659" s="6" t="inlineStr"/>
      <c r="P1659" s="6" t="inlineStr"/>
      <c r="Q1659" s="5" t="inlineStr"/>
      <c r="R1659" s="5" t="inlineStr"/>
      <c r="S1659" s="5" t="inlineStr"/>
      <c r="T1659" s="5" t="inlineStr"/>
      <c r="U1659" s="5" t="inlineStr"/>
      <c r="V1659" s="5" t="inlineStr"/>
      <c r="W1659" s="5" t="inlineStr"/>
      <c r="X1659" s="5" t="inlineStr"/>
      <c r="Y1659" s="5" t="inlineStr"/>
      <c r="Z1659" s="6" t="inlineStr"/>
      <c r="AA1659" s="5" t="inlineStr"/>
      <c r="AB1659" s="5" t="inlineStr"/>
      <c r="AC1659" s="5" t="inlineStr"/>
      <c r="AD1659" s="5" t="inlineStr"/>
      <c r="AE1659" s="5" t="inlineStr"/>
      <c r="AF1659" s="5" t="inlineStr"/>
      <c r="AG1659" s="5" t="inlineStr"/>
      <c r="AH1659" s="5" t="inlineStr"/>
      <c r="AI1659" s="5" t="inlineStr"/>
      <c r="AJ1659" s="5" t="inlineStr"/>
    </row>
    <row r="1660">
      <c r="A1660" s="5" t="inlineStr">
        <is>
          <t>b7-goc-bayram-sofrasi</t>
        </is>
      </c>
      <c r="B1660" s="5" t="n">
        <v>3</v>
      </c>
      <c r="C1660" s="6" t="inlineStr">
        <is>
          <t>Dükkânda gurbetçilere bayram tatlısı sat</t>
        </is>
      </c>
      <c r="D1660" s="5" t="inlineStr">
        <is>
          <t>Kurnazlık</t>
        </is>
      </c>
      <c r="E1660" s="5" t="inlineStr">
        <is>
          <t>Orta</t>
        </is>
      </c>
      <c r="F1660" s="5" t="inlineStr"/>
      <c r="G1660" s="6" t="inlineStr"/>
      <c r="H1660" s="6" t="inlineStr">
        <is>
          <t>Dükkânın önünde kuyruk oluştu. Baklavayı tanesiyle sattın; Makaryalılar pahalı buldu, yine de ikişer kutu aldı.</t>
        </is>
      </c>
      <c r="I1660" s="6" t="inlineStr">
        <is>
          <t>Öte Diyarlılar da kuyruğa girdi; biri baklavayı çatal bıçakla kesmeye kalktı, arkadaki teyze elinden alıp gösterdi. Yerel gazete o fotoğrafı bastı: “Bayram tatlısı böyle yenir.”</t>
        </is>
      </c>
      <c r="J1660" s="6" t="inlineStr">
        <is>
          <t>Tatlıları hazırladın ama bayram bu yıl hafta içine denk geldi. Herkes işteydi; baklavaları sen yedin.</t>
        </is>
      </c>
      <c r="K1660" s="6" t="inlineStr">
        <is>
          <t>Şerbet ayarını tutturamadın; baklavalar kutuda yüzdü. Müşteriler kaşıkla yiyip yorum yazdı: “Çorba güzeldi.”</t>
        </is>
      </c>
      <c r="L1660" s="6" t="inlineStr"/>
      <c r="M1660" s="5" t="inlineStr"/>
      <c r="N1660" s="5" t="inlineStr"/>
      <c r="O1660" s="6" t="inlineStr"/>
      <c r="P1660" s="6" t="inlineStr"/>
      <c r="Q1660" s="5" t="inlineStr"/>
      <c r="R1660" s="5" t="inlineStr">
        <is>
          <t>ote-diyar-dukkani</t>
        </is>
      </c>
      <c r="S1660" s="5" t="inlineStr"/>
      <c r="T1660" s="5" t="inlineStr"/>
      <c r="U1660" s="5" t="inlineStr"/>
      <c r="V1660" s="5" t="inlineStr"/>
      <c r="W1660" s="5" t="inlineStr"/>
      <c r="X1660" s="5" t="inlineStr"/>
      <c r="Y1660" s="5" t="inlineStr"/>
      <c r="Z1660" s="6" t="inlineStr"/>
      <c r="AA1660" s="5" t="inlineStr"/>
      <c r="AB1660" s="5" t="inlineStr"/>
      <c r="AC1660" s="5" t="inlineStr"/>
      <c r="AD1660" s="5" t="inlineStr">
        <is>
          <t>Rahat</t>
        </is>
      </c>
      <c r="AE1660" s="5" t="inlineStr"/>
      <c r="AF1660" s="5" t="inlineStr"/>
      <c r="AG1660" s="5" t="inlineStr"/>
      <c r="AH1660" s="5" t="inlineStr"/>
      <c r="AI1660" s="5" t="inlineStr"/>
      <c r="AJ1660" s="5" t="inlineStr"/>
    </row>
    <row r="1661">
      <c r="A1661" s="5" t="inlineStr">
        <is>
          <t>b7-goc-bayram-sofrasi</t>
        </is>
      </c>
      <c r="B1661" s="5" t="n">
        <v>4</v>
      </c>
      <c r="C1661" s="6" t="inlineStr">
        <is>
          <t>Gece uçağıyla memlekete uç, sürpriz yap</t>
        </is>
      </c>
      <c r="D1661" s="5" t="inlineStr">
        <is>
          <t>Dayanıklılık</t>
        </is>
      </c>
      <c r="E1661" s="5" t="inlineStr">
        <is>
          <t>Orta</t>
        </is>
      </c>
      <c r="F1661" s="5" t="inlineStr"/>
      <c r="G1661" s="6" t="inlineStr"/>
      <c r="H1661" s="6" t="inlineStr">
        <is>
          <t>Aktarmalı on sekiz saat. Kapıyı çaldığında annen önce ekrana baktı, sonra kapıya. İkisinde de sen vardın; ekranı kapattı.</t>
        </is>
      </c>
      <c r="I1661" s="6" t="inlineStr">
        <is>
          <t>Uçakta yanındaki amca aynı mahalleden çıktı, seni kapına kadar bıraktı. Sonra kendi kapısını unuttu; bayramı sizde geçirdi.</t>
        </is>
      </c>
      <c r="J1661" s="6" t="inlineStr">
        <is>
          <t>Uçuş ertelendi. Bayramı havalimanında başka bir ülkenin gurbetçileriyle kutladın. Onların da baklavası vardı.</t>
        </is>
      </c>
      <c r="K1661" s="6" t="inlineStr">
        <is>
          <t>Aktarmada uyuyakaldın. Uyandığında uçak da bayram da gitmişti; geriye annenin sesli mesajı kaldı: dokuz dakika.</t>
        </is>
      </c>
      <c r="L1661" s="6" t="inlineStr">
        <is>
          <t>Uçağa son anda yetiştin, valizin yetişmedi. Bayramı babanın pijamasıyla geçirdin; annen bundan memnun.</t>
        </is>
      </c>
      <c r="M1661" s="5" t="inlineStr">
        <is>
          <t>fight</t>
        </is>
      </c>
      <c r="N1661" s="5" t="inlineStr">
        <is>
          <t>Aktarma Koşusu</t>
        </is>
      </c>
      <c r="O1661" s="6" t="inlineStr">
        <is>
          <t>Engelin olmadığı şeride geç.</t>
        </is>
      </c>
      <c r="P1661" s="6" t="inlineStr">
        <is>
          <t>{"mode": "dodge", "obstacles": ["🧳", "🛒", "🚶", "🧹"]}</t>
        </is>
      </c>
      <c r="Q1661" s="5" t="inlineStr"/>
      <c r="R1661" s="5" t="inlineStr"/>
      <c r="S1661" s="5" t="inlineStr"/>
      <c r="T1661" s="5" t="inlineStr"/>
      <c r="U1661" s="5" t="inlineStr"/>
      <c r="V1661" s="5" t="inlineStr"/>
      <c r="W1661" s="5" t="inlineStr"/>
      <c r="X1661" s="5" t="inlineStr"/>
      <c r="Y1661" s="5" t="inlineStr"/>
      <c r="Z1661" s="6" t="inlineStr"/>
      <c r="AA1661" s="5" t="inlineStr"/>
      <c r="AB1661" s="5" t="inlineStr"/>
      <c r="AC1661" s="5" t="inlineStr"/>
      <c r="AD1661" s="5" t="inlineStr"/>
      <c r="AE1661" s="5" t="inlineStr"/>
      <c r="AF1661" s="5" t="inlineStr"/>
      <c r="AG1661" s="5" t="inlineStr"/>
      <c r="AH1661" s="5" t="inlineStr"/>
      <c r="AI1661" s="5" t="inlineStr"/>
      <c r="AJ1661" s="5" t="inlineStr"/>
    </row>
    <row r="1662">
      <c r="A1662" s="5" t="inlineStr">
        <is>
          <t>k10-goc</t>
        </is>
      </c>
      <c r="B1662" s="5" t="n">
        <v>1</v>
      </c>
      <c r="C1662" s="6" t="inlineStr">
        <is>
          <t>Vatandaşlığa başvur, kal</t>
        </is>
      </c>
      <c r="D1662" s="5" t="inlineStr">
        <is>
          <t>Akıl</t>
        </is>
      </c>
      <c r="E1662" s="5" t="inlineStr">
        <is>
          <t>Zor</t>
        </is>
      </c>
      <c r="F1662" s="5" t="inlineStr"/>
      <c r="G1662" s="6" t="inlineStr"/>
      <c r="H1662" s="6" t="inlineStr">
        <is>
          <t>Kırk iki sayfa, bir dil sınavı, Öte Diyar tarihinden otuz soru. Hepsini geçtin. Törende sana bir fidan verdiler; balkonda, mangalın yasak olduğu yerde büyüyor.</t>
        </is>
      </c>
      <c r="I1662" s="6" t="inlineStr">
        <is>
          <t>Tarih sorularını yerlilerden iyi yaptın; memur sonucu iki kez kontrol etti. Pasaportun geldi; fotoğrafta gülüyorsun, kurallara aykırıymış.</t>
        </is>
      </c>
      <c r="J1662" s="6" t="inlineStr">
        <is>
          <t>Başvuru “eksik belge” diye döndü; eksik belge, bir önceki eksik belgenin tercümesiydi. İznin uzadı; kalıyorsun ama misafir olarak.</t>
        </is>
      </c>
      <c r="K1662" s="6" t="inlineStr">
        <is>
          <t>Sınava yanlış günde gittin; o gün ehliyet sınavı vardı. Ehliyet sınavını geçtin. Vatandaşlık başvurun bir yıl ertelendi.</t>
        </is>
      </c>
      <c r="L1662" s="6" t="inlineStr"/>
      <c r="M1662" s="5" t="inlineStr"/>
      <c r="N1662" s="5" t="inlineStr"/>
      <c r="O1662" s="6" t="inlineStr"/>
      <c r="P1662" s="6" t="inlineStr"/>
      <c r="Q1662" s="5" t="inlineStr"/>
      <c r="R1662" s="5" t="inlineStr"/>
      <c r="S1662" s="5" t="inlineStr"/>
      <c r="T1662" s="5" t="inlineStr"/>
      <c r="U1662" s="5" t="inlineStr"/>
      <c r="V1662" s="5" t="inlineStr">
        <is>
          <t>ote-diyar-vatandasi</t>
        </is>
      </c>
      <c r="W1662" s="5" t="inlineStr"/>
      <c r="X1662" s="5" t="inlineStr"/>
      <c r="Y1662" s="5" t="inlineStr"/>
      <c r="Z1662" s="6" t="inlineStr"/>
      <c r="AA1662" s="5" t="inlineStr"/>
      <c r="AB1662" s="5" t="inlineStr"/>
      <c r="AC1662" s="5" t="inlineStr"/>
      <c r="AD1662" s="5" t="inlineStr">
        <is>
          <t>Rahat</t>
        </is>
      </c>
      <c r="AE1662" s="5" t="inlineStr"/>
      <c r="AF1662" s="5" t="inlineStr"/>
      <c r="AG1662" s="5" t="inlineStr"/>
      <c r="AH1662" s="5" t="inlineStr"/>
      <c r="AI1662" s="5" t="inlineStr"/>
      <c r="AJ1662" s="5" t="inlineStr"/>
    </row>
    <row r="1663">
      <c r="A1663" s="5" t="inlineStr">
        <is>
          <t>k10-goc</t>
        </is>
      </c>
      <c r="B1663" s="5" t="n">
        <v>2</v>
      </c>
      <c r="C1663" s="6" t="inlineStr">
        <is>
          <t>Dön, memlekette plazaya gir</t>
        </is>
      </c>
      <c r="D1663" s="5" t="inlineStr">
        <is>
          <t>Çene</t>
        </is>
      </c>
      <c r="E1663" s="5" t="inlineStr">
        <is>
          <t>Orta</t>
        </is>
      </c>
      <c r="F1663" s="5" t="inlineStr"/>
      <c r="G1663" s="6" t="inlineStr"/>
      <c r="H1663" s="6" t="inlineStr">
        <is>
          <t>Tek yön bilet aldın. Havalimanında annen pankart tutuyordu; adını Öte Diyar harfleriyle, doğru yazmış. İki hafta sonra bir plazada “Öte Diyar görmüş” diye anılmaya başladın.</t>
        </is>
      </c>
      <c r="I1663" s="6" t="inlineStr">
        <is>
          <t>Havalimanında on dört akraba ve bir kutu lokum seni bekliyordu. Plazada ilk ay her toplantıya “Öte Diyar'da biz…” diye başladın. İkinci ay müdür seni ekip başı yaptı: “Orada nasıl yapıyorlarsa burada da sen yap.”</t>
        </is>
      </c>
      <c r="J1663" s="6" t="inlineStr">
        <is>
          <t>Bilet aldın, valizi hazırladın; memlekette seni bekleyen iş son anda başkasına verildi. Öte Diyar'da kaldın; bilet çerçevede.</t>
        </is>
      </c>
      <c r="K1663" s="6" t="inlineStr">
        <is>
          <t>Döndün ve iki hafta işsiz kaldın; sonra geri uçtun. Annen seni iki kez uğurladı, bir kez karşıladı, sayıyı tutuyor.</t>
        </is>
      </c>
      <c r="L1663" s="6" t="inlineStr"/>
      <c r="M1663" s="5" t="inlineStr"/>
      <c r="N1663" s="5" t="inlineStr"/>
      <c r="O1663" s="6" t="inlineStr"/>
      <c r="P1663" s="6" t="inlineStr"/>
      <c r="Q1663" s="5" t="inlineStr"/>
      <c r="R1663" s="5" t="inlineStr"/>
      <c r="S1663" s="5" t="inlineStr"/>
      <c r="T1663" s="5" t="inlineStr"/>
      <c r="U1663" s="5" t="inlineStr"/>
      <c r="V1663" s="5" t="inlineStr">
        <is>
          <t>-hat-cete, -hat-dolandirici, -hat-girisimci, -hat-goc, -hat-hekim, -hat-koy, -hat-polis, -hat-politika, -hat-sohret, -hat-usta, -hat-yargi, -meslek-esnaf, -meslek-memur, -meslek-serbest, meslek-beyazyaka, yurtdan-dondu</t>
        </is>
      </c>
      <c r="W1663" s="5" t="inlineStr"/>
      <c r="X1663" s="5" t="inlineStr"/>
      <c r="Y1663" s="5" t="inlineStr"/>
      <c r="Z1663" s="6" t="inlineStr"/>
      <c r="AA1663" s="5" t="inlineStr">
        <is>
          <t>hepsi +1</t>
        </is>
      </c>
      <c r="AB1663" s="5" t="inlineStr"/>
      <c r="AC1663" s="5" t="inlineStr"/>
      <c r="AD1663" s="5" t="inlineStr"/>
      <c r="AE1663" s="5" t="inlineStr"/>
      <c r="AF1663" s="5" t="inlineStr"/>
      <c r="AG1663" s="5" t="inlineStr"/>
      <c r="AH1663" s="5" t="inlineStr"/>
      <c r="AI1663" s="5" t="inlineStr"/>
      <c r="AJ1663" s="5" t="inlineStr"/>
    </row>
    <row r="1664">
      <c r="A1664" s="5" t="inlineStr">
        <is>
          <t>k10-goc</t>
        </is>
      </c>
      <c r="B1664" s="5" t="n">
        <v>3</v>
      </c>
      <c r="C1664" s="6" t="inlineStr">
        <is>
          <t>Öte Diyar'da kendi dükkânını aç</t>
        </is>
      </c>
      <c r="D1664" s="5" t="inlineStr">
        <is>
          <t>Kurnazlık</t>
        </is>
      </c>
      <c r="E1664" s="5" t="inlineStr">
        <is>
          <t>Zor</t>
        </is>
      </c>
      <c r="F1664" s="5" t="inlineStr"/>
      <c r="G1664" s="6" t="inlineStr"/>
      <c r="H1664" s="6" t="inlineStr">
        <is>
          <t>Arkadaşının dükkânını devraldın, tabelaya iki dilde ad yazdın. Yerliler çay için, Makaryalılar sohbet için geliyor. Kasa ikisinden de doluyor.</t>
        </is>
      </c>
      <c r="I1664" s="6" t="inlineStr">
        <is>
          <t>Dükkân açıldığı ay mahallenin “en iyi yeni işletmesi” seçildi. Belediye plaket yolladı; adın yanlış yazılmış, yine de çerçeveledin.</t>
        </is>
      </c>
      <c r="J1664" s="6" t="inlineStr">
        <is>
          <t>İzin başvurusu yaptın; izin dairesi seni başka bir izin dairesine yolladı. Plazadaki masana döndün; dükkân fikri çekmecede.</t>
        </is>
      </c>
      <c r="K1664" s="6" t="inlineStr">
        <is>
          <t>Kaporayı verdin, dükkân sahibi fikrini değiştirdi. Sözleşme iki dilliydi: senin okuduğun dilde “iade edilir”, onun okuduğu dilde “edilmez” yazıyordu.</t>
        </is>
      </c>
      <c r="L1664" s="6" t="inlineStr"/>
      <c r="M1664" s="5" t="inlineStr"/>
      <c r="N1664" s="5" t="inlineStr"/>
      <c r="O1664" s="6" t="inlineStr"/>
      <c r="P1664" s="6" t="inlineStr"/>
      <c r="Q1664" s="5" t="inlineStr"/>
      <c r="R1664" s="5" t="inlineStr"/>
      <c r="S1664" s="5" t="inlineStr"/>
      <c r="T1664" s="5" t="inlineStr"/>
      <c r="U1664" s="5" t="inlineStr"/>
      <c r="V1664" s="5" t="inlineStr">
        <is>
          <t>ote-diyar-dukkani</t>
        </is>
      </c>
      <c r="W1664" s="5" t="inlineStr"/>
      <c r="X1664" s="5" t="inlineStr"/>
      <c r="Y1664" s="5" t="inlineStr"/>
      <c r="Z1664" s="6" t="inlineStr"/>
      <c r="AA1664" s="5" t="inlineStr"/>
      <c r="AB1664" s="5" t="inlineStr"/>
      <c r="AC1664" s="5" t="inlineStr"/>
      <c r="AD1664" s="5" t="inlineStr">
        <is>
          <t>Rahat</t>
        </is>
      </c>
      <c r="AE1664" s="5" t="inlineStr"/>
      <c r="AF1664" s="5" t="inlineStr"/>
      <c r="AG1664" s="5" t="inlineStr"/>
      <c r="AH1664" s="5" t="inlineStr"/>
      <c r="AI1664" s="5" t="inlineStr"/>
      <c r="AJ1664" s="5" t="inlineStr"/>
    </row>
    <row r="1665">
      <c r="A1665" s="5" t="inlineStr">
        <is>
          <t>b8-goc-dil-okulu</t>
        </is>
      </c>
      <c r="B1665" s="5" t="n">
        <v>1</v>
      </c>
      <c r="C1665" s="6" t="inlineStr">
        <is>
          <t>Tahtaya memleketten fotoğraflar as</t>
        </is>
      </c>
      <c r="D1665" s="5" t="inlineStr"/>
      <c r="E1665" s="5" t="inlineStr"/>
      <c r="F1665" s="5" t="inlineStr">
        <is>
          <t>İtibar +1, Sosyal Radar +1</t>
        </is>
      </c>
      <c r="G1665" s="6" t="inlineStr">
        <is>
          <t>Dedenin kahvesini, mahalle fırınını, bir de dolmuşu astın. Çocuklar en çok dolmuşu sordu: “Neden herkes parayı öne uzatıyor?”</t>
        </is>
      </c>
      <c r="H1665" s="6" t="inlineStr"/>
      <c r="I1665" s="6" t="inlineStr"/>
      <c r="J1665" s="6" t="inlineStr"/>
      <c r="K1665" s="6" t="inlineStr"/>
      <c r="L1665" s="6" t="inlineStr"/>
      <c r="M1665" s="5" t="inlineStr"/>
      <c r="N1665" s="5" t="inlineStr"/>
      <c r="O1665" s="6" t="inlineStr"/>
      <c r="P1665" s="6" t="inlineStr"/>
      <c r="Q1665" s="5" t="inlineStr"/>
      <c r="R1665" s="5" t="inlineStr"/>
      <c r="S1665" s="5" t="inlineStr"/>
      <c r="T1665" s="5" t="inlineStr"/>
      <c r="U1665" s="5" t="inlineStr"/>
      <c r="V1665" s="5" t="inlineStr"/>
      <c r="W1665" s="5" t="inlineStr"/>
      <c r="X1665" s="5" t="inlineStr"/>
      <c r="Y1665" s="5" t="inlineStr"/>
      <c r="Z1665" s="6" t="inlineStr"/>
      <c r="AA1665" s="5" t="inlineStr"/>
      <c r="AB1665" s="5" t="inlineStr"/>
      <c r="AC1665" s="5" t="inlineStr"/>
      <c r="AD1665" s="5" t="inlineStr"/>
      <c r="AE1665" s="5" t="inlineStr"/>
      <c r="AF1665" s="5" t="inlineStr"/>
      <c r="AG1665" s="5" t="inlineStr"/>
      <c r="AH1665" s="5" t="inlineStr"/>
      <c r="AI1665" s="5" t="inlineStr"/>
      <c r="AJ1665" s="5" t="inlineStr"/>
    </row>
    <row r="1666">
      <c r="A1666" s="5" t="inlineStr">
        <is>
          <t>b8-goc-dil-okulu</t>
        </is>
      </c>
      <c r="B1666" s="5" t="n">
        <v>2</v>
      </c>
      <c r="C1666" s="6" t="inlineStr">
        <is>
          <t>Dersi dilbilgisiyle, sırayla anlat</t>
        </is>
      </c>
      <c r="D1666" s="5" t="inlineStr">
        <is>
          <t>Akıl</t>
        </is>
      </c>
      <c r="E1666" s="5" t="inlineStr">
        <is>
          <t>Orta</t>
        </is>
      </c>
      <c r="F1666" s="5" t="inlineStr"/>
      <c r="G1666" s="6" t="inlineStr"/>
      <c r="H1666" s="6" t="inlineStr">
        <is>
          <t>Üç ayda çocuklar ekleri öğrendi. Biri annesine “Geliyorumdumuş” diye mesaj attı; yanlış ama çok Makaryalı.</t>
        </is>
      </c>
      <c r="I1666" s="6" t="inlineStr">
        <is>
          <t>Dönem sonunda çocuklar memleketteki büyükannelerine mektup yazdı. Büyükanneler teşekkür için derneğe üç kilo pestil yolladı.</t>
        </is>
      </c>
      <c r="J1666" s="6" t="inlineStr">
        <is>
          <t>Ekleri anlattın, çocuklar saydı: kırk yedi. Biri ağladı, biri “Ben bir daha gelmiyorum” deyip annesini aradı.</t>
        </is>
      </c>
      <c r="K1666" s="6" t="inlineStr">
        <is>
          <t>Dersin ortasında “kaşık” kelimesini hatırlayamadın ve Öte Diyar dilinde söyledin. En küçük öğrenci parmak kaldırdı: “Öğretmenim, siz de mi evde çevirtiyorsunuz?”</t>
        </is>
      </c>
      <c r="L1666" s="6" t="inlineStr"/>
      <c r="M1666" s="5" t="inlineStr"/>
      <c r="N1666" s="5" t="inlineStr"/>
      <c r="O1666" s="6" t="inlineStr"/>
      <c r="P1666" s="6" t="inlineStr"/>
      <c r="Q1666" s="5" t="inlineStr"/>
      <c r="R1666" s="5" t="inlineStr"/>
      <c r="S1666" s="5" t="inlineStr"/>
      <c r="T1666" s="5" t="inlineStr"/>
      <c r="U1666" s="5" t="inlineStr"/>
      <c r="V1666" s="5" t="inlineStr">
        <is>
          <t>gurbet-ogretmeni</t>
        </is>
      </c>
      <c r="W1666" s="5" t="inlineStr"/>
      <c r="X1666" s="5" t="inlineStr"/>
      <c r="Y1666" s="5" t="inlineStr"/>
      <c r="Z1666" s="6" t="inlineStr"/>
      <c r="AA1666" s="5" t="inlineStr"/>
      <c r="AB1666" s="5" t="inlineStr"/>
      <c r="AC1666" s="5" t="inlineStr"/>
      <c r="AD1666" s="5" t="inlineStr"/>
      <c r="AE1666" s="5" t="inlineStr"/>
      <c r="AF1666" s="5" t="inlineStr"/>
      <c r="AG1666" s="5" t="inlineStr"/>
      <c r="AH1666" s="5" t="inlineStr"/>
      <c r="AI1666" s="5" t="inlineStr"/>
      <c r="AJ1666" s="5" t="inlineStr"/>
    </row>
    <row r="1667">
      <c r="A1667" s="5" t="inlineStr">
        <is>
          <t>b8-goc-dil-okulu</t>
        </is>
      </c>
      <c r="B1667" s="5" t="n">
        <v>3</v>
      </c>
      <c r="C1667" s="6" t="inlineStr">
        <is>
          <t>Her ders sonunda çocuklarla memleket yemeği yap</t>
        </is>
      </c>
      <c r="D1667" s="5" t="inlineStr">
        <is>
          <t>Dayanıklılık</t>
        </is>
      </c>
      <c r="E1667" s="5" t="inlineStr">
        <is>
          <t>Zor</t>
        </is>
      </c>
      <c r="F1667" s="5" t="inlineStr"/>
      <c r="G1667" s="6" t="inlineStr"/>
      <c r="H1667" s="6" t="inlineStr">
        <is>
          <t>Mantı günü: dokuz çocuk, dokuz yüz mantı. Un bodrumdan merdivene taştı. Çocuklar “hamur” kelimesini hiç unutmayacak.</t>
        </is>
      </c>
      <c r="I1667" s="6" t="inlineStr">
        <is>
          <t>Bütün aileler geldi, bodrum bayram yerine döndü. Dernek okulun adını değiştirdi: “Mantı Okulu.” İtiraz eden olmadı.</t>
        </is>
      </c>
      <c r="J1667" s="6" t="inlineStr">
        <is>
          <t>Yemek güzeldi ama derse vakit kalmadı. Çocuklar dört ayda tek kelime öğrendi: “Doydum.”</t>
        </is>
      </c>
      <c r="K1667" s="6" t="inlineStr">
        <is>
          <t>Börek fırında yandı, yangın alarmı çaldı, itfaiye geldi. Dokuz çocuk itfaiyecilere bildikleri tek memleket kelimesini öğretti: “Yandık!” Dernek mutfağın anahtarını senden geri aldı.</t>
        </is>
      </c>
      <c r="L1667" s="6" t="inlineStr"/>
      <c r="M1667" s="5" t="inlineStr"/>
      <c r="N1667" s="5" t="inlineStr"/>
      <c r="O1667" s="6" t="inlineStr"/>
      <c r="P1667" s="6" t="inlineStr"/>
      <c r="Q1667" s="5" t="inlineStr"/>
      <c r="R1667" s="5" t="inlineStr"/>
      <c r="S1667" s="5" t="inlineStr"/>
      <c r="T1667" s="5" t="inlineStr">
        <is>
          <t>İki Dilli Rüya</t>
        </is>
      </c>
      <c r="U1667" s="5" t="inlineStr"/>
      <c r="V1667" s="5" t="inlineStr">
        <is>
          <t>gurbet-ogretmeni</t>
        </is>
      </c>
      <c r="W1667" s="5" t="inlineStr"/>
      <c r="X1667" s="5" t="inlineStr"/>
      <c r="Y1667" s="5" t="inlineStr"/>
      <c r="Z1667" s="6" t="inlineStr"/>
      <c r="AA1667" s="5" t="inlineStr"/>
      <c r="AB1667" s="5" t="inlineStr"/>
      <c r="AC1667" s="5" t="inlineStr"/>
      <c r="AD1667" s="5" t="inlineStr"/>
      <c r="AE1667" s="5" t="inlineStr"/>
      <c r="AF1667" s="5" t="inlineStr"/>
      <c r="AG1667" s="5" t="inlineStr"/>
      <c r="AH1667" s="5" t="inlineStr"/>
      <c r="AI1667" s="5" t="inlineStr"/>
      <c r="AJ1667" s="5" t="inlineStr"/>
    </row>
    <row r="1668">
      <c r="A1668" s="5" t="inlineStr">
        <is>
          <t>b8-goc-donsem-mi</t>
        </is>
      </c>
      <c r="B1668" s="5" t="n">
        <v>1</v>
      </c>
      <c r="C1668" s="6" t="inlineStr">
        <is>
          <t>Her yaz bir ay git, soruyu ertele</t>
        </is>
      </c>
      <c r="D1668" s="5" t="inlineStr"/>
      <c r="E1668" s="5" t="inlineStr"/>
      <c r="F1668" s="5" t="inlineStr">
        <is>
          <t>Dayanıklılık +1, Gönül +1</t>
        </is>
      </c>
      <c r="G1668" s="6" t="inlineStr">
        <is>
          <t>Bu yıl da bir ay gittin, döndün. Gidişte valizde çikolata, dönüşte annenin salçası ve bir kavanoz tarhana; havalimanında ikisinde de ağladın. Hangi tarafın gurbet olduğu artık mevsime bağlı.</t>
        </is>
      </c>
      <c r="H1668" s="6" t="inlineStr"/>
      <c r="I1668" s="6" t="inlineStr"/>
      <c r="J1668" s="6" t="inlineStr"/>
      <c r="K1668" s="6" t="inlineStr"/>
      <c r="L1668" s="6" t="inlineStr"/>
      <c r="M1668" s="5" t="inlineStr"/>
      <c r="N1668" s="5" t="inlineStr"/>
      <c r="O1668" s="6" t="inlineStr"/>
      <c r="P1668" s="6" t="inlineStr"/>
      <c r="Q1668" s="5" t="inlineStr"/>
      <c r="R1668" s="5" t="inlineStr"/>
      <c r="S1668" s="5" t="inlineStr"/>
      <c r="T1668" s="5" t="inlineStr"/>
      <c r="U1668" s="5" t="inlineStr"/>
      <c r="V1668" s="5" t="inlineStr"/>
      <c r="W1668" s="5" t="inlineStr"/>
      <c r="X1668" s="5" t="inlineStr"/>
      <c r="Y1668" s="5" t="inlineStr"/>
      <c r="Z1668" s="6" t="inlineStr"/>
      <c r="AA1668" s="5" t="inlineStr"/>
      <c r="AB1668" s="5" t="inlineStr"/>
      <c r="AC1668" s="5" t="inlineStr"/>
      <c r="AD1668" s="5" t="inlineStr"/>
      <c r="AE1668" s="5" t="inlineStr"/>
      <c r="AF1668" s="5" t="inlineStr"/>
      <c r="AG1668" s="5" t="inlineStr"/>
      <c r="AH1668" s="5" t="inlineStr"/>
      <c r="AI1668" s="5" t="inlineStr"/>
      <c r="AJ1668" s="5" t="inlineStr"/>
    </row>
    <row r="1669">
      <c r="A1669" s="5" t="inlineStr">
        <is>
          <t>b8-goc-donsem-mi</t>
        </is>
      </c>
      <c r="B1669" s="5" t="n">
        <v>2</v>
      </c>
      <c r="C1669" s="6" t="inlineStr">
        <is>
          <t>Artıları ve eksileri iki dilde tabloya dök</t>
        </is>
      </c>
      <c r="D1669" s="5" t="inlineStr">
        <is>
          <t>Akıl</t>
        </is>
      </c>
      <c r="E1669" s="5" t="inlineStr">
        <is>
          <t>Orta</t>
        </is>
      </c>
      <c r="F1669" s="5" t="inlineStr"/>
      <c r="G1669" s="6" t="inlineStr"/>
      <c r="H1669" s="6" t="inlineStr">
        <is>
          <t>Tablo bitti: iki sütun, eşit uzunlukta. Bir satır ekledin: “Fırın kokusu.” Tablo tek satırla memleketten yana döndü.</t>
        </is>
      </c>
      <c r="I1669" s="6" t="inlineStr">
        <is>
          <t>Tabloyu gören herkes kendi tablosunu istedi. Dernekte “Dönsem mi?” danışmanlığı yapıyorsun; ücretsiz, çay onlardan.</t>
        </is>
      </c>
      <c r="J1669" s="6" t="inlineStr">
        <is>
          <t>Tablo o kadar uzadı ki yazıcının kâğıdı bitti. Karar yine kışa kaldı.</t>
        </is>
      </c>
      <c r="K1669" s="6" t="inlineStr">
        <is>
          <t>Tabloyu yanlışlıkla aile grubuna attın. Annen “Eksiler” sütununu okudu; iki gündür telefonu açmıyor.</t>
        </is>
      </c>
      <c r="L1669" s="6" t="inlineStr"/>
      <c r="M1669" s="5" t="inlineStr"/>
      <c r="N1669" s="5" t="inlineStr"/>
      <c r="O1669" s="6" t="inlineStr"/>
      <c r="P1669" s="6" t="inlineStr"/>
      <c r="Q1669" s="5" t="inlineStr"/>
      <c r="R1669" s="5" t="inlineStr"/>
      <c r="S1669" s="5" t="inlineStr"/>
      <c r="T1669" s="5" t="inlineStr"/>
      <c r="U1669" s="5" t="inlineStr"/>
      <c r="V1669" s="5" t="inlineStr"/>
      <c r="W1669" s="5" t="inlineStr"/>
      <c r="X1669" s="5" t="inlineStr"/>
      <c r="Y1669" s="5" t="inlineStr"/>
      <c r="Z1669" s="6" t="inlineStr"/>
      <c r="AA1669" s="5" t="inlineStr"/>
      <c r="AB1669" s="5" t="inlineStr"/>
      <c r="AC1669" s="5" t="inlineStr"/>
      <c r="AD1669" s="5" t="inlineStr"/>
      <c r="AE1669" s="5" t="inlineStr"/>
      <c r="AF1669" s="5" t="inlineStr"/>
      <c r="AG1669" s="5" t="inlineStr"/>
      <c r="AH1669" s="5" t="inlineStr"/>
      <c r="AI1669" s="5" t="inlineStr"/>
      <c r="AJ1669" s="5" t="inlineStr"/>
    </row>
    <row r="1670">
      <c r="A1670" s="5" t="inlineStr">
        <is>
          <t>b8-goc-donsem-mi</t>
        </is>
      </c>
      <c r="B1670" s="5" t="n">
        <v>3</v>
      </c>
      <c r="C1670" s="6" t="inlineStr">
        <is>
          <t>Memleketteki evi onart, dönüşe hazırla</t>
        </is>
      </c>
      <c r="D1670" s="5" t="inlineStr">
        <is>
          <t>Dayanıklılık</t>
        </is>
      </c>
      <c r="E1670" s="5" t="inlineStr">
        <is>
          <t>Zor</t>
        </is>
      </c>
      <c r="F1670" s="5" t="inlineStr"/>
      <c r="G1670" s="6" t="inlineStr"/>
      <c r="H1670" s="6" t="inlineStr">
        <is>
          <t>Uzaktan usta tuttun, görüntülü aramayla boyattın. Duvarlar senin seçtiğin renk, fayanslar ustanın. Ev hazır; sen yarı hazırsın.</t>
        </is>
      </c>
      <c r="I1670" s="6" t="inlineStr">
        <is>
          <t>Ev yenilendi; erik ağacı budandı ve o yaz ilk kez meyve verdi. Annen ilk eriklerden bir kutu kargoladı. Öte Diyar'a varana kadar ezilmişlerdi; hepsini yine de yedin.</t>
        </is>
      </c>
      <c r="J1670" s="6" t="inlineStr">
        <is>
          <t>Tamir başladı, sonra usta kayboldu. Duvarların yarısı boyalı; annen “Bu da moda” diyor.</t>
        </is>
      </c>
      <c r="K1670" s="6" t="inlineStr">
        <is>
          <t>Görüntülü aramada yanlış duvarı gösterdin; usta komşunun bahçe duvarını yıktı. Komşu annene “Gurbetçi parası duvar yıkar” dedi. Annen bir hafta pazara çıkamadı.</t>
        </is>
      </c>
      <c r="L1670" s="6" t="inlineStr"/>
      <c r="M1670" s="5" t="inlineStr"/>
      <c r="N1670" s="5" t="inlineStr"/>
      <c r="O1670" s="6" t="inlineStr"/>
      <c r="P1670" s="6" t="inlineStr"/>
      <c r="Q1670" s="5" t="inlineStr"/>
      <c r="R1670" s="5" t="inlineStr">
        <is>
          <t>memlekette-ev</t>
        </is>
      </c>
      <c r="S1670" s="5" t="inlineStr"/>
      <c r="T1670" s="5" t="inlineStr"/>
      <c r="U1670" s="5" t="inlineStr"/>
      <c r="V1670" s="5" t="inlineStr">
        <is>
          <t>donuse-hazir</t>
        </is>
      </c>
      <c r="W1670" s="5" t="inlineStr"/>
      <c r="X1670" s="5" t="inlineStr"/>
      <c r="Y1670" s="5" t="inlineStr"/>
      <c r="Z1670" s="6" t="inlineStr"/>
      <c r="AA1670" s="5" t="inlineStr"/>
      <c r="AB1670" s="5" t="inlineStr"/>
      <c r="AC1670" s="5" t="inlineStr"/>
      <c r="AD1670" s="5" t="inlineStr"/>
      <c r="AE1670" s="5" t="inlineStr"/>
      <c r="AF1670" s="5" t="inlineStr"/>
      <c r="AG1670" s="5" t="inlineStr"/>
      <c r="AH1670" s="5" t="inlineStr"/>
      <c r="AI1670" s="5" t="inlineStr"/>
      <c r="AJ1670" s="5" t="inlineStr"/>
    </row>
    <row r="1671">
      <c r="A1671" s="5" t="inlineStr">
        <is>
          <t>b8-goc-donsem-mi</t>
        </is>
      </c>
      <c r="B1671" s="5" t="n">
        <v>4</v>
      </c>
      <c r="C1671" s="6" t="inlineStr">
        <is>
          <t>Memlekettekileri arayıp nabız yokla</t>
        </is>
      </c>
      <c r="D1671" s="5" t="inlineStr">
        <is>
          <t>Sosyal Radar</t>
        </is>
      </c>
      <c r="E1671" s="5" t="inlineStr">
        <is>
          <t>Orta</t>
        </is>
      </c>
      <c r="F1671" s="5" t="inlineStr"/>
      <c r="G1671" s="6" t="inlineStr"/>
      <c r="H1671" s="6" t="inlineStr">
        <is>
          <t>Beş arkadaşını aradın. Üçü “Gel” dedi, ikisi “Sakın gelme”, biri de senden iş istedi. Hepsi telefonu aynı soruyla kapattı: “Annen nasıl?”</t>
        </is>
      </c>
      <c r="I1671" s="6" t="inlineStr">
        <is>
          <t>Arkadaşların karşılama komitesi bile kurdu. Dönmesen de gelecek yıl havalimanına gelecekler; tatbikat için.</t>
        </is>
      </c>
      <c r="J1671" s="6" t="inlineStr">
        <is>
          <t>Aradığın herkes sana Öte Diyar'da iş sordu. Biri özgeçmişini bile yolladı; vesikalığı düğününden kesilmişti.</t>
        </is>
      </c>
      <c r="K1671" s="6" t="inlineStr">
        <is>
          <t>Nabız yoklarken teyzene “Belki dönerim” dedin. Akşam bütün memleket biliyordu: annen perdeleri yıkamış, komşular hoş geldine gelmiş. Şimdi dönmemek için bir sebep bulman gerekiyor.</t>
        </is>
      </c>
      <c r="L1671" s="6" t="inlineStr"/>
      <c r="M1671" s="5" t="inlineStr"/>
      <c r="N1671" s="5" t="inlineStr"/>
      <c r="O1671" s="6" t="inlineStr"/>
      <c r="P1671" s="6" t="inlineStr"/>
      <c r="Q1671" s="5" t="inlineStr"/>
      <c r="R1671" s="5" t="inlineStr"/>
      <c r="S1671" s="5" t="inlineStr"/>
      <c r="T1671" s="5" t="inlineStr"/>
      <c r="U1671" s="5" t="inlineStr"/>
      <c r="V1671" s="5" t="inlineStr"/>
      <c r="W1671" s="5" t="inlineStr"/>
      <c r="X1671" s="5" t="inlineStr"/>
      <c r="Y1671" s="5" t="inlineStr"/>
      <c r="Z1671" s="6" t="inlineStr"/>
      <c r="AA1671" s="5" t="inlineStr"/>
      <c r="AB1671" s="5" t="inlineStr"/>
      <c r="AC1671" s="5" t="inlineStr"/>
      <c r="AD1671" s="5" t="inlineStr"/>
      <c r="AE1671" s="5" t="inlineStr"/>
      <c r="AF1671" s="5" t="inlineStr"/>
      <c r="AG1671" s="5" t="inlineStr"/>
      <c r="AH1671" s="5" t="inlineStr"/>
      <c r="AI1671" s="5" t="inlineStr"/>
      <c r="AJ1671" s="5" t="inlineStr"/>
    </row>
    <row r="1672">
      <c r="A1672" s="5" t="inlineStr">
        <is>
          <t>b9-goc-iki-dilde-emeklilik</t>
        </is>
      </c>
      <c r="B1672" s="5" t="n">
        <v>1</v>
      </c>
      <c r="C1672" s="6" t="inlineStr">
        <is>
          <t>İki kurumu aynı anda ara, iki hatta bekle</t>
        </is>
      </c>
      <c r="D1672" s="5" t="inlineStr"/>
      <c r="E1672" s="5" t="inlineStr"/>
      <c r="F1672" s="5" t="inlineStr">
        <is>
          <t>Dayanıklılık +1</t>
        </is>
      </c>
      <c r="G1672" s="6" t="inlineStr">
        <is>
          <t>Bir kulakta Öte Diyar'ın bekleme müziği, öbüründe Makarya'nınki. Dört saat sonra iki müzik aynı notaya geldi. Dosya yürümedi ama sen bir şarkı besteledin.</t>
        </is>
      </c>
      <c r="H1672" s="6" t="inlineStr"/>
      <c r="I1672" s="6" t="inlineStr"/>
      <c r="J1672" s="6" t="inlineStr"/>
      <c r="K1672" s="6" t="inlineStr"/>
      <c r="L1672" s="6" t="inlineStr"/>
      <c r="M1672" s="5" t="inlineStr"/>
      <c r="N1672" s="5" t="inlineStr"/>
      <c r="O1672" s="6" t="inlineStr"/>
      <c r="P1672" s="6" t="inlineStr"/>
      <c r="Q1672" s="5" t="inlineStr"/>
      <c r="R1672" s="5" t="inlineStr"/>
      <c r="S1672" s="5" t="inlineStr"/>
      <c r="T1672" s="5" t="inlineStr"/>
      <c r="U1672" s="5" t="inlineStr"/>
      <c r="V1672" s="5" t="inlineStr"/>
      <c r="W1672" s="5" t="inlineStr"/>
      <c r="X1672" s="5" t="inlineStr"/>
      <c r="Y1672" s="5" t="inlineStr"/>
      <c r="Z1672" s="6" t="inlineStr"/>
      <c r="AA1672" s="5" t="inlineStr"/>
      <c r="AB1672" s="5" t="inlineStr"/>
      <c r="AC1672" s="5" t="inlineStr"/>
      <c r="AD1672" s="5" t="inlineStr"/>
      <c r="AE1672" s="5" t="inlineStr"/>
      <c r="AF1672" s="5" t="inlineStr"/>
      <c r="AG1672" s="5" t="inlineStr"/>
      <c r="AH1672" s="5" t="inlineStr"/>
      <c r="AI1672" s="5" t="inlineStr"/>
      <c r="AJ1672" s="5" t="inlineStr"/>
    </row>
    <row r="1673">
      <c r="A1673" s="5" t="inlineStr">
        <is>
          <t>b9-goc-iki-dilde-emeklilik</t>
        </is>
      </c>
      <c r="B1673" s="5" t="n">
        <v>2</v>
      </c>
      <c r="C1673" s="6" t="inlineStr">
        <is>
          <t>Yazıları iki dilde kendin hazırla</t>
        </is>
      </c>
      <c r="D1673" s="5" t="inlineStr">
        <is>
          <t>Akıl</t>
        </is>
      </c>
      <c r="E1673" s="5" t="inlineStr">
        <is>
          <t>Orta</t>
        </is>
      </c>
      <c r="F1673" s="5" t="inlineStr"/>
      <c r="G1673" s="6" t="inlineStr"/>
      <c r="H1673" s="6" t="inlineStr">
        <is>
          <t>Dosyayı iki dilde, iki nüsha, iki mühürle götürdün. Emekli maaşın iki ayrı günde, iki ayrı kurla yatıyor. Hangisi fazla, hesaplamayı bıraktın.</t>
        </is>
      </c>
      <c r="I1673" s="6" t="inlineStr">
        <is>
          <t>Dosyan öyle düzgündü ki iki kurumda da memurlar fotokopisini çekip çekmecesine koydu. Senden sonra gelen gurbetçilere aynı cümleyi kuruyorlar: 'Şu dosya gibi getirin.'</t>
        </is>
      </c>
      <c r="J1673" s="6" t="inlineStr">
        <is>
          <t>Yazıları götürdün; birinde gün ile ay yer değiştirmiş. Emekliliğin kâğıt üzerinde bir ay ileri gitti.</t>
        </is>
      </c>
      <c r="K1673" s="6" t="inlineStr">
        <is>
          <t>Kopyaları karıştırdın. Makarya'daki kurum seni Öte Diyarlı sanıyor, Öte Diyar'daki Makaryalı. İkisi de haklı.</t>
        </is>
      </c>
      <c r="L1673" s="6" t="inlineStr"/>
      <c r="M1673" s="5" t="inlineStr"/>
      <c r="N1673" s="5" t="inlineStr"/>
      <c r="O1673" s="6" t="inlineStr"/>
      <c r="P1673" s="6" t="inlineStr"/>
      <c r="Q1673" s="5" t="inlineStr"/>
      <c r="R1673" s="5" t="inlineStr"/>
      <c r="S1673" s="5" t="inlineStr"/>
      <c r="T1673" s="5" t="inlineStr"/>
      <c r="U1673" s="5" t="inlineStr"/>
      <c r="V1673" s="5" t="inlineStr"/>
      <c r="W1673" s="5" t="inlineStr"/>
      <c r="X1673" s="5" t="inlineStr"/>
      <c r="Y1673" s="5" t="inlineStr"/>
      <c r="Z1673" s="6" t="inlineStr"/>
      <c r="AA1673" s="5" t="inlineStr"/>
      <c r="AB1673" s="5" t="inlineStr"/>
      <c r="AC1673" s="5" t="inlineStr"/>
      <c r="AD1673" s="5" t="inlineStr"/>
      <c r="AE1673" s="5" t="inlineStr"/>
      <c r="AF1673" s="5" t="inlineStr"/>
      <c r="AG1673" s="5" t="inlineStr"/>
      <c r="AH1673" s="5" t="inlineStr"/>
      <c r="AI1673" s="5" t="inlineStr"/>
      <c r="AJ1673" s="5" t="inlineStr"/>
    </row>
    <row r="1674">
      <c r="A1674" s="5" t="inlineStr">
        <is>
          <t>b9-goc-iki-dilde-emeklilik</t>
        </is>
      </c>
      <c r="B1674" s="5" t="n">
        <v>3</v>
      </c>
      <c r="C1674" s="6" t="inlineStr">
        <is>
          <t>Memleketteki eve yerleş, emekliliği oradan kovala</t>
        </is>
      </c>
      <c r="D1674" s="5" t="inlineStr">
        <is>
          <t>Cesaret</t>
        </is>
      </c>
      <c r="E1674" s="5" t="inlineStr">
        <is>
          <t>Orta</t>
        </is>
      </c>
      <c r="F1674" s="5" t="inlineStr"/>
      <c r="G1674" s="6" t="inlineStr"/>
      <c r="H1674" s="6" t="inlineStr">
        <is>
          <t>Yaz başında memleketteki eve yerleştin. Sabahları fırına gidiyorsun; kokusu hatırladığın gibi. Fırıncı değişmiş, seni o hatırlıyor.</t>
        </is>
      </c>
      <c r="I1674" s="6" t="inlineStr">
        <is>
          <t>Mahallede adın artık 'Öte Diyarlı'. Bahçede erik, balkonda mangal; burada yasak değil. Otuz yıldır ilk kez mangal yakıyorsun; duman bütün sokağa döndüğünü haber veriyor.</t>
        </is>
      </c>
      <c r="J1674" s="6" t="inlineStr">
        <is>
          <t>Eşyaları topladın, kargo kırk koli istedi. Yarısı geldi; hangi yarının gerekli olduğu tartışmalı.</t>
        </is>
      </c>
      <c r="K1674" s="6" t="inlineStr">
        <is>
          <t>Eve vardığında içeride yeğenin oturuyordu, nişanlısıyla. Sana misafir odasını verdiler; kendi evinde.</t>
        </is>
      </c>
      <c r="L1674" s="6" t="inlineStr"/>
      <c r="M1674" s="5" t="inlineStr"/>
      <c r="N1674" s="5" t="inlineStr"/>
      <c r="O1674" s="6" t="inlineStr"/>
      <c r="P1674" s="6" t="inlineStr"/>
      <c r="Q1674" s="5" t="inlineStr"/>
      <c r="R1674" s="5" t="inlineStr">
        <is>
          <t>memlekette-ev</t>
        </is>
      </c>
      <c r="S1674" s="5" t="inlineStr"/>
      <c r="T1674" s="5" t="inlineStr"/>
      <c r="U1674" s="5" t="inlineStr"/>
      <c r="V1674" s="5" t="inlineStr">
        <is>
          <t>yazliga-dondu</t>
        </is>
      </c>
      <c r="W1674" s="5" t="inlineStr"/>
      <c r="X1674" s="5" t="inlineStr"/>
      <c r="Y1674" s="5" t="inlineStr"/>
      <c r="Z1674" s="6" t="inlineStr"/>
      <c r="AA1674" s="5" t="inlineStr"/>
      <c r="AB1674" s="5" t="inlineStr"/>
      <c r="AC1674" s="5" t="inlineStr"/>
      <c r="AD1674" s="5" t="inlineStr"/>
      <c r="AE1674" s="5" t="inlineStr"/>
      <c r="AF1674" s="5" t="inlineStr"/>
      <c r="AG1674" s="5" t="inlineStr"/>
      <c r="AH1674" s="5" t="inlineStr"/>
      <c r="AI1674" s="5" t="inlineStr"/>
      <c r="AJ1674" s="5" t="inlineStr"/>
    </row>
    <row r="1675">
      <c r="A1675" s="5" t="inlineStr">
        <is>
          <t>b9-goc-iki-dilde-emeklilik</t>
        </is>
      </c>
      <c r="B1675" s="5" t="n">
        <v>4</v>
      </c>
      <c r="C1675" s="6" t="inlineStr">
        <is>
          <t>Kışı orada, yazı burada geçir</t>
        </is>
      </c>
      <c r="D1675" s="5" t="inlineStr">
        <is>
          <t>Sosyal Radar</t>
        </is>
      </c>
      <c r="E1675" s="5" t="inlineStr">
        <is>
          <t>Zor</t>
        </is>
      </c>
      <c r="F1675" s="5" t="inlineStr"/>
      <c r="G1675" s="6" t="inlineStr"/>
      <c r="H1675" s="6" t="inlineStr">
        <is>
          <t>Kasımda Öte Diyar'a, mayısta memlekete. İki yerde de “Yine mi geldin?” diyorlar; ikisinde de sevinerek.</t>
        </is>
      </c>
      <c r="I1675" s="6" t="inlineStr">
        <is>
          <t>İki mahallede de çayın ısmarlanıyor. Öte Diyar'daki komşular dönüşünü takvime işaretliyor, bahçelerini sana emanet ediyor; buradakiler de evlerinin anahtarını.</t>
        </is>
      </c>
      <c r="J1675" s="6" t="inlineStr">
        <is>
          <t>İki memleket arasında gidip gelirken iki tarafın faturası birikiyor. Posta kutuların iki ülkede birden dolu.</t>
        </is>
      </c>
      <c r="K1675" s="6" t="inlineStr">
        <is>
          <t>Biletleri karıştırdın; kışı memlekette, yazı Öte Diyar'da geçirdin. İki yerde de üşüdün.</t>
        </is>
      </c>
      <c r="L1675" s="6" t="inlineStr"/>
      <c r="M1675" s="5" t="inlineStr"/>
      <c r="N1675" s="5" t="inlineStr"/>
      <c r="O1675" s="6" t="inlineStr"/>
      <c r="P1675" s="6" t="inlineStr"/>
      <c r="Q1675" s="5" t="inlineStr"/>
      <c r="R1675" s="5" t="inlineStr"/>
      <c r="S1675" s="5" t="inlineStr"/>
      <c r="T1675" s="5" t="inlineStr">
        <is>
          <t>Odayı Okur</t>
        </is>
      </c>
      <c r="U1675" s="5" t="inlineStr"/>
      <c r="V1675" s="5" t="inlineStr">
        <is>
          <t>iki-memleketli</t>
        </is>
      </c>
      <c r="W1675" s="5" t="inlineStr"/>
      <c r="X1675" s="5" t="inlineStr"/>
      <c r="Y1675" s="5" t="inlineStr"/>
      <c r="Z1675" s="6" t="inlineStr"/>
      <c r="AA1675" s="5" t="inlineStr"/>
      <c r="AB1675" s="5" t="inlineStr"/>
      <c r="AC1675" s="5" t="inlineStr"/>
      <c r="AD1675" s="5" t="inlineStr"/>
      <c r="AE1675" s="5" t="inlineStr"/>
      <c r="AF1675" s="5" t="inlineStr"/>
      <c r="AG1675" s="5" t="inlineStr"/>
      <c r="AH1675" s="5" t="inlineStr"/>
      <c r="AI1675" s="5" t="inlineStr"/>
      <c r="AJ1675" s="5" t="inlineStr"/>
    </row>
    <row r="1676">
      <c r="A1676" s="5" t="inlineStr">
        <is>
          <t>b7-koy-keciler</t>
        </is>
      </c>
      <c r="B1676" s="5" t="n">
        <v>1</v>
      </c>
      <c r="C1676" s="6" t="inlineStr">
        <is>
          <t>Komşuya lahananın parasını öde</t>
        </is>
      </c>
      <c r="D1676" s="5" t="inlineStr"/>
      <c r="E1676" s="5" t="inlineStr"/>
      <c r="F1676" s="5" t="inlineStr">
        <is>
          <t>İtibar +2</t>
        </is>
      </c>
      <c r="G1676" s="6" t="inlineStr">
        <is>
          <t>Lahananın parasını uzattın, bir de özür. Komşu parayı almadı, özrü aldı. Akşam kapına bir tabak dolma bıraktı; lahanasız.</t>
        </is>
      </c>
      <c r="H1676" s="6" t="inlineStr"/>
      <c r="I1676" s="6" t="inlineStr"/>
      <c r="J1676" s="6" t="inlineStr"/>
      <c r="K1676" s="6" t="inlineStr"/>
      <c r="L1676" s="6" t="inlineStr"/>
      <c r="M1676" s="5" t="inlineStr"/>
      <c r="N1676" s="5" t="inlineStr"/>
      <c r="O1676" s="6" t="inlineStr"/>
      <c r="P1676" s="6" t="inlineStr"/>
      <c r="Q1676" s="5" t="inlineStr"/>
      <c r="R1676" s="5" t="inlineStr"/>
      <c r="S1676" s="5" t="inlineStr"/>
      <c r="T1676" s="5" t="inlineStr"/>
      <c r="U1676" s="5" t="inlineStr"/>
      <c r="V1676" s="5" t="inlineStr"/>
      <c r="W1676" s="5" t="inlineStr"/>
      <c r="X1676" s="5" t="inlineStr"/>
      <c r="Y1676" s="5" t="inlineStr"/>
      <c r="Z1676" s="6" t="inlineStr"/>
      <c r="AA1676" s="5" t="inlineStr"/>
      <c r="AB1676" s="5" t="inlineStr"/>
      <c r="AC1676" s="5" t="inlineStr"/>
      <c r="AD1676" s="5" t="inlineStr"/>
      <c r="AE1676" s="5" t="inlineStr"/>
      <c r="AF1676" s="5" t="inlineStr"/>
      <c r="AG1676" s="5" t="inlineStr"/>
      <c r="AH1676" s="5" t="inlineStr"/>
      <c r="AI1676" s="5" t="inlineStr"/>
      <c r="AJ1676" s="5" t="inlineStr"/>
    </row>
    <row r="1677">
      <c r="A1677" s="5" t="inlineStr">
        <is>
          <t>b7-koy-keciler</t>
        </is>
      </c>
      <c r="B1677" s="5" t="n">
        <v>2</v>
      </c>
      <c r="C1677" s="6" t="inlineStr">
        <is>
          <t>Sürünün liderini bul, onu ikna et</t>
        </is>
      </c>
      <c r="D1677" s="5" t="inlineStr">
        <is>
          <t>Sosyal Radar</t>
        </is>
      </c>
      <c r="E1677" s="5" t="inlineStr">
        <is>
          <t>Orta</t>
        </is>
      </c>
      <c r="F1677" s="5" t="inlineStr"/>
      <c r="G1677" s="6" t="inlineStr"/>
      <c r="H1677" s="6" t="inlineStr">
        <is>
          <t>Lider, sakallı yaşlı bir dişiymiş. Ona bir avuç arpa verdin; sürü eve döndü. Artık seni o yönetiyor, sen de itiraz etmiyorsun.</t>
        </is>
      </c>
      <c r="I1677" s="6" t="inlineStr">
        <is>
          <t>Lider keçiyle anlaştınız; sürüyü sabah o çıkarıyor, akşam o getiriyor. Köyde artık adın “Keçi Muhtarı”. Asıl muhtar bundan hoşlanmadı.</t>
        </is>
      </c>
      <c r="J1677" s="6" t="inlineStr">
        <is>
          <t>Lider sandığın keçi sürünün en çekingeniymiş. Sen onu ikna ettin; o da kimseyi. Akşama kadar ikiniz bahçe kapısında oturup sürüyü izlediniz.</t>
        </is>
      </c>
      <c r="K1677" s="6" t="inlineStr">
        <is>
          <t>Lider keçi göz temasını meydan okuma saydı; seni popo üstü lahana tarhına oturttu. Komşu elindeki lahanayı unuttu. Akşam kahvede anlatırken gülmekten iskemleden düştü.</t>
        </is>
      </c>
      <c r="L1677" s="6" t="inlineStr"/>
      <c r="M1677" s="5" t="inlineStr"/>
      <c r="N1677" s="5" t="inlineStr"/>
      <c r="O1677" s="6" t="inlineStr"/>
      <c r="P1677" s="6" t="inlineStr"/>
      <c r="Q1677" s="5" t="inlineStr"/>
      <c r="R1677" s="5" t="inlineStr"/>
      <c r="S1677" s="5" t="inlineStr"/>
      <c r="T1677" s="5" t="inlineStr"/>
      <c r="U1677" s="5" t="inlineStr"/>
      <c r="V1677" s="5" t="inlineStr">
        <is>
          <t>keci-dostu</t>
        </is>
      </c>
      <c r="W1677" s="5" t="inlineStr"/>
      <c r="X1677" s="5" t="inlineStr"/>
      <c r="Y1677" s="5" t="inlineStr"/>
      <c r="Z1677" s="6" t="inlineStr"/>
      <c r="AA1677" s="5" t="inlineStr"/>
      <c r="AB1677" s="5" t="inlineStr"/>
      <c r="AC1677" s="5" t="inlineStr"/>
      <c r="AD1677" s="5" t="inlineStr"/>
      <c r="AE1677" s="5" t="inlineStr"/>
      <c r="AF1677" s="5" t="inlineStr"/>
      <c r="AG1677" s="5" t="inlineStr"/>
      <c r="AH1677" s="5" t="inlineStr"/>
      <c r="AI1677" s="5" t="inlineStr"/>
      <c r="AJ1677" s="5" t="inlineStr"/>
    </row>
    <row r="1678">
      <c r="A1678" s="5" t="inlineStr">
        <is>
          <t>b7-koy-keciler</t>
        </is>
      </c>
      <c r="B1678" s="5" t="n">
        <v>3</v>
      </c>
      <c r="C1678" s="6" t="inlineStr">
        <is>
          <t>Bahçeye keçi geçirmez çit kur</t>
        </is>
      </c>
      <c r="D1678" s="5" t="inlineStr">
        <is>
          <t>Dayanıklılık</t>
        </is>
      </c>
      <c r="E1678" s="5" t="inlineStr">
        <is>
          <t>Zor</t>
        </is>
      </c>
      <c r="F1678" s="5" t="inlineStr"/>
      <c r="G1678" s="6" t="inlineStr"/>
      <c r="H1678" s="6" t="inlineStr">
        <is>
          <t>Üç gün, iki rulo tel, bir sürü kazık. Çit bitti. Keçiler bir gün çiti inceledi, sonra yan bahçeden vazgeçti; şimdilik.</t>
        </is>
      </c>
      <c r="I1678" s="6" t="inlineStr">
        <is>
          <t>Çitin öyle sağlam çıktı ki köyde herkes seni kendi bahçesi için çağırdı. Keçiler de gelip izledi; not alıyor gibiydiler.</t>
        </is>
      </c>
      <c r="J1678" s="6" t="inlineStr">
        <is>
          <t>Çiti kurdun; keçiler üstünden atlamadı, kapısını açtı. Mandalı sen takmıştın.</t>
        </is>
      </c>
      <c r="K1678" s="6" t="inlineStr">
        <is>
          <t>Çiti yanlış tarafa kurdun; keçiler bahçede, sen dışarıdasın. Komşu lahanaları çitin içinden sana uzatıyor.</t>
        </is>
      </c>
      <c r="L1678" s="6" t="inlineStr"/>
      <c r="M1678" s="5" t="inlineStr"/>
      <c r="N1678" s="5" t="inlineStr"/>
      <c r="O1678" s="6" t="inlineStr"/>
      <c r="P1678" s="6" t="inlineStr"/>
      <c r="Q1678" s="5" t="inlineStr"/>
      <c r="R1678" s="5" t="inlineStr"/>
      <c r="S1678" s="5" t="inlineStr"/>
      <c r="T1678" s="5" t="inlineStr">
        <is>
          <t>Bahçe Filozofu</t>
        </is>
      </c>
      <c r="U1678" s="5" t="inlineStr"/>
      <c r="V1678" s="5" t="inlineStr"/>
      <c r="W1678" s="5" t="inlineStr"/>
      <c r="X1678" s="5" t="inlineStr"/>
      <c r="Y1678" s="5" t="inlineStr"/>
      <c r="Z1678" s="6" t="inlineStr"/>
      <c r="AA1678" s="5" t="inlineStr"/>
      <c r="AB1678" s="5" t="inlineStr"/>
      <c r="AC1678" s="5" t="inlineStr"/>
      <c r="AD1678" s="5" t="inlineStr"/>
      <c r="AE1678" s="5" t="inlineStr"/>
      <c r="AF1678" s="5" t="inlineStr"/>
      <c r="AG1678" s="5" t="inlineStr"/>
      <c r="AH1678" s="5" t="inlineStr"/>
      <c r="AI1678" s="5" t="inlineStr"/>
      <c r="AJ1678" s="5" t="inlineStr"/>
    </row>
    <row r="1679">
      <c r="A1679" s="5" t="inlineStr">
        <is>
          <t>b7-koy-kooperatif</t>
        </is>
      </c>
      <c r="B1679" s="5" t="n">
        <v>1</v>
      </c>
      <c r="C1679" s="6" t="inlineStr">
        <is>
          <t>Söz alma, çayını iç, dinle</t>
        </is>
      </c>
      <c r="D1679" s="5" t="inlineStr"/>
      <c r="E1679" s="5" t="inlineStr"/>
      <c r="F1679" s="5" t="inlineStr">
        <is>
          <t>Sosyal Radar +1, Dayanıklılık +1</t>
        </is>
      </c>
      <c r="G1679" s="6" t="inlineStr">
        <is>
          <t>Üç saat dinledin. Tank hakkında bir şey öğrenmedin; kimin kime küs olduğunu, kimin kızının nereye gelin gittiğini öğrendin. Asıl gündem buydu.</t>
        </is>
      </c>
      <c r="H1679" s="6" t="inlineStr"/>
      <c r="I1679" s="6" t="inlineStr"/>
      <c r="J1679" s="6" t="inlineStr"/>
      <c r="K1679" s="6" t="inlineStr"/>
      <c r="L1679" s="6" t="inlineStr"/>
      <c r="M1679" s="5" t="inlineStr"/>
      <c r="N1679" s="5" t="inlineStr"/>
      <c r="O1679" s="6" t="inlineStr"/>
      <c r="P1679" s="6" t="inlineStr"/>
      <c r="Q1679" s="5" t="inlineStr"/>
      <c r="R1679" s="5" t="inlineStr"/>
      <c r="S1679" s="5" t="inlineStr"/>
      <c r="T1679" s="5" t="inlineStr"/>
      <c r="U1679" s="5" t="inlineStr"/>
      <c r="V1679" s="5" t="inlineStr"/>
      <c r="W1679" s="5" t="inlineStr"/>
      <c r="X1679" s="5" t="inlineStr"/>
      <c r="Y1679" s="5" t="inlineStr"/>
      <c r="Z1679" s="6" t="inlineStr"/>
      <c r="AA1679" s="5" t="inlineStr"/>
      <c r="AB1679" s="5" t="inlineStr"/>
      <c r="AC1679" s="5" t="inlineStr"/>
      <c r="AD1679" s="5" t="inlineStr"/>
      <c r="AE1679" s="5" t="inlineStr"/>
      <c r="AF1679" s="5" t="inlineStr"/>
      <c r="AG1679" s="5" t="inlineStr"/>
      <c r="AH1679" s="5" t="inlineStr"/>
      <c r="AI1679" s="5" t="inlineStr"/>
      <c r="AJ1679" s="5" t="inlineStr"/>
    </row>
    <row r="1680">
      <c r="A1680" s="5" t="inlineStr">
        <is>
          <t>b7-koy-kooperatif</t>
        </is>
      </c>
      <c r="B1680" s="5" t="n">
        <v>2</v>
      </c>
      <c r="C1680" s="6" t="inlineStr">
        <is>
          <t>Tankın hesabını çıkar, masaya koy</t>
        </is>
      </c>
      <c r="D1680" s="5" t="inlineStr">
        <is>
          <t>Akıl</t>
        </is>
      </c>
      <c r="E1680" s="5" t="inlineStr">
        <is>
          <t>Orta</t>
        </is>
      </c>
      <c r="F1680" s="5" t="inlineStr"/>
      <c r="G1680" s="6" t="inlineStr"/>
      <c r="H1680" s="6" t="inlineStr">
        <is>
          <t>Tankın kendini kaç yılda ödeyeceğini kâğıda döktün. Kâğıt elden ele dolaştı, Hüsnü Emmi'de kaldı. Tank onaylandı; kâğıt hâlâ Hüsnü Emmi'de.</t>
        </is>
      </c>
      <c r="I1680" s="6" t="inlineStr">
        <is>
          <t>Hesabın öyle netti ki kooperatif defteri sana verdi. Her ayın ilk pazartesi hesap sende; çay da.</t>
        </is>
      </c>
      <c r="J1680" s="6" t="inlineStr">
        <is>
          <t>Hesabı anlattın, biri “Okumuş çocuk” dedi. Kimse karşı çıkmadı, kimse el kaldırmadı. Karar bir sonraki toplantıya kaldı.</t>
        </is>
      </c>
      <c r="K1680" s="6" t="inlineStr">
        <is>
          <t>Hesapta bir sıfır kaçırdın. Kâğıda göre tank kendini üç yüz yılda ödüyor. Hüsnü Emmi kâğıdı çerçeveletti.</t>
        </is>
      </c>
      <c r="L1680" s="6" t="inlineStr"/>
      <c r="M1680" s="5" t="inlineStr"/>
      <c r="N1680" s="5" t="inlineStr"/>
      <c r="O1680" s="6" t="inlineStr"/>
      <c r="P1680" s="6" t="inlineStr"/>
      <c r="Q1680" s="5" t="inlineStr"/>
      <c r="R1680" s="5" t="inlineStr"/>
      <c r="S1680" s="5" t="inlineStr"/>
      <c r="T1680" s="5" t="inlineStr"/>
      <c r="U1680" s="5" t="inlineStr"/>
      <c r="V1680" s="5" t="inlineStr">
        <is>
          <t>kooperatif-defteri</t>
        </is>
      </c>
      <c r="W1680" s="5" t="inlineStr"/>
      <c r="X1680" s="5" t="inlineStr"/>
      <c r="Y1680" s="5" t="inlineStr"/>
      <c r="Z1680" s="6" t="inlineStr"/>
      <c r="AA1680" s="5" t="inlineStr"/>
      <c r="AB1680" s="5" t="inlineStr"/>
      <c r="AC1680" s="5" t="inlineStr"/>
      <c r="AD1680" s="5" t="inlineStr"/>
      <c r="AE1680" s="5" t="inlineStr"/>
      <c r="AF1680" s="5" t="inlineStr"/>
      <c r="AG1680" s="5" t="inlineStr"/>
      <c r="AH1680" s="5" t="inlineStr"/>
      <c r="AI1680" s="5" t="inlineStr"/>
      <c r="AJ1680" s="5" t="inlineStr"/>
    </row>
    <row r="1681">
      <c r="A1681" s="5" t="inlineStr">
        <is>
          <t>b7-koy-kooperatif</t>
        </is>
      </c>
      <c r="B1681" s="5" t="n">
        <v>3</v>
      </c>
      <c r="C1681" s="6" t="inlineStr">
        <is>
          <t>Küs iki üyeyi aynı masada barıştır</t>
        </is>
      </c>
      <c r="D1681" s="5" t="inlineStr">
        <is>
          <t>İtibar</t>
        </is>
      </c>
      <c r="E1681" s="5" t="inlineStr">
        <is>
          <t>Zor</t>
        </is>
      </c>
      <c r="F1681" s="5" t="inlineStr"/>
      <c r="G1681" s="6" t="inlineStr"/>
      <c r="H1681" s="6" t="inlineStr">
        <is>
          <t>Otuz yıllık bir tarla sınırı kavgasıydı. İki çay koydun, iki şeker; onlar da iki kelime etti. Tank oylamasında aynı eli kaldırdılar.</t>
        </is>
      </c>
      <c r="I1681" s="6" t="inlineStr">
        <is>
          <t>Barıştılar, üstüne çocuklarını evlendirmeye karar verdiler. Toplantı nişan hazırlığına döndü; tank da onaylandı.</t>
        </is>
      </c>
      <c r="J1681" s="6" t="inlineStr">
        <is>
          <t>İkisini aynı masaya oturttun; ikisi de sana küstü. Köyde artık üç kişilik bir küslük var.</t>
        </is>
      </c>
      <c r="K1681" s="6" t="inlineStr">
        <is>
          <t>Sınırı çözmek için tarlaya gittiniz. Tapuyu okurken ikisi birden sustu, sonra aynı anda sana döndü: “Asıl senin dedenin çiti bizim tarlada.” Akşam kahvede iki küs barışmıştı; sana karşı.</t>
        </is>
      </c>
      <c r="L1681" s="6" t="inlineStr"/>
      <c r="M1681" s="5" t="inlineStr"/>
      <c r="N1681" s="5" t="inlineStr"/>
      <c r="O1681" s="6" t="inlineStr"/>
      <c r="P1681" s="6" t="inlineStr"/>
      <c r="Q1681" s="5" t="inlineStr"/>
      <c r="R1681" s="5" t="inlineStr"/>
      <c r="S1681" s="5" t="inlineStr"/>
      <c r="T1681" s="5" t="inlineStr">
        <is>
          <t>Odayı Okur</t>
        </is>
      </c>
      <c r="U1681" s="5" t="inlineStr"/>
      <c r="V1681" s="5" t="inlineStr">
        <is>
          <t>kahvede-sozu-var</t>
        </is>
      </c>
      <c r="W1681" s="5" t="inlineStr"/>
      <c r="X1681" s="5" t="inlineStr"/>
      <c r="Y1681" s="5" t="inlineStr"/>
      <c r="Z1681" s="6" t="inlineStr"/>
      <c r="AA1681" s="5" t="inlineStr"/>
      <c r="AB1681" s="5" t="inlineStr"/>
      <c r="AC1681" s="5" t="inlineStr"/>
      <c r="AD1681" s="5" t="inlineStr"/>
      <c r="AE1681" s="5" t="inlineStr"/>
      <c r="AF1681" s="5" t="inlineStr"/>
      <c r="AG1681" s="5" t="inlineStr"/>
      <c r="AH1681" s="5" t="inlineStr"/>
      <c r="AI1681" s="5" t="inlineStr"/>
      <c r="AJ1681" s="5" t="inlineStr"/>
    </row>
    <row r="1682">
      <c r="A1682" s="5" t="inlineStr">
        <is>
          <t>b7-koy-sehirliler</t>
        </is>
      </c>
      <c r="B1682" s="5" t="n">
        <v>1</v>
      </c>
      <c r="C1682" s="6" t="inlineStr">
        <is>
          <t>Çifte bir koli yumurta götür, tanış</t>
        </is>
      </c>
      <c r="D1682" s="5" t="inlineStr"/>
      <c r="E1682" s="5" t="inlineStr"/>
      <c r="F1682" s="5" t="inlineStr">
        <is>
          <t>İtibar +1, Sosyal Radar +1</t>
        </is>
      </c>
      <c r="G1682" s="6" t="inlineStr">
        <is>
          <t>Yumurtaları götürdün, çay içtiniz. Horozun neden saat beşte öttüğünü sordular. “Beş olduğu için” dedin. İkna oldular; kulak tıkacı da aldılar.</t>
        </is>
      </c>
      <c r="H1682" s="6" t="inlineStr"/>
      <c r="I1682" s="6" t="inlineStr"/>
      <c r="J1682" s="6" t="inlineStr"/>
      <c r="K1682" s="6" t="inlineStr"/>
      <c r="L1682" s="6" t="inlineStr"/>
      <c r="M1682" s="5" t="inlineStr"/>
      <c r="N1682" s="5" t="inlineStr"/>
      <c r="O1682" s="6" t="inlineStr"/>
      <c r="P1682" s="6" t="inlineStr"/>
      <c r="Q1682" s="5" t="inlineStr"/>
      <c r="R1682" s="5" t="inlineStr"/>
      <c r="S1682" s="5" t="inlineStr"/>
      <c r="T1682" s="5" t="inlineStr"/>
      <c r="U1682" s="5" t="inlineStr"/>
      <c r="V1682" s="5" t="inlineStr"/>
      <c r="W1682" s="5" t="inlineStr"/>
      <c r="X1682" s="5" t="inlineStr"/>
      <c r="Y1682" s="5" t="inlineStr"/>
      <c r="Z1682" s="6" t="inlineStr"/>
      <c r="AA1682" s="5" t="inlineStr"/>
      <c r="AB1682" s="5" t="inlineStr"/>
      <c r="AC1682" s="5" t="inlineStr"/>
      <c r="AD1682" s="5" t="inlineStr"/>
      <c r="AE1682" s="5" t="inlineStr"/>
      <c r="AF1682" s="5" t="inlineStr"/>
      <c r="AG1682" s="5" t="inlineStr"/>
      <c r="AH1682" s="5" t="inlineStr"/>
      <c r="AI1682" s="5" t="inlineStr"/>
      <c r="AJ1682" s="5" t="inlineStr"/>
    </row>
    <row r="1683">
      <c r="A1683" s="5" t="inlineStr">
        <is>
          <t>b7-koy-sehirliler</t>
        </is>
      </c>
      <c r="B1683" s="5" t="n">
        <v>2</v>
      </c>
      <c r="C1683" s="6" t="inlineStr">
        <is>
          <t>Horozla şehirlileri uzlaştır</t>
        </is>
      </c>
      <c r="D1683" s="5" t="inlineStr">
        <is>
          <t>Sosyal Radar</t>
        </is>
      </c>
      <c r="E1683" s="5" t="inlineStr">
        <is>
          <t>Orta</t>
        </is>
      </c>
      <c r="F1683" s="5" t="inlineStr"/>
      <c r="G1683" s="6" t="inlineStr"/>
      <c r="H1683" s="6" t="inlineStr">
        <is>
          <t>Kümesi köyün öbür ucuna taşıdın. Şehirliler teşekkür etti; öbür uçtaki Nazmi Dayı etmedi.</t>
        </is>
      </c>
      <c r="I1683" s="6" t="inlineStr">
        <is>
          <t>Şehirliler horozu o kadar sevdi ki ona ad koyup fotoğrafını çerçevelediler. Horoz artık saat altıda ötüyor; saygıdan.</t>
        </is>
      </c>
      <c r="J1683" s="6" t="inlineStr">
        <is>
          <t>Uzlaşma toplantısı yaptın; horoz katılmadı. Şikâyet sürüyor.</t>
        </is>
      </c>
      <c r="K1683" s="6" t="inlineStr">
        <is>
          <t>Toplantının ortasında horoz öttü, çiftin köpeği masaya fırladı. Toplantı bir çay bardağı eksik dağıldı.</t>
        </is>
      </c>
      <c r="L1683" s="6" t="inlineStr"/>
      <c r="M1683" s="5" t="inlineStr"/>
      <c r="N1683" s="5" t="inlineStr"/>
      <c r="O1683" s="6" t="inlineStr"/>
      <c r="P1683" s="6" t="inlineStr"/>
      <c r="Q1683" s="5" t="inlineStr"/>
      <c r="R1683" s="5" t="inlineStr"/>
      <c r="S1683" s="5" t="inlineStr"/>
      <c r="T1683" s="5" t="inlineStr"/>
      <c r="U1683" s="5" t="inlineStr"/>
      <c r="V1683" s="5" t="inlineStr"/>
      <c r="W1683" s="5" t="inlineStr"/>
      <c r="X1683" s="5" t="inlineStr"/>
      <c r="Y1683" s="5" t="inlineStr"/>
      <c r="Z1683" s="6" t="inlineStr"/>
      <c r="AA1683" s="5" t="inlineStr"/>
      <c r="AB1683" s="5" t="inlineStr"/>
      <c r="AC1683" s="5" t="inlineStr"/>
      <c r="AD1683" s="5" t="inlineStr"/>
      <c r="AE1683" s="5" t="inlineStr"/>
      <c r="AF1683" s="5" t="inlineStr"/>
      <c r="AG1683" s="5" t="inlineStr"/>
      <c r="AH1683" s="5" t="inlineStr"/>
      <c r="AI1683" s="5" t="inlineStr"/>
      <c r="AJ1683" s="5" t="inlineStr"/>
    </row>
    <row r="1684">
      <c r="A1684" s="5" t="inlineStr">
        <is>
          <t>b7-koy-sehirliler</t>
        </is>
      </c>
      <c r="B1684" s="5" t="n">
        <v>3</v>
      </c>
      <c r="C1684" s="6" t="inlineStr">
        <is>
          <t>Onlara köy hayatını ücretli tanıt</t>
        </is>
      </c>
      <c r="D1684" s="5" t="inlineStr">
        <is>
          <t>Kurnazlık</t>
        </is>
      </c>
      <c r="E1684" s="5" t="inlineStr">
        <is>
          <t>Orta</t>
        </is>
      </c>
      <c r="F1684" s="5" t="inlineStr"/>
      <c r="G1684" s="6" t="inlineStr"/>
      <c r="H1684" s="6" t="inlineStr">
        <is>
          <t>“Köyde Bir Gün” paketi hazırladın: keçi sağma, tandır ekmeği, horozla tanışma. Şehirliler arkadaşlarını getirdi; pakete kahvaltı eklendi.</t>
        </is>
      </c>
      <c r="I1684" s="6" t="inlineStr">
        <is>
          <t>Paket şehirde duyuldu, hafta sonları köyün girişinde otopark sıkıntısı var. Köy ilk kez bir sorundan memnun.</t>
        </is>
      </c>
      <c r="J1684" s="6" t="inlineStr">
        <is>
          <t>Paketi anlattın; şehirliler “Biz bunu zaten yaşıyoruz” dedi. Haklılar, horoz ücretsiz.</t>
        </is>
      </c>
      <c r="K1684" s="6" t="inlineStr">
        <is>
          <t>Sağma etkinliğinde keçi kova yerine şehirlinin ayakkabısını seçti. Paketin puanı iki yıldız; biri keçiye verilmiş.</t>
        </is>
      </c>
      <c r="L1684" s="6" t="inlineStr"/>
      <c r="M1684" s="5" t="inlineStr"/>
      <c r="N1684" s="5" t="inlineStr"/>
      <c r="O1684" s="6" t="inlineStr"/>
      <c r="P1684" s="6" t="inlineStr"/>
      <c r="Q1684" s="5" t="inlineStr"/>
      <c r="R1684" s="5" t="inlineStr"/>
      <c r="S1684" s="5" t="inlineStr"/>
      <c r="T1684" s="5" t="inlineStr"/>
      <c r="U1684" s="5" t="inlineStr"/>
      <c r="V1684" s="5" t="inlineStr"/>
      <c r="W1684" s="5" t="inlineStr"/>
      <c r="X1684" s="5" t="inlineStr"/>
      <c r="Y1684" s="5" t="inlineStr"/>
      <c r="Z1684" s="6" t="inlineStr"/>
      <c r="AA1684" s="5" t="inlineStr"/>
      <c r="AB1684" s="5" t="inlineStr"/>
      <c r="AC1684" s="5" t="inlineStr"/>
      <c r="AD1684" s="5" t="inlineStr">
        <is>
          <t>Orta</t>
        </is>
      </c>
      <c r="AE1684" s="5" t="inlineStr"/>
      <c r="AF1684" s="5" t="inlineStr"/>
      <c r="AG1684" s="5" t="inlineStr"/>
      <c r="AH1684" s="5" t="inlineStr"/>
      <c r="AI1684" s="5" t="inlineStr"/>
      <c r="AJ1684" s="5" t="inlineStr"/>
    </row>
    <row r="1685">
      <c r="A1685" s="5" t="inlineStr">
        <is>
          <t>b7-koy-sehirliler</t>
        </is>
      </c>
      <c r="B1685" s="5" t="n">
        <v>4</v>
      </c>
      <c r="C1685" s="6" t="inlineStr">
        <is>
          <t>Muhtar olarak ortak bir köy kuralı yaz</t>
        </is>
      </c>
      <c r="D1685" s="5" t="inlineStr">
        <is>
          <t>İtibar</t>
        </is>
      </c>
      <c r="E1685" s="5" t="inlineStr">
        <is>
          <t>Orta</t>
        </is>
      </c>
      <c r="F1685" s="5" t="inlineStr"/>
      <c r="G1685" s="6" t="inlineStr"/>
      <c r="H1685" s="6" t="inlineStr">
        <is>
          <t>Kuralı yazdın: “Horoz beşten önce ötmez, şehirli beşten önce şikâyet etmez.” İki taraf imzaladı; horoz adına sen.</t>
        </is>
      </c>
      <c r="I1685" s="6" t="inlineStr">
        <is>
          <t>Komşu köyün muhtarı kuralın bir kopyasını istedi. Fotokopide “horoz” yazan yere kendi horozunun adını yazdı, altına kendi mührünü bastı.</t>
        </is>
      </c>
      <c r="J1685" s="6" t="inlineStr">
        <is>
          <t>Kuralı astın; ertesi gün şehirliler bir ek madde yazdı, köylüler bir tane daha. Kural şimdi üç sayfa.</t>
        </is>
      </c>
      <c r="K1685" s="6" t="inlineStr">
        <is>
          <t>Mühürlü kuralı kümesin kapısına astın. Horoz kâğıdı yedi. Şehirliler “Kural geçersiz” dedi, köy “Horoz okudu” dedi.</t>
        </is>
      </c>
      <c r="L1685" s="6" t="inlineStr"/>
      <c r="M1685" s="5" t="inlineStr"/>
      <c r="N1685" s="5" t="inlineStr"/>
      <c r="O1685" s="6" t="inlineStr"/>
      <c r="P1685" s="6" t="inlineStr"/>
      <c r="Q1685" s="5" t="inlineStr"/>
      <c r="R1685" s="5" t="inlineStr">
        <is>
          <t>muhtar</t>
        </is>
      </c>
      <c r="S1685" s="5" t="inlineStr"/>
      <c r="T1685" s="5" t="inlineStr"/>
      <c r="U1685" s="5" t="inlineStr"/>
      <c r="V1685" s="5" t="inlineStr"/>
      <c r="W1685" s="5" t="inlineStr"/>
      <c r="X1685" s="5" t="inlineStr"/>
      <c r="Y1685" s="5" t="inlineStr"/>
      <c r="Z1685" s="6" t="inlineStr"/>
      <c r="AA1685" s="5" t="inlineStr"/>
      <c r="AB1685" s="5" t="inlineStr"/>
      <c r="AC1685" s="5" t="inlineStr"/>
      <c r="AD1685" s="5" t="inlineStr"/>
      <c r="AE1685" s="5" t="inlineStr"/>
      <c r="AF1685" s="5" t="inlineStr"/>
      <c r="AG1685" s="5" t="inlineStr"/>
      <c r="AH1685" s="5" t="inlineStr"/>
      <c r="AI1685" s="5" t="inlineStr"/>
      <c r="AJ1685" s="5" t="inlineStr"/>
    </row>
    <row r="1686">
      <c r="A1686" s="5" t="inlineStr">
        <is>
          <t>k10-koy</t>
        </is>
      </c>
      <c r="B1686" s="5" t="n">
        <v>1</v>
      </c>
      <c r="C1686" s="6" t="inlineStr">
        <is>
          <t>Muhtarlığa aday ol</t>
        </is>
      </c>
      <c r="D1686" s="5" t="inlineStr">
        <is>
          <t>İtibar</t>
        </is>
      </c>
      <c r="E1686" s="5" t="inlineStr">
        <is>
          <t>Zor</t>
        </is>
      </c>
      <c r="F1686" s="5" t="inlineStr"/>
      <c r="G1686" s="6" t="inlineStr"/>
      <c r="H1686" s="6" t="inlineStr">
        <is>
          <t>Tek vaadin vardı: “Kahveye ikinci soba.” Dört oyla kazandın. Mühür eline geçince ilk işin kahveyi ısıtmak oldu.</t>
        </is>
      </c>
      <c r="I1686" s="6" t="inlineStr">
        <is>
          <t>Rakibin sana oy verdiğini itiraf etti; kendine vermemiş. Mühür eski muhtardan sana bir poşet cevizle devredildi.</t>
        </is>
      </c>
      <c r="J1686" s="6" t="inlineStr">
        <is>
          <t>Yedi oyla kaybettin. Yeni muhtar ilk iş seni azaya aldı: “Senin çenen lazım.”</t>
        </is>
      </c>
      <c r="K1686" s="6" t="inlineStr">
        <is>
          <t>Seçim konuşmasında köyün adını iki kez yanlış söyledin. Sandıktan üç oy çıktı; ailen dört kişi. Dördüncüyü kimin vermediğini sofrada kimse sormuyor.</t>
        </is>
      </c>
      <c r="L1686" s="6" t="inlineStr"/>
      <c r="M1686" s="5" t="inlineStr"/>
      <c r="N1686" s="5" t="inlineStr"/>
      <c r="O1686" s="6" t="inlineStr"/>
      <c r="P1686" s="6" t="inlineStr"/>
      <c r="Q1686" s="5" t="inlineStr"/>
      <c r="R1686" s="5" t="inlineStr"/>
      <c r="S1686" s="5" t="inlineStr"/>
      <c r="T1686" s="5" t="inlineStr"/>
      <c r="U1686" s="5" t="inlineStr"/>
      <c r="V1686" s="5" t="inlineStr">
        <is>
          <t>muhtar</t>
        </is>
      </c>
      <c r="W1686" s="5" t="inlineStr"/>
      <c r="X1686" s="5" t="inlineStr"/>
      <c r="Y1686" s="5" t="inlineStr"/>
      <c r="Z1686" s="6" t="inlineStr"/>
      <c r="AA1686" s="5" t="inlineStr"/>
      <c r="AB1686" s="5" t="inlineStr"/>
      <c r="AC1686" s="5" t="inlineStr"/>
      <c r="AD1686" s="5" t="inlineStr"/>
      <c r="AE1686" s="5" t="inlineStr"/>
      <c r="AF1686" s="5" t="inlineStr"/>
      <c r="AG1686" s="5" t="inlineStr"/>
      <c r="AH1686" s="5" t="inlineStr"/>
      <c r="AI1686" s="5" t="inlineStr"/>
      <c r="AJ1686" s="5" t="inlineStr"/>
    </row>
    <row r="1687">
      <c r="A1687" s="5" t="inlineStr">
        <is>
          <t>k10-koy</t>
        </is>
      </c>
      <c r="B1687" s="5" t="n">
        <v>2</v>
      </c>
      <c r="C1687" s="6" t="inlineStr">
        <is>
          <t>Kooperatif kur</t>
        </is>
      </c>
      <c r="D1687" s="5" t="inlineStr">
        <is>
          <t>Sosyal Radar</t>
        </is>
      </c>
      <c r="E1687" s="5" t="inlineStr">
        <is>
          <t>Orta</t>
        </is>
      </c>
      <c r="F1687" s="5" t="inlineStr"/>
      <c r="G1687" s="6" t="inlineStr"/>
      <c r="H1687" s="6" t="inlineStr">
        <is>
          <t>Yirmi üç üye, bir süt tankı, bir peynir kazanı. İlk teneke peynir şehre gitti, karşılığı geri döndü. Toplantılar hâlâ uzun ama artık kâr payı da var.</t>
        </is>
      </c>
      <c r="I1687" s="6" t="inlineStr">
        <is>
          <t>Peynirin şehirde ödül aldı. Köyün gençlerinden ikisi şehirden geri döndü; peynir için.</t>
        </is>
      </c>
      <c r="J1687" s="6" t="inlineStr">
        <is>
          <t>Kuruluş toplantısına yirmi üç kişi geldi; imzaya üç kişi kaldı. Biri Nazmi Dayı'ydı, o da gözlüğünü evde unutmuştu. Kooperatifi bir bahara bıraktın.</t>
        </is>
      </c>
      <c r="K1687" s="6" t="inlineStr">
        <is>
          <t>Kuruluş toplantısı iki köyün sınır tartışmasına döndü. Kooperatif kurulmadı; arada yeni bir tabela var: “Burası bizim.”</t>
        </is>
      </c>
      <c r="L1687" s="6" t="inlineStr"/>
      <c r="M1687" s="5" t="inlineStr"/>
      <c r="N1687" s="5" t="inlineStr"/>
      <c r="O1687" s="6" t="inlineStr"/>
      <c r="P1687" s="6" t="inlineStr"/>
      <c r="Q1687" s="5" t="inlineStr"/>
      <c r="R1687" s="5" t="inlineStr"/>
      <c r="S1687" s="5" t="inlineStr"/>
      <c r="T1687" s="5" t="inlineStr"/>
      <c r="U1687" s="5" t="inlineStr"/>
      <c r="V1687" s="5" t="inlineStr">
        <is>
          <t>kooperatif</t>
        </is>
      </c>
      <c r="W1687" s="5" t="inlineStr"/>
      <c r="X1687" s="5" t="inlineStr"/>
      <c r="Y1687" s="5" t="inlineStr"/>
      <c r="Z1687" s="6" t="inlineStr"/>
      <c r="AA1687" s="5" t="inlineStr"/>
      <c r="AB1687" s="5" t="inlineStr"/>
      <c r="AC1687" s="5" t="inlineStr"/>
      <c r="AD1687" s="5" t="inlineStr">
        <is>
          <t>Orta</t>
        </is>
      </c>
      <c r="AE1687" s="5" t="inlineStr"/>
      <c r="AF1687" s="5" t="inlineStr"/>
      <c r="AG1687" s="5" t="inlineStr"/>
      <c r="AH1687" s="5" t="inlineStr"/>
      <c r="AI1687" s="5" t="inlineStr"/>
      <c r="AJ1687" s="5" t="inlineStr"/>
    </row>
    <row r="1688">
      <c r="A1688" s="5" t="inlineStr">
        <is>
          <t>k10-koy</t>
        </is>
      </c>
      <c r="B1688" s="5" t="n">
        <v>3</v>
      </c>
      <c r="C1688" s="6" t="inlineStr">
        <is>
          <t>Köy fenomeni ol</t>
        </is>
      </c>
      <c r="D1688" s="5" t="inlineStr">
        <is>
          <t>Pişkinlik</t>
        </is>
      </c>
      <c r="E1688" s="5" t="inlineStr">
        <is>
          <t>Zor</t>
        </is>
      </c>
      <c r="F1688" s="5" t="inlineStr"/>
      <c r="G1688" s="6" t="inlineStr"/>
      <c r="H1688" s="6" t="inlineStr">
        <is>
          <t>Keçilerle sabah videoları çektin. Keçilerin takipçisi on binleri geçti; birine reklam teklifi geldi. Pazarlığı sen yapıyorsun.</t>
        </is>
      </c>
      <c r="I1688" s="6" t="inlineStr">
        <is>
          <t>Bir videon ülke çapında yayıldı: keçi, sen ve bir traktör. Şehirden turist geliyor; kahve fiyat listesi bastırdı.</t>
        </is>
      </c>
      <c r="J1688" s="6" t="inlineStr">
        <is>
          <t>Videolar çektin, izleyenler köydekilerdi. Kahvede birbirlerine gösteriyorlar; beğeni yerine el sallıyorlar.</t>
        </is>
      </c>
      <c r="K1688" s="6" t="inlineStr">
        <is>
          <t>Canlı yayında keçi telefonu yedi. Yayın dört dakika keçinin içinden sürdü. En çok izlenen videon bu; telefonun yok.</t>
        </is>
      </c>
      <c r="L1688" s="6" t="inlineStr"/>
      <c r="M1688" s="5" t="inlineStr"/>
      <c r="N1688" s="5" t="inlineStr"/>
      <c r="O1688" s="6" t="inlineStr"/>
      <c r="P1688" s="6" t="inlineStr"/>
      <c r="Q1688" s="5" t="inlineStr"/>
      <c r="R1688" s="5" t="inlineStr"/>
      <c r="S1688" s="5" t="inlineStr"/>
      <c r="T1688" s="5" t="inlineStr"/>
      <c r="U1688" s="5" t="inlineStr"/>
      <c r="V1688" s="5" t="inlineStr">
        <is>
          <t>koy-fenomeni</t>
        </is>
      </c>
      <c r="W1688" s="5" t="inlineStr"/>
      <c r="X1688" s="5" t="inlineStr"/>
      <c r="Y1688" s="5" t="inlineStr"/>
      <c r="Z1688" s="6" t="inlineStr"/>
      <c r="AA1688" s="5" t="inlineStr"/>
      <c r="AB1688" s="5" t="inlineStr"/>
      <c r="AC1688" s="5" t="inlineStr"/>
      <c r="AD1688" s="5" t="inlineStr">
        <is>
          <t>Orta</t>
        </is>
      </c>
      <c r="AE1688" s="5" t="inlineStr"/>
      <c r="AF1688" s="5" t="inlineStr"/>
      <c r="AG1688" s="5" t="inlineStr"/>
      <c r="AH1688" s="5" t="inlineStr"/>
      <c r="AI1688" s="5" t="inlineStr"/>
      <c r="AJ1688" s="5" t="inlineStr"/>
    </row>
    <row r="1689">
      <c r="A1689" s="5" t="inlineStr">
        <is>
          <t>k10-koy</t>
        </is>
      </c>
      <c r="B1689" s="5" t="n">
        <v>4</v>
      </c>
      <c r="C1689" s="6" t="inlineStr">
        <is>
          <t>Şehre geri dön</t>
        </is>
      </c>
      <c r="D1689" s="5" t="inlineStr">
        <is>
          <t>Kurnazlık</t>
        </is>
      </c>
      <c r="E1689" s="5" t="inlineStr">
        <is>
          <t>Orta</t>
        </is>
      </c>
      <c r="F1689" s="5" t="inlineStr"/>
      <c r="G1689" s="6" t="inlineStr"/>
      <c r="H1689" s="6" t="inlineStr">
        <is>
          <t>Traktörü komşuya, keçileri akrabaya bıraktın. Şehirde bir dükkân kiraladın; tezgâhta köyden gelen peynir satıyorsun. Köyde adın hâlâ “döndü, gidecek.”</t>
        </is>
      </c>
      <c r="I1689" s="6" t="inlineStr">
        <is>
          <t>Şehirdeki dükkânın ilk haftasında kuyruk oldu; köyün peyniri şehirde “yöresel” diye iki kat fiyatla satılıyor.</t>
        </is>
      </c>
      <c r="J1689" s="6" t="inlineStr">
        <is>
          <t>Şehirde dükkân baktın; kiralar köydeki tarlanın yıllık gelirinden fazlaydı. Köye döndün; keçiler seni hiç özlememiş gibi yaptı.</t>
        </is>
      </c>
      <c r="K1689" s="6" t="inlineStr">
        <is>
          <t>Dükkânı tuttun, açılış günü köyden gelen peynir yolda ekşidi. Kepengi kapattın, köye döndün; kahvede kimse bir şey sormadı, herkes biliyordu.</t>
        </is>
      </c>
      <c r="L1689" s="6" t="inlineStr"/>
      <c r="M1689" s="5" t="inlineStr"/>
      <c r="N1689" s="5" t="inlineStr"/>
      <c r="O1689" s="6" t="inlineStr"/>
      <c r="P1689" s="6" t="inlineStr"/>
      <c r="Q1689" s="5" t="inlineStr"/>
      <c r="R1689" s="5" t="inlineStr"/>
      <c r="S1689" s="5" t="inlineStr"/>
      <c r="T1689" s="5" t="inlineStr"/>
      <c r="U1689" s="5" t="inlineStr"/>
      <c r="V1689" s="5" t="inlineStr">
        <is>
          <t>-hat-cete, -hat-dolandirici, -hat-girisimci, -hat-goc, -hat-hekim, -hat-koy, -hat-polis, -hat-politika, -hat-sohret, -hat-usta, -hat-yargi, -meslek-beyazyaka, -meslek-memur, -meslek-serbest, meslek-esnaf</t>
        </is>
      </c>
      <c r="W1689" s="5" t="inlineStr"/>
      <c r="X1689" s="5" t="inlineStr"/>
      <c r="Y1689" s="5" t="inlineStr"/>
      <c r="Z1689" s="6" t="inlineStr"/>
      <c r="AA1689" s="5" t="inlineStr"/>
      <c r="AB1689" s="5" t="inlineStr"/>
      <c r="AC1689" s="5" t="inlineStr"/>
      <c r="AD1689" s="5" t="inlineStr"/>
      <c r="AE1689" s="5" t="inlineStr"/>
      <c r="AF1689" s="5" t="inlineStr"/>
      <c r="AG1689" s="5" t="inlineStr"/>
      <c r="AH1689" s="5" t="inlineStr"/>
      <c r="AI1689" s="5" t="inlineStr"/>
      <c r="AJ1689" s="5" t="inlineStr"/>
    </row>
    <row r="1690">
      <c r="A1690" s="5" t="inlineStr">
        <is>
          <t>b8-koy-muhtarlik-secimi</t>
        </is>
      </c>
      <c r="B1690" s="5" t="n">
        <v>1</v>
      </c>
      <c r="C1690" s="6" t="inlineStr">
        <is>
          <t>Adaylıktan çekil, kuzenini destekle</t>
        </is>
      </c>
      <c r="D1690" s="5" t="inlineStr"/>
      <c r="E1690" s="5" t="inlineStr"/>
      <c r="F1690" s="5" t="inlineStr">
        <is>
          <t>İtibar +1, Sosyal Radar +1</t>
        </is>
      </c>
      <c r="G1690" s="6" t="inlineStr">
        <is>
          <t>Çekildin; kuzen kazandı, ilk icraatı hoparlörden sana teşekkür oldu. Köyde herkes muhtarın sen olduğunu sanıyor; mühür sadece onda.</t>
        </is>
      </c>
      <c r="H1690" s="6" t="inlineStr"/>
      <c r="I1690" s="6" t="inlineStr"/>
      <c r="J1690" s="6" t="inlineStr"/>
      <c r="K1690" s="6" t="inlineStr"/>
      <c r="L1690" s="6" t="inlineStr"/>
      <c r="M1690" s="5" t="inlineStr"/>
      <c r="N1690" s="5" t="inlineStr"/>
      <c r="O1690" s="6" t="inlineStr"/>
      <c r="P1690" s="6" t="inlineStr"/>
      <c r="Q1690" s="5" t="inlineStr"/>
      <c r="R1690" s="5" t="inlineStr"/>
      <c r="S1690" s="5" t="inlineStr"/>
      <c r="T1690" s="5" t="inlineStr"/>
      <c r="U1690" s="5" t="inlineStr"/>
      <c r="V1690" s="5" t="inlineStr"/>
      <c r="W1690" s="5" t="inlineStr"/>
      <c r="X1690" s="5" t="inlineStr"/>
      <c r="Y1690" s="5" t="inlineStr"/>
      <c r="Z1690" s="6" t="inlineStr"/>
      <c r="AA1690" s="5" t="inlineStr"/>
      <c r="AB1690" s="5" t="inlineStr"/>
      <c r="AC1690" s="5" t="inlineStr"/>
      <c r="AD1690" s="5" t="inlineStr"/>
      <c r="AE1690" s="5" t="inlineStr"/>
      <c r="AF1690" s="5" t="inlineStr"/>
      <c r="AG1690" s="5" t="inlineStr"/>
      <c r="AH1690" s="5" t="inlineStr"/>
      <c r="AI1690" s="5" t="inlineStr"/>
      <c r="AJ1690" s="5" t="inlineStr"/>
    </row>
    <row r="1691">
      <c r="A1691" s="5" t="inlineStr">
        <is>
          <t>b8-koy-muhtarlik-secimi</t>
        </is>
      </c>
      <c r="B1691" s="5" t="n">
        <v>2</v>
      </c>
      <c r="C1691" s="6" t="inlineStr">
        <is>
          <t>Kapı kapı dolaş, her evde çay iç</t>
        </is>
      </c>
      <c r="D1691" s="5" t="inlineStr">
        <is>
          <t>Sosyal Radar</t>
        </is>
      </c>
      <c r="E1691" s="5" t="inlineStr">
        <is>
          <t>Zor</t>
        </is>
      </c>
      <c r="F1691" s="5" t="inlineStr"/>
      <c r="G1691" s="6" t="inlineStr"/>
      <c r="H1691" s="6" t="inlineStr">
        <is>
          <t>Kırk iki ev, kırk iki çay, dokuz oy farkı. Mühür geldi; o gece uyuyamadın, çaydan.</t>
        </is>
      </c>
      <c r="I1691" s="6" t="inlineStr">
        <is>
          <t>Rakibin evine de gittin; sana çay ikram etti, sonra da oyunu. Sonuçlar okununca kahvedeki iki masa birleşti.</t>
        </is>
      </c>
      <c r="J1691" s="6" t="inlineStr">
        <is>
          <t>Her evde çay içtin, her evde söz aldın. Sandıktaki sözler çaylardan azdı. Kuzen kazandı; sana sandalye ayırdı.</t>
        </is>
      </c>
      <c r="K1691" s="6" t="inlineStr">
        <is>
          <t>Kuzeninin evine yanlışlıkla iki kez gittin. İkincisinde teyzen seni kapıda karşıladı. Oy vermedi; çay da vermedi.</t>
        </is>
      </c>
      <c r="L1691" s="6" t="inlineStr"/>
      <c r="M1691" s="5" t="inlineStr"/>
      <c r="N1691" s="5" t="inlineStr"/>
      <c r="O1691" s="6" t="inlineStr"/>
      <c r="P1691" s="6" t="inlineStr"/>
      <c r="Q1691" s="5" t="inlineStr"/>
      <c r="R1691" s="5" t="inlineStr"/>
      <c r="S1691" s="5" t="inlineStr"/>
      <c r="T1691" s="5" t="inlineStr">
        <is>
          <t>Odayı Okur</t>
        </is>
      </c>
      <c r="U1691" s="5" t="inlineStr"/>
      <c r="V1691" s="5" t="inlineStr">
        <is>
          <t>muhtar</t>
        </is>
      </c>
      <c r="W1691" s="5" t="inlineStr"/>
      <c r="X1691" s="5" t="inlineStr"/>
      <c r="Y1691" s="5" t="inlineStr"/>
      <c r="Z1691" s="6" t="inlineStr"/>
      <c r="AA1691" s="5" t="inlineStr"/>
      <c r="AB1691" s="5" t="inlineStr"/>
      <c r="AC1691" s="5" t="inlineStr"/>
      <c r="AD1691" s="5" t="inlineStr"/>
      <c r="AE1691" s="5" t="inlineStr"/>
      <c r="AF1691" s="5" t="inlineStr"/>
      <c r="AG1691" s="5" t="inlineStr"/>
      <c r="AH1691" s="5" t="inlineStr"/>
      <c r="AI1691" s="5" t="inlineStr"/>
      <c r="AJ1691" s="5" t="inlineStr"/>
    </row>
    <row r="1692">
      <c r="A1692" s="5" t="inlineStr">
        <is>
          <t>b8-koy-muhtarlik-secimi</t>
        </is>
      </c>
      <c r="B1692" s="5" t="n">
        <v>3</v>
      </c>
      <c r="C1692" s="6" t="inlineStr">
        <is>
          <t>Kahvede herkesin önünde vaatlerini anlat</t>
        </is>
      </c>
      <c r="D1692" s="5" t="inlineStr">
        <is>
          <t>İtibar</t>
        </is>
      </c>
      <c r="E1692" s="5" t="inlineStr">
        <is>
          <t>Orta</t>
        </is>
      </c>
      <c r="F1692" s="5" t="inlineStr"/>
      <c r="G1692" s="6" t="inlineStr"/>
      <c r="H1692" s="6" t="inlineStr">
        <is>
          <t>Yol, su, ikinci soba. Alkışı en çok soba aldı. Sandık açıldı, üç oyla kazandın; mühür sende, soba hâlâ sırada.</t>
        </is>
      </c>
      <c r="I1692" s="6" t="inlineStr">
        <is>
          <t>Konuşmanın sonunda rakibin, yani kuzenin, ayağa kalktı: “Ben de ona veriyorum.” Teyzen arkadan seslendi: “Ben vermiyorum!” Yine de kazandın.</t>
        </is>
      </c>
      <c r="J1692" s="6" t="inlineStr">
        <is>
          <t>Konuşurken elektrik kesildi. İkinci yarıyı karanlıkta anlattın; oylar da karanlıkta kaldı. Kuzen kazandı.</t>
        </is>
      </c>
      <c r="K1692" s="6" t="inlineStr">
        <is>
          <t>Vaatlerini okurken kâğıdı çevirdin; arkasında kuzeninin vaatleri yazılıymış. Kahve güldü. Sandık da.</t>
        </is>
      </c>
      <c r="L1692" s="6" t="inlineStr"/>
      <c r="M1692" s="5" t="inlineStr"/>
      <c r="N1692" s="5" t="inlineStr"/>
      <c r="O1692" s="6" t="inlineStr"/>
      <c r="P1692" s="6" t="inlineStr"/>
      <c r="Q1692" s="5" t="inlineStr"/>
      <c r="R1692" s="5" t="inlineStr"/>
      <c r="S1692" s="5" t="inlineStr"/>
      <c r="T1692" s="5" t="inlineStr"/>
      <c r="U1692" s="5" t="inlineStr"/>
      <c r="V1692" s="5" t="inlineStr">
        <is>
          <t>muhtar</t>
        </is>
      </c>
      <c r="W1692" s="5" t="inlineStr"/>
      <c r="X1692" s="5" t="inlineStr"/>
      <c r="Y1692" s="5" t="inlineStr"/>
      <c r="Z1692" s="6" t="inlineStr"/>
      <c r="AA1692" s="5" t="inlineStr"/>
      <c r="AB1692" s="5" t="inlineStr"/>
      <c r="AC1692" s="5" t="inlineStr"/>
      <c r="AD1692" s="5" t="inlineStr"/>
      <c r="AE1692" s="5" t="inlineStr"/>
      <c r="AF1692" s="5" t="inlineStr"/>
      <c r="AG1692" s="5" t="inlineStr"/>
      <c r="AH1692" s="5" t="inlineStr"/>
      <c r="AI1692" s="5" t="inlineStr"/>
      <c r="AJ1692" s="5" t="inlineStr"/>
    </row>
    <row r="1693">
      <c r="A1693" s="5" t="inlineStr">
        <is>
          <t>b8-koy-unlu-koylu</t>
        </is>
      </c>
      <c r="B1693" s="5" t="n">
        <v>1</v>
      </c>
      <c r="C1693" s="6" t="inlineStr">
        <is>
          <t>Köylüleri öne çıkar, kendin arkada dur</t>
        </is>
      </c>
      <c r="D1693" s="5" t="inlineStr"/>
      <c r="E1693" s="5" t="inlineStr"/>
      <c r="F1693" s="5" t="inlineStr">
        <is>
          <t>İtibar +1, Sosyal Radar +1</t>
        </is>
      </c>
      <c r="G1693" s="6" t="inlineStr">
        <is>
          <t>Kamerayı Fatma Nine'nin tandırına çevirdin. Belgesel yayınlanınca köy nineyi izledi; nine de kendini, ekmek pişirirken yorum yaparak.</t>
        </is>
      </c>
      <c r="H1693" s="6" t="inlineStr"/>
      <c r="I1693" s="6" t="inlineStr"/>
      <c r="J1693" s="6" t="inlineStr"/>
      <c r="K1693" s="6" t="inlineStr"/>
      <c r="L1693" s="6" t="inlineStr"/>
      <c r="M1693" s="5" t="inlineStr"/>
      <c r="N1693" s="5" t="inlineStr"/>
      <c r="O1693" s="6" t="inlineStr"/>
      <c r="P1693" s="6" t="inlineStr"/>
      <c r="Q1693" s="5" t="inlineStr"/>
      <c r="R1693" s="5" t="inlineStr"/>
      <c r="S1693" s="5" t="inlineStr"/>
      <c r="T1693" s="5" t="inlineStr"/>
      <c r="U1693" s="5" t="inlineStr"/>
      <c r="V1693" s="5" t="inlineStr"/>
      <c r="W1693" s="5" t="inlineStr"/>
      <c r="X1693" s="5" t="inlineStr"/>
      <c r="Y1693" s="5" t="inlineStr"/>
      <c r="Z1693" s="6" t="inlineStr"/>
      <c r="AA1693" s="5" t="inlineStr"/>
      <c r="AB1693" s="5" t="inlineStr"/>
      <c r="AC1693" s="5" t="inlineStr"/>
      <c r="AD1693" s="5" t="inlineStr"/>
      <c r="AE1693" s="5" t="inlineStr"/>
      <c r="AF1693" s="5" t="inlineStr"/>
      <c r="AG1693" s="5" t="inlineStr"/>
      <c r="AH1693" s="5" t="inlineStr"/>
      <c r="AI1693" s="5" t="inlineStr"/>
      <c r="AJ1693" s="5" t="inlineStr"/>
    </row>
    <row r="1694">
      <c r="A1694" s="5" t="inlineStr">
        <is>
          <t>b8-koy-unlu-koylu</t>
        </is>
      </c>
      <c r="B1694" s="5" t="n">
        <v>2</v>
      </c>
      <c r="C1694" s="6" t="inlineStr">
        <is>
          <t>Kameraya köyü sen anlat</t>
        </is>
      </c>
      <c r="D1694" s="5" t="inlineStr">
        <is>
          <t>Pişkinlik</t>
        </is>
      </c>
      <c r="E1694" s="5" t="inlineStr">
        <is>
          <t>Orta</t>
        </is>
      </c>
      <c r="F1694" s="5" t="inlineStr"/>
      <c r="G1694" s="6" t="inlineStr"/>
      <c r="H1694" s="6" t="inlineStr">
        <is>
          <t>Kuyuyu, çınarı, kahvedeki iki masayı anlattın. Belgesel yayınlandı; pazarda “Belgeselde konuşan bu mu?” diye seni soruyorlar, domatesi de.</t>
        </is>
      </c>
      <c r="I1694" s="6" t="inlineStr">
        <is>
          <t>Yönetmen seni sunucu yaptı. Belgesel ikinci sezon aldı: “Kaybolan Tatlar: Köy Kahvesi.” Kahveci ücret istiyor.</t>
        </is>
      </c>
      <c r="J1694" s="6" t="inlineStr">
        <is>
          <t>Anlattın ama kurguda sadece keçiler kaldı. Afişte sen yoksun, lider keçi var.</t>
        </is>
      </c>
      <c r="K1694" s="6" t="inlineStr">
        <is>
          <t>“Burada yağmur yağmaz” derken sağanak başladı. Belgeselin fragmanı o an.</t>
        </is>
      </c>
      <c r="L1694" s="6" t="inlineStr"/>
      <c r="M1694" s="5" t="inlineStr"/>
      <c r="N1694" s="5" t="inlineStr"/>
      <c r="O1694" s="6" t="inlineStr"/>
      <c r="P1694" s="6" t="inlineStr"/>
      <c r="Q1694" s="5" t="inlineStr"/>
      <c r="R1694" s="5" t="inlineStr"/>
      <c r="S1694" s="5" t="inlineStr"/>
      <c r="T1694" s="5" t="inlineStr"/>
      <c r="U1694" s="5" t="inlineStr"/>
      <c r="V1694" s="5" t="inlineStr">
        <is>
          <t>unlu-koylu</t>
        </is>
      </c>
      <c r="W1694" s="5" t="inlineStr"/>
      <c r="X1694" s="5" t="inlineStr"/>
      <c r="Y1694" s="5" t="inlineStr"/>
      <c r="Z1694" s="6" t="inlineStr"/>
      <c r="AA1694" s="5" t="inlineStr"/>
      <c r="AB1694" s="5" t="inlineStr"/>
      <c r="AC1694" s="5" t="inlineStr"/>
      <c r="AD1694" s="5" t="inlineStr"/>
      <c r="AE1694" s="5" t="inlineStr"/>
      <c r="AF1694" s="5" t="inlineStr"/>
      <c r="AG1694" s="5" t="inlineStr"/>
      <c r="AH1694" s="5" t="inlineStr"/>
      <c r="AI1694" s="5" t="inlineStr"/>
      <c r="AJ1694" s="5" t="inlineStr"/>
    </row>
    <row r="1695">
      <c r="A1695" s="5" t="inlineStr">
        <is>
          <t>b8-koy-unlu-koylu</t>
        </is>
      </c>
      <c r="B1695" s="5" t="n">
        <v>3</v>
      </c>
      <c r="C1695" s="6" t="inlineStr">
        <is>
          <t>Kooperatifin peynirini kadraja sok</t>
        </is>
      </c>
      <c r="D1695" s="5" t="inlineStr">
        <is>
          <t>Kurnazlık</t>
        </is>
      </c>
      <c r="E1695" s="5" t="inlineStr">
        <is>
          <t>Orta</t>
        </is>
      </c>
      <c r="F1695" s="5" t="inlineStr"/>
      <c r="G1695" s="6" t="inlineStr"/>
      <c r="H1695" s="6" t="inlineStr">
        <is>
          <t>Peynir her sahnede bir köşede durdu. Belgeselden sonra siparişler yağdı; tank yetmedi, ikincisi alındı.</t>
        </is>
      </c>
      <c r="I1695" s="6" t="inlineStr">
        <is>
          <t>Peynir belgeselin gizli yıldızı oldu. Şehirde bir lokanta menüsüne köyün adını yazdı; ilk kez doğru yazılmış.</t>
        </is>
      </c>
      <c r="J1695" s="6" t="inlineStr">
        <is>
          <t>Kurgucu peyniri çıkardı: “Reklam olmaz.” Peynir belgeselde yok, ekibin sofrasında var.</t>
        </is>
      </c>
      <c r="K1695" s="6" t="inlineStr">
        <is>
          <t>Peynir sıcakta eridi, masadan akıp kameranın ayağına ulaştı. Belgeselin adı değişti: “Kaybolan Peynir.”</t>
        </is>
      </c>
      <c r="L1695" s="6" t="inlineStr"/>
      <c r="M1695" s="5" t="inlineStr"/>
      <c r="N1695" s="5" t="inlineStr"/>
      <c r="O1695" s="6" t="inlineStr"/>
      <c r="P1695" s="6" t="inlineStr"/>
      <c r="Q1695" s="5" t="inlineStr"/>
      <c r="R1695" s="5" t="inlineStr">
        <is>
          <t>kooperatif</t>
        </is>
      </c>
      <c r="S1695" s="5" t="inlineStr"/>
      <c r="T1695" s="5" t="inlineStr"/>
      <c r="U1695" s="5" t="inlineStr"/>
      <c r="V1695" s="5" t="inlineStr"/>
      <c r="W1695" s="5" t="inlineStr"/>
      <c r="X1695" s="5" t="inlineStr"/>
      <c r="Y1695" s="5" t="inlineStr"/>
      <c r="Z1695" s="6" t="inlineStr"/>
      <c r="AA1695" s="5" t="inlineStr"/>
      <c r="AB1695" s="5" t="inlineStr"/>
      <c r="AC1695" s="5" t="inlineStr"/>
      <c r="AD1695" s="5" t="inlineStr">
        <is>
          <t>Rahat</t>
        </is>
      </c>
      <c r="AE1695" s="5" t="inlineStr"/>
      <c r="AF1695" s="5" t="inlineStr"/>
      <c r="AG1695" s="5" t="inlineStr"/>
      <c r="AH1695" s="5" t="inlineStr"/>
      <c r="AI1695" s="5" t="inlineStr"/>
      <c r="AJ1695" s="5" t="inlineStr"/>
    </row>
    <row r="1696">
      <c r="A1696" s="5" t="inlineStr">
        <is>
          <t>b8-koy-unlu-koylu</t>
        </is>
      </c>
      <c r="B1696" s="5" t="n">
        <v>4</v>
      </c>
      <c r="C1696" s="6" t="inlineStr">
        <is>
          <t>Yönetmeni kahveye götür, tavla oynat</t>
        </is>
      </c>
      <c r="D1696" s="5" t="inlineStr">
        <is>
          <t>Sosyal Radar</t>
        </is>
      </c>
      <c r="E1696" s="5" t="inlineStr">
        <is>
          <t>Zor</t>
        </is>
      </c>
      <c r="F1696" s="5" t="inlineStr"/>
      <c r="G1696" s="6" t="inlineStr"/>
      <c r="H1696" s="6" t="inlineStr">
        <is>
          <t>Yönetmen üç el kaybetti, dördüncüde senaryoyu değiştirdi: belgesel artık kahvede geçiyor. Her karede zar atan sensin.</t>
        </is>
      </c>
      <c r="I1696" s="6" t="inlineStr">
        <is>
          <t>Yönetmen köye vuruldu, yazlık için arsa sordu. Çekimler bir yıl sürdü; bir bölümün anlatıcısı sensin.</t>
        </is>
      </c>
      <c r="J1696" s="6" t="inlineStr">
        <is>
          <t>Yönetmen tavlayı bilmiyordu; iki saat kuralları anlattın. Işık kaçtı, çekim ertelendi.</t>
        </is>
      </c>
      <c r="K1696" s="6" t="inlineStr">
        <is>
          <t>Yönetmen tavlayı ilk kez oynuyordu; seni kahvenin önünde mars etti. Belgeselin açılış sahnesi bu. Kahvede artık sana adınla seslenen yok.</t>
        </is>
      </c>
      <c r="L1696" s="6" t="inlineStr"/>
      <c r="M1696" s="5" t="inlineStr"/>
      <c r="N1696" s="5" t="inlineStr"/>
      <c r="O1696" s="6" t="inlineStr"/>
      <c r="P1696" s="6" t="inlineStr"/>
      <c r="Q1696" s="5" t="inlineStr"/>
      <c r="R1696" s="5" t="inlineStr"/>
      <c r="S1696" s="5" t="inlineStr"/>
      <c r="T1696" s="5" t="inlineStr">
        <is>
          <t>Tavla Kurdu</t>
        </is>
      </c>
      <c r="U1696" s="5" t="inlineStr"/>
      <c r="V1696" s="5" t="inlineStr">
        <is>
          <t>unlu-koylu</t>
        </is>
      </c>
      <c r="W1696" s="5" t="inlineStr"/>
      <c r="X1696" s="5" t="inlineStr"/>
      <c r="Y1696" s="5" t="inlineStr"/>
      <c r="Z1696" s="6" t="inlineStr"/>
      <c r="AA1696" s="5" t="inlineStr"/>
      <c r="AB1696" s="5" t="inlineStr"/>
      <c r="AC1696" s="5" t="inlineStr"/>
      <c r="AD1696" s="5" t="inlineStr"/>
      <c r="AE1696" s="5" t="inlineStr"/>
      <c r="AF1696" s="5" t="inlineStr"/>
      <c r="AG1696" s="5" t="inlineStr"/>
      <c r="AH1696" s="5" t="inlineStr"/>
      <c r="AI1696" s="5" t="inlineStr">
        <is>
          <t>Mars</t>
        </is>
      </c>
      <c r="AJ1696" s="5" t="inlineStr"/>
    </row>
    <row r="1697">
      <c r="A1697" s="5" t="inlineStr">
        <is>
          <t>b9-koy-cinarin-alti</t>
        </is>
      </c>
      <c r="B1697" s="5" t="n">
        <v>1</v>
      </c>
      <c r="C1697" s="6" t="inlineStr">
        <is>
          <t>Genci dinle, kararı ona bırak</t>
        </is>
      </c>
      <c r="D1697" s="5" t="inlineStr"/>
      <c r="E1697" s="5" t="inlineStr"/>
      <c r="F1697" s="5" t="inlineStr">
        <is>
          <t>İtibar +1, Sosyal Radar +1</t>
        </is>
      </c>
      <c r="G1697" s="6" t="inlineStr">
        <is>
          <t>Bir saat dinledin, bir cümle söyledin: “Sen bilirsin.” Genç şehre gitti, beş yıl sonra döndü; ilk iş senin sandalyenin yanına bir sandalye daha koydu.</t>
        </is>
      </c>
      <c r="H1697" s="6" t="inlineStr"/>
      <c r="I1697" s="6" t="inlineStr"/>
      <c r="J1697" s="6" t="inlineStr"/>
      <c r="K1697" s="6" t="inlineStr"/>
      <c r="L1697" s="6" t="inlineStr"/>
      <c r="M1697" s="5" t="inlineStr"/>
      <c r="N1697" s="5" t="inlineStr"/>
      <c r="O1697" s="6" t="inlineStr"/>
      <c r="P1697" s="6" t="inlineStr"/>
      <c r="Q1697" s="5" t="inlineStr"/>
      <c r="R1697" s="5" t="inlineStr"/>
      <c r="S1697" s="5" t="inlineStr"/>
      <c r="T1697" s="5" t="inlineStr"/>
      <c r="U1697" s="5" t="inlineStr"/>
      <c r="V1697" s="5" t="inlineStr"/>
      <c r="W1697" s="5" t="inlineStr"/>
      <c r="X1697" s="5" t="inlineStr"/>
      <c r="Y1697" s="5" t="inlineStr"/>
      <c r="Z1697" s="6" t="inlineStr"/>
      <c r="AA1697" s="5" t="inlineStr"/>
      <c r="AB1697" s="5" t="inlineStr"/>
      <c r="AC1697" s="5" t="inlineStr"/>
      <c r="AD1697" s="5" t="inlineStr"/>
      <c r="AE1697" s="5" t="inlineStr"/>
      <c r="AF1697" s="5" t="inlineStr"/>
      <c r="AG1697" s="5" t="inlineStr"/>
      <c r="AH1697" s="5" t="inlineStr"/>
      <c r="AI1697" s="5" t="inlineStr"/>
      <c r="AJ1697" s="5" t="inlineStr"/>
    </row>
    <row r="1698">
      <c r="A1698" s="5" t="inlineStr">
        <is>
          <t>b9-koy-cinarin-alti</t>
        </is>
      </c>
      <c r="B1698" s="5" t="n">
        <v>2</v>
      </c>
      <c r="C1698" s="6" t="inlineStr">
        <is>
          <t>Köyün hikâyesini yaz, gençlere bırak</t>
        </is>
      </c>
      <c r="D1698" s="5" t="inlineStr">
        <is>
          <t>Akıl</t>
        </is>
      </c>
      <c r="E1698" s="5" t="inlineStr">
        <is>
          <t>Orta</t>
        </is>
      </c>
      <c r="F1698" s="5" t="inlineStr"/>
      <c r="G1698" s="6" t="inlineStr"/>
      <c r="H1698" s="6" t="inlineStr">
        <is>
          <t>Kış boyu yazdın: kuyu, kooperatif, keçilerin bütün adları. Defter köy okulunun rafına kondu; en çok keçi kısmı okunuyor.</t>
        </is>
      </c>
      <c r="I1698" s="6" t="inlineStr">
        <is>
          <t>Defterin kitap oldu. İl kütüphanesinde bir rafın var; yanında dedenin traktörünün fotoğrafı.</t>
        </is>
      </c>
      <c r="J1698" s="6" t="inlineStr">
        <is>
          <t>Yazdın, ama her hikâyenin sonundan başka bir hikâye çıktı. Defter bitmedi, kış bitti.</t>
        </is>
      </c>
      <c r="K1698" s="6" t="inlineStr">
        <is>
          <t>Defteri çınarın altında unuttun, keçiler buldu. Köyün tarihi şimdi keçilerin içinde; yine de köyde.</t>
        </is>
      </c>
      <c r="L1698" s="6" t="inlineStr"/>
      <c r="M1698" s="5" t="inlineStr"/>
      <c r="N1698" s="5" t="inlineStr"/>
      <c r="O1698" s="6" t="inlineStr"/>
      <c r="P1698" s="6" t="inlineStr"/>
      <c r="Q1698" s="5" t="inlineStr"/>
      <c r="R1698" s="5" t="inlineStr"/>
      <c r="S1698" s="5" t="inlineStr"/>
      <c r="T1698" s="5" t="inlineStr"/>
      <c r="U1698" s="5" t="inlineStr"/>
      <c r="V1698" s="5" t="inlineStr">
        <is>
          <t>koy-hafizasi</t>
        </is>
      </c>
      <c r="W1698" s="5" t="inlineStr"/>
      <c r="X1698" s="5" t="inlineStr"/>
      <c r="Y1698" s="5" t="inlineStr"/>
      <c r="Z1698" s="6" t="inlineStr"/>
      <c r="AA1698" s="5" t="inlineStr"/>
      <c r="AB1698" s="5" t="inlineStr"/>
      <c r="AC1698" s="5" t="inlineStr"/>
      <c r="AD1698" s="5" t="inlineStr"/>
      <c r="AE1698" s="5" t="inlineStr"/>
      <c r="AF1698" s="5" t="inlineStr"/>
      <c r="AG1698" s="5" t="inlineStr"/>
      <c r="AH1698" s="5" t="inlineStr"/>
      <c r="AI1698" s="5" t="inlineStr"/>
      <c r="AJ1698" s="5" t="inlineStr"/>
    </row>
    <row r="1699">
      <c r="A1699" s="5" t="inlineStr">
        <is>
          <t>b9-koy-cinarin-alti</t>
        </is>
      </c>
      <c r="B1699" s="5" t="n">
        <v>3</v>
      </c>
      <c r="C1699" s="6" t="inlineStr">
        <is>
          <t>Kahvede gençlere tavla turnuvası düzenle</t>
        </is>
      </c>
      <c r="D1699" s="5" t="inlineStr">
        <is>
          <t>Sosyal Radar</t>
        </is>
      </c>
      <c r="E1699" s="5" t="inlineStr">
        <is>
          <t>Orta</t>
        </is>
      </c>
      <c r="F1699" s="5" t="inlineStr"/>
      <c r="G1699" s="6" t="inlineStr"/>
      <c r="H1699" s="6" t="inlineStr">
        <is>
          <t>Turnuvaya on bir genç geldi, ikisi şehirden. Final gece yarısı bitti. Kazanan köyde kalmaya karar verdi; kaybeden de, rövanş için.</t>
        </is>
      </c>
      <c r="I1699" s="6" t="inlineStr">
        <is>
          <t>Turnuva her yaz yapılıyor; şehirdeki köylüler iznini turnuvaya göre alıyor. Kahvenin önü bayram yeri.</t>
        </is>
      </c>
      <c r="J1699" s="6" t="inlineStr">
        <is>
          <t>Gençler gelmedi, emekliler geldi. Final seninle Nazmi Dayı arasındaydı; kaybettin.</t>
        </is>
      </c>
      <c r="K1699" s="6" t="inlineStr">
        <is>
          <t>Finalde zarlar kayboldu. Herkes keçilere baktı. Zarlar senin ceketinin cebinden çıktı; köyde kırk yıldır sana kimse bu gözle bakmamıştı.</t>
        </is>
      </c>
      <c r="L1699" s="6" t="inlineStr"/>
      <c r="M1699" s="5" t="inlineStr"/>
      <c r="N1699" s="5" t="inlineStr"/>
      <c r="O1699" s="6" t="inlineStr"/>
      <c r="P1699" s="6" t="inlineStr"/>
      <c r="Q1699" s="5" t="inlineStr"/>
      <c r="R1699" s="5" t="inlineStr"/>
      <c r="S1699" s="5" t="inlineStr"/>
      <c r="T1699" s="5" t="inlineStr"/>
      <c r="U1699" s="5" t="inlineStr"/>
      <c r="V1699" s="5" t="inlineStr"/>
      <c r="W1699" s="5" t="inlineStr"/>
      <c r="X1699" s="5" t="inlineStr"/>
      <c r="Y1699" s="5" t="inlineStr"/>
      <c r="Z1699" s="6" t="inlineStr"/>
      <c r="AA1699" s="5" t="inlineStr"/>
      <c r="AB1699" s="5" t="inlineStr"/>
      <c r="AC1699" s="5" t="inlineStr"/>
      <c r="AD1699" s="5" t="inlineStr"/>
      <c r="AE1699" s="5" t="inlineStr"/>
      <c r="AF1699" s="5" t="inlineStr"/>
      <c r="AG1699" s="5" t="inlineStr"/>
      <c r="AH1699" s="5" t="inlineStr"/>
      <c r="AI1699" s="5" t="inlineStr"/>
      <c r="AJ1699" s="5" t="inlineStr"/>
    </row>
    <row r="1700">
      <c r="A1700" s="5" t="inlineStr">
        <is>
          <t>b7-usta-ilk-cirak</t>
        </is>
      </c>
      <c r="B1700" s="5" t="n">
        <v>1</v>
      </c>
      <c r="C1700" s="6" t="inlineStr">
        <is>
          <t>İlk hafta sadece süpürt, çay demlet</t>
        </is>
      </c>
      <c r="D1700" s="5" t="inlineStr"/>
      <c r="E1700" s="5" t="inlineStr"/>
      <c r="F1700" s="5" t="inlineStr">
        <is>
          <t>Dayanıklılık +1, İtibar +1</t>
        </is>
      </c>
      <c r="G1700" s="6" t="inlineStr">
        <is>
          <t>Bir hafta süpürdü, çay demledi. Çayı berbattı ama süpürmesi iyiydi. Ustalığın yarısı yere bakmaktır; çırak şimdilik yere bakıyor, telefona da.</t>
        </is>
      </c>
      <c r="H1700" s="6" t="inlineStr"/>
      <c r="I1700" s="6" t="inlineStr"/>
      <c r="J1700" s="6" t="inlineStr"/>
      <c r="K1700" s="6" t="inlineStr"/>
      <c r="L1700" s="6" t="inlineStr"/>
      <c r="M1700" s="5" t="inlineStr"/>
      <c r="N1700" s="5" t="inlineStr"/>
      <c r="O1700" s="6" t="inlineStr"/>
      <c r="P1700" s="6" t="inlineStr"/>
      <c r="Q1700" s="5" t="inlineStr"/>
      <c r="R1700" s="5" t="inlineStr"/>
      <c r="S1700" s="5" t="inlineStr"/>
      <c r="T1700" s="5" t="inlineStr"/>
      <c r="U1700" s="5" t="inlineStr"/>
      <c r="V1700" s="5" t="inlineStr"/>
      <c r="W1700" s="5" t="inlineStr"/>
      <c r="X1700" s="5" t="inlineStr"/>
      <c r="Y1700" s="5" t="inlineStr"/>
      <c r="Z1700" s="6" t="inlineStr"/>
      <c r="AA1700" s="5" t="inlineStr"/>
      <c r="AB1700" s="5" t="inlineStr"/>
      <c r="AC1700" s="5" t="inlineStr"/>
      <c r="AD1700" s="5" t="inlineStr"/>
      <c r="AE1700" s="5" t="inlineStr"/>
      <c r="AF1700" s="5" t="inlineStr"/>
      <c r="AG1700" s="5" t="inlineStr"/>
      <c r="AH1700" s="5" t="inlineStr"/>
      <c r="AI1700" s="5" t="inlineStr"/>
      <c r="AJ1700" s="5" t="inlineStr"/>
    </row>
    <row r="1701">
      <c r="A1701" s="5" t="inlineStr">
        <is>
          <t>b7-usta-ilk-cirak</t>
        </is>
      </c>
      <c r="B1701" s="5" t="n">
        <v>2</v>
      </c>
      <c r="C1701" s="6" t="inlineStr">
        <is>
          <t>Ona sesle arıza bulmayı öğret</t>
        </is>
      </c>
      <c r="D1701" s="5" t="inlineStr">
        <is>
          <t>Akıl</t>
        </is>
      </c>
      <c r="E1701" s="5" t="inlineStr">
        <is>
          <t>Orta</t>
        </is>
      </c>
      <c r="F1701" s="5" t="inlineStr"/>
      <c r="G1701" s="6" t="inlineStr"/>
      <c r="H1701" s="6" t="inlineStr">
        <is>
          <t>Kaputu açtın, dinledin, “Duydun mu?” dedin. Üçüncü gün duydu. Artık telefonuyla değil, kulağıyla geliyor.</t>
        </is>
      </c>
      <c r="I1701" s="6" t="inlineStr">
        <is>
          <t>Bir hafta sonra sen yokken bir arızayı sesinden buldu. Müşteri aradı: “Çırağın usta olmuş.” Biraz kıskandın.</t>
        </is>
      </c>
      <c r="J1701" s="6" t="inlineStr">
        <is>
          <t>Sesi dinledi, “Bu bir şarkıya benziyor” dedi. Arızayı bulamadı ama şarkıyı buldu.</t>
        </is>
      </c>
      <c r="K1701" s="6" t="inlineStr">
        <is>
          <t>Motoru dinlesin diye kaputu açtın. O, sesi kaydedip üstüne müzik koydu ve paylaştı. Video tuttu; yorumlar “Bu ses rot balansı” diyor. Müşteri videoyu görünce arabasını karşı dükkâna götürdü.</t>
        </is>
      </c>
      <c r="L1701" s="6" t="inlineStr"/>
      <c r="M1701" s="5" t="inlineStr"/>
      <c r="N1701" s="5" t="inlineStr"/>
      <c r="O1701" s="6" t="inlineStr"/>
      <c r="P1701" s="6" t="inlineStr"/>
      <c r="Q1701" s="5" t="inlineStr"/>
      <c r="R1701" s="5" t="inlineStr"/>
      <c r="S1701" s="5" t="inlineStr"/>
      <c r="T1701" s="5" t="inlineStr"/>
      <c r="U1701" s="5" t="inlineStr"/>
      <c r="V1701" s="5" t="inlineStr">
        <is>
          <t>usta-ciragi-var</t>
        </is>
      </c>
      <c r="W1701" s="5" t="inlineStr"/>
      <c r="X1701" s="5" t="inlineStr"/>
      <c r="Y1701" s="5" t="inlineStr"/>
      <c r="Z1701" s="6" t="inlineStr"/>
      <c r="AA1701" s="5" t="inlineStr"/>
      <c r="AB1701" s="5" t="inlineStr"/>
      <c r="AC1701" s="5" t="inlineStr"/>
      <c r="AD1701" s="5" t="inlineStr"/>
      <c r="AE1701" s="5" t="inlineStr"/>
      <c r="AF1701" s="5" t="inlineStr"/>
      <c r="AG1701" s="5" t="inlineStr"/>
      <c r="AH1701" s="5" t="inlineStr"/>
      <c r="AI1701" s="5" t="inlineStr"/>
      <c r="AJ1701" s="5" t="inlineStr"/>
    </row>
    <row r="1702">
      <c r="A1702" s="5" t="inlineStr">
        <is>
          <t>b7-usta-ilk-cirak</t>
        </is>
      </c>
      <c r="B1702" s="5" t="n">
        <v>3</v>
      </c>
      <c r="C1702" s="6" t="inlineStr">
        <is>
          <t>Videolarını dükkânın reklamına çevir</t>
        </is>
      </c>
      <c r="D1702" s="5" t="inlineStr">
        <is>
          <t>Kurnazlık</t>
        </is>
      </c>
      <c r="E1702" s="5" t="inlineStr">
        <is>
          <t>Zor</t>
        </is>
      </c>
      <c r="F1702" s="5" t="inlineStr"/>
      <c r="G1702" s="6" t="inlineStr"/>
      <c r="H1702" s="6" t="inlineStr">
        <is>
          <t>Çırak tamir videoları çekti, sen anlattın. Sanayiye gençler gelmeye başladı; kimi arabasıyla, kimi sadece izlemeye.</t>
        </is>
      </c>
      <c r="I1702" s="6" t="inlineStr">
        <is>
          <t>Videon yayıldı: “Sesinden arıza bulan usta.” Kapında arabasız bir kuyruk var; sesleri telefonla getiriyorlar.</t>
        </is>
      </c>
      <c r="J1702" s="6" t="inlineStr">
        <is>
          <t>Video çektiniz; izleyenler arızayı değil, arkadaki takvimi sordu. Takvim dört yıl eski.</t>
        </is>
      </c>
      <c r="K1702" s="6" t="inlineStr">
        <is>
          <t>Videoda yanlış parçayı yanlış yere taktın; yorumlara sanayinin yarısı yazdı: “Usta, o parça orada durmaz.” Çırak videoyu silmedi; telefonunun kilit ekranı yaptı.</t>
        </is>
      </c>
      <c r="L1702" s="6" t="inlineStr"/>
      <c r="M1702" s="5" t="inlineStr"/>
      <c r="N1702" s="5" t="inlineStr"/>
      <c r="O1702" s="6" t="inlineStr"/>
      <c r="P1702" s="6" t="inlineStr"/>
      <c r="Q1702" s="5" t="inlineStr"/>
      <c r="R1702" s="5" t="inlineStr"/>
      <c r="S1702" s="5" t="inlineStr"/>
      <c r="T1702" s="5" t="inlineStr">
        <is>
          <t>Kendine Gülebilir</t>
        </is>
      </c>
      <c r="U1702" s="5" t="inlineStr"/>
      <c r="V1702" s="5" t="inlineStr">
        <is>
          <t>usta-ciragi-var</t>
        </is>
      </c>
      <c r="W1702" s="5" t="inlineStr"/>
      <c r="X1702" s="5" t="inlineStr"/>
      <c r="Y1702" s="5" t="inlineStr"/>
      <c r="Z1702" s="6" t="inlineStr"/>
      <c r="AA1702" s="5" t="inlineStr"/>
      <c r="AB1702" s="5" t="inlineStr"/>
      <c r="AC1702" s="5" t="inlineStr"/>
      <c r="AD1702" s="5" t="inlineStr"/>
      <c r="AE1702" s="5" t="inlineStr"/>
      <c r="AF1702" s="5" t="inlineStr"/>
      <c r="AG1702" s="5" t="inlineStr"/>
      <c r="AH1702" s="5" t="inlineStr"/>
      <c r="AI1702" s="5" t="inlineStr"/>
      <c r="AJ1702" s="5" t="inlineStr"/>
    </row>
    <row r="1703">
      <c r="A1703" s="5" t="inlineStr">
        <is>
          <t>b7-usta-karsi-dukkan</t>
        </is>
      </c>
      <c r="B1703" s="5" t="n">
        <v>1</v>
      </c>
      <c r="C1703" s="6" t="inlineStr">
        <is>
          <t>Ortak çalışın: cihaz ondan, el senden</t>
        </is>
      </c>
      <c r="D1703" s="5" t="inlineStr"/>
      <c r="E1703" s="5" t="inlineStr"/>
      <c r="F1703" s="5" t="inlineStr">
        <is>
          <t>Sosyal Radar +1, Akıl +1</t>
        </is>
      </c>
      <c r="G1703" s="6" t="inlineStr">
        <is>
          <t>Anlaştınız: arızayı cihaz söylüyor, sen düzeltiyorsun. Cihaz yanıldığında da sen söylüyorsun. Cihaz sık yanılıyor; ortaklık uzun sürecek.</t>
        </is>
      </c>
      <c r="H1703" s="6" t="inlineStr"/>
      <c r="I1703" s="6" t="inlineStr"/>
      <c r="J1703" s="6" t="inlineStr"/>
      <c r="K1703" s="6" t="inlineStr"/>
      <c r="L1703" s="6" t="inlineStr"/>
      <c r="M1703" s="5" t="inlineStr"/>
      <c r="N1703" s="5" t="inlineStr"/>
      <c r="O1703" s="6" t="inlineStr"/>
      <c r="P1703" s="6" t="inlineStr"/>
      <c r="Q1703" s="5" t="inlineStr"/>
      <c r="R1703" s="5" t="inlineStr"/>
      <c r="S1703" s="5" t="inlineStr"/>
      <c r="T1703" s="5" t="inlineStr"/>
      <c r="U1703" s="5" t="inlineStr"/>
      <c r="V1703" s="5" t="inlineStr"/>
      <c r="W1703" s="5" t="inlineStr"/>
      <c r="X1703" s="5" t="inlineStr"/>
      <c r="Y1703" s="5" t="inlineStr"/>
      <c r="Z1703" s="6" t="inlineStr"/>
      <c r="AA1703" s="5" t="inlineStr"/>
      <c r="AB1703" s="5" t="inlineStr"/>
      <c r="AC1703" s="5" t="inlineStr"/>
      <c r="AD1703" s="5" t="inlineStr"/>
      <c r="AE1703" s="5" t="inlineStr"/>
      <c r="AF1703" s="5" t="inlineStr"/>
      <c r="AG1703" s="5" t="inlineStr"/>
      <c r="AH1703" s="5" t="inlineStr"/>
      <c r="AI1703" s="5" t="inlineStr"/>
      <c r="AJ1703" s="5" t="inlineStr"/>
    </row>
    <row r="1704">
      <c r="A1704" s="5" t="inlineStr">
        <is>
          <t>b7-usta-karsi-dukkan</t>
        </is>
      </c>
      <c r="B1704" s="5" t="n">
        <v>2</v>
      </c>
      <c r="C1704" s="6" t="inlineStr">
        <is>
          <t>Cihazla yarış: sesle daha hızlı bul</t>
        </is>
      </c>
      <c r="D1704" s="5" t="inlineStr">
        <is>
          <t>Akıl</t>
        </is>
      </c>
      <c r="E1704" s="5" t="inlineStr">
        <is>
          <t>Zor</t>
        </is>
      </c>
      <c r="F1704" s="5" t="inlineStr"/>
      <c r="G1704" s="6" t="inlineStr"/>
      <c r="H1704" s="6" t="inlineStr">
        <is>
          <t>Müşterinin önünde yarıştınız. Cihaz açılırken sen arızayı söyledin. Cihaz yüklendiğinde aynı şeyi söyledi; geç.</t>
        </is>
      </c>
      <c r="I1704" s="6" t="inlineStr">
        <is>
          <t>Üç araba, üç arıza, üç galibiyet. Karşının ustası cihazı sana sattı; artık cihaz da senin, kulak da.</t>
        </is>
      </c>
      <c r="J1704" s="6" t="inlineStr">
        <is>
          <t>Cihaz bir arıza buldu, sen başka bir arıza. İkisi de doğruymuş. Müşteri ikisini de ödemek istemedi.</t>
        </is>
      </c>
      <c r="K1704" s="6" t="inlineStr">
        <is>
          <t>Sesle teşhis koydun, cihaz başka dedi. Cihaz haklıydı. Sanayide bu yarış hâlâ anlatılıyor; adın geçmiyor ama herkes biliyor.</t>
        </is>
      </c>
      <c r="L1704" s="6" t="inlineStr">
        <is>
          <t>Cihazla aynı anda söylediniz. Müşteri kime ödeyeceğini bilemedi; ikinize de çay ısmarladı.</t>
        </is>
      </c>
      <c r="M1704" s="5" t="inlineStr">
        <is>
          <t>hidden</t>
        </is>
      </c>
      <c r="N1704" s="5" t="inlineStr">
        <is>
          <t>Arıza Avı</t>
        </is>
      </c>
      <c r="O1704" s="6" t="inlineStr">
        <is>
          <t>Motorun içinde arızanın kaynağını (🔧) bul.</t>
        </is>
      </c>
      <c r="P1704" s="6" t="inlineStr">
        <is>
          <t>{"target": "🔧", "decoys": ["⚙️", "🔩", "🔌", "🔋", "💡"]}</t>
        </is>
      </c>
      <c r="Q1704" s="5" t="inlineStr"/>
      <c r="R1704" s="5" t="inlineStr"/>
      <c r="S1704" s="5" t="inlineStr"/>
      <c r="T1704" s="5" t="inlineStr">
        <is>
          <t>Ukala Ama Haklı</t>
        </is>
      </c>
      <c r="U1704" s="5" t="inlineStr"/>
      <c r="V1704" s="5" t="inlineStr"/>
      <c r="W1704" s="5" t="inlineStr"/>
      <c r="X1704" s="5" t="inlineStr"/>
      <c r="Y1704" s="5" t="inlineStr"/>
      <c r="Z1704" s="6" t="inlineStr"/>
      <c r="AA1704" s="5" t="inlineStr"/>
      <c r="AB1704" s="5" t="inlineStr"/>
      <c r="AC1704" s="5" t="inlineStr"/>
      <c r="AD1704" s="5" t="inlineStr"/>
      <c r="AE1704" s="5" t="inlineStr"/>
      <c r="AF1704" s="5" t="inlineStr"/>
      <c r="AG1704" s="5" t="inlineStr"/>
      <c r="AH1704" s="5" t="inlineStr"/>
      <c r="AI1704" s="5" t="inlineStr"/>
      <c r="AJ1704" s="5" t="inlineStr"/>
    </row>
    <row r="1705">
      <c r="A1705" s="5" t="inlineStr">
        <is>
          <t>b7-usta-karsi-dukkan</t>
        </is>
      </c>
      <c r="B1705" s="5" t="n">
        <v>3</v>
      </c>
      <c r="C1705" s="6" t="inlineStr">
        <is>
          <t>Kışla arkadaşlarının taksilerini sana yönlendir</t>
        </is>
      </c>
      <c r="D1705" s="5" t="inlineStr">
        <is>
          <t>Çene</t>
        </is>
      </c>
      <c r="E1705" s="5" t="inlineStr">
        <is>
          <t>Orta</t>
        </is>
      </c>
      <c r="F1705" s="5" t="inlineStr"/>
      <c r="G1705" s="6" t="inlineStr"/>
      <c r="H1705" s="6" t="inlineStr">
        <is>
          <t>Üç kışla arkadaşın taksici olmuş; bütün durağı sana getirdiler. Karşıdaki cihaz boşta dönüyor.</t>
        </is>
      </c>
      <c r="I1705" s="6" t="inlineStr">
        <is>
          <t>Taksiciler dükkânını durağa çevirdi; çay senden, sohbet onlardan. Karşının ustası da çaya geliyor.</t>
        </is>
      </c>
      <c r="J1705" s="6" t="inlineStr">
        <is>
          <t>Arkadaşların geldi ama arabaları yeni; arıza yok. Üç gün üst üste çay içip gittiler.</t>
        </is>
      </c>
      <c r="K1705" s="6" t="inlineStr">
        <is>
          <t>Taksileri getirdiler; sen heyecandan üçüncü taksiye birincinin parçasını taktın. Taksi duraktan çıkar çıkmaz durdu. Kışla arkadaşın camı indirdi: “Komutan bile bize bunu yapmamıştı.”</t>
        </is>
      </c>
      <c r="L1705" s="6" t="inlineStr"/>
      <c r="M1705" s="5" t="inlineStr"/>
      <c r="N1705" s="5" t="inlineStr"/>
      <c r="O1705" s="6" t="inlineStr"/>
      <c r="P1705" s="6" t="inlineStr"/>
      <c r="Q1705" s="5" t="inlineStr"/>
      <c r="R1705" s="5" t="inlineStr">
        <is>
          <t>kisla-kankasi</t>
        </is>
      </c>
      <c r="S1705" s="5" t="inlineStr"/>
      <c r="T1705" s="5" t="inlineStr"/>
      <c r="U1705" s="5" t="inlineStr"/>
      <c r="V1705" s="5" t="inlineStr"/>
      <c r="W1705" s="5" t="inlineStr"/>
      <c r="X1705" s="5" t="inlineStr"/>
      <c r="Y1705" s="5" t="inlineStr"/>
      <c r="Z1705" s="6" t="inlineStr"/>
      <c r="AA1705" s="5" t="inlineStr"/>
      <c r="AB1705" s="5" t="inlineStr"/>
      <c r="AC1705" s="5" t="inlineStr"/>
      <c r="AD1705" s="5" t="inlineStr"/>
      <c r="AE1705" s="5" t="inlineStr"/>
      <c r="AF1705" s="5" t="inlineStr"/>
      <c r="AG1705" s="5" t="inlineStr"/>
      <c r="AH1705" s="5" t="inlineStr"/>
      <c r="AI1705" s="5" t="inlineStr"/>
      <c r="AJ1705" s="5" t="inlineStr"/>
    </row>
    <row r="1706">
      <c r="A1706" s="5" t="inlineStr">
        <is>
          <t>b7-usta-karsi-dukkan</t>
        </is>
      </c>
      <c r="B1706" s="5" t="n">
        <v>4</v>
      </c>
      <c r="C1706" s="6" t="inlineStr">
        <is>
          <t>İşçiliği indir, müşteriyi geri çek</t>
        </is>
      </c>
      <c r="D1706" s="5" t="inlineStr">
        <is>
          <t>Kurnazlık</t>
        </is>
      </c>
      <c r="E1706" s="5" t="inlineStr">
        <is>
          <t>Orta</t>
        </is>
      </c>
      <c r="F1706" s="5" t="inlineStr"/>
      <c r="G1706" s="6" t="inlineStr"/>
      <c r="H1706" s="6" t="inlineStr">
        <is>
          <t>İşçiliği biraz indirdin, çayı ücretsiz yaptın. Müşteriler döndü; çayı sevdiler, işçilik zaten iyiydi.</t>
        </is>
      </c>
      <c r="I1706" s="6" t="inlineStr">
        <is>
          <t>İndirim pankartın sanayide moda oldu. Karşı dükkân da astı; seninkinden kopyalamış, yazım hatasıyla.</t>
        </is>
      </c>
      <c r="J1706" s="6" t="inlineStr">
        <is>
          <t>Fiyatları kırdın, karşı da kırdı. Ay sonunda iki dükkân da kalabalıktı; ikisi de zarardaydı.</t>
        </is>
      </c>
      <c r="K1706" s="6" t="inlineStr">
        <is>
          <t>Fiyatı öyle kırdın ki karşının ustası da arabasını sana getirdi. Tamir ettin, zarar ettin, teşekkür aldın.</t>
        </is>
      </c>
      <c r="L1706" s="6" t="inlineStr"/>
      <c r="M1706" s="5" t="inlineStr"/>
      <c r="N1706" s="5" t="inlineStr"/>
      <c r="O1706" s="6" t="inlineStr"/>
      <c r="P1706" s="6" t="inlineStr"/>
      <c r="Q1706" s="5" t="inlineStr"/>
      <c r="R1706" s="5" t="inlineStr"/>
      <c r="S1706" s="5" t="inlineStr"/>
      <c r="T1706" s="5" t="inlineStr"/>
      <c r="U1706" s="5" t="inlineStr"/>
      <c r="V1706" s="5" t="inlineStr"/>
      <c r="W1706" s="5" t="inlineStr"/>
      <c r="X1706" s="5" t="inlineStr"/>
      <c r="Y1706" s="5" t="inlineStr"/>
      <c r="Z1706" s="6" t="inlineStr"/>
      <c r="AA1706" s="5" t="inlineStr"/>
      <c r="AB1706" s="5" t="inlineStr"/>
      <c r="AC1706" s="5" t="inlineStr"/>
      <c r="AD1706" s="5" t="inlineStr"/>
      <c r="AE1706" s="5" t="inlineStr"/>
      <c r="AF1706" s="5" t="inlineStr"/>
      <c r="AG1706" s="5" t="inlineStr"/>
      <c r="AH1706" s="5" t="inlineStr"/>
      <c r="AI1706" s="5" t="inlineStr"/>
      <c r="AJ1706" s="5" t="inlineStr"/>
    </row>
    <row r="1707">
      <c r="A1707" s="5" t="inlineStr">
        <is>
          <t>b7-usta-sanayi-hakemi</t>
        </is>
      </c>
      <c r="B1707" s="5" t="n">
        <v>1</v>
      </c>
      <c r="C1707" s="6" t="inlineStr">
        <is>
          <t>Park yerini sırayla kullanmalarını söyle</t>
        </is>
      </c>
      <c r="D1707" s="5" t="inlineStr"/>
      <c r="E1707" s="5" t="inlineStr"/>
      <c r="F1707" s="5" t="inlineStr">
        <is>
          <t>İtibar +1, Akıl +1</t>
        </is>
      </c>
      <c r="G1707" s="6" t="inlineStr">
        <is>
          <t>Tek günler kaportacı, çift günler boyacı. İkisi de kabul etti. Ayın otuz birinde yeniden küstüler.</t>
        </is>
      </c>
      <c r="H1707" s="6" t="inlineStr"/>
      <c r="I1707" s="6" t="inlineStr"/>
      <c r="J1707" s="6" t="inlineStr"/>
      <c r="K1707" s="6" t="inlineStr"/>
      <c r="L1707" s="6" t="inlineStr"/>
      <c r="M1707" s="5" t="inlineStr"/>
      <c r="N1707" s="5" t="inlineStr"/>
      <c r="O1707" s="6" t="inlineStr"/>
      <c r="P1707" s="6" t="inlineStr"/>
      <c r="Q1707" s="5" t="inlineStr"/>
      <c r="R1707" s="5" t="inlineStr"/>
      <c r="S1707" s="5" t="inlineStr"/>
      <c r="T1707" s="5" t="inlineStr"/>
      <c r="U1707" s="5" t="inlineStr"/>
      <c r="V1707" s="5" t="inlineStr"/>
      <c r="W1707" s="5" t="inlineStr"/>
      <c r="X1707" s="5" t="inlineStr"/>
      <c r="Y1707" s="5" t="inlineStr"/>
      <c r="Z1707" s="6" t="inlineStr"/>
      <c r="AA1707" s="5" t="inlineStr"/>
      <c r="AB1707" s="5" t="inlineStr"/>
      <c r="AC1707" s="5" t="inlineStr"/>
      <c r="AD1707" s="5" t="inlineStr"/>
      <c r="AE1707" s="5" t="inlineStr"/>
      <c r="AF1707" s="5" t="inlineStr"/>
      <c r="AG1707" s="5" t="inlineStr"/>
      <c r="AH1707" s="5" t="inlineStr"/>
      <c r="AI1707" s="5" t="inlineStr"/>
      <c r="AJ1707" s="5" t="inlineStr"/>
    </row>
    <row r="1708">
      <c r="A1708" s="5" t="inlineStr">
        <is>
          <t>b7-usta-sanayi-hakemi</t>
        </is>
      </c>
      <c r="B1708" s="5" t="n">
        <v>2</v>
      </c>
      <c r="C1708" s="6" t="inlineStr">
        <is>
          <t>İkisini çay ocağında konuştur</t>
        </is>
      </c>
      <c r="D1708" s="5" t="inlineStr">
        <is>
          <t>Sosyal Radar</t>
        </is>
      </c>
      <c r="E1708" s="5" t="inlineStr">
        <is>
          <t>Orta</t>
        </is>
      </c>
      <c r="F1708" s="5" t="inlineStr"/>
      <c r="G1708" s="6" t="inlineStr"/>
      <c r="H1708" s="6" t="inlineStr">
        <is>
          <t>Üç çay, iki şeker, bir sessizlik. Sonra biri öbürünün boyasını övdü. Park kavgası “kim daha iyi boyar” kavgasına döndü; o daha keyifli.</t>
        </is>
      </c>
      <c r="I1708" s="6" t="inlineStr">
        <is>
          <t>Barıştılar, ortak dükkân açtılar: “Kaporta ve Boya.” Tabelanın rengine hâlâ karar veremediler; sana soracaklar.</t>
        </is>
      </c>
      <c r="J1708" s="6" t="inlineStr">
        <is>
          <t>Çay ocağında konuştular; sesleri ocaktan taştı, bütün sanayi dinledi. Sorun çözülmedi, yayıldı.</t>
        </is>
      </c>
      <c r="K1708" s="6" t="inlineStr">
        <is>
          <t>İkisini barıştırdın; sonra ikisi birlikte sana döndü: “Bu meseleyi sen büyüttün.” Şimdi ikisi dost, sen küssün; park yerine de senin araban sığmıyor.</t>
        </is>
      </c>
      <c r="L1708" s="6" t="inlineStr"/>
      <c r="M1708" s="5" t="inlineStr"/>
      <c r="N1708" s="5" t="inlineStr"/>
      <c r="O1708" s="6" t="inlineStr"/>
      <c r="P1708" s="6" t="inlineStr"/>
      <c r="Q1708" s="5" t="inlineStr"/>
      <c r="R1708" s="5" t="inlineStr"/>
      <c r="S1708" s="5" t="inlineStr"/>
      <c r="T1708" s="5" t="inlineStr"/>
      <c r="U1708" s="5" t="inlineStr"/>
      <c r="V1708" s="5" t="inlineStr">
        <is>
          <t>sanayi-hakemi</t>
        </is>
      </c>
      <c r="W1708" s="5" t="inlineStr"/>
      <c r="X1708" s="5" t="inlineStr"/>
      <c r="Y1708" s="5" t="inlineStr"/>
      <c r="Z1708" s="6" t="inlineStr"/>
      <c r="AA1708" s="5" t="inlineStr"/>
      <c r="AB1708" s="5" t="inlineStr"/>
      <c r="AC1708" s="5" t="inlineStr"/>
      <c r="AD1708" s="5" t="inlineStr"/>
      <c r="AE1708" s="5" t="inlineStr"/>
      <c r="AF1708" s="5" t="inlineStr"/>
      <c r="AG1708" s="5" t="inlineStr"/>
      <c r="AH1708" s="5" t="inlineStr"/>
      <c r="AI1708" s="5" t="inlineStr"/>
      <c r="AJ1708" s="5" t="inlineStr"/>
    </row>
    <row r="1709">
      <c r="A1709" s="5" t="inlineStr">
        <is>
          <t>b7-usta-sanayi-hakemi</t>
        </is>
      </c>
      <c r="B1709" s="5" t="n">
        <v>3</v>
      </c>
      <c r="C1709" s="6" t="inlineStr">
        <is>
          <t>Park yerine ikinci kat yap, kendi elinle</t>
        </is>
      </c>
      <c r="D1709" s="5" t="inlineStr">
        <is>
          <t>Dayanıklılık</t>
        </is>
      </c>
      <c r="E1709" s="5" t="inlineStr">
        <is>
          <t>Zor</t>
        </is>
      </c>
      <c r="F1709" s="5" t="inlineStr"/>
      <c r="G1709" s="6" t="inlineStr"/>
      <c r="H1709" s="6" t="inlineStr">
        <is>
          <t>Hafta sonu demir kaynak, pazartesi sabahı iki katlı park yeri. Site yönetimi ne diyeceğini bilemedi; o yüzden onayladı.</t>
        </is>
      </c>
      <c r="I1709" s="6" t="inlineStr">
        <is>
          <t>Rampa öyle iyi çıktı ki bütün sanayi ikinci kat istedi. Toplantılarda adın “mühendis” diye geçiyor; diploma soran yok.</t>
        </is>
      </c>
      <c r="J1709" s="6" t="inlineStr">
        <is>
          <t>İskeleti kurdun ama rampa yetmedi. Park yerinin üstünde şimdi bir çardak var; iki usta orada çay içiyor.</t>
        </is>
      </c>
      <c r="K1709" s="6" t="inlineStr">
        <is>
          <t>Rampa ilk arabada biraz eğildi, sonra durdu. Araba havada kaldı, neyse ki boştu. Sanayide yeni bir anıt var.</t>
        </is>
      </c>
      <c r="L1709" s="6" t="inlineStr"/>
      <c r="M1709" s="5" t="inlineStr"/>
      <c r="N1709" s="5" t="inlineStr"/>
      <c r="O1709" s="6" t="inlineStr"/>
      <c r="P1709" s="6" t="inlineStr"/>
      <c r="Q1709" s="5" t="inlineStr"/>
      <c r="R1709" s="5" t="inlineStr"/>
      <c r="S1709" s="5" t="inlineStr"/>
      <c r="T1709" s="5" t="inlineStr">
        <is>
          <t>Gözüne Uyku Girmez</t>
        </is>
      </c>
      <c r="U1709" s="5" t="inlineStr"/>
      <c r="V1709" s="5" t="inlineStr">
        <is>
          <t>sanayi-hakemi</t>
        </is>
      </c>
      <c r="W1709" s="5" t="inlineStr"/>
      <c r="X1709" s="5" t="inlineStr"/>
      <c r="Y1709" s="5" t="inlineStr"/>
      <c r="Z1709" s="6" t="inlineStr"/>
      <c r="AA1709" s="5" t="inlineStr"/>
      <c r="AB1709" s="5" t="inlineStr"/>
      <c r="AC1709" s="5" t="inlineStr"/>
      <c r="AD1709" s="5" t="inlineStr"/>
      <c r="AE1709" s="5" t="inlineStr"/>
      <c r="AF1709" s="5" t="inlineStr"/>
      <c r="AG1709" s="5" t="inlineStr"/>
      <c r="AH1709" s="5" t="inlineStr"/>
      <c r="AI1709" s="5" t="inlineStr"/>
      <c r="AJ1709" s="5" t="inlineStr"/>
    </row>
    <row r="1710">
      <c r="A1710" s="5" t="inlineStr">
        <is>
          <t>k10-usta</t>
        </is>
      </c>
      <c r="B1710" s="5" t="n">
        <v>1</v>
      </c>
      <c r="C1710" s="6" t="inlineStr">
        <is>
          <t>Yeni siteye taşın, büyü</t>
        </is>
      </c>
      <c r="D1710" s="5" t="inlineStr">
        <is>
          <t>Dayanıklılık</t>
        </is>
      </c>
      <c r="E1710" s="5" t="inlineStr">
        <is>
          <t>Orta</t>
        </is>
      </c>
      <c r="F1710" s="5" t="inlineStr"/>
      <c r="G1710" s="6" t="inlineStr"/>
      <c r="H1710" s="6" t="inlineStr">
        <is>
          <t>İki katlı dükkân, üç lift, iki kalfa. Eski müşterilerin gerçekten geldi; adresi sorarak.</t>
        </is>
      </c>
      <c r="I1710" s="6" t="inlineStr">
        <is>
          <t>İlk ay sitenin en kalabalık dükkânı oldun. Yönetim girişe tabela astı: “Sesinden bulan usta burada.”</t>
        </is>
      </c>
      <c r="J1710" s="6" t="inlineStr">
        <is>
          <t>Taşındın ama müşteriler eski sanayiye gitmeye devam etti; orası artık otopark. Sitenin en küçük dükkânını aldın; yine senin.</t>
        </is>
      </c>
      <c r="K1710" s="6" t="inlineStr">
        <is>
          <t>Taşınırken takımların yarısı başka bir dükkâna gitti. O dükkânın ustası senin takımlarla çalışıyor; iyi de çalışıyor.</t>
        </is>
      </c>
      <c r="L1710" s="6" t="inlineStr"/>
      <c r="M1710" s="5" t="inlineStr"/>
      <c r="N1710" s="5" t="inlineStr"/>
      <c r="O1710" s="6" t="inlineStr"/>
      <c r="P1710" s="6" t="inlineStr"/>
      <c r="Q1710" s="5" t="inlineStr"/>
      <c r="R1710" s="5" t="inlineStr"/>
      <c r="S1710" s="5" t="inlineStr"/>
      <c r="T1710" s="5" t="inlineStr"/>
      <c r="U1710" s="5" t="inlineStr"/>
      <c r="V1710" s="5" t="inlineStr">
        <is>
          <t>usta-buyudu</t>
        </is>
      </c>
      <c r="W1710" s="5" t="inlineStr"/>
      <c r="X1710" s="5" t="inlineStr"/>
      <c r="Y1710" s="5" t="inlineStr"/>
      <c r="Z1710" s="6" t="inlineStr"/>
      <c r="AA1710" s="5" t="inlineStr"/>
      <c r="AB1710" s="5" t="inlineStr"/>
      <c r="AC1710" s="5" t="inlineStr"/>
      <c r="AD1710" s="5" t="inlineStr">
        <is>
          <t>Rahat</t>
        </is>
      </c>
      <c r="AE1710" s="5" t="inlineStr"/>
      <c r="AF1710" s="5" t="inlineStr"/>
      <c r="AG1710" s="5" t="inlineStr"/>
      <c r="AH1710" s="5" t="inlineStr"/>
      <c r="AI1710" s="5" t="inlineStr"/>
      <c r="AJ1710" s="5" t="inlineStr"/>
    </row>
    <row r="1711">
      <c r="A1711" s="5" t="inlineStr">
        <is>
          <t>k10-usta</t>
        </is>
      </c>
      <c r="B1711" s="5" t="n">
        <v>2</v>
      </c>
      <c r="C1711" s="6" t="inlineStr">
        <is>
          <t>Fabrikada usta başı ol</t>
        </is>
      </c>
      <c r="D1711" s="5" t="inlineStr">
        <is>
          <t>Akıl</t>
        </is>
      </c>
      <c r="E1711" s="5" t="inlineStr">
        <is>
          <t>Orta</t>
        </is>
      </c>
      <c r="F1711" s="5" t="inlineStr"/>
      <c r="G1711" s="6" t="inlineStr"/>
      <c r="H1711" s="6" t="inlineStr">
        <is>
          <t>Kepengi son kez indirdin. Fabrikada beyaz önlük, kartlı giriş, öğlen tabldot. Sesle arıza bulunca mühendisler not alıyor; maaş her ayın on beşinde.</t>
        </is>
      </c>
      <c r="I1711" s="6" t="inlineStr">
        <is>
          <t>Fabrikada ilk hafta üç arızayı sesinden buldun. Mühendisler cihazlarını bırakıp senin kulağını izlemeye başladı. Cuma günü genel müdür yanına geldi, alçak sesle: “Benim arabada da bir tıkırtı var, bir bakar mısın?”</t>
        </is>
      </c>
      <c r="J1711" s="6" t="inlineStr">
        <is>
          <t>Fabrikanın mülakatında makine yerine kâğıt sınav verdiler; motorun sesini kâğıda yazamadın. Yeni siteye taşındın, kendi tezgâhına.</t>
        </is>
      </c>
      <c r="K1711" s="6" t="inlineStr">
        <is>
          <t>İlk gün kartlı girişte kartını ters okuttun, turnike seni içeri almadı. Üç gün böyle geçti; dördüncü gün yeni sanayi sitesinde kendi kepengini açıyordun.</t>
        </is>
      </c>
      <c r="L1711" s="6" t="inlineStr"/>
      <c r="M1711" s="5" t="inlineStr"/>
      <c r="N1711" s="5" t="inlineStr"/>
      <c r="O1711" s="6" t="inlineStr"/>
      <c r="P1711" s="6" t="inlineStr"/>
      <c r="Q1711" s="5" t="inlineStr"/>
      <c r="R1711" s="5" t="inlineStr"/>
      <c r="S1711" s="5" t="inlineStr"/>
      <c r="T1711" s="5" t="inlineStr"/>
      <c r="U1711" s="5" t="inlineStr"/>
      <c r="V1711" s="5" t="inlineStr">
        <is>
          <t>-hat-cete, -hat-dolandirici, -hat-girisimci, -hat-goc, -hat-hekim, -hat-koy, -hat-polis, -hat-politika, -hat-sohret, -hat-usta, -hat-yargi, -meslek-esnaf, -meslek-memur, -meslek-serbest, meslek-beyazyaka</t>
        </is>
      </c>
      <c r="W1711" s="5" t="inlineStr"/>
      <c r="X1711" s="5" t="inlineStr"/>
      <c r="Y1711" s="5" t="inlineStr"/>
      <c r="Z1711" s="6" t="inlineStr"/>
      <c r="AA1711" s="5" t="inlineStr"/>
      <c r="AB1711" s="5" t="inlineStr"/>
      <c r="AC1711" s="5" t="inlineStr"/>
      <c r="AD1711" s="5" t="inlineStr"/>
      <c r="AE1711" s="5" t="inlineStr"/>
      <c r="AF1711" s="5" t="inlineStr"/>
      <c r="AG1711" s="5" t="inlineStr"/>
      <c r="AH1711" s="5" t="inlineStr"/>
      <c r="AI1711" s="5" t="inlineStr"/>
      <c r="AJ1711" s="5" t="inlineStr"/>
    </row>
    <row r="1712">
      <c r="A1712" s="5" t="inlineStr">
        <is>
          <t>k10-usta</t>
        </is>
      </c>
      <c r="B1712" s="5" t="n">
        <v>3</v>
      </c>
      <c r="C1712" s="6" t="inlineStr">
        <is>
          <t>Kendi atölye markanı kur</t>
        </is>
      </c>
      <c r="D1712" s="5" t="inlineStr">
        <is>
          <t>Cesaret</t>
        </is>
      </c>
      <c r="E1712" s="5" t="inlineStr">
        <is>
          <t>Zor</t>
        </is>
      </c>
      <c r="F1712" s="5" t="inlineStr"/>
      <c r="G1712" s="6" t="inlineStr"/>
      <c r="H1712" s="6" t="inlineStr">
        <is>
          <t>Atölyene bir ad, bir logo, tulumlara işleme. Şehirde üç şubelik bir plan yaptın; ilk şube açıldı, planın ikinci sayfası bankada.</t>
        </is>
      </c>
      <c r="I1712" s="6" t="inlineStr">
        <is>
          <t>Markan tuttu: kendi filtren, kendi takım çantan, kendi tulumun. Sanayide artık seninle değil, markanla pazarlık ediyorlar.</t>
        </is>
      </c>
      <c r="J1712" s="6" t="inlineStr">
        <is>
          <t>Tabelayı yaptırdın, sonra hesabı yaptın. Tabelayı yeni sitedeki dükkânına astın; marka orada, sen yine tezgâhın başında.</t>
        </is>
      </c>
      <c r="K1712" s="6" t="inlineStr">
        <is>
          <t>Adı tescile götürdün; biri bir hafta önce almış. Tabela depoda, sen yine tezgâhtasın; kira da iki katı.</t>
        </is>
      </c>
      <c r="L1712" s="6" t="inlineStr"/>
      <c r="M1712" s="5" t="inlineStr"/>
      <c r="N1712" s="5" t="inlineStr"/>
      <c r="O1712" s="6" t="inlineStr"/>
      <c r="P1712" s="6" t="inlineStr"/>
      <c r="Q1712" s="5" t="inlineStr"/>
      <c r="R1712" s="5" t="inlineStr"/>
      <c r="S1712" s="5" t="inlineStr"/>
      <c r="T1712" s="5" t="inlineStr"/>
      <c r="U1712" s="5" t="inlineStr"/>
      <c r="V1712" s="5" t="inlineStr">
        <is>
          <t>-hat-cete, -hat-dolandirici, -hat-goc, -hat-hekim, -hat-koy, -hat-polis, -hat-politika, -hat-sohret, -hat-usta, -hat-yargi, -meslek-beyazyaka, -meslek-esnaf, -meslek-memur, hat-girisimci, meslek-serbest</t>
        </is>
      </c>
      <c r="W1712" s="5" t="inlineStr"/>
      <c r="X1712" s="5" t="inlineStr"/>
      <c r="Y1712" s="5" t="inlineStr"/>
      <c r="Z1712" s="6" t="inlineStr"/>
      <c r="AA1712" s="5" t="inlineStr"/>
      <c r="AB1712" s="5" t="inlineStr"/>
      <c r="AC1712" s="5" t="inlineStr"/>
      <c r="AD1712" s="5" t="inlineStr"/>
      <c r="AE1712" s="5" t="inlineStr"/>
      <c r="AF1712" s="5" t="inlineStr"/>
      <c r="AG1712" s="5" t="inlineStr"/>
      <c r="AH1712" s="5" t="inlineStr"/>
      <c r="AI1712" s="5" t="inlineStr"/>
      <c r="AJ1712" s="5" t="inlineStr"/>
    </row>
    <row r="1713">
      <c r="A1713" s="5" t="inlineStr">
        <is>
          <t>b8-usta-sessiz-motor</t>
        </is>
      </c>
      <c r="B1713" s="5" t="n">
        <v>1</v>
      </c>
      <c r="C1713" s="6" t="inlineStr">
        <is>
          <t>Kalfaya bırak, kenardan izle</t>
        </is>
      </c>
      <c r="D1713" s="5" t="inlineStr"/>
      <c r="E1713" s="5" t="inlineStr"/>
      <c r="F1713" s="5" t="inlineStr">
        <is>
          <t>İtibar +1, Akıl +1</t>
        </is>
      </c>
      <c r="G1713" s="6" t="inlineStr">
        <is>
          <t>Kalfa tabletle arızayı buldu. Sen kenardan “Vidayı sağa çevir” dedin; doğruydu. Kalfa bunu kimseye söylemedi, sana da.</t>
        </is>
      </c>
      <c r="H1713" s="6" t="inlineStr"/>
      <c r="I1713" s="6" t="inlineStr"/>
      <c r="J1713" s="6" t="inlineStr"/>
      <c r="K1713" s="6" t="inlineStr"/>
      <c r="L1713" s="6" t="inlineStr"/>
      <c r="M1713" s="5" t="inlineStr"/>
      <c r="N1713" s="5" t="inlineStr"/>
      <c r="O1713" s="6" t="inlineStr"/>
      <c r="P1713" s="6" t="inlineStr"/>
      <c r="Q1713" s="5" t="inlineStr"/>
      <c r="R1713" s="5" t="inlineStr"/>
      <c r="S1713" s="5" t="inlineStr"/>
      <c r="T1713" s="5" t="inlineStr"/>
      <c r="U1713" s="5" t="inlineStr"/>
      <c r="V1713" s="5" t="inlineStr"/>
      <c r="W1713" s="5" t="inlineStr"/>
      <c r="X1713" s="5" t="inlineStr"/>
      <c r="Y1713" s="5" t="inlineStr"/>
      <c r="Z1713" s="6" t="inlineStr"/>
      <c r="AA1713" s="5" t="inlineStr"/>
      <c r="AB1713" s="5" t="inlineStr"/>
      <c r="AC1713" s="5" t="inlineStr"/>
      <c r="AD1713" s="5" t="inlineStr"/>
      <c r="AE1713" s="5" t="inlineStr"/>
      <c r="AF1713" s="5" t="inlineStr"/>
      <c r="AG1713" s="5" t="inlineStr"/>
      <c r="AH1713" s="5" t="inlineStr"/>
      <c r="AI1713" s="5" t="inlineStr"/>
      <c r="AJ1713" s="5" t="inlineStr"/>
    </row>
    <row r="1714">
      <c r="A1714" s="5" t="inlineStr">
        <is>
          <t>b8-usta-sessiz-motor</t>
        </is>
      </c>
      <c r="B1714" s="5" t="n">
        <v>2</v>
      </c>
      <c r="C1714" s="6" t="inlineStr">
        <is>
          <t>Kursa yazıl, akşamları öğren</t>
        </is>
      </c>
      <c r="D1714" s="5" t="inlineStr">
        <is>
          <t>Akıl</t>
        </is>
      </c>
      <c r="E1714" s="5" t="inlineStr">
        <is>
          <t>Zor</t>
        </is>
      </c>
      <c r="F1714" s="5" t="inlineStr"/>
      <c r="G1714" s="6" t="inlineStr"/>
      <c r="H1714" s="6" t="inlineStr">
        <is>
          <t>Altı ay boyunca akşamları gençlerle aynı sırada oturdun. Sertifikayı dükkâna astın, gözlüğünle. Sessiz arabalar da artık seninle konuşuyor.</t>
        </is>
      </c>
      <c r="I1714" s="6" t="inlineStr">
        <is>
          <t>Hocanın cevaplayamadığı soruyu sen cevapladın: “Sessiz de olsa titrer.” Kurs seni eğitmen yaptı.</t>
        </is>
      </c>
      <c r="J1714" s="6" t="inlineStr">
        <is>
          <t>Derslerin yarısı bilgisayardaydı; şifreni unuttun. Kalan yarısını dinledin. Sertifika seneye.</t>
        </is>
      </c>
      <c r="K1714" s="6" t="inlineStr">
        <is>
          <t>Sınavda motoru dinlemek için kulağını dayadın. Gözetmen bunu kopya sandı. Yeniden kayıt: bir dönem sonra.</t>
        </is>
      </c>
      <c r="L1714" s="6" t="inlineStr"/>
      <c r="M1714" s="5" t="inlineStr"/>
      <c r="N1714" s="5" t="inlineStr"/>
      <c r="O1714" s="6" t="inlineStr"/>
      <c r="P1714" s="6" t="inlineStr"/>
      <c r="Q1714" s="5" t="inlineStr"/>
      <c r="R1714" s="5" t="inlineStr"/>
      <c r="S1714" s="5" t="inlineStr"/>
      <c r="T1714" s="5" t="inlineStr">
        <is>
          <t>Nöbet Disiplini</t>
        </is>
      </c>
      <c r="U1714" s="5" t="inlineStr"/>
      <c r="V1714" s="5" t="inlineStr">
        <is>
          <t>yeni-motor-ustasi</t>
        </is>
      </c>
      <c r="W1714" s="5" t="inlineStr"/>
      <c r="X1714" s="5" t="inlineStr"/>
      <c r="Y1714" s="5" t="inlineStr"/>
      <c r="Z1714" s="6" t="inlineStr"/>
      <c r="AA1714" s="5" t="inlineStr"/>
      <c r="AB1714" s="5" t="inlineStr"/>
      <c r="AC1714" s="5" t="inlineStr"/>
      <c r="AD1714" s="5" t="inlineStr"/>
      <c r="AE1714" s="5" t="inlineStr"/>
      <c r="AF1714" s="5" t="inlineStr"/>
      <c r="AG1714" s="5" t="inlineStr"/>
      <c r="AH1714" s="5" t="inlineStr"/>
      <c r="AI1714" s="5" t="inlineStr"/>
      <c r="AJ1714" s="5" t="inlineStr"/>
    </row>
    <row r="1715">
      <c r="A1715" s="5" t="inlineStr">
        <is>
          <t>b8-usta-sessiz-motor</t>
        </is>
      </c>
      <c r="B1715" s="5" t="n">
        <v>3</v>
      </c>
      <c r="C1715" s="6" t="inlineStr">
        <is>
          <t>Tık sesini kendin bul</t>
        </is>
      </c>
      <c r="D1715" s="5" t="inlineStr">
        <is>
          <t>Dayanıklılık</t>
        </is>
      </c>
      <c r="E1715" s="5" t="inlineStr">
        <is>
          <t>Orta</t>
        </is>
      </c>
      <c r="F1715" s="5" t="inlineStr"/>
      <c r="G1715" s="6" t="inlineStr"/>
      <c r="H1715" s="6" t="inlineStr">
        <is>
          <t>Arabanın altında iki saat yattın. Tıkı buldun: torpidoda bir anahtarlık. Sahibi utandı, sen işçiliği yazdın.</t>
        </is>
      </c>
      <c r="I1715" s="6" t="inlineStr">
        <is>
          <t>Tıkı buldun, bir de gerçek arızayı: fren hortumu. Sahibi seni bütün elektrikli araç grubuna önerdi. Sessiz arabalar sessizce sırada.</t>
        </is>
      </c>
      <c r="J1715" s="6" t="inlineStr">
        <is>
          <t>Üç saat aradın, tık gelmedi. Sahibi arabayı aldı; kapıdan çıkarken tık etti.</t>
        </is>
      </c>
      <c r="K1715" s="6" t="inlineStr">
        <is>
          <t>Arabanın altındayken sırtın tutuldu. Arabayı sahibi, seni kalfa çıkardı. Kalfa bunu hâlâ anlatıyor.</t>
        </is>
      </c>
      <c r="L1715" s="6" t="inlineStr"/>
      <c r="M1715" s="5" t="inlineStr"/>
      <c r="N1715" s="5" t="inlineStr"/>
      <c r="O1715" s="6" t="inlineStr"/>
      <c r="P1715" s="6" t="inlineStr"/>
      <c r="Q1715" s="5" t="inlineStr"/>
      <c r="R1715" s="5" t="inlineStr"/>
      <c r="S1715" s="5" t="inlineStr"/>
      <c r="T1715" s="5" t="inlineStr"/>
      <c r="U1715" s="5" t="inlineStr"/>
      <c r="V1715" s="5" t="inlineStr"/>
      <c r="W1715" s="5" t="inlineStr"/>
      <c r="X1715" s="5" t="inlineStr"/>
      <c r="Y1715" s="5" t="inlineStr"/>
      <c r="Z1715" s="6" t="inlineStr"/>
      <c r="AA1715" s="5" t="inlineStr"/>
      <c r="AB1715" s="5" t="inlineStr"/>
      <c r="AC1715" s="5" t="inlineStr"/>
      <c r="AD1715" s="5" t="inlineStr"/>
      <c r="AE1715" s="5" t="inlineStr"/>
      <c r="AF1715" s="5" t="inlineStr"/>
      <c r="AG1715" s="5" t="inlineStr"/>
      <c r="AH1715" s="5" t="inlineStr"/>
      <c r="AI1715" s="5" t="inlineStr"/>
      <c r="AJ1715" s="5" t="inlineStr"/>
    </row>
    <row r="1716">
      <c r="A1716" s="5" t="inlineStr">
        <is>
          <t>b8-usta-ustalarin-ustasi</t>
        </is>
      </c>
      <c r="B1716" s="5" t="n">
        <v>1</v>
      </c>
      <c r="C1716" s="6" t="inlineStr">
        <is>
          <t>Kurdeleyi kes, kısa konuş</t>
        </is>
      </c>
      <c r="D1716" s="5" t="inlineStr"/>
      <c r="E1716" s="5" t="inlineStr"/>
      <c r="F1716" s="5" t="inlineStr">
        <is>
          <t>İtibar +1, Sosyal Radar +1</t>
        </is>
      </c>
      <c r="G1716" s="6" t="inlineStr">
        <is>
          <t>Kurdeleyi kestin, tek cümle söyledin: “Bol kazançlar; önce dükkânın önünü süpür.” Alkış aldın. Ertesi sabah kapının önünü süpürürken çektiği fotoğrafı sana yolladı.</t>
        </is>
      </c>
      <c r="H1716" s="6" t="inlineStr"/>
      <c r="I1716" s="6" t="inlineStr"/>
      <c r="J1716" s="6" t="inlineStr"/>
      <c r="K1716" s="6" t="inlineStr"/>
      <c r="L1716" s="6" t="inlineStr"/>
      <c r="M1716" s="5" t="inlineStr"/>
      <c r="N1716" s="5" t="inlineStr"/>
      <c r="O1716" s="6" t="inlineStr"/>
      <c r="P1716" s="6" t="inlineStr"/>
      <c r="Q1716" s="5" t="inlineStr"/>
      <c r="R1716" s="5" t="inlineStr"/>
      <c r="S1716" s="5" t="inlineStr"/>
      <c r="T1716" s="5" t="inlineStr"/>
      <c r="U1716" s="5" t="inlineStr"/>
      <c r="V1716" s="5" t="inlineStr"/>
      <c r="W1716" s="5" t="inlineStr"/>
      <c r="X1716" s="5" t="inlineStr"/>
      <c r="Y1716" s="5" t="inlineStr"/>
      <c r="Z1716" s="6" t="inlineStr"/>
      <c r="AA1716" s="5" t="inlineStr"/>
      <c r="AB1716" s="5" t="inlineStr"/>
      <c r="AC1716" s="5" t="inlineStr"/>
      <c r="AD1716" s="5" t="inlineStr"/>
      <c r="AE1716" s="5" t="inlineStr"/>
      <c r="AF1716" s="5" t="inlineStr"/>
      <c r="AG1716" s="5" t="inlineStr"/>
      <c r="AH1716" s="5" t="inlineStr"/>
      <c r="AI1716" s="5" t="inlineStr"/>
      <c r="AJ1716" s="5" t="inlineStr"/>
    </row>
    <row r="1717">
      <c r="A1717" s="5" t="inlineStr">
        <is>
          <t>b8-usta-ustalarin-ustasi</t>
        </is>
      </c>
      <c r="B1717" s="5" t="n">
        <v>2</v>
      </c>
      <c r="C1717" s="6" t="inlineStr">
        <is>
          <t>İlk müşterinin arabasını birlikte tamir edin</t>
        </is>
      </c>
      <c r="D1717" s="5" t="inlineStr">
        <is>
          <t>Akıl</t>
        </is>
      </c>
      <c r="E1717" s="5" t="inlineStr">
        <is>
          <t>Orta</t>
        </is>
      </c>
      <c r="F1717" s="5" t="inlineStr"/>
      <c r="G1717" s="6" t="inlineStr"/>
      <c r="H1717" s="6" t="inlineStr">
        <is>
          <t>Kaputu birlikte açtınız, aynı anda “Triger” dediniz. Çırak siftah parasını öpüp alnına koydu, sonra yarısını sana uzattı: “Senin hakkın, usta.”</t>
        </is>
      </c>
      <c r="I1717" s="6" t="inlineStr">
        <is>
          <t>Tamiri birlikte yaptınız; sanayi toplanıp izledi. Akşama doğru bir genç geldi, önce çırağa, sonra sana baktı: “Ustanın ustası sen misin?” Çırak olmak istiyor; makasını da kendi getirmiş.</t>
        </is>
      </c>
      <c r="J1717" s="6" t="inlineStr">
        <is>
          <t>Kaputu birlikte açtınız, farklı şeyler dediniz. İkiniz de haklıydınız; müşteri ikinize de kızdı.</t>
        </is>
      </c>
      <c r="K1717" s="6" t="inlineStr">
        <is>
          <t>Tamirin ortasında tezgâhta kendi makasını gördün: “Bu benim değil mi?” Çırak kızardı, müşteri kaputun altından başını çıkardı. Açılış günü bütün sanayi makasın kimin olduğunu tartıştı; araba akşama kadar açık kaldı.</t>
        </is>
      </c>
      <c r="L1717" s="6" t="inlineStr"/>
      <c r="M1717" s="5" t="inlineStr"/>
      <c r="N1717" s="5" t="inlineStr"/>
      <c r="O1717" s="6" t="inlineStr"/>
      <c r="P1717" s="6" t="inlineStr"/>
      <c r="Q1717" s="5" t="inlineStr"/>
      <c r="R1717" s="5" t="inlineStr"/>
      <c r="S1717" s="5" t="inlineStr"/>
      <c r="T1717" s="5" t="inlineStr"/>
      <c r="U1717" s="5" t="inlineStr"/>
      <c r="V1717" s="5" t="inlineStr">
        <is>
          <t>ustalarin-ustasi</t>
        </is>
      </c>
      <c r="W1717" s="5" t="inlineStr"/>
      <c r="X1717" s="5" t="inlineStr"/>
      <c r="Y1717" s="5" t="inlineStr"/>
      <c r="Z1717" s="6" t="inlineStr"/>
      <c r="AA1717" s="5" t="inlineStr"/>
      <c r="AB1717" s="5" t="inlineStr"/>
      <c r="AC1717" s="5" t="inlineStr"/>
      <c r="AD1717" s="5" t="inlineStr"/>
      <c r="AE1717" s="5" t="inlineStr"/>
      <c r="AF1717" s="5" t="inlineStr"/>
      <c r="AG1717" s="5" t="inlineStr"/>
      <c r="AH1717" s="5" t="inlineStr"/>
      <c r="AI1717" s="5" t="inlineStr"/>
      <c r="AJ1717" s="5" t="inlineStr"/>
    </row>
    <row r="1718">
      <c r="A1718" s="5" t="inlineStr">
        <is>
          <t>b8-usta-ustalarin-ustasi</t>
        </is>
      </c>
      <c r="B1718" s="5" t="n">
        <v>3</v>
      </c>
      <c r="C1718" s="6" t="inlineStr">
        <is>
          <t>Sanayide çıraklar için okul kur</t>
        </is>
      </c>
      <c r="D1718" s="5" t="inlineStr">
        <is>
          <t>Dayanıklılık</t>
        </is>
      </c>
      <c r="E1718" s="5" t="inlineStr">
        <is>
          <t>Zor</t>
        </is>
      </c>
      <c r="F1718" s="5" t="inlineStr"/>
      <c r="G1718" s="6" t="inlineStr"/>
      <c r="H1718" s="6" t="inlineStr">
        <is>
          <t>Boş bir dükkânı sınıfa çevirdin. Her cumartesi on iki çırak, bir motor, bir çaydanlık. Gençler ilk kez telefonlarını kapıda bırakıyor.</t>
        </is>
      </c>
      <c r="I1718" s="6" t="inlineStr">
        <is>
          <t>Belediye okulu tanıdı, kapıya tabela astı: “Usta Okulu.” Mezuniyette her çırağa bir anahtar takımı verdin. İçlerinden biri takımı göğsüne bastırdı: “Babam bile bana alet vermemişti.”</t>
        </is>
      </c>
      <c r="J1718" s="6" t="inlineStr">
        <is>
          <t>Okulu açtın, çıraklar geldi, ustalar gelmedi. Bütün dersleri sen verdin; cumartesi akşamı sesin kısıldı.</t>
        </is>
      </c>
      <c r="K1718" s="6" t="inlineStr">
        <is>
          <t>İlk derste motoru çalıştırdın; motor öksürdü, sonra sınıfı dumana boğdu. İtfaiye geldi. Çıraklar okulun ilk dersini itfaiyeciden aldı: yangın tüpü nasıl kullanılır.</t>
        </is>
      </c>
      <c r="L1718" s="6" t="inlineStr"/>
      <c r="M1718" s="5" t="inlineStr"/>
      <c r="N1718" s="5" t="inlineStr"/>
      <c r="O1718" s="6" t="inlineStr"/>
      <c r="P1718" s="6" t="inlineStr"/>
      <c r="Q1718" s="5" t="inlineStr"/>
      <c r="R1718" s="5" t="inlineStr"/>
      <c r="S1718" s="5" t="inlineStr"/>
      <c r="T1718" s="5" t="inlineStr">
        <is>
          <t>Selamı Var</t>
        </is>
      </c>
      <c r="U1718" s="5" t="inlineStr"/>
      <c r="V1718" s="5" t="inlineStr">
        <is>
          <t>ustalarin-ustasi</t>
        </is>
      </c>
      <c r="W1718" s="5" t="inlineStr"/>
      <c r="X1718" s="5" t="inlineStr"/>
      <c r="Y1718" s="5" t="inlineStr"/>
      <c r="Z1718" s="6" t="inlineStr"/>
      <c r="AA1718" s="5" t="inlineStr"/>
      <c r="AB1718" s="5" t="inlineStr"/>
      <c r="AC1718" s="5" t="inlineStr"/>
      <c r="AD1718" s="5" t="inlineStr"/>
      <c r="AE1718" s="5" t="inlineStr"/>
      <c r="AF1718" s="5" t="inlineStr"/>
      <c r="AG1718" s="5" t="inlineStr"/>
      <c r="AH1718" s="5" t="inlineStr"/>
      <c r="AI1718" s="5" t="inlineStr"/>
      <c r="AJ1718" s="5" t="inlineStr"/>
    </row>
    <row r="1719">
      <c r="A1719" s="5" t="inlineStr">
        <is>
          <t>b9-usta-son-kepenk</t>
        </is>
      </c>
      <c r="B1719" s="5" t="n">
        <v>1</v>
      </c>
      <c r="C1719" s="6" t="inlineStr">
        <is>
          <t>Dükkânı kalfana devret, anahtarı ver</t>
        </is>
      </c>
      <c r="D1719" s="5" t="inlineStr"/>
      <c r="E1719" s="5" t="inlineStr"/>
      <c r="F1719" s="5" t="inlineStr">
        <is>
          <t>İtibar +1</t>
        </is>
      </c>
      <c r="G1719" s="6" t="inlineStr">
        <is>
          <t>Anahtarı verdin, tabelayı bıraktın. Kalfa altına küçük bir satır ekledi: “Kurucusu her salı gelir.” Her salı gidiyorsun; perşembeleri de.</t>
        </is>
      </c>
      <c r="H1719" s="6" t="inlineStr"/>
      <c r="I1719" s="6" t="inlineStr"/>
      <c r="J1719" s="6" t="inlineStr"/>
      <c r="K1719" s="6" t="inlineStr"/>
      <c r="L1719" s="6" t="inlineStr"/>
      <c r="M1719" s="5" t="inlineStr"/>
      <c r="N1719" s="5" t="inlineStr"/>
      <c r="O1719" s="6" t="inlineStr"/>
      <c r="P1719" s="6" t="inlineStr"/>
      <c r="Q1719" s="5" t="inlineStr"/>
      <c r="R1719" s="5" t="inlineStr"/>
      <c r="S1719" s="5" t="inlineStr"/>
      <c r="T1719" s="5" t="inlineStr"/>
      <c r="U1719" s="5" t="inlineStr"/>
      <c r="V1719" s="5" t="inlineStr"/>
      <c r="W1719" s="5" t="inlineStr"/>
      <c r="X1719" s="5" t="inlineStr"/>
      <c r="Y1719" s="5" t="inlineStr"/>
      <c r="Z1719" s="6" t="inlineStr"/>
      <c r="AA1719" s="5" t="inlineStr"/>
      <c r="AB1719" s="5" t="inlineStr"/>
      <c r="AC1719" s="5" t="inlineStr"/>
      <c r="AD1719" s="5" t="inlineStr"/>
      <c r="AE1719" s="5" t="inlineStr"/>
      <c r="AF1719" s="5" t="inlineStr"/>
      <c r="AG1719" s="5" t="inlineStr"/>
      <c r="AH1719" s="5" t="inlineStr"/>
      <c r="AI1719" s="5" t="inlineStr"/>
      <c r="AJ1719" s="5" t="inlineStr"/>
    </row>
    <row r="1720">
      <c r="A1720" s="5" t="inlineStr">
        <is>
          <t>b9-usta-son-kepenk</t>
        </is>
      </c>
      <c r="B1720" s="5" t="n">
        <v>2</v>
      </c>
      <c r="C1720" s="6" t="inlineStr">
        <is>
          <t>Telefonda teşhise devam et, ücretini iste</t>
        </is>
      </c>
      <c r="D1720" s="5" t="inlineStr">
        <is>
          <t>Kurnazlık</t>
        </is>
      </c>
      <c r="E1720" s="5" t="inlineStr">
        <is>
          <t>Orta</t>
        </is>
      </c>
      <c r="F1720" s="5" t="inlineStr"/>
      <c r="G1720" s="6" t="inlineStr"/>
      <c r="H1720" s="6" t="inlineStr">
        <is>
          <t>Arama başına küçük bir ücret koydun. Arayanlar azalmadı; havale açıklamasına sesi yazıyorlar: “Tık tık vıyyy.”</t>
        </is>
      </c>
      <c r="I1720" s="6" t="inlineStr">
        <is>
          <t>Genç ustalar zor vakaları sana telefonla bağlıyor; sanayide 'Bir de büyük ustaya soralım' lafı çıktı. Emekli maaşından fazla kazanıyorsun; terlikle, balkonda.</t>
        </is>
      </c>
      <c r="J1720" s="6" t="inlineStr">
        <is>
          <t>Ücret koydun; arayanlar kalfayı aramaya başladı. Kalfa da seni arıyor; ücretsiz.</t>
        </is>
      </c>
      <c r="K1720" s="6" t="inlineStr">
        <is>
          <t>Telefondaki sese 'Şanzıman' dedin. Müşteri arabayı çekiciyle sanayiye getirdi; ses torpidodaki şarj aletiymiş. Sanayi bu olayı bir yıl, senin sesini taklit ederek anlattı.</t>
        </is>
      </c>
      <c r="L1720" s="6" t="inlineStr"/>
      <c r="M1720" s="5" t="inlineStr"/>
      <c r="N1720" s="5" t="inlineStr"/>
      <c r="O1720" s="6" t="inlineStr"/>
      <c r="P1720" s="6" t="inlineStr"/>
      <c r="Q1720" s="5" t="inlineStr"/>
      <c r="R1720" s="5" t="inlineStr"/>
      <c r="S1720" s="5" t="inlineStr"/>
      <c r="T1720" s="5" t="inlineStr"/>
      <c r="U1720" s="5" t="inlineStr"/>
      <c r="V1720" s="5" t="inlineStr"/>
      <c r="W1720" s="5" t="inlineStr"/>
      <c r="X1720" s="5" t="inlineStr"/>
      <c r="Y1720" s="5" t="inlineStr"/>
      <c r="Z1720" s="6" t="inlineStr"/>
      <c r="AA1720" s="5" t="inlineStr"/>
      <c r="AB1720" s="5" t="inlineStr"/>
      <c r="AC1720" s="5" t="inlineStr"/>
      <c r="AD1720" s="5" t="inlineStr"/>
      <c r="AE1720" s="5" t="inlineStr"/>
      <c r="AF1720" s="5" t="inlineStr"/>
      <c r="AG1720" s="5" t="inlineStr"/>
      <c r="AH1720" s="5" t="inlineStr"/>
      <c r="AI1720" s="5" t="inlineStr"/>
      <c r="AJ1720" s="5" t="inlineStr"/>
    </row>
    <row r="1721">
      <c r="A1721" s="5" t="inlineStr">
        <is>
          <t>b9-usta-son-kepenk</t>
        </is>
      </c>
      <c r="B1721" s="5" t="n">
        <v>3</v>
      </c>
      <c r="C1721" s="6" t="inlineStr">
        <is>
          <t>Son bir motoru baştan sona kendin topla</t>
        </is>
      </c>
      <c r="D1721" s="5" t="inlineStr">
        <is>
          <t>Dayanıklılık</t>
        </is>
      </c>
      <c r="E1721" s="5" t="inlineStr">
        <is>
          <t>Zor</t>
        </is>
      </c>
      <c r="F1721" s="5" t="inlineStr"/>
      <c r="G1721" s="6" t="inlineStr"/>
      <c r="H1721" s="6" t="inlineStr">
        <is>
          <t>Otuz yıllık bir motoru kış boyu parça parça topladın. İlk marşta çalıştı. Sanayi kepenklerini açıp dinledi; kimse konuşmadı.</t>
        </is>
      </c>
      <c r="I1721" s="6" t="inlineStr">
        <is>
          <t>Motor çalıştığında eski çırakların hepsi oradaydı. Motoru sanayi sitesinin girişine koydular; altına adını yazdılar, yanına da iki kelime: “Tık yok.”</t>
        </is>
      </c>
      <c r="J1721" s="6" t="inlineStr">
        <is>
          <t>Motoru topladın, bir vida arttı. Motor çalışıyor ama vida seni rahatsız ediyor. Vidayı cebinde taşıyorsun.</t>
        </is>
      </c>
      <c r="K1721" s="6" t="inlineStr">
        <is>
          <t>Motor ilk marşta çalıştı, ikincide dükkânın sigortasını attırdı, üçüncüde bütün sitenin. Sanayi seni emekliliğe karanlıkta uğurladı.</t>
        </is>
      </c>
      <c r="L1721" s="6" t="inlineStr"/>
      <c r="M1721" s="5" t="inlineStr"/>
      <c r="N1721" s="5" t="inlineStr"/>
      <c r="O1721" s="6" t="inlineStr"/>
      <c r="P1721" s="6" t="inlineStr"/>
      <c r="Q1721" s="5" t="inlineStr"/>
      <c r="R1721" s="5" t="inlineStr"/>
      <c r="S1721" s="5" t="inlineStr"/>
      <c r="T1721" s="5" t="inlineStr"/>
      <c r="U1721" s="5" t="inlineStr"/>
      <c r="V1721" s="5" t="inlineStr">
        <is>
          <t>son-motor</t>
        </is>
      </c>
      <c r="W1721" s="5" t="inlineStr"/>
      <c r="X1721" s="5" t="inlineStr"/>
      <c r="Y1721" s="5" t="inlineStr"/>
      <c r="Z1721" s="6" t="inlineStr"/>
      <c r="AA1721" s="5" t="inlineStr"/>
      <c r="AB1721" s="5" t="inlineStr"/>
      <c r="AC1721" s="5" t="inlineStr"/>
      <c r="AD1721" s="5" t="inlineStr"/>
      <c r="AE1721" s="5" t="inlineStr"/>
      <c r="AF1721" s="5" t="inlineStr"/>
      <c r="AG1721" s="5" t="inlineStr"/>
      <c r="AH1721" s="5" t="inlineStr"/>
      <c r="AI1721" s="5" t="inlineStr"/>
      <c r="AJ1721" s="5" t="inlineStr"/>
    </row>
    <row r="1722">
      <c r="A1722" s="5" t="inlineStr">
        <is>
          <t>b7-kiz-isteme</t>
        </is>
      </c>
      <c r="B1722" s="5" t="n">
        <v>1</v>
      </c>
      <c r="C1722" s="6" t="inlineStr">
        <is>
          <t>Tuzlu kahveyi iç, gülümse</t>
        </is>
      </c>
      <c r="D1722" s="5" t="inlineStr"/>
      <c r="E1722" s="5" t="inlineStr"/>
      <c r="F1722" s="5" t="inlineStr">
        <is>
          <t>Dayanıklılık +1, Gönül +1</t>
        </is>
      </c>
      <c r="G1722" s="6" t="inlineStr">
        <is>
          <t>Kahveyi son yudumuna kadar içtin ve gülümsedin. Kayınpederin “Bu çocuk dayanır” dedi. Dilin iki gün tuz tattı.</t>
        </is>
      </c>
      <c r="H1722" s="6" t="inlineStr"/>
      <c r="I1722" s="6" t="inlineStr"/>
      <c r="J1722" s="6" t="inlineStr"/>
      <c r="K1722" s="6" t="inlineStr"/>
      <c r="L1722" s="6" t="inlineStr"/>
      <c r="M1722" s="5" t="inlineStr"/>
      <c r="N1722" s="5" t="inlineStr"/>
      <c r="O1722" s="6" t="inlineStr"/>
      <c r="P1722" s="6" t="inlineStr"/>
      <c r="Q1722" s="5" t="inlineStr"/>
      <c r="R1722" s="5" t="inlineStr"/>
      <c r="S1722" s="5" t="inlineStr"/>
      <c r="T1722" s="5" t="inlineStr"/>
      <c r="U1722" s="5" t="inlineStr"/>
      <c r="V1722" s="5" t="inlineStr"/>
      <c r="W1722" s="5" t="inlineStr"/>
      <c r="X1722" s="5" t="inlineStr"/>
      <c r="Y1722" s="5" t="inlineStr"/>
      <c r="Z1722" s="6" t="inlineStr"/>
      <c r="AA1722" s="5" t="inlineStr"/>
      <c r="AB1722" s="5" t="inlineStr"/>
      <c r="AC1722" s="5" t="inlineStr"/>
      <c r="AD1722" s="5" t="inlineStr"/>
      <c r="AE1722" s="5" t="inlineStr"/>
      <c r="AF1722" s="5" t="inlineStr"/>
      <c r="AG1722" s="5" t="inlineStr"/>
      <c r="AH1722" s="5" t="inlineStr"/>
      <c r="AI1722" s="5" t="inlineStr"/>
      <c r="AJ1722" s="5" t="inlineStr"/>
    </row>
    <row r="1723">
      <c r="A1723" s="5" t="inlineStr">
        <is>
          <t>b7-kiz-isteme</t>
        </is>
      </c>
      <c r="B1723" s="5" t="n">
        <v>2</v>
      </c>
      <c r="C1723" s="6" t="inlineStr">
        <is>
          <t>Kahveyi “Tam kıvamında” diye öv</t>
        </is>
      </c>
      <c r="D1723" s="5" t="inlineStr">
        <is>
          <t>Pişkinlik</t>
        </is>
      </c>
      <c r="E1723" s="5" t="inlineStr">
        <is>
          <t>Orta</t>
        </is>
      </c>
      <c r="F1723" s="5" t="inlineStr"/>
      <c r="G1723" s="6" t="inlineStr"/>
      <c r="H1723" s="6" t="inlineStr">
        <is>
          <t>“Tam kıvamında” dedin ve bir yudum daha aldın. Salon güldü, müstakbel eşin utandı, kayınvalide not aldı: “Yalan söylerken gözünü kırpmıyor.”</t>
        </is>
      </c>
      <c r="I1723" s="6" t="inlineStr">
        <is>
          <t>Kahveyi öyle övdün ki kayınvalide tarifini istedi. Tarif tek kelimeydi: tuz. İki aile ilk kez aynı anda güldü.</t>
        </is>
      </c>
      <c r="J1723" s="6" t="inlineStr">
        <is>
          <t>“Tam kıvamında” derken yüzün başka bir şey söyledi. Herkes yüzüne inandı.</t>
        </is>
      </c>
      <c r="K1723" s="6" t="inlineStr">
        <is>
          <t>Övgünün ortasında öksürdün; kahve halıya fıskiye gibi püskürdü. Halı çeyizdi. Leke çıktı, ad çıkmadı.</t>
        </is>
      </c>
      <c r="L1723" s="6" t="inlineStr">
        <is>
          <t>“Tam kıvamında” dedin; sol kaşın bir an kalktı. Kayınvalide kaşı gördü, kimseye söylemedi; şimdilik.</t>
        </is>
      </c>
      <c r="M1723" s="5" t="inlineStr">
        <is>
          <t>duel</t>
        </is>
      </c>
      <c r="N1723" s="5" t="inlineStr">
        <is>
          <t>Tuzlu Kahve</t>
        </is>
      </c>
      <c r="O1723" s="6" t="inlineStr">
        <is>
          <t>Karşındakinin sabrı bitmeden en iyi cevabı seç.</t>
        </is>
      </c>
      <c r="P1723" s="6" t="inlineStr">
        <is>
          <t>{"who": "Büyükler", "rounds": [{"q": "Kahve nasıl olmuş?", "o": [{"t": "Tam kıvamında; elinize sağlık.", "s": 1}, {"t": "Biraz tuzlu galiba.", "s": 0.2}, {"t": "Çok güzel (yüzünü buruştur).", "s": 0.5}]}, {"q": "İkinci fincan?", "o": [{"t": "Memnuniyetle, bu seferki daha da güzel olur.", "s": 1}, {"t": "Şeker olsun belki.", "s": 0.4}, {"t": "Teşekkürler, yeterli.", "s": 0.35}]}, {"q": "Peki, ne kadar sürer evlenmeniz?", "o": [{"t": "Siz izin verirseniz bir an önce.", "s": 1}, {"t": "Bilmiyorum.", "s": 0.3}, {"t": "Kahveden sonra düşünürüz.", "s": 0.5}]}]}</t>
        </is>
      </c>
      <c r="Q1723" s="5" t="inlineStr"/>
      <c r="R1723" s="5" t="inlineStr"/>
      <c r="S1723" s="5" t="inlineStr"/>
      <c r="T1723" s="5" t="inlineStr"/>
      <c r="U1723" s="5" t="inlineStr"/>
      <c r="V1723" s="5" t="inlineStr"/>
      <c r="W1723" s="5" t="inlineStr"/>
      <c r="X1723" s="5" t="inlineStr"/>
      <c r="Y1723" s="5" t="inlineStr"/>
      <c r="Z1723" s="6" t="inlineStr"/>
      <c r="AA1723" s="5" t="inlineStr"/>
      <c r="AB1723" s="5" t="inlineStr"/>
      <c r="AC1723" s="5" t="inlineStr"/>
      <c r="AD1723" s="5" t="inlineStr"/>
      <c r="AE1723" s="5" t="inlineStr"/>
      <c r="AF1723" s="5" t="inlineStr"/>
      <c r="AG1723" s="5" t="inlineStr"/>
      <c r="AH1723" s="5" t="inlineStr"/>
      <c r="AI1723" s="5" t="inlineStr">
        <is>
          <t>Fıskiye</t>
        </is>
      </c>
      <c r="AJ1723" s="5" t="inlineStr"/>
    </row>
    <row r="1724">
      <c r="A1724" s="5" t="inlineStr">
        <is>
          <t>b7-kiz-isteme</t>
        </is>
      </c>
      <c r="B1724" s="5" t="n">
        <v>3</v>
      </c>
      <c r="C1724" s="6" t="inlineStr">
        <is>
          <t>Konuşmayı sen yap, babanı kurtar</t>
        </is>
      </c>
      <c r="D1724" s="5" t="inlineStr">
        <is>
          <t>Çene</t>
        </is>
      </c>
      <c r="E1724" s="5" t="inlineStr">
        <is>
          <t>Orta</t>
        </is>
      </c>
      <c r="F1724" s="5" t="inlineStr"/>
      <c r="G1724" s="6" t="inlineStr"/>
      <c r="H1724" s="6" t="inlineStr">
        <is>
          <t>Baban cümleye başlarken tıkandı; sen tamamladın. Geleneksel kısmı ona bıraktın, gerisini sen söyledin. “Verdik” dediler; baban “Ben de onu diyecektim” dedi.</t>
        </is>
      </c>
      <c r="I1724" s="6" t="inlineStr">
        <is>
          <t>Konuşman o kadar iyiydi ki kayınpeder söz kesmeyi hemen oracıkta yapmak istedi. Yüzükler cebindeydi; annen her ihtimale karşı getirmiş.</t>
        </is>
      </c>
      <c r="J1724" s="6" t="inlineStr">
        <is>
          <t>Konuşmaya başladın, baban da başladı; ikiniz aynı anda sustunuz. Kayınpeder “Siz bir karar verin, sonra gelin” dedi.</t>
        </is>
      </c>
      <c r="K1724" s="6" t="inlineStr">
        <is>
          <t>Heyecandan konuşmayı iş görüşmesine çevirdin: “Beş yıl sonra kendimi bu ailenin içinde görüyorum.” Kayınpeder “Maaş beklentin?” diye sordu. Baban cevap verdi; daha kötüsü, rakam söyledi.</t>
        </is>
      </c>
      <c r="L1724" s="6" t="inlineStr"/>
      <c r="M1724" s="5" t="inlineStr"/>
      <c r="N1724" s="5" t="inlineStr"/>
      <c r="O1724" s="6" t="inlineStr"/>
      <c r="P1724" s="6" t="inlineStr"/>
      <c r="Q1724" s="5" t="inlineStr"/>
      <c r="R1724" s="5" t="inlineStr"/>
      <c r="S1724" s="5" t="inlineStr"/>
      <c r="T1724" s="5" t="inlineStr"/>
      <c r="U1724" s="5" t="inlineStr"/>
      <c r="V1724" s="5" t="inlineStr"/>
      <c r="W1724" s="5" t="inlineStr"/>
      <c r="X1724" s="5" t="inlineStr"/>
      <c r="Y1724" s="5" t="inlineStr"/>
      <c r="Z1724" s="6" t="inlineStr"/>
      <c r="AA1724" s="5" t="inlineStr"/>
      <c r="AB1724" s="5" t="inlineStr"/>
      <c r="AC1724" s="5" t="inlineStr"/>
      <c r="AD1724" s="5" t="inlineStr"/>
      <c r="AE1724" s="5" t="inlineStr"/>
      <c r="AF1724" s="5" t="inlineStr"/>
      <c r="AG1724" s="5" t="inlineStr"/>
      <c r="AH1724" s="5" t="inlineStr"/>
      <c r="AI1724" s="5" t="inlineStr"/>
      <c r="AJ1724" s="5" t="inlineStr"/>
    </row>
    <row r="1725">
      <c r="A1725" s="5" t="inlineStr">
        <is>
          <t>b7-gorucu-kahve</t>
        </is>
      </c>
      <c r="B1725" s="5" t="n">
        <v>1</v>
      </c>
      <c r="C1725" s="6" t="inlineStr">
        <is>
          <t>Havadan sudan konuş</t>
        </is>
      </c>
      <c r="D1725" s="5" t="inlineStr"/>
      <c r="E1725" s="5" t="inlineStr"/>
      <c r="F1725" s="5" t="inlineStr">
        <is>
          <t>Sosyal Radar +1, Gönül +1</t>
        </is>
      </c>
      <c r="G1725" s="6" t="inlineStr">
        <is>
          <t>Kira fiyatlarından başladınız, ikinizin annesinde buluştunuz. Kahve soğudu, muhabbet soğumadı; garson iki kez “Başka bir şey?” diye geldi, ikisinde de “Biraz daha” dediniz.</t>
        </is>
      </c>
      <c r="H1725" s="6" t="inlineStr"/>
      <c r="I1725" s="6" t="inlineStr"/>
      <c r="J1725" s="6" t="inlineStr"/>
      <c r="K1725" s="6" t="inlineStr"/>
      <c r="L1725" s="6" t="inlineStr"/>
      <c r="M1725" s="5" t="inlineStr"/>
      <c r="N1725" s="5" t="inlineStr"/>
      <c r="O1725" s="6" t="inlineStr"/>
      <c r="P1725" s="6" t="inlineStr"/>
      <c r="Q1725" s="5" t="inlineStr"/>
      <c r="R1725" s="5" t="inlineStr"/>
      <c r="S1725" s="5" t="inlineStr"/>
      <c r="T1725" s="5" t="inlineStr"/>
      <c r="U1725" s="5" t="inlineStr"/>
      <c r="V1725" s="5" t="inlineStr"/>
      <c r="W1725" s="5" t="inlineStr"/>
      <c r="X1725" s="5" t="inlineStr"/>
      <c r="Y1725" s="5" t="inlineStr"/>
      <c r="Z1725" s="6" t="inlineStr"/>
      <c r="AA1725" s="5" t="inlineStr"/>
      <c r="AB1725" s="5" t="inlineStr"/>
      <c r="AC1725" s="5" t="inlineStr"/>
      <c r="AD1725" s="5" t="inlineStr"/>
      <c r="AE1725" s="5" t="inlineStr"/>
      <c r="AF1725" s="5" t="inlineStr"/>
      <c r="AG1725" s="5" t="inlineStr"/>
      <c r="AH1725" s="5" t="inlineStr"/>
      <c r="AI1725" s="5" t="inlineStr"/>
      <c r="AJ1725" s="5" t="inlineStr"/>
    </row>
    <row r="1726">
      <c r="A1726" s="5" t="inlineStr">
        <is>
          <t>b7-gorucu-kahve</t>
        </is>
      </c>
      <c r="B1726" s="5" t="n">
        <v>2</v>
      </c>
      <c r="C1726" s="6" t="inlineStr">
        <is>
          <t>Annelere el salla</t>
        </is>
      </c>
      <c r="D1726" s="5" t="inlineStr">
        <is>
          <t>Pişkinlik</t>
        </is>
      </c>
      <c r="E1726" s="5" t="inlineStr">
        <is>
          <t>Kolay</t>
        </is>
      </c>
      <c r="F1726" s="5" t="inlineStr"/>
      <c r="G1726" s="6" t="inlineStr"/>
      <c r="H1726" s="6" t="inlineStr">
        <is>
          <t>Döndün, iki anneye el salladın. Anneler gazeteyi indirdi, kıkırdadı, sonra yine kaldırdı; bu sefer düz. Karşındaki ilk kez gerçekten güldü.</t>
        </is>
      </c>
      <c r="I1726" s="6" t="inlineStr">
        <is>
          <t>Anneleri masanıza davet ettin. Dört kişilik bir kahve oldu; ikinci buluşmayı anneler ayarladı, üçüncüyü siz.</t>
        </is>
      </c>
      <c r="J1726" s="6" t="inlineStr">
        <is>
          <t>El salladın; anneler görmezden geldi. Gazetenin arkasından “Otur yerine” fısıltısı duyuldu.</t>
        </is>
      </c>
      <c r="K1726" s="6" t="inlineStr">
        <is>
          <t>El sallarken fincanı devirdin; kahve karşındakinin açık renk gömleğine gitti. İki anne gazeteyi atıp peçeteyle koştu. Akşam telefonda anlaştılar: “Leke çıkar, kısmet kaçmaz.” İkinci kahveyi onlar ayarladı, sana sormadılar.</t>
        </is>
      </c>
      <c r="L1726" s="6" t="inlineStr"/>
      <c r="M1726" s="5" t="inlineStr"/>
      <c r="N1726" s="5" t="inlineStr"/>
      <c r="O1726" s="6" t="inlineStr"/>
      <c r="P1726" s="6" t="inlineStr"/>
      <c r="Q1726" s="5" t="inlineStr"/>
      <c r="R1726" s="5" t="inlineStr"/>
      <c r="S1726" s="5" t="inlineStr"/>
      <c r="T1726" s="5" t="inlineStr"/>
      <c r="U1726" s="5" t="inlineStr"/>
      <c r="V1726" s="5" t="inlineStr"/>
      <c r="W1726" s="5" t="inlineStr"/>
      <c r="X1726" s="5" t="inlineStr"/>
      <c r="Y1726" s="5" t="inlineStr"/>
      <c r="Z1726" s="6" t="inlineStr"/>
      <c r="AA1726" s="5" t="inlineStr"/>
      <c r="AB1726" s="5" t="inlineStr"/>
      <c r="AC1726" s="5" t="inlineStr"/>
      <c r="AD1726" s="5" t="inlineStr"/>
      <c r="AE1726" s="5" t="inlineStr"/>
      <c r="AF1726" s="5" t="inlineStr"/>
      <c r="AG1726" s="5" t="inlineStr"/>
      <c r="AH1726" s="5" t="inlineStr"/>
      <c r="AI1726" s="5" t="inlineStr"/>
      <c r="AJ1726" s="5" t="inlineStr"/>
    </row>
    <row r="1727">
      <c r="A1727" s="5" t="inlineStr">
        <is>
          <t>b7-gorucu-kahve</t>
        </is>
      </c>
      <c r="B1727" s="5" t="n">
        <v>3</v>
      </c>
      <c r="C1727" s="6" t="inlineStr">
        <is>
          <t>Dürüstçe “Ben de istemeden geldim” de</t>
        </is>
      </c>
      <c r="D1727" s="5" t="inlineStr">
        <is>
          <t>Cesaret</t>
        </is>
      </c>
      <c r="E1727" s="5" t="inlineStr">
        <is>
          <t>Orta</t>
        </is>
      </c>
      <c r="F1727" s="5" t="inlineStr"/>
      <c r="G1727" s="6" t="inlineStr"/>
      <c r="H1727" s="6" t="inlineStr">
        <is>
          <t>“Ben de” dedi. İkiniz de istemeden gelmişsiniz; ikiniz de şimdi istemeden kalmak istiyorsunuz.</t>
        </is>
      </c>
      <c r="I1727" s="6" t="inlineStr">
        <is>
          <t>Dürüstlüğün öyle iyi geldi ki sohbet üç saat sürdü. Anneler sıkılıp eve gitti; siz fark etmediniz.</t>
        </is>
      </c>
      <c r="J1727" s="6" t="inlineStr">
        <is>
          <t>“Ben istemeden gelmedim” dedi. Kahvenin geri kalanı çok uzun sürdü.</t>
        </is>
      </c>
      <c r="K1727" s="6" t="inlineStr">
        <is>
          <t>Cümleyi söylediğin an iki anne aynı anda arkanda belirdi. Gazete ellerindeydi; düz tutuyorlardı.</t>
        </is>
      </c>
      <c r="L1727" s="6" t="inlineStr"/>
      <c r="M1727" s="5" t="inlineStr"/>
      <c r="N1727" s="5" t="inlineStr"/>
      <c r="O1727" s="6" t="inlineStr"/>
      <c r="P1727" s="6" t="inlineStr"/>
      <c r="Q1727" s="5" t="inlineStr"/>
      <c r="R1727" s="5" t="inlineStr"/>
      <c r="S1727" s="5" t="inlineStr"/>
      <c r="T1727" s="5" t="inlineStr"/>
      <c r="U1727" s="5" t="inlineStr"/>
      <c r="V1727" s="5" t="inlineStr"/>
      <c r="W1727" s="5" t="inlineStr"/>
      <c r="X1727" s="5" t="inlineStr"/>
      <c r="Y1727" s="5" t="inlineStr"/>
      <c r="Z1727" s="6" t="inlineStr"/>
      <c r="AA1727" s="5" t="inlineStr"/>
      <c r="AB1727" s="5" t="inlineStr"/>
      <c r="AC1727" s="5" t="inlineStr"/>
      <c r="AD1727" s="5" t="inlineStr"/>
      <c r="AE1727" s="5" t="inlineStr"/>
      <c r="AF1727" s="5" t="inlineStr"/>
      <c r="AG1727" s="5" t="inlineStr"/>
      <c r="AH1727" s="5" t="inlineStr"/>
      <c r="AI1727" s="5" t="inlineStr"/>
      <c r="AJ1727" s="5" t="inlineStr"/>
    </row>
    <row r="1728">
      <c r="A1728" s="5" t="inlineStr">
        <is>
          <t>b7-capkin-rezervasyon</t>
        </is>
      </c>
      <c r="B1728" s="5" t="n">
        <v>1</v>
      </c>
      <c r="C1728" s="6" t="inlineStr">
        <is>
          <t>Hepsine dürüst ol, tek tek bitir</t>
        </is>
      </c>
      <c r="D1728" s="5" t="inlineStr"/>
      <c r="E1728" s="5" t="inlineStr"/>
      <c r="F1728" s="5" t="inlineStr">
        <is>
          <t>İtibar +2</t>
        </is>
      </c>
      <c r="G1728" s="6" t="inlineStr">
        <is>
          <t>Üç ayrı kahve, üç ayrı veda. İkisi rahatladı, biri tebrik etti. Garson sana ücretsiz tatlı getirdi: “Bu kahramanlık.”</t>
        </is>
      </c>
      <c r="H1728" s="6" t="inlineStr"/>
      <c r="I1728" s="6" t="inlineStr"/>
      <c r="J1728" s="6" t="inlineStr"/>
      <c r="K1728" s="6" t="inlineStr"/>
      <c r="L1728" s="6" t="inlineStr"/>
      <c r="M1728" s="5" t="inlineStr"/>
      <c r="N1728" s="5" t="inlineStr"/>
      <c r="O1728" s="6" t="inlineStr"/>
      <c r="P1728" s="6" t="inlineStr"/>
      <c r="Q1728" s="5" t="inlineStr"/>
      <c r="R1728" s="5" t="inlineStr"/>
      <c r="S1728" s="5" t="inlineStr"/>
      <c r="T1728" s="5" t="inlineStr"/>
      <c r="U1728" s="5" t="inlineStr">
        <is>
          <t>-capkin, bekar</t>
        </is>
      </c>
      <c r="V1728" s="5" t="inlineStr"/>
      <c r="W1728" s="5" t="inlineStr"/>
      <c r="X1728" s="5" t="inlineStr"/>
      <c r="Y1728" s="5" t="inlineStr"/>
      <c r="Z1728" s="6" t="inlineStr"/>
      <c r="AA1728" s="5" t="inlineStr"/>
      <c r="AB1728" s="5" t="inlineStr"/>
      <c r="AC1728" s="5" t="inlineStr"/>
      <c r="AD1728" s="5" t="inlineStr"/>
      <c r="AE1728" s="5" t="inlineStr"/>
      <c r="AF1728" s="5" t="inlineStr"/>
      <c r="AG1728" s="5" t="inlineStr"/>
      <c r="AH1728" s="5" t="inlineStr"/>
      <c r="AI1728" s="5" t="inlineStr"/>
      <c r="AJ1728" s="5" t="inlineStr"/>
    </row>
    <row r="1729">
      <c r="A1729" s="5" t="inlineStr">
        <is>
          <t>b7-capkin-rezervasyon</t>
        </is>
      </c>
      <c r="B1729" s="5" t="n">
        <v>2</v>
      </c>
      <c r="C1729" s="6" t="inlineStr">
        <is>
          <t>Masayı çabucak değiştir</t>
        </is>
      </c>
      <c r="D1729" s="5" t="inlineStr">
        <is>
          <t>Kurnazlık</t>
        </is>
      </c>
      <c r="E1729" s="5" t="inlineStr">
        <is>
          <t>Zor</t>
        </is>
      </c>
      <c r="F1729" s="5" t="inlineStr"/>
      <c r="G1729" s="6" t="inlineStr"/>
      <c r="H1729" s="6" t="inlineStr">
        <is>
          <t>Garsonla göz göze geldiniz; masa iki saniyede değişti, mum yeniden yandı, menü yeniden geldi. Kimse bir şey anlamadı; garson bahşişi anladı.</t>
        </is>
      </c>
      <c r="I1729" s="6" t="inlineStr">
        <is>
          <t>Öyle ustaca geçtin ki ikinci akşamın kişisi de aynı restorana başkasıyla gelmişti; iki masa arasında iki saat idare ettin.</t>
        </is>
      </c>
      <c r="J1729" s="6" t="inlineStr">
        <is>
          <t>Masa değişti ama ceket eski masada kaldı. Ceketin cebinde bir fatura var; faturada iki tatlı yazıyor.</t>
        </is>
      </c>
      <c r="K1729" s="6" t="inlineStr">
        <is>
          <t>Masayı değiştirirken iki masadaki kişiler tanıştı. Şimdi arkadaşlar; tek ortak konuları sen.</t>
        </is>
      </c>
      <c r="L1729" s="6" t="inlineStr"/>
      <c r="M1729" s="5" t="inlineStr"/>
      <c r="N1729" s="5" t="inlineStr"/>
      <c r="O1729" s="6" t="inlineStr"/>
      <c r="P1729" s="6" t="inlineStr"/>
      <c r="Q1729" s="5" t="inlineStr"/>
      <c r="R1729" s="5" t="inlineStr"/>
      <c r="S1729" s="5" t="inlineStr"/>
      <c r="T1729" s="5" t="inlineStr"/>
      <c r="U1729" s="5" t="inlineStr"/>
      <c r="V1729" s="5" t="inlineStr"/>
      <c r="W1729" s="5" t="inlineStr">
        <is>
          <t>capkin-ifsa</t>
        </is>
      </c>
      <c r="X1729" s="5" t="inlineStr"/>
      <c r="Y1729" s="5" t="inlineStr"/>
      <c r="Z1729" s="6" t="inlineStr"/>
      <c r="AA1729" s="5" t="inlineStr"/>
      <c r="AB1729" s="5" t="inlineStr"/>
      <c r="AC1729" s="5" t="inlineStr"/>
      <c r="AD1729" s="5" t="inlineStr"/>
      <c r="AE1729" s="5" t="inlineStr"/>
      <c r="AF1729" s="5" t="inlineStr"/>
      <c r="AG1729" s="5" t="inlineStr"/>
      <c r="AH1729" s="5" t="inlineStr"/>
      <c r="AI1729" s="5" t="inlineStr"/>
      <c r="AJ1729" s="5" t="inlineStr"/>
    </row>
    <row r="1730">
      <c r="A1730" s="5" t="inlineStr">
        <is>
          <t>b7-capkin-rezervasyon</t>
        </is>
      </c>
      <c r="B1730" s="5" t="n">
        <v>3</v>
      </c>
      <c r="C1730" s="6" t="inlineStr">
        <is>
          <t>Erken geleni bara al, oyala</t>
        </is>
      </c>
      <c r="D1730" s="5" t="inlineStr">
        <is>
          <t>Çene</t>
        </is>
      </c>
      <c r="E1730" s="5" t="inlineStr">
        <is>
          <t>Orta</t>
        </is>
      </c>
      <c r="F1730" s="5" t="inlineStr"/>
      <c r="G1730" s="6" t="inlineStr"/>
      <c r="H1730" s="6" t="inlineStr">
        <is>
          <t>Erken geleni bara aldın: “Masa hazırlanıyor.” Öbür masaya gidip “Acil bir işim çıktı” dedin, geri döndün. Akşam tek kişiyle devam etti; garson hesabı getirirken yalnızca “Kolay gelsin” dedi.</t>
        </is>
      </c>
      <c r="I1730" s="6" t="inlineStr">
        <is>
          <t>Erken geleni bara aldın; sohbet öyle aktı ki öbür masaya gitmeyi unuttun. Bir saat sonra garson fısıldadı: “Öbür masa gitti.” “İyi” dedin; ilk kez gerçekten öyle düşünerek.</t>
        </is>
      </c>
      <c r="J1730" s="6" t="inlineStr">
        <is>
          <t>Barda konuşurken diğer masadaki kişi seni gördü ve sana el salladı. Sen de salladın; alışkanlık.</t>
        </is>
      </c>
      <c r="K1730" s="6" t="inlineStr">
        <is>
          <t>Bardaki kişi, diğer masadakinin kuzeni çıktı. Aile grubunda bir fotoğraf dolaşıyor; iyi çıkmışsın.</t>
        </is>
      </c>
      <c r="L1730" s="6" t="inlineStr"/>
      <c r="M1730" s="5" t="inlineStr"/>
      <c r="N1730" s="5" t="inlineStr"/>
      <c r="O1730" s="6" t="inlineStr"/>
      <c r="P1730" s="6" t="inlineStr"/>
      <c r="Q1730" s="5" t="inlineStr"/>
      <c r="R1730" s="5" t="inlineStr"/>
      <c r="S1730" s="5" t="inlineStr"/>
      <c r="T1730" s="5" t="inlineStr"/>
      <c r="U1730" s="5" t="inlineStr"/>
      <c r="V1730" s="5" t="inlineStr"/>
      <c r="W1730" s="5" t="inlineStr">
        <is>
          <t>capkin-ifsa</t>
        </is>
      </c>
      <c r="X1730" s="5" t="inlineStr"/>
      <c r="Y1730" s="5" t="inlineStr"/>
      <c r="Z1730" s="6" t="inlineStr"/>
      <c r="AA1730" s="5" t="inlineStr"/>
      <c r="AB1730" s="5" t="inlineStr"/>
      <c r="AC1730" s="5" t="inlineStr"/>
      <c r="AD1730" s="5" t="inlineStr"/>
      <c r="AE1730" s="5" t="inlineStr"/>
      <c r="AF1730" s="5" t="inlineStr"/>
      <c r="AG1730" s="5" t="inlineStr"/>
      <c r="AH1730" s="5" t="inlineStr"/>
      <c r="AI1730" s="5" t="inlineStr"/>
      <c r="AJ1730" s="5" t="inlineStr"/>
    </row>
    <row r="1731">
      <c r="A1731" s="5" t="inlineStr">
        <is>
          <t>b8-capkin-orta-yas</t>
        </is>
      </c>
      <c r="B1731" s="5" t="n">
        <v>1</v>
      </c>
      <c r="C1731" s="6" t="inlineStr">
        <is>
          <t>Hesabı öde, kalk, eve git</t>
        </is>
      </c>
      <c r="D1731" s="5" t="inlineStr"/>
      <c r="E1731" s="5" t="inlineStr"/>
      <c r="F1731" s="5" t="inlineStr">
        <is>
          <t>İtibar +1, Dayanıklılık +1</t>
        </is>
      </c>
      <c r="G1731" s="6" t="inlineStr">
        <is>
          <t>Kalktın, hesabı ödedin, eve yürüdün. Yolda ilk kez bir restoranın önünden içeri bakmadan geçtin.</t>
        </is>
      </c>
      <c r="H1731" s="6" t="inlineStr"/>
      <c r="I1731" s="6" t="inlineStr"/>
      <c r="J1731" s="6" t="inlineStr"/>
      <c r="K1731" s="6" t="inlineStr"/>
      <c r="L1731" s="6" t="inlineStr"/>
      <c r="M1731" s="5" t="inlineStr"/>
      <c r="N1731" s="5" t="inlineStr"/>
      <c r="O1731" s="6" t="inlineStr"/>
      <c r="P1731" s="6" t="inlineStr"/>
      <c r="Q1731" s="5" t="inlineStr"/>
      <c r="R1731" s="5" t="inlineStr"/>
      <c r="S1731" s="5" t="inlineStr"/>
      <c r="T1731" s="5" t="inlineStr"/>
      <c r="U1731" s="5" t="inlineStr"/>
      <c r="V1731" s="5" t="inlineStr"/>
      <c r="W1731" s="5" t="inlineStr"/>
      <c r="X1731" s="5" t="inlineStr"/>
      <c r="Y1731" s="5" t="inlineStr"/>
      <c r="Z1731" s="6" t="inlineStr"/>
      <c r="AA1731" s="5" t="inlineStr"/>
      <c r="AB1731" s="5" t="inlineStr"/>
      <c r="AC1731" s="5" t="inlineStr"/>
      <c r="AD1731" s="5" t="inlineStr"/>
      <c r="AE1731" s="5" t="inlineStr"/>
      <c r="AF1731" s="5" t="inlineStr"/>
      <c r="AG1731" s="5" t="inlineStr"/>
      <c r="AH1731" s="5" t="inlineStr"/>
      <c r="AI1731" s="5" t="inlineStr"/>
      <c r="AJ1731" s="5" t="inlineStr"/>
    </row>
    <row r="1732">
      <c r="A1732" s="5" t="inlineStr">
        <is>
          <t>b8-capkin-orta-yas</t>
        </is>
      </c>
      <c r="B1732" s="5" t="n">
        <v>2</v>
      </c>
      <c r="C1732" s="6" t="inlineStr">
        <is>
          <t>Durulmayı dene: tek birine teklif et</t>
        </is>
      </c>
      <c r="D1732" s="5" t="inlineStr">
        <is>
          <t>Gönül</t>
        </is>
      </c>
      <c r="E1732" s="5" t="inlineStr">
        <is>
          <t>Zor</t>
        </is>
      </c>
      <c r="F1732" s="5" t="inlineStr"/>
      <c r="G1732" s="6" t="inlineStr"/>
      <c r="H1732" s="6" t="inlineStr">
        <is>
          <t>Kırk dört yaşında ilk kez tek birine “Gel, bir ömür deneyelim” dedin. “Nihayet” dedi; bekliyormuş.</t>
        </is>
      </c>
      <c r="I1732" s="6" t="inlineStr">
        <is>
          <t>Teklifin öyle samimiydi ki düğüne eski buluşmalarının yarısı geldi. Hepsi aynı masaya düştü; takı sırasında birbirlerine “Sen de mi?” diye fısıldadılar ve kendi aralarında bir mesaj grubu kurdular.</t>
        </is>
      </c>
      <c r="J1732" s="6" t="inlineStr">
        <is>
          <t>Teklif ettin; “Seni tanıyorum” dedi. Bu cümle hem bir cevap hem bir özetti.</t>
        </is>
      </c>
      <c r="K1732" s="6" t="inlineStr">
        <is>
          <t>Tam “Bir ömür deneyelim” dedin ki yan masadan bir ses geldi: “Bana da aynı cümleyi kurmuştun.” Eski bir buluşman. Karşındaki kişi peçetesini katladı, kalktı, hesabı sana bıraktı.</t>
        </is>
      </c>
      <c r="L1732" s="6" t="inlineStr"/>
      <c r="M1732" s="5" t="inlineStr"/>
      <c r="N1732" s="5" t="inlineStr"/>
      <c r="O1732" s="6" t="inlineStr"/>
      <c r="P1732" s="6" t="inlineStr"/>
      <c r="Q1732" s="5" t="inlineStr"/>
      <c r="R1732" s="5" t="inlineStr"/>
      <c r="S1732" s="5" t="inlineStr"/>
      <c r="T1732" s="5" t="inlineStr"/>
      <c r="U1732" s="5" t="inlineStr"/>
      <c r="V1732" s="5" t="inlineStr">
        <is>
          <t>evli, -capkin</t>
        </is>
      </c>
      <c r="W1732" s="5" t="inlineStr"/>
      <c r="X1732" s="5" t="inlineStr"/>
      <c r="Y1732" s="5" t="inlineStr"/>
      <c r="Z1732" s="6" t="inlineStr"/>
      <c r="AA1732" s="5" t="inlineStr"/>
      <c r="AB1732" s="5" t="inlineStr"/>
      <c r="AC1732" s="5" t="inlineStr"/>
      <c r="AD1732" s="5" t="inlineStr"/>
      <c r="AE1732" s="5" t="inlineStr"/>
      <c r="AF1732" s="5" t="inlineStr"/>
      <c r="AG1732" s="5" t="inlineStr"/>
      <c r="AH1732" s="5" t="inlineStr"/>
      <c r="AI1732" s="5" t="inlineStr"/>
      <c r="AJ1732" s="5" t="inlineStr"/>
    </row>
    <row r="1733">
      <c r="A1733" s="5" t="inlineStr">
        <is>
          <t>b8-capkin-orta-yas</t>
        </is>
      </c>
      <c r="B1733" s="5" t="n">
        <v>3</v>
      </c>
      <c r="C1733" s="6" t="inlineStr">
        <is>
          <t>Genç garsona usta dersi ver</t>
        </is>
      </c>
      <c r="D1733" s="5" t="inlineStr">
        <is>
          <t>Pişkinlik</t>
        </is>
      </c>
      <c r="E1733" s="5" t="inlineStr">
        <is>
          <t>Orta</t>
        </is>
      </c>
      <c r="F1733" s="5" t="inlineStr"/>
      <c r="G1733" s="6" t="inlineStr"/>
      <c r="H1733" s="6" t="inlineStr">
        <is>
          <t>Garsona masa değiştirmenin inceliklerini anlattın. Not aldı. Bir efsane böyle devrediliyor.</t>
        </is>
      </c>
      <c r="I1733" s="6" t="inlineStr">
        <is>
          <t>Garson o kadar etkilendi ki restoran masanın üstüne küçük bir plaket astı. Adın yok; tarih var.</t>
        </is>
      </c>
      <c r="J1733" s="6" t="inlineStr">
        <is>
          <t>Garson seni dinledi, sonra kibarca “Sizin zamanınızda kolaymış” dedi. Kırk dört yaşın o “sizin” kelimesinde.</t>
        </is>
      </c>
      <c r="K1733" s="6" t="inlineStr">
        <is>
          <t>Garsona ders verirken arkandan bir ses geldi: “Bu masada bana da aynısını anlatmıştın.” Eski bir buluşman. Garson defterini kapattı: “Tamam, bu kısmı anladım.”</t>
        </is>
      </c>
      <c r="L1733" s="6" t="inlineStr"/>
      <c r="M1733" s="5" t="inlineStr"/>
      <c r="N1733" s="5" t="inlineStr"/>
      <c r="O1733" s="6" t="inlineStr"/>
      <c r="P1733" s="6" t="inlineStr"/>
      <c r="Q1733" s="5" t="inlineStr"/>
      <c r="R1733" s="5" t="inlineStr"/>
      <c r="S1733" s="5" t="inlineStr"/>
      <c r="T1733" s="5" t="inlineStr"/>
      <c r="U1733" s="5" t="inlineStr"/>
      <c r="V1733" s="5" t="inlineStr"/>
      <c r="W1733" s="5" t="inlineStr"/>
      <c r="X1733" s="5" t="inlineStr"/>
      <c r="Y1733" s="5" t="inlineStr"/>
      <c r="Z1733" s="6" t="inlineStr"/>
      <c r="AA1733" s="5" t="inlineStr"/>
      <c r="AB1733" s="5" t="inlineStr"/>
      <c r="AC1733" s="5" t="inlineStr"/>
      <c r="AD1733" s="5" t="inlineStr"/>
      <c r="AE1733" s="5" t="inlineStr"/>
      <c r="AF1733" s="5" t="inlineStr"/>
      <c r="AG1733" s="5" t="inlineStr"/>
      <c r="AH1733" s="5" t="inlineStr"/>
      <c r="AI1733" s="5" t="inlineStr"/>
      <c r="AJ1733" s="5" t="inlineStr"/>
    </row>
    <row r="1734">
      <c r="A1734" s="5" t="inlineStr">
        <is>
          <t>b7-evin-oglu</t>
        </is>
      </c>
      <c r="B1734" s="5" t="n">
        <v>1</v>
      </c>
      <c r="C1734" s="6" t="inlineStr">
        <is>
          <t>Durumu kabullen, annenin sofrasına otur</t>
        </is>
      </c>
      <c r="D1734" s="5" t="inlineStr"/>
      <c r="E1734" s="5" t="inlineStr"/>
      <c r="F1734" s="5" t="inlineStr">
        <is>
          <t>Dayanıklılık +1, Gönül +1</t>
        </is>
      </c>
      <c r="G1734" s="6" t="inlineStr">
        <is>
          <t>Sofraya oturdun. Annen sana hâlâ “Üşüme” diyor; kırk derecede. Ev sıcak, yemek sıcak, soru yok. Soru bayramda geliyor, halandan: “Bu hâlâ burada mı?”</t>
        </is>
      </c>
      <c r="H1734" s="6" t="inlineStr"/>
      <c r="I1734" s="6" t="inlineStr"/>
      <c r="J1734" s="6" t="inlineStr"/>
      <c r="K1734" s="6" t="inlineStr"/>
      <c r="L1734" s="6" t="inlineStr"/>
      <c r="M1734" s="5" t="inlineStr"/>
      <c r="N1734" s="5" t="inlineStr"/>
      <c r="O1734" s="6" t="inlineStr"/>
      <c r="P1734" s="6" t="inlineStr"/>
      <c r="Q1734" s="5" t="inlineStr"/>
      <c r="R1734" s="5" t="inlineStr"/>
      <c r="S1734" s="5" t="inlineStr"/>
      <c r="T1734" s="5" t="inlineStr"/>
      <c r="U1734" s="5" t="inlineStr">
        <is>
          <t>evin-oglu</t>
        </is>
      </c>
      <c r="V1734" s="5" t="inlineStr"/>
      <c r="W1734" s="5" t="inlineStr"/>
      <c r="X1734" s="5" t="inlineStr"/>
      <c r="Y1734" s="5" t="inlineStr"/>
      <c r="Z1734" s="6" t="inlineStr"/>
      <c r="AA1734" s="5" t="inlineStr"/>
      <c r="AB1734" s="5" t="inlineStr"/>
      <c r="AC1734" s="5" t="inlineStr"/>
      <c r="AD1734" s="5" t="inlineStr"/>
      <c r="AE1734" s="5" t="inlineStr"/>
      <c r="AF1734" s="5" t="inlineStr"/>
      <c r="AG1734" s="5" t="inlineStr"/>
      <c r="AH1734" s="5" t="inlineStr"/>
      <c r="AI1734" s="5" t="inlineStr"/>
      <c r="AJ1734" s="5" t="inlineStr"/>
    </row>
    <row r="1735">
      <c r="A1735" s="5" t="inlineStr">
        <is>
          <t>b7-evin-oglu</t>
        </is>
      </c>
      <c r="B1735" s="5" t="n">
        <v>2</v>
      </c>
      <c r="C1735" s="6" t="inlineStr">
        <is>
          <t>Annenle yetişkin sözleşmesi yap</t>
        </is>
      </c>
      <c r="D1735" s="5" t="inlineStr">
        <is>
          <t>Çene</t>
        </is>
      </c>
      <c r="E1735" s="5" t="inlineStr">
        <is>
          <t>Orta</t>
        </is>
      </c>
      <c r="F1735" s="5" t="inlineStr"/>
      <c r="G1735" s="6" t="inlineStr"/>
      <c r="H1735" s="6" t="inlineStr">
        <is>
          <t>Mutfak masasında bir sözleşme imzaladınız: çamaşır senin, yemek onun, soru saat dokuzdan sonra yok. Annen sözleşmeyi buzdolabına astı.</t>
        </is>
      </c>
      <c r="I1735" s="6" t="inlineStr">
        <is>
          <t>Sözleşme öyle adil oldu ki baban da imzalamak istedi. Evde ilk kez kimse kimseye “Nereye?” demiyor.</t>
        </is>
      </c>
      <c r="J1735" s="6" t="inlineStr">
        <is>
          <t>Sözleşmeyi okudu, “Güzel yazmışsın” dedi ve çekmeceye koydu. Çekmecede senin ilkokul karnen de var.</t>
        </is>
      </c>
      <c r="K1735" s="6" t="inlineStr">
        <is>
          <t>İlk maddeyi okudun: “Odama kapı çalınarak girilir.” Annen kapıyı çaldı, girdi, “Oldu mu?” dedi, kirli çamaşırlarını alıp çıktı. Sözleşme o akşam sarmanın altına serildi.</t>
        </is>
      </c>
      <c r="L1735" s="6" t="inlineStr"/>
      <c r="M1735" s="5" t="inlineStr"/>
      <c r="N1735" s="5" t="inlineStr"/>
      <c r="O1735" s="6" t="inlineStr"/>
      <c r="P1735" s="6" t="inlineStr"/>
      <c r="Q1735" s="5" t="inlineStr"/>
      <c r="R1735" s="5" t="inlineStr"/>
      <c r="S1735" s="5" t="inlineStr"/>
      <c r="T1735" s="5" t="inlineStr"/>
      <c r="U1735" s="5" t="inlineStr">
        <is>
          <t>evin-oglu</t>
        </is>
      </c>
      <c r="V1735" s="5" t="inlineStr"/>
      <c r="W1735" s="5" t="inlineStr"/>
      <c r="X1735" s="5" t="inlineStr"/>
      <c r="Y1735" s="5" t="inlineStr"/>
      <c r="Z1735" s="6" t="inlineStr"/>
      <c r="AA1735" s="5" t="inlineStr"/>
      <c r="AB1735" s="5" t="inlineStr"/>
      <c r="AC1735" s="5" t="inlineStr"/>
      <c r="AD1735" s="5" t="inlineStr"/>
      <c r="AE1735" s="5" t="inlineStr"/>
      <c r="AF1735" s="5" t="inlineStr"/>
      <c r="AG1735" s="5" t="inlineStr"/>
      <c r="AH1735" s="5" t="inlineStr"/>
      <c r="AI1735" s="5" t="inlineStr"/>
      <c r="AJ1735" s="5" t="inlineStr"/>
    </row>
    <row r="1736">
      <c r="A1736" s="5" t="inlineStr">
        <is>
          <t>b7-evin-oglu</t>
        </is>
      </c>
      <c r="B1736" s="5" t="n">
        <v>3</v>
      </c>
      <c r="C1736" s="6" t="inlineStr">
        <is>
          <t>Sonunda kendi evine taşın</t>
        </is>
      </c>
      <c r="D1736" s="5" t="inlineStr">
        <is>
          <t>Cesaret</t>
        </is>
      </c>
      <c r="E1736" s="5" t="inlineStr">
        <is>
          <t>Zor</t>
        </is>
      </c>
      <c r="F1736" s="5" t="inlineStr"/>
      <c r="G1736" s="6" t="inlineStr"/>
      <c r="H1736" s="6" t="inlineStr">
        <is>
          <t>Otuz beşinde kendi anahtarın var. Annen ilk hafta her gün yemek getirdi, ikinci hafta gün aşırı. Üçüncü hafta kendi yemeğini yaptın; yandı ama senindi.</t>
        </is>
      </c>
      <c r="I1736" s="6" t="inlineStr">
        <is>
          <t>Taşındığın ev annenin evine tam iki sokak uzak. Uzaklık tam kıvamında: yemek sıcak gelir, soru soğuk.</t>
        </is>
      </c>
      <c r="J1736" s="6" t="inlineStr">
        <is>
          <t>Ev baktın, kira baktın, annene baktın. Annen “Neyin eksik?” dedi. Cevap veremedin; kaldın.</t>
        </is>
      </c>
      <c r="K1736" s="6" t="inlineStr">
        <is>
          <t>Taşındın, ilk gece su borusu patladı. Annenin evine döndün; odan hâlâ hazırdı, sanki biliyormuş.</t>
        </is>
      </c>
      <c r="L1736" s="6" t="inlineStr"/>
      <c r="M1736" s="5" t="inlineStr"/>
      <c r="N1736" s="5" t="inlineStr"/>
      <c r="O1736" s="6" t="inlineStr"/>
      <c r="P1736" s="6" t="inlineStr"/>
      <c r="Q1736" s="5" t="inlineStr"/>
      <c r="R1736" s="5" t="inlineStr"/>
      <c r="S1736" s="5" t="inlineStr"/>
      <c r="T1736" s="5" t="inlineStr"/>
      <c r="U1736" s="5" t="inlineStr"/>
      <c r="V1736" s="5" t="inlineStr">
        <is>
          <t>kiraci, -evde-kaldi</t>
        </is>
      </c>
      <c r="W1736" s="5" t="inlineStr"/>
      <c r="X1736" s="5" t="inlineStr"/>
      <c r="Y1736" s="5" t="inlineStr"/>
      <c r="Z1736" s="6" t="inlineStr"/>
      <c r="AA1736" s="5" t="inlineStr"/>
      <c r="AB1736" s="5" t="inlineStr">
        <is>
          <t>evin-oglu</t>
        </is>
      </c>
      <c r="AC1736" s="5" t="inlineStr"/>
      <c r="AD1736" s="5" t="inlineStr"/>
      <c r="AE1736" s="5" t="inlineStr"/>
      <c r="AF1736" s="5" t="inlineStr"/>
      <c r="AG1736" s="5" t="inlineStr"/>
      <c r="AH1736" s="5" t="inlineStr"/>
      <c r="AI1736" s="5" t="inlineStr"/>
      <c r="AJ1736" s="5" t="inlineStr"/>
    </row>
    <row r="1737">
      <c r="A1737" s="5" t="inlineStr">
        <is>
          <t>b8-evin-oglu-orta</t>
        </is>
      </c>
      <c r="B1737" s="5" t="n">
        <v>1</v>
      </c>
      <c r="C1737" s="6" t="inlineStr">
        <is>
          <t>Takvime uy</t>
        </is>
      </c>
      <c r="D1737" s="5" t="inlineStr"/>
      <c r="E1737" s="5" t="inlineStr"/>
      <c r="F1737" s="5" t="inlineStr">
        <is>
          <t>Gönül +1</t>
        </is>
      </c>
      <c r="G1737" s="6" t="inlineStr">
        <is>
          <t>Pazartesi mercimek, salı fasulye. Hayatının en düzenli yılları annenin tencere takviminde geçiyor. Kimse itiraz edemiyor; tencereye itiraz edilmez.</t>
        </is>
      </c>
      <c r="H1737" s="6" t="inlineStr"/>
      <c r="I1737" s="6" t="inlineStr"/>
      <c r="J1737" s="6" t="inlineStr"/>
      <c r="K1737" s="6" t="inlineStr"/>
      <c r="L1737" s="6" t="inlineStr"/>
      <c r="M1737" s="5" t="inlineStr"/>
      <c r="N1737" s="5" t="inlineStr"/>
      <c r="O1737" s="6" t="inlineStr"/>
      <c r="P1737" s="6" t="inlineStr"/>
      <c r="Q1737" s="5" t="inlineStr"/>
      <c r="R1737" s="5" t="inlineStr"/>
      <c r="S1737" s="5" t="inlineStr"/>
      <c r="T1737" s="5" t="inlineStr"/>
      <c r="U1737" s="5" t="inlineStr"/>
      <c r="V1737" s="5" t="inlineStr"/>
      <c r="W1737" s="5" t="inlineStr"/>
      <c r="X1737" s="5" t="inlineStr"/>
      <c r="Y1737" s="5" t="inlineStr"/>
      <c r="Z1737" s="6" t="inlineStr"/>
      <c r="AA1737" s="5" t="inlineStr"/>
      <c r="AB1737" s="5" t="inlineStr"/>
      <c r="AC1737" s="5" t="inlineStr"/>
      <c r="AD1737" s="5" t="inlineStr"/>
      <c r="AE1737" s="5" t="inlineStr"/>
      <c r="AF1737" s="5" t="inlineStr"/>
      <c r="AG1737" s="5" t="inlineStr"/>
      <c r="AH1737" s="5" t="inlineStr"/>
      <c r="AI1737" s="5" t="inlineStr"/>
      <c r="AJ1737" s="5" t="inlineStr"/>
    </row>
    <row r="1738">
      <c r="A1738" s="5" t="inlineStr">
        <is>
          <t>b8-evin-oglu-orta</t>
        </is>
      </c>
      <c r="B1738" s="5" t="n">
        <v>2</v>
      </c>
      <c r="C1738" s="6" t="inlineStr">
        <is>
          <t>Bu sefer yemeği sen yap</t>
        </is>
      </c>
      <c r="D1738" s="5" t="inlineStr">
        <is>
          <t>Akıl</t>
        </is>
      </c>
      <c r="E1738" s="5" t="inlineStr">
        <is>
          <t>Orta</t>
        </is>
      </c>
      <c r="F1738" s="5" t="inlineStr"/>
      <c r="G1738" s="6" t="inlineStr"/>
      <c r="H1738" s="6" t="inlineStr">
        <is>
          <t>Salı günü fasulyeyi sen yaptın. Annen bir kaşık aldı, uzun sustu, sonra “Tuzu biraz az” dedi. Ertesi hafta kendi fasulyesine de az tuz attı.</t>
        </is>
      </c>
      <c r="I1738" s="6" t="inlineStr">
        <is>
          <t>Yemeğin öyle güzel oldu ki annen komşulara tabak tabak dağıttı: “Evladım yaptı.” Ertesi gün kendi fasulyesini yaptı, onu da dağıttı; karşılaştırsınlar diye.</t>
        </is>
      </c>
      <c r="J1738" s="6" t="inlineStr">
        <is>
          <t>Fasulyeyi yaptın; annen tadına baktı, üstüne biraz tuz, biraz salça, biraz daha ekledi. Sonunda kendi fasulyesi oldu.</t>
        </is>
      </c>
      <c r="K1738" s="6" t="inlineStr">
        <is>
          <t>Fasulyeyi yaktın; annenin çeyizinden kalan tencereyle birlikte. Annen tencereyi balkona koydu, bir saat başında bekledi. Akşam yine mercimek pişti; salı olduğu hâlde.</t>
        </is>
      </c>
      <c r="L1738" s="6" t="inlineStr"/>
      <c r="M1738" s="5" t="inlineStr"/>
      <c r="N1738" s="5" t="inlineStr"/>
      <c r="O1738" s="6" t="inlineStr"/>
      <c r="P1738" s="6" t="inlineStr"/>
      <c r="Q1738" s="5" t="inlineStr"/>
      <c r="R1738" s="5" t="inlineStr"/>
      <c r="S1738" s="5" t="inlineStr"/>
      <c r="T1738" s="5" t="inlineStr"/>
      <c r="U1738" s="5" t="inlineStr"/>
      <c r="V1738" s="5" t="inlineStr"/>
      <c r="W1738" s="5" t="inlineStr"/>
      <c r="X1738" s="5" t="inlineStr"/>
      <c r="Y1738" s="5" t="inlineStr"/>
      <c r="Z1738" s="6" t="inlineStr"/>
      <c r="AA1738" s="5" t="inlineStr"/>
      <c r="AB1738" s="5" t="inlineStr"/>
      <c r="AC1738" s="5" t="inlineStr"/>
      <c r="AD1738" s="5" t="inlineStr"/>
      <c r="AE1738" s="5" t="inlineStr"/>
      <c r="AF1738" s="5" t="inlineStr"/>
      <c r="AG1738" s="5" t="inlineStr"/>
      <c r="AH1738" s="5" t="inlineStr"/>
      <c r="AI1738" s="5" t="inlineStr"/>
      <c r="AJ1738" s="5" t="inlineStr"/>
    </row>
    <row r="1739">
      <c r="A1739" s="5" t="inlineStr">
        <is>
          <t>b8-evin-oglu-orta</t>
        </is>
      </c>
      <c r="B1739" s="5" t="n">
        <v>3</v>
      </c>
      <c r="C1739" s="6" t="inlineStr">
        <is>
          <t>Annene de bir hayat öner: kurs, gezi, arkadaş</t>
        </is>
      </c>
      <c r="D1739" s="5" t="inlineStr">
        <is>
          <t>Sosyal Radar</t>
        </is>
      </c>
      <c r="E1739" s="5" t="inlineStr">
        <is>
          <t>Zor</t>
        </is>
      </c>
      <c r="F1739" s="5" t="inlineStr"/>
      <c r="G1739" s="6" t="inlineStr"/>
      <c r="H1739" s="6" t="inlineStr">
        <is>
          <t>Annene bir resim kursu buldun. Artık salı akşamları fasulye yok; resim var. İkiniz de yeni bir şey öğreniyorsunuz: yalnız kalmayı.</t>
        </is>
      </c>
      <c r="I1739" s="6" t="inlineStr">
        <is>
          <t>Annen kurstan bir arkadaş grubu edindi. Artık senden izin istemeden geziye gidiyor; sen de ilk kez evde tek başına yemek yiyorsun.</t>
        </is>
      </c>
      <c r="J1739" s="6" t="inlineStr">
        <is>
          <t>Annen kursa bir kez gitti, döndü: “Orada kimse tencere konuşmuyor.”</t>
        </is>
      </c>
      <c r="K1739" s="6" t="inlineStr">
        <is>
          <t>Önerini duyunca annen seni evlendirmeye karar verdi. Kursun yerini görücü kahveleri aldı.</t>
        </is>
      </c>
      <c r="L1739" s="6" t="inlineStr"/>
      <c r="M1739" s="5" t="inlineStr"/>
      <c r="N1739" s="5" t="inlineStr"/>
      <c r="O1739" s="6" t="inlineStr"/>
      <c r="P1739" s="6" t="inlineStr"/>
      <c r="Q1739" s="5" t="inlineStr"/>
      <c r="R1739" s="5" t="inlineStr"/>
      <c r="S1739" s="5" t="inlineStr"/>
      <c r="T1739" s="5" t="inlineStr"/>
      <c r="U1739" s="5" t="inlineStr"/>
      <c r="V1739" s="5" t="inlineStr"/>
      <c r="W1739" s="5" t="inlineStr"/>
      <c r="X1739" s="5" t="inlineStr"/>
      <c r="Y1739" s="5" t="inlineStr"/>
      <c r="Z1739" s="6" t="inlineStr"/>
      <c r="AA1739" s="5" t="inlineStr"/>
      <c r="AB1739" s="5" t="inlineStr"/>
      <c r="AC1739" s="5" t="inlineStr"/>
      <c r="AD1739" s="5" t="inlineStr"/>
      <c r="AE1739" s="5" t="inlineStr"/>
      <c r="AF1739" s="5" t="inlineStr"/>
      <c r="AG1739" s="5" t="inlineStr"/>
      <c r="AH1739" s="5" t="inlineStr"/>
      <c r="AI1739" s="5" t="inlineStr"/>
      <c r="AJ1739" s="5" t="inlineStr"/>
    </row>
    <row r="1740">
      <c r="A1740" s="5" t="inlineStr">
        <is>
          <t>kriz-7</t>
        </is>
      </c>
      <c r="B1740" s="5" t="n">
        <v>1</v>
      </c>
      <c r="C1740" s="6" t="inlineStr">
        <is>
          <t>Dişini sık, dayan</t>
        </is>
      </c>
      <c r="D1740" s="5" t="inlineStr"/>
      <c r="E1740" s="5" t="inlineStr"/>
      <c r="F1740" s="5" t="inlineStr">
        <is>
          <t>Dayanıklılık +1, Gönül +1</t>
        </is>
      </c>
      <c r="G1740" s="6" t="inlineStr">
        <is>
          <t>Dişini sıktın, birikim eridi. Bir akşam annen bileziğini çıkarıp masaya, “Şimdi?” yazan kâğıdın yanına koydu. Almadın; ama o gece ilk kez rahat uyudun.</t>
        </is>
      </c>
      <c r="H1740" s="6" t="inlineStr"/>
      <c r="I1740" s="6" t="inlineStr"/>
      <c r="J1740" s="6" t="inlineStr"/>
      <c r="K1740" s="6" t="inlineStr"/>
      <c r="L1740" s="6" t="inlineStr"/>
      <c r="M1740" s="5" t="inlineStr"/>
      <c r="N1740" s="5" t="inlineStr"/>
      <c r="O1740" s="6" t="inlineStr"/>
      <c r="P1740" s="6" t="inlineStr"/>
      <c r="Q1740" s="5" t="inlineStr"/>
      <c r="R1740" s="5" t="inlineStr"/>
      <c r="S1740" s="5" t="inlineStr"/>
      <c r="T1740" s="5" t="inlineStr"/>
      <c r="U1740" s="5" t="inlineStr"/>
      <c r="V1740" s="5" t="inlineStr"/>
      <c r="W1740" s="5" t="inlineStr"/>
      <c r="X1740" s="5" t="inlineStr"/>
      <c r="Y1740" s="5" t="inlineStr"/>
      <c r="Z1740" s="6" t="inlineStr"/>
      <c r="AA1740" s="5" t="inlineStr"/>
      <c r="AB1740" s="5" t="inlineStr"/>
      <c r="AC1740" s="5" t="inlineStr"/>
      <c r="AD1740" s="5" t="inlineStr"/>
      <c r="AE1740" s="5" t="inlineStr"/>
      <c r="AF1740" s="5" t="n">
        <v>1</v>
      </c>
      <c r="AG1740" s="5" t="inlineStr"/>
      <c r="AH1740" s="5" t="inlineStr"/>
      <c r="AI1740" s="5" t="inlineStr"/>
      <c r="AJ1740" s="5" t="inlineStr"/>
    </row>
    <row r="1741">
      <c r="A1741" s="5" t="inlineStr">
        <is>
          <t>kriz-7</t>
        </is>
      </c>
      <c r="B1741" s="5" t="n">
        <v>2</v>
      </c>
      <c r="C1741" s="6" t="inlineStr">
        <is>
          <t>Mahalleden borç iste</t>
        </is>
      </c>
      <c r="D1741" s="5" t="inlineStr"/>
      <c r="E1741" s="5" t="inlineStr"/>
      <c r="F1741" s="5" t="inlineStr">
        <is>
          <t>İtibar +1, Dayanıklılık +1</t>
        </is>
      </c>
      <c r="G1741" s="6" t="inlineStr">
        <is>
          <t>Kahvede bir cümle kurdun, akşama kadar üç zarf geldi; hiçbirinde senet yok. Birikimin yerinde kaldı; borcun mahalleye. Ödeyeceğin gün herkes ayrı ayrı “Ne gerek vardı” diyecek.</t>
        </is>
      </c>
      <c r="H1741" s="6" t="inlineStr"/>
      <c r="I1741" s="6" t="inlineStr"/>
      <c r="J1741" s="6" t="inlineStr"/>
      <c r="K1741" s="6" t="inlineStr"/>
      <c r="L1741" s="6" t="inlineStr"/>
      <c r="M1741" s="5" t="inlineStr"/>
      <c r="N1741" s="5" t="inlineStr"/>
      <c r="O1741" s="6" t="inlineStr"/>
      <c r="P1741" s="6" t="inlineStr"/>
      <c r="Q1741" s="5" t="inlineStr"/>
      <c r="R1741" s="5" t="inlineStr"/>
      <c r="S1741" s="5" t="inlineStr"/>
      <c r="T1741" s="5" t="inlineStr"/>
      <c r="U1741" s="5" t="inlineStr"/>
      <c r="V1741" s="5" t="inlineStr"/>
      <c r="W1741" s="5" t="inlineStr"/>
      <c r="X1741" s="5" t="inlineStr"/>
      <c r="Y1741" s="5" t="inlineStr"/>
      <c r="Z1741" s="6" t="inlineStr"/>
      <c r="AA1741" s="5" t="inlineStr"/>
      <c r="AB1741" s="5" t="inlineStr"/>
      <c r="AC1741" s="5" t="inlineStr"/>
      <c r="AD1741" s="5" t="inlineStr"/>
      <c r="AE1741" s="5" t="inlineStr"/>
      <c r="AF1741" s="5" t="inlineStr"/>
      <c r="AG1741" s="5" t="inlineStr"/>
      <c r="AH1741" s="5" t="inlineStr">
        <is>
          <t>İtibar 43</t>
        </is>
      </c>
      <c r="AI1741" s="5" t="inlineStr"/>
      <c r="AJ1741" s="5" t="inlineStr"/>
    </row>
    <row r="1742">
      <c r="A1742" s="5" t="inlineStr">
        <is>
          <t>kriz-7</t>
        </is>
      </c>
      <c r="B1742" s="5" t="n">
        <v>3</v>
      </c>
      <c r="C1742" s="6" t="inlineStr">
        <is>
          <t>Tezgâh aç, esnaflığa geç</t>
        </is>
      </c>
      <c r="D1742" s="5" t="inlineStr">
        <is>
          <t>Kurnazlık</t>
        </is>
      </c>
      <c r="E1742" s="5" t="inlineStr">
        <is>
          <t>Zor</t>
        </is>
      </c>
      <c r="F1742" s="5" t="inlineStr"/>
      <c r="G1742" s="6" t="inlineStr"/>
      <c r="H1742" s="6" t="inlineStr">
        <is>
          <t>Elindeki son birikimle küçük bir dükkân tuttun. Tabelayı astığın gün annen gelip kapıya nazar boncuğu astı; ilk alışverişi de o yaptı: bir paket çay, “Üstü kalsın.”</t>
        </is>
      </c>
      <c r="I1742" s="6" t="inlineStr">
        <is>
          <t>Dükkân ilk ayında kira çıkardı, ikinci ayında seni. Mahallede artık “Yeni esnaf” diye biliniyorsun; yeni ama ağzı laf yapan.</t>
        </is>
      </c>
      <c r="J1742" s="6" t="inlineStr">
        <is>
          <t>Dükkân tutmaya gittin; kira cebindekinin iki katıydı. Eski işine, eski yorgunluğuna döndün.</t>
        </is>
      </c>
      <c r="K1742" s="6" t="inlineStr">
        <is>
          <t>Dükkânı açtın, açılış günü sokak kazıldı. Üç ay kimse kapına ulaşamadı; sen de kapattın, eski işine döndün.</t>
        </is>
      </c>
      <c r="L1742" s="6" t="inlineStr"/>
      <c r="M1742" s="5" t="inlineStr"/>
      <c r="N1742" s="5" t="inlineStr"/>
      <c r="O1742" s="6" t="inlineStr"/>
      <c r="P1742" s="6" t="inlineStr"/>
      <c r="Q1742" s="5" t="inlineStr"/>
      <c r="R1742" s="5" t="inlineStr"/>
      <c r="S1742" s="5" t="inlineStr"/>
      <c r="T1742" s="5" t="inlineStr"/>
      <c r="U1742" s="5" t="inlineStr"/>
      <c r="V1742" s="5" t="inlineStr">
        <is>
          <t>-hat-cete, -hat-dolandirici, -hat-girisimci, -hat-goc, -hat-hekim, -hat-koy, -hat-polis, -hat-politika, -hat-sohret, -hat-usta, -hat-yargi, -meslek-beyazyaka, -meslek-memur, -meslek-serbest, meslek-esnaf</t>
        </is>
      </c>
      <c r="W1742" s="5" t="inlineStr"/>
      <c r="X1742" s="5" t="inlineStr"/>
      <c r="Y1742" s="5" t="inlineStr"/>
      <c r="Z1742" s="6" t="inlineStr"/>
      <c r="AA1742" s="5" t="inlineStr"/>
      <c r="AB1742" s="5" t="inlineStr"/>
      <c r="AC1742" s="5" t="inlineStr"/>
      <c r="AD1742" s="5" t="inlineStr"/>
      <c r="AE1742" s="5" t="inlineStr"/>
      <c r="AF1742" s="5" t="inlineStr"/>
      <c r="AG1742" s="5" t="inlineStr">
        <is>
          <t>meslek-esnaf</t>
        </is>
      </c>
      <c r="AH1742" s="5" t="inlineStr"/>
      <c r="AI1742" s="5" t="inlineStr"/>
      <c r="AJ1742" s="5" t="inlineStr"/>
    </row>
    <row r="1743">
      <c r="A1743" s="5" t="inlineStr">
        <is>
          <t>kriz-7</t>
        </is>
      </c>
      <c r="B1743" s="5" t="n">
        <v>4</v>
      </c>
      <c r="C1743" s="6" t="inlineStr">
        <is>
          <t>Kendi girişimini kur</t>
        </is>
      </c>
      <c r="D1743" s="5" t="inlineStr">
        <is>
          <t>Cesaret</t>
        </is>
      </c>
      <c r="E1743" s="5" t="inlineStr">
        <is>
          <t>Zor</t>
        </is>
      </c>
      <c r="F1743" s="5" t="inlineStr"/>
      <c r="G1743" s="6" t="inlineStr"/>
      <c r="H1743" s="6" t="inlineStr">
        <is>
          <t>Bir fikir, bir sunum, bir kafe masası. Şirketin kuruldu. Annen komşulara hâlâ “Bilgisayarla ilgili bir şey” diye anlatıyor.</t>
        </is>
      </c>
      <c r="I1743" s="6" t="inlineStr">
        <is>
          <t>İlk sunumda yatırımcı dosyana baktı, sonra sana: “Batıp çıkmış birini arıyorduk.” Mutfak masasındaki “Şimdi?” kâğıdını çerçeveletip yeni ofisin duvarına astın.</t>
        </is>
      </c>
      <c r="J1743" s="6" t="inlineStr">
        <is>
          <t>Fikrin güzeldi, zamanlaman değil. Eski işine döndün; fikir çekmecede bekliyor.</t>
        </is>
      </c>
      <c r="K1743" s="6" t="inlineStr">
        <is>
          <t>Şirketi kurdun, ilk hafta ortağın fikrinle birlikte ortadan kayboldu. Eski işine döndün; bir de avukatın var artık.</t>
        </is>
      </c>
      <c r="L1743" s="6" t="inlineStr"/>
      <c r="M1743" s="5" t="inlineStr"/>
      <c r="N1743" s="5" t="inlineStr"/>
      <c r="O1743" s="6" t="inlineStr"/>
      <c r="P1743" s="6" t="inlineStr"/>
      <c r="Q1743" s="5" t="inlineStr"/>
      <c r="R1743" s="5" t="inlineStr"/>
      <c r="S1743" s="5" t="inlineStr"/>
      <c r="T1743" s="5" t="inlineStr"/>
      <c r="U1743" s="5" t="inlineStr"/>
      <c r="V1743" s="5" t="inlineStr">
        <is>
          <t>-hat-cete, -hat-dolandirici, -hat-goc, -hat-hekim, -hat-koy, -hat-polis, -hat-politika, -hat-sohret, -hat-usta, -hat-yargi, -meslek-beyazyaka, -meslek-esnaf, -meslek-memur, hat-girisimci, meslek-serbest</t>
        </is>
      </c>
      <c r="W1743" s="5" t="inlineStr"/>
      <c r="X1743" s="5" t="inlineStr"/>
      <c r="Y1743" s="5" t="inlineStr"/>
      <c r="Z1743" s="6" t="inlineStr"/>
      <c r="AA1743" s="5" t="inlineStr"/>
      <c r="AB1743" s="5" t="inlineStr"/>
      <c r="AC1743" s="5" t="inlineStr"/>
      <c r="AD1743" s="5" t="inlineStr"/>
      <c r="AE1743" s="5" t="inlineStr"/>
      <c r="AF1743" s="5" t="inlineStr"/>
      <c r="AG1743" s="5" t="inlineStr">
        <is>
          <t>hat-girisimci</t>
        </is>
      </c>
      <c r="AH1743" s="5" t="inlineStr"/>
      <c r="AI1743" s="5" t="inlineStr"/>
      <c r="AJ1743" s="5" t="inlineStr"/>
    </row>
    <row r="1744">
      <c r="A1744" s="5" t="inlineStr">
        <is>
          <t>kriz-7</t>
        </is>
      </c>
      <c r="B1744" s="5" t="n">
        <v>5</v>
      </c>
      <c r="C1744" s="6" t="inlineStr">
        <is>
          <t>Abinin eski adamlarını ara</t>
        </is>
      </c>
      <c r="D1744" s="5" t="inlineStr">
        <is>
          <t>Cesaret</t>
        </is>
      </c>
      <c r="E1744" s="5" t="inlineStr">
        <is>
          <t>Zor</t>
        </is>
      </c>
      <c r="F1744" s="5" t="inlineStr"/>
      <c r="G1744" s="6" t="inlineStr"/>
      <c r="H1744" s="6" t="inlineStr">
        <is>
          <t>Bir telefon açtın, ertesi gün bir dükkânın başındaydın. Kasa hep dolu; nereden dolduğunu sormamak da işin parçası.</t>
        </is>
      </c>
      <c r="I1744" s="6" t="inlineStr">
        <is>
          <t>Yeni işinde hızla yükseldin; herkes sana “abi” demeye başladı. Bu kelimenin ağırlığını ilk kez omzunda hissettin.</t>
        </is>
      </c>
      <c r="J1744" s="6" t="inlineStr">
        <is>
          <t>Telefonu açtılar ama “Sen bu işlerin adamı değilsin” dediler. Belki de haklıydılar; eski işine döndün.</t>
        </is>
      </c>
      <c r="K1744" s="6" t="inlineStr">
        <is>
          <t>Telefonu yanlış kişiye açtın; komiser çıktı. Bir sohbet oldu, bir tutanak oldu. Eski işine döndün; bir dosyan var artık.</t>
        </is>
      </c>
      <c r="L1744" s="6" t="inlineStr"/>
      <c r="M1744" s="5" t="inlineStr"/>
      <c r="N1744" s="5" t="inlineStr"/>
      <c r="O1744" s="6" t="inlineStr"/>
      <c r="P1744" s="6" t="inlineStr"/>
      <c r="Q1744" s="5" t="inlineStr"/>
      <c r="R1744" s="5" t="inlineStr"/>
      <c r="S1744" s="5" t="inlineStr"/>
      <c r="T1744" s="5" t="inlineStr"/>
      <c r="U1744" s="5" t="inlineStr"/>
      <c r="V1744" s="5" t="inlineStr">
        <is>
          <t>-hat-dolandirici, -hat-girisimci, -hat-goc, -hat-hekim, -hat-koy, -hat-polis, -hat-politika, -hat-sohret, -hat-usta, -hat-yargi, -meslek-beyazyaka, -meslek-memur, -meslek-serbest, hat-cete, meslek-esnaf</t>
        </is>
      </c>
      <c r="W1744" s="5" t="inlineStr"/>
      <c r="X1744" s="5" t="inlineStr"/>
      <c r="Y1744" s="5" t="inlineStr"/>
      <c r="Z1744" s="6" t="inlineStr"/>
      <c r="AA1744" s="5" t="inlineStr">
        <is>
          <t>hepsi -1</t>
        </is>
      </c>
      <c r="AB1744" s="5" t="inlineStr"/>
      <c r="AC1744" s="5" t="inlineStr"/>
      <c r="AD1744" s="5" t="inlineStr"/>
      <c r="AE1744" s="5" t="inlineStr"/>
      <c r="AF1744" s="5" t="inlineStr"/>
      <c r="AG1744" s="5" t="inlineStr">
        <is>
          <t>hat-cete</t>
        </is>
      </c>
      <c r="AH1744" s="5" t="inlineStr"/>
      <c r="AI1744" s="5" t="inlineStr"/>
      <c r="AJ1744" s="5" t="inlineStr"/>
    </row>
    <row r="1745">
      <c r="A1745" s="5" t="inlineStr">
        <is>
          <t>kriz-7</t>
        </is>
      </c>
      <c r="B1745" s="5" t="n">
        <v>6</v>
      </c>
      <c r="C1745" s="6" t="inlineStr">
        <is>
          <t>Kolay para ilanına cevap ver</t>
        </is>
      </c>
      <c r="D1745" s="5" t="inlineStr">
        <is>
          <t>Kurnazlık</t>
        </is>
      </c>
      <c r="E1745" s="5" t="inlineStr">
        <is>
          <t>Zor</t>
        </is>
      </c>
      <c r="F1745" s="5" t="inlineStr"/>
      <c r="G1745" s="6" t="inlineStr"/>
      <c r="H1745" s="6" t="inlineStr">
        <is>
          <t>Bir ilan, üç telefon, bir sunum. Para geldi; nereden geldiğini sormamaya karar verdin. Vicdanın da sormadı; şimdilik.</t>
        </is>
      </c>
      <c r="I1745" s="6" t="inlineStr">
        <is>
          <t>Öyle hızlı büyüdün ki bir ay içinde kendi seminerini veriyordun. Salon doluydu; arka sırada vicdanın oturuyordu.</t>
        </is>
      </c>
      <c r="J1745" s="6" t="inlineStr">
        <is>
          <t>İlanın ilk cevabını veren kişi bir dolandırıcıydı. Seni dolandırmaya çalıştı; ikiniz de vazgeçtiniz.</t>
        </is>
      </c>
      <c r="K1745" s="6" t="inlineStr">
        <is>
          <t>İlk “fırsatı” yakından inceleyince kendini bir tüketici programında buldun. Adın yok, sesin var.</t>
        </is>
      </c>
      <c r="L1745" s="6" t="inlineStr"/>
      <c r="M1745" s="5" t="inlineStr"/>
      <c r="N1745" s="5" t="inlineStr"/>
      <c r="O1745" s="6" t="inlineStr"/>
      <c r="P1745" s="6" t="inlineStr"/>
      <c r="Q1745" s="5" t="inlineStr"/>
      <c r="R1745" s="5" t="inlineStr"/>
      <c r="S1745" s="5" t="inlineStr"/>
      <c r="T1745" s="5" t="inlineStr"/>
      <c r="U1745" s="5" t="inlineStr"/>
      <c r="V1745" s="5" t="inlineStr">
        <is>
          <t>-hat-cete, -hat-girisimci, -hat-goc, -hat-hekim, -hat-koy, -hat-polis, -hat-politika, -hat-sohret, -hat-usta, -hat-yargi, -meslek-beyazyaka, -meslek-esnaf, -meslek-memur, hat-dolandirici, meslek-serbest</t>
        </is>
      </c>
      <c r="W1745" s="5" t="inlineStr"/>
      <c r="X1745" s="5" t="inlineStr"/>
      <c r="Y1745" s="5" t="inlineStr"/>
      <c r="Z1745" s="6" t="inlineStr"/>
      <c r="AA1745" s="5" t="inlineStr">
        <is>
          <t>hepsi -1</t>
        </is>
      </c>
      <c r="AB1745" s="5" t="inlineStr"/>
      <c r="AC1745" s="5" t="inlineStr"/>
      <c r="AD1745" s="5" t="inlineStr"/>
      <c r="AE1745" s="5" t="inlineStr"/>
      <c r="AF1745" s="5" t="inlineStr"/>
      <c r="AG1745" s="5" t="inlineStr">
        <is>
          <t>hat-dolandirici</t>
        </is>
      </c>
      <c r="AH1745" s="5" t="inlineStr"/>
      <c r="AI1745" s="5" t="inlineStr"/>
      <c r="AJ1745" s="5" t="inlineStr"/>
    </row>
    <row r="1746">
      <c r="A1746" s="5" t="inlineStr">
        <is>
          <t>kriz-8</t>
        </is>
      </c>
      <c r="B1746" s="5" t="n">
        <v>1</v>
      </c>
      <c r="C1746" s="6" t="inlineStr">
        <is>
          <t>Dişini sık, dayan</t>
        </is>
      </c>
      <c r="D1746" s="5" t="inlineStr"/>
      <c r="E1746" s="5" t="inlineStr"/>
      <c r="F1746" s="5" t="inlineStr">
        <is>
          <t>Dayanıklılık +2</t>
        </is>
      </c>
      <c r="G1746" s="6" t="inlineStr">
        <is>
          <t>Dişini sıktın. Birikim eridi, ama yerinde durdun. Annen her akşam aradı: “Sen bir şey yedin mi?”</t>
        </is>
      </c>
      <c r="H1746" s="6" t="inlineStr"/>
      <c r="I1746" s="6" t="inlineStr"/>
      <c r="J1746" s="6" t="inlineStr"/>
      <c r="K1746" s="6" t="inlineStr"/>
      <c r="L1746" s="6" t="inlineStr"/>
      <c r="M1746" s="5" t="inlineStr"/>
      <c r="N1746" s="5" t="inlineStr"/>
      <c r="O1746" s="6" t="inlineStr"/>
      <c r="P1746" s="6" t="inlineStr"/>
      <c r="Q1746" s="5" t="inlineStr"/>
      <c r="R1746" s="5" t="inlineStr"/>
      <c r="S1746" s="5" t="inlineStr"/>
      <c r="T1746" s="5" t="inlineStr"/>
      <c r="U1746" s="5" t="inlineStr"/>
      <c r="V1746" s="5" t="inlineStr"/>
      <c r="W1746" s="5" t="inlineStr"/>
      <c r="X1746" s="5" t="inlineStr"/>
      <c r="Y1746" s="5" t="inlineStr"/>
      <c r="Z1746" s="6" t="inlineStr"/>
      <c r="AA1746" s="5" t="inlineStr"/>
      <c r="AB1746" s="5" t="inlineStr"/>
      <c r="AC1746" s="5" t="inlineStr"/>
      <c r="AD1746" s="5" t="inlineStr"/>
      <c r="AE1746" s="5" t="inlineStr"/>
      <c r="AF1746" s="5" t="n">
        <v>1</v>
      </c>
      <c r="AG1746" s="5" t="inlineStr"/>
      <c r="AH1746" s="5" t="inlineStr"/>
      <c r="AI1746" s="5" t="inlineStr"/>
      <c r="AJ1746" s="5" t="inlineStr"/>
    </row>
    <row r="1747">
      <c r="A1747" s="5" t="inlineStr">
        <is>
          <t>kriz-8</t>
        </is>
      </c>
      <c r="B1747" s="5" t="n">
        <v>2</v>
      </c>
      <c r="C1747" s="6" t="inlineStr">
        <is>
          <t>Mahalleden borç iste</t>
        </is>
      </c>
      <c r="D1747" s="5" t="inlineStr"/>
      <c r="E1747" s="5" t="inlineStr"/>
      <c r="F1747" s="5" t="inlineStr">
        <is>
          <t>İtibar +1, Dayanıklılık +1</t>
        </is>
      </c>
      <c r="G1747" s="6" t="inlineStr">
        <is>
          <t>Bakkala, kasaba ve alt kattaki teyzeye birer cümle kurdun; akşama kadar kapına üç zarf bırakıldı, hiçbirinde senet yok. Birikimin yerinde kaldı; borcun mahalleye. Ödeyeceğin gün herkes ayrı ayrı “Ne gerek vardı” diyecek.</t>
        </is>
      </c>
      <c r="H1747" s="6" t="inlineStr"/>
      <c r="I1747" s="6" t="inlineStr"/>
      <c r="J1747" s="6" t="inlineStr"/>
      <c r="K1747" s="6" t="inlineStr"/>
      <c r="L1747" s="6" t="inlineStr"/>
      <c r="M1747" s="5" t="inlineStr"/>
      <c r="N1747" s="5" t="inlineStr"/>
      <c r="O1747" s="6" t="inlineStr"/>
      <c r="P1747" s="6" t="inlineStr"/>
      <c r="Q1747" s="5" t="inlineStr"/>
      <c r="R1747" s="5" t="inlineStr"/>
      <c r="S1747" s="5" t="inlineStr"/>
      <c r="T1747" s="5" t="inlineStr"/>
      <c r="U1747" s="5" t="inlineStr"/>
      <c r="V1747" s="5" t="inlineStr"/>
      <c r="W1747" s="5" t="inlineStr"/>
      <c r="X1747" s="5" t="inlineStr"/>
      <c r="Y1747" s="5" t="inlineStr"/>
      <c r="Z1747" s="6" t="inlineStr"/>
      <c r="AA1747" s="5" t="inlineStr"/>
      <c r="AB1747" s="5" t="inlineStr"/>
      <c r="AC1747" s="5" t="inlineStr"/>
      <c r="AD1747" s="5" t="inlineStr"/>
      <c r="AE1747" s="5" t="inlineStr"/>
      <c r="AF1747" s="5" t="inlineStr"/>
      <c r="AG1747" s="5" t="inlineStr"/>
      <c r="AH1747" s="5" t="inlineStr">
        <is>
          <t>İtibar 43</t>
        </is>
      </c>
      <c r="AI1747" s="5" t="inlineStr"/>
      <c r="AJ1747" s="5" t="inlineStr"/>
    </row>
    <row r="1748">
      <c r="A1748" s="5" t="inlineStr">
        <is>
          <t>kriz-8</t>
        </is>
      </c>
      <c r="B1748" s="5" t="n">
        <v>3</v>
      </c>
      <c r="C1748" s="6" t="inlineStr">
        <is>
          <t>Tezgâh aç, esnaflığa geç</t>
        </is>
      </c>
      <c r="D1748" s="5" t="inlineStr">
        <is>
          <t>Kurnazlık</t>
        </is>
      </c>
      <c r="E1748" s="5" t="inlineStr">
        <is>
          <t>Zor</t>
        </is>
      </c>
      <c r="F1748" s="5" t="inlineStr"/>
      <c r="G1748" s="6" t="inlineStr"/>
      <c r="H1748" s="6" t="inlineStr">
        <is>
          <t>Elindeki son birikimle küçük bir dükkân tuttun. Tabela senin, kira senin, veresiye defteri de senin. Defterin ilk sayfasına annenin adı yazıldı: yarım ekmek.</t>
        </is>
      </c>
      <c r="I1748" s="6" t="inlineStr">
        <is>
          <t>Dükkân ilk ayında kira çıkardı, ikinci ayında seni. Mahallede artık “Yeni esnaf” diye biliniyorsun; yeni ama ağzı laf yapan.</t>
        </is>
      </c>
      <c r="J1748" s="6" t="inlineStr">
        <is>
          <t>Dükkân tutmaya gittin; kira cebindekinin iki katıydı. Eski işine, eski yorgunluğuna döndün.</t>
        </is>
      </c>
      <c r="K1748" s="6" t="inlineStr">
        <is>
          <t>Dükkânı açtın, açılış günü sokak kazıldı. Üç ay kimse kapına ulaşamadı; sen de kapattın, eski işine döndün.</t>
        </is>
      </c>
      <c r="L1748" s="6" t="inlineStr"/>
      <c r="M1748" s="5" t="inlineStr"/>
      <c r="N1748" s="5" t="inlineStr"/>
      <c r="O1748" s="6" t="inlineStr"/>
      <c r="P1748" s="6" t="inlineStr"/>
      <c r="Q1748" s="5" t="inlineStr"/>
      <c r="R1748" s="5" t="inlineStr"/>
      <c r="S1748" s="5" t="inlineStr"/>
      <c r="T1748" s="5" t="inlineStr"/>
      <c r="U1748" s="5" t="inlineStr"/>
      <c r="V1748" s="5" t="inlineStr">
        <is>
          <t>-hat-cete, -hat-dolandirici, -hat-girisimci, -hat-goc, -hat-hekim, -hat-koy, -hat-polis, -hat-politika, -hat-sohret, -hat-usta, -hat-yargi, -meslek-beyazyaka, -meslek-memur, -meslek-serbest, meslek-esnaf</t>
        </is>
      </c>
      <c r="W1748" s="5" t="inlineStr"/>
      <c r="X1748" s="5" t="inlineStr"/>
      <c r="Y1748" s="5" t="inlineStr"/>
      <c r="Z1748" s="6" t="inlineStr"/>
      <c r="AA1748" s="5" t="inlineStr"/>
      <c r="AB1748" s="5" t="inlineStr"/>
      <c r="AC1748" s="5" t="inlineStr"/>
      <c r="AD1748" s="5" t="inlineStr"/>
      <c r="AE1748" s="5" t="inlineStr"/>
      <c r="AF1748" s="5" t="inlineStr"/>
      <c r="AG1748" s="5" t="inlineStr">
        <is>
          <t>meslek-esnaf</t>
        </is>
      </c>
      <c r="AH1748" s="5" t="inlineStr"/>
      <c r="AI1748" s="5" t="inlineStr"/>
      <c r="AJ1748" s="5" t="inlineStr"/>
    </row>
    <row r="1749">
      <c r="A1749" s="5" t="inlineStr">
        <is>
          <t>kriz-8</t>
        </is>
      </c>
      <c r="B1749" s="5" t="n">
        <v>4</v>
      </c>
      <c r="C1749" s="6" t="inlineStr">
        <is>
          <t>Kendi girişimini kur</t>
        </is>
      </c>
      <c r="D1749" s="5" t="inlineStr">
        <is>
          <t>Cesaret</t>
        </is>
      </c>
      <c r="E1749" s="5" t="inlineStr">
        <is>
          <t>Zor</t>
        </is>
      </c>
      <c r="F1749" s="5" t="inlineStr"/>
      <c r="G1749" s="6" t="inlineStr"/>
      <c r="H1749" s="6" t="inlineStr">
        <is>
          <t>Bir fikir, bir sunum, bir kafe masası. Şirketin kuruldu. Yaşın kimseyi ilgilendirmedi; tecrüben herkesi ilgilendirdi.</t>
        </is>
      </c>
      <c r="I1749" s="6" t="inlineStr">
        <is>
          <t>İlk sunumda yatırımcı özgeçmişine baktı: “Bu kadar batıp çıkan birini arıyorduk.” Kırk yedi yaşında ilk kez biri krizini alkışladı.</t>
        </is>
      </c>
      <c r="J1749" s="6" t="inlineStr">
        <is>
          <t>Fikrin güzeldi, zamanlaman değil. Eski işine döndün; fikir çekmecede bekliyor.</t>
        </is>
      </c>
      <c r="K1749" s="6" t="inlineStr">
        <is>
          <t>Şirketi kurdun, ilk hafta ortağın fikrinle birlikte ortadan kayboldu. Eski işine döndün; bir de avukatın var artık.</t>
        </is>
      </c>
      <c r="L1749" s="6" t="inlineStr"/>
      <c r="M1749" s="5" t="inlineStr"/>
      <c r="N1749" s="5" t="inlineStr"/>
      <c r="O1749" s="6" t="inlineStr"/>
      <c r="P1749" s="6" t="inlineStr"/>
      <c r="Q1749" s="5" t="inlineStr"/>
      <c r="R1749" s="5" t="inlineStr"/>
      <c r="S1749" s="5" t="inlineStr"/>
      <c r="T1749" s="5" t="inlineStr"/>
      <c r="U1749" s="5" t="inlineStr"/>
      <c r="V1749" s="5" t="inlineStr">
        <is>
          <t>-hat-cete, -hat-dolandirici, -hat-goc, -hat-hekim, -hat-koy, -hat-polis, -hat-politika, -hat-sohret, -hat-usta, -hat-yargi, -meslek-beyazyaka, -meslek-esnaf, -meslek-memur, hat-girisimci, meslek-serbest</t>
        </is>
      </c>
      <c r="W1749" s="5" t="inlineStr"/>
      <c r="X1749" s="5" t="inlineStr"/>
      <c r="Y1749" s="5" t="inlineStr"/>
      <c r="Z1749" s="6" t="inlineStr"/>
      <c r="AA1749" s="5" t="inlineStr"/>
      <c r="AB1749" s="5" t="inlineStr"/>
      <c r="AC1749" s="5" t="inlineStr"/>
      <c r="AD1749" s="5" t="inlineStr"/>
      <c r="AE1749" s="5" t="inlineStr"/>
      <c r="AF1749" s="5" t="inlineStr"/>
      <c r="AG1749" s="5" t="inlineStr">
        <is>
          <t>hat-girisimci</t>
        </is>
      </c>
      <c r="AH1749" s="5" t="inlineStr"/>
      <c r="AI1749" s="5" t="inlineStr"/>
      <c r="AJ1749" s="5" t="inlineStr"/>
    </row>
    <row r="1750">
      <c r="A1750" s="5" t="inlineStr">
        <is>
          <t>kriz-8</t>
        </is>
      </c>
      <c r="B1750" s="5" t="n">
        <v>5</v>
      </c>
      <c r="C1750" s="6" t="inlineStr">
        <is>
          <t>Mahallenin eski abisine uğra</t>
        </is>
      </c>
      <c r="D1750" s="5" t="inlineStr">
        <is>
          <t>Cesaret</t>
        </is>
      </c>
      <c r="E1750" s="5" t="inlineStr">
        <is>
          <t>Zor</t>
        </is>
      </c>
      <c r="F1750" s="5" t="inlineStr"/>
      <c r="G1750" s="6" t="inlineStr"/>
      <c r="H1750" s="6" t="inlineStr">
        <is>
          <t>Bir telefon açtın, ertesi gün bir dükkânın başındaydın. Kasa hep dolu; nereden dolduğunu sormamak da işin parçası.</t>
        </is>
      </c>
      <c r="I1750" s="6" t="inlineStr">
        <is>
          <t>Yeni işinde hızla yükseldin; kahveye girince masalar ayağa kalkmaya başladı. Annen bir gün sordu: “Bu insanlar sana neden çay koyuyor?” Cevap veremedin.</t>
        </is>
      </c>
      <c r="J1750" s="6" t="inlineStr">
        <is>
          <t>Telefonu açtılar ama “Sen bu işlere göre değilsin” dediler. Belki de haklıydılar; eski işine döndün.</t>
        </is>
      </c>
      <c r="K1750" s="6" t="inlineStr">
        <is>
          <t>Telefonu yanlış kişiye açtın; komiser çıktı. Bir sohbet oldu, bir tutanak oldu. Eski işine döndün; bir dosyan var artık.</t>
        </is>
      </c>
      <c r="L1750" s="6" t="inlineStr"/>
      <c r="M1750" s="5" t="inlineStr"/>
      <c r="N1750" s="5" t="inlineStr"/>
      <c r="O1750" s="6" t="inlineStr"/>
      <c r="P1750" s="6" t="inlineStr"/>
      <c r="Q1750" s="5" t="inlineStr"/>
      <c r="R1750" s="5" t="inlineStr"/>
      <c r="S1750" s="5" t="inlineStr"/>
      <c r="T1750" s="5" t="inlineStr"/>
      <c r="U1750" s="5" t="inlineStr"/>
      <c r="V1750" s="5" t="inlineStr">
        <is>
          <t>-hat-dolandirici, -hat-girisimci, -hat-goc, -hat-hekim, -hat-koy, -hat-polis, -hat-politika, -hat-sohret, -hat-usta, -hat-yargi, -meslek-beyazyaka, -meslek-memur, -meslek-serbest, hat-cete, meslek-esnaf</t>
        </is>
      </c>
      <c r="W1750" s="5" t="inlineStr"/>
      <c r="X1750" s="5" t="inlineStr"/>
      <c r="Y1750" s="5" t="inlineStr"/>
      <c r="Z1750" s="6" t="inlineStr"/>
      <c r="AA1750" s="5" t="inlineStr">
        <is>
          <t>hepsi -1</t>
        </is>
      </c>
      <c r="AB1750" s="5" t="inlineStr"/>
      <c r="AC1750" s="5" t="inlineStr"/>
      <c r="AD1750" s="5" t="inlineStr"/>
      <c r="AE1750" s="5" t="inlineStr"/>
      <c r="AF1750" s="5" t="inlineStr"/>
      <c r="AG1750" s="5" t="inlineStr">
        <is>
          <t>hat-cete</t>
        </is>
      </c>
      <c r="AH1750" s="5" t="inlineStr"/>
      <c r="AI1750" s="5" t="inlineStr"/>
      <c r="AJ1750" s="5" t="inlineStr"/>
    </row>
    <row r="1751">
      <c r="A1751" s="5" t="inlineStr">
        <is>
          <t>kriz-8</t>
        </is>
      </c>
      <c r="B1751" s="5" t="n">
        <v>6</v>
      </c>
      <c r="C1751" s="6" t="inlineStr">
        <is>
          <t>Emeklilik birikimini “fırsata” yatır</t>
        </is>
      </c>
      <c r="D1751" s="5" t="inlineStr">
        <is>
          <t>Kurnazlık</t>
        </is>
      </c>
      <c r="E1751" s="5" t="inlineStr">
        <is>
          <t>Zor</t>
        </is>
      </c>
      <c r="F1751" s="5" t="inlineStr"/>
      <c r="G1751" s="6" t="inlineStr"/>
      <c r="H1751" s="6" t="inlineStr">
        <is>
          <t>Bir ilan, üç telefon, bir sunum. Para geldi; nereden geldiğini sormamaya karar verdin. Vicdanın da sormadı; şimdilik.</t>
        </is>
      </c>
      <c r="I1751" s="6" t="inlineStr">
        <is>
          <t>Öyle hızlı büyüdün ki bir ay içinde kendi seminerini veriyordun. Salon doluydu; arka sırada vicdanın oturuyordu.</t>
        </is>
      </c>
      <c r="J1751" s="6" t="inlineStr">
        <is>
          <t>İlanın ilk cevabını veren kişi bir dolandırıcıydı. Seni dolandırmaya çalıştı; ikiniz de vazgeçtiniz.</t>
        </is>
      </c>
      <c r="K1751" s="6" t="inlineStr">
        <is>
          <t>İlk “fırsat” bir saadet zinciriymiş; birikimin bir haftada gitti. Akşam haberlerinde sesi değiştirilmiş bir mağdur konuştu. Kimse tanımadı. Annen tanıdı.</t>
        </is>
      </c>
      <c r="L1751" s="6" t="inlineStr"/>
      <c r="M1751" s="5" t="inlineStr"/>
      <c r="N1751" s="5" t="inlineStr"/>
      <c r="O1751" s="6" t="inlineStr"/>
      <c r="P1751" s="6" t="inlineStr"/>
      <c r="Q1751" s="5" t="inlineStr"/>
      <c r="R1751" s="5" t="inlineStr"/>
      <c r="S1751" s="5" t="inlineStr"/>
      <c r="T1751" s="5" t="inlineStr"/>
      <c r="U1751" s="5" t="inlineStr"/>
      <c r="V1751" s="5" t="inlineStr">
        <is>
          <t>-hat-cete, -hat-girisimci, -hat-goc, -hat-hekim, -hat-koy, -hat-polis, -hat-politika, -hat-sohret, -hat-usta, -hat-yargi, -meslek-beyazyaka, -meslek-esnaf, -meslek-memur, hat-dolandirici, meslek-serbest</t>
        </is>
      </c>
      <c r="W1751" s="5" t="inlineStr"/>
      <c r="X1751" s="5" t="inlineStr"/>
      <c r="Y1751" s="5" t="inlineStr"/>
      <c r="Z1751" s="6" t="inlineStr"/>
      <c r="AA1751" s="5" t="inlineStr">
        <is>
          <t>hepsi -1</t>
        </is>
      </c>
      <c r="AB1751" s="5" t="inlineStr"/>
      <c r="AC1751" s="5" t="inlineStr"/>
      <c r="AD1751" s="5" t="inlineStr"/>
      <c r="AE1751" s="5" t="inlineStr"/>
      <c r="AF1751" s="5" t="inlineStr"/>
      <c r="AG1751" s="5" t="inlineStr">
        <is>
          <t>hat-dolandirici</t>
        </is>
      </c>
      <c r="AH1751" s="5" t="inlineStr"/>
      <c r="AI1751" s="5" t="inlineStr"/>
      <c r="AJ1751" s="5" t="inlineStr"/>
    </row>
    <row r="1752">
      <c r="A1752" s="5" t="inlineStr">
        <is>
          <t>kriz-9</t>
        </is>
      </c>
      <c r="B1752" s="5" t="n">
        <v>1</v>
      </c>
      <c r="C1752" s="6" t="inlineStr">
        <is>
          <t>Dişini sık, dayan</t>
        </is>
      </c>
      <c r="D1752" s="5" t="inlineStr"/>
      <c r="E1752" s="5" t="inlineStr"/>
      <c r="F1752" s="5" t="inlineStr">
        <is>
          <t>Dayanıklılık +2</t>
        </is>
      </c>
      <c r="G1752" s="6" t="inlineStr">
        <is>
          <t>Dişini sıktın. Kahveyi evde içmeye, pazara kapanışta gitmeye başladın. Kimseye bir şey söylemedin; bakkal anladı, ekmeği deftere yazmadan uzattı.</t>
        </is>
      </c>
      <c r="H1752" s="6" t="inlineStr"/>
      <c r="I1752" s="6" t="inlineStr"/>
      <c r="J1752" s="6" t="inlineStr"/>
      <c r="K1752" s="6" t="inlineStr"/>
      <c r="L1752" s="6" t="inlineStr"/>
      <c r="M1752" s="5" t="inlineStr"/>
      <c r="N1752" s="5" t="inlineStr"/>
      <c r="O1752" s="6" t="inlineStr"/>
      <c r="P1752" s="6" t="inlineStr"/>
      <c r="Q1752" s="5" t="inlineStr"/>
      <c r="R1752" s="5" t="inlineStr"/>
      <c r="S1752" s="5" t="inlineStr"/>
      <c r="T1752" s="5" t="inlineStr"/>
      <c r="U1752" s="5" t="inlineStr"/>
      <c r="V1752" s="5" t="inlineStr"/>
      <c r="W1752" s="5" t="inlineStr"/>
      <c r="X1752" s="5" t="inlineStr"/>
      <c r="Y1752" s="5" t="inlineStr"/>
      <c r="Z1752" s="6" t="inlineStr"/>
      <c r="AA1752" s="5" t="inlineStr"/>
      <c r="AB1752" s="5" t="inlineStr"/>
      <c r="AC1752" s="5" t="inlineStr"/>
      <c r="AD1752" s="5" t="inlineStr"/>
      <c r="AE1752" s="5" t="inlineStr"/>
      <c r="AF1752" s="5" t="n">
        <v>1</v>
      </c>
      <c r="AG1752" s="5" t="inlineStr"/>
      <c r="AH1752" s="5" t="inlineStr"/>
      <c r="AI1752" s="5" t="inlineStr"/>
      <c r="AJ1752" s="5" t="inlineStr"/>
    </row>
    <row r="1753">
      <c r="A1753" s="5" t="inlineStr">
        <is>
          <t>kriz-9</t>
        </is>
      </c>
      <c r="B1753" s="5" t="n">
        <v>2</v>
      </c>
      <c r="C1753" s="6" t="inlineStr">
        <is>
          <t>Mahalleden borç iste</t>
        </is>
      </c>
      <c r="D1753" s="5" t="inlineStr"/>
      <c r="E1753" s="5" t="inlineStr"/>
      <c r="F1753" s="5" t="inlineStr">
        <is>
          <t>İtibar +1, Dayanıklılık +1</t>
        </is>
      </c>
      <c r="G1753" s="6" t="inlineStr">
        <is>
          <t>Kahvede bir cümle kurdun, akşama kadar üç zarf geldi; hiçbirinde senet yok. Birikimin yerinde kaldı; borcun mahalleye. Ödeyeceğin gün herkes ayrı ayrı “Ne gerek vardı” diyecek.</t>
        </is>
      </c>
      <c r="H1753" s="6" t="inlineStr"/>
      <c r="I1753" s="6" t="inlineStr"/>
      <c r="J1753" s="6" t="inlineStr"/>
      <c r="K1753" s="6" t="inlineStr"/>
      <c r="L1753" s="6" t="inlineStr"/>
      <c r="M1753" s="5" t="inlineStr"/>
      <c r="N1753" s="5" t="inlineStr"/>
      <c r="O1753" s="6" t="inlineStr"/>
      <c r="P1753" s="6" t="inlineStr"/>
      <c r="Q1753" s="5" t="inlineStr"/>
      <c r="R1753" s="5" t="inlineStr"/>
      <c r="S1753" s="5" t="inlineStr"/>
      <c r="T1753" s="5" t="inlineStr"/>
      <c r="U1753" s="5" t="inlineStr"/>
      <c r="V1753" s="5" t="inlineStr"/>
      <c r="W1753" s="5" t="inlineStr"/>
      <c r="X1753" s="5" t="inlineStr"/>
      <c r="Y1753" s="5" t="inlineStr"/>
      <c r="Z1753" s="6" t="inlineStr"/>
      <c r="AA1753" s="5" t="inlineStr"/>
      <c r="AB1753" s="5" t="inlineStr"/>
      <c r="AC1753" s="5" t="inlineStr"/>
      <c r="AD1753" s="5" t="inlineStr"/>
      <c r="AE1753" s="5" t="inlineStr"/>
      <c r="AF1753" s="5" t="inlineStr"/>
      <c r="AG1753" s="5" t="inlineStr"/>
      <c r="AH1753" s="5" t="inlineStr">
        <is>
          <t>İtibar 45</t>
        </is>
      </c>
      <c r="AI1753" s="5" t="inlineStr"/>
      <c r="AJ1753" s="5" t="inlineStr"/>
    </row>
    <row r="1754">
      <c r="A1754" s="5" t="inlineStr">
        <is>
          <t>kriz-9</t>
        </is>
      </c>
      <c r="B1754" s="5" t="n">
        <v>3</v>
      </c>
      <c r="C1754" s="6" t="inlineStr">
        <is>
          <t>Tezgâh aç, esnaflığa geç</t>
        </is>
      </c>
      <c r="D1754" s="5" t="inlineStr">
        <is>
          <t>Kurnazlık</t>
        </is>
      </c>
      <c r="E1754" s="5" t="inlineStr">
        <is>
          <t>Zor</t>
        </is>
      </c>
      <c r="F1754" s="5" t="inlineStr"/>
      <c r="G1754" s="6" t="inlineStr"/>
      <c r="H1754" s="6" t="inlineStr">
        <is>
          <t>Elindeki son birikimle küçük bir dükkân tuttun. Tabela senin, kira senin, veresiye defteri de senin. Hayat yeniden bir ritim buldu.</t>
        </is>
      </c>
      <c r="I1754" s="6" t="inlineStr">
        <is>
          <t>Dükkân ilk ayında kira çıkardı, ikinci ayında seni. Mahallede artık “Yeni esnaf” diye biliniyorsun; yeni ama ağzı laf yapan.</t>
        </is>
      </c>
      <c r="J1754" s="6" t="inlineStr">
        <is>
          <t>Dükkân tutmaya gittin; kira cebindekinin iki katıydı. Eski işine, eski yorgunluğuna döndün.</t>
        </is>
      </c>
      <c r="K1754" s="6" t="inlineStr">
        <is>
          <t>Dükkânı açtın, açılış günü sokak kazıldı. Üç ay kimse kapına ulaşamadı; sen de kapattın, eski işine döndün.</t>
        </is>
      </c>
      <c r="L1754" s="6" t="inlineStr"/>
      <c r="M1754" s="5" t="inlineStr"/>
      <c r="N1754" s="5" t="inlineStr"/>
      <c r="O1754" s="6" t="inlineStr"/>
      <c r="P1754" s="6" t="inlineStr"/>
      <c r="Q1754" s="5" t="inlineStr"/>
      <c r="R1754" s="5" t="inlineStr"/>
      <c r="S1754" s="5" t="inlineStr"/>
      <c r="T1754" s="5" t="inlineStr"/>
      <c r="U1754" s="5" t="inlineStr"/>
      <c r="V1754" s="5" t="inlineStr">
        <is>
          <t>-hat-cete, -hat-dolandirici, -hat-girisimci, -hat-goc, -hat-hekim, -hat-koy, -hat-polis, -hat-politika, -hat-sohret, -hat-usta, -hat-yargi, -meslek-beyazyaka, -meslek-memur, -meslek-serbest, meslek-esnaf</t>
        </is>
      </c>
      <c r="W1754" s="5" t="inlineStr"/>
      <c r="X1754" s="5" t="inlineStr"/>
      <c r="Y1754" s="5" t="inlineStr"/>
      <c r="Z1754" s="6" t="inlineStr"/>
      <c r="AA1754" s="5" t="inlineStr"/>
      <c r="AB1754" s="5" t="inlineStr"/>
      <c r="AC1754" s="5" t="inlineStr"/>
      <c r="AD1754" s="5" t="inlineStr"/>
      <c r="AE1754" s="5" t="inlineStr"/>
      <c r="AF1754" s="5" t="inlineStr"/>
      <c r="AG1754" s="5" t="inlineStr">
        <is>
          <t>meslek-esnaf</t>
        </is>
      </c>
      <c r="AH1754" s="5" t="inlineStr"/>
      <c r="AI1754" s="5" t="inlineStr"/>
      <c r="AJ1754" s="5" t="inlineStr"/>
    </row>
    <row r="1755">
      <c r="A1755" s="5" t="inlineStr">
        <is>
          <t>kriz-9</t>
        </is>
      </c>
      <c r="B1755" s="5" t="n">
        <v>4</v>
      </c>
      <c r="C1755" s="6" t="inlineStr">
        <is>
          <t>Kendi girişimini kur</t>
        </is>
      </c>
      <c r="D1755" s="5" t="inlineStr">
        <is>
          <t>Cesaret</t>
        </is>
      </c>
      <c r="E1755" s="5" t="inlineStr">
        <is>
          <t>Zor</t>
        </is>
      </c>
      <c r="F1755" s="5" t="inlineStr"/>
      <c r="G1755" s="6" t="inlineStr"/>
      <c r="H1755" s="6" t="inlineStr">
        <is>
          <t>Bir fikir, bir sunum, bir kafe masası. Şirketin kuruldu. Yaşın kimseyi ilgilendirmedi; tecrüben herkesi ilgilendirdi.</t>
        </is>
      </c>
      <c r="I1755" s="6" t="inlineStr">
        <is>
          <t>İlk sunumda bir yatırımcı “Sizin gibi tecrübeli birini arıyorduk” dedi. Kriz, özgeçmişinin en iyi satırı oldu.</t>
        </is>
      </c>
      <c r="J1755" s="6" t="inlineStr">
        <is>
          <t>Fikrin güzeldi, zamanlaman değil. Eski işine döndün; fikir çekmecede bekliyor.</t>
        </is>
      </c>
      <c r="K1755" s="6" t="inlineStr">
        <is>
          <t>Şirketi kurdun, ilk hafta ortağın fikrinle birlikte ortadan kayboldu. Eski işine döndün; bir de avukatın var artık.</t>
        </is>
      </c>
      <c r="L1755" s="6" t="inlineStr"/>
      <c r="M1755" s="5" t="inlineStr"/>
      <c r="N1755" s="5" t="inlineStr"/>
      <c r="O1755" s="6" t="inlineStr"/>
      <c r="P1755" s="6" t="inlineStr"/>
      <c r="Q1755" s="5" t="inlineStr"/>
      <c r="R1755" s="5" t="inlineStr"/>
      <c r="S1755" s="5" t="inlineStr"/>
      <c r="T1755" s="5" t="inlineStr"/>
      <c r="U1755" s="5" t="inlineStr"/>
      <c r="V1755" s="5" t="inlineStr">
        <is>
          <t>-hat-cete, -hat-dolandirici, -hat-goc, -hat-hekim, -hat-koy, -hat-polis, -hat-politika, -hat-sohret, -hat-usta, -hat-yargi, -meslek-beyazyaka, -meslek-esnaf, -meslek-memur, hat-girisimci, meslek-serbest</t>
        </is>
      </c>
      <c r="W1755" s="5" t="inlineStr"/>
      <c r="X1755" s="5" t="inlineStr"/>
      <c r="Y1755" s="5" t="inlineStr"/>
      <c r="Z1755" s="6" t="inlineStr"/>
      <c r="AA1755" s="5" t="inlineStr"/>
      <c r="AB1755" s="5" t="inlineStr"/>
      <c r="AC1755" s="5" t="inlineStr"/>
      <c r="AD1755" s="5" t="inlineStr"/>
      <c r="AE1755" s="5" t="inlineStr"/>
      <c r="AF1755" s="5" t="inlineStr"/>
      <c r="AG1755" s="5" t="inlineStr">
        <is>
          <t>hat-girisimci</t>
        </is>
      </c>
      <c r="AH1755" s="5" t="inlineStr"/>
      <c r="AI1755" s="5" t="inlineStr"/>
      <c r="AJ1755" s="5" t="inlineStr"/>
    </row>
    <row r="1756">
      <c r="A1756" s="5" t="inlineStr">
        <is>
          <t>kriz-9</t>
        </is>
      </c>
      <c r="B1756" s="5" t="n">
        <v>5</v>
      </c>
      <c r="C1756" s="6" t="inlineStr">
        <is>
          <t>Eski bir tanıdığın “ufak işine” gir</t>
        </is>
      </c>
      <c r="D1756" s="5" t="inlineStr">
        <is>
          <t>Cesaret</t>
        </is>
      </c>
      <c r="E1756" s="5" t="inlineStr">
        <is>
          <t>Zor</t>
        </is>
      </c>
      <c r="F1756" s="5" t="inlineStr"/>
      <c r="G1756" s="6" t="inlineStr"/>
      <c r="H1756" s="6" t="inlineStr">
        <is>
          <t>Bir telefon açtın, ertesi gün bir dükkânın başındaydın. Kasa hep dolu; nereden dolduğunu sormamak da işin parçası.</t>
        </is>
      </c>
      <c r="I1756" s="6" t="inlineStr">
        <is>
          <t>Yeni işinde hızla yükseldin. Çay ocağındaki genç çayını sormadan getiriyor, kapıdakiler sen girince ayağa kalkıyor. Bu saygının ağırlığını ilk kez omzunda hissettin.</t>
        </is>
      </c>
      <c r="J1756" s="6" t="inlineStr">
        <is>
          <t>Telefonu açtılar ama 'Sen bu işlere göre değilsin' dediler. Belki de haklıydılar; eski işine döndün.</t>
        </is>
      </c>
      <c r="K1756" s="6" t="inlineStr">
        <is>
          <t>Telefonu yanlış kişiye açtın; komiser çıktı. Bir sohbet oldu, bir tutanak oldu. Eski işine döndün; bir dosyan var artık.</t>
        </is>
      </c>
      <c r="L1756" s="6" t="inlineStr"/>
      <c r="M1756" s="5" t="inlineStr"/>
      <c r="N1756" s="5" t="inlineStr"/>
      <c r="O1756" s="6" t="inlineStr"/>
      <c r="P1756" s="6" t="inlineStr"/>
      <c r="Q1756" s="5" t="inlineStr"/>
      <c r="R1756" s="5" t="inlineStr"/>
      <c r="S1756" s="5" t="inlineStr"/>
      <c r="T1756" s="5" t="inlineStr"/>
      <c r="U1756" s="5" t="inlineStr"/>
      <c r="V1756" s="5" t="inlineStr">
        <is>
          <t>-hat-dolandirici, -hat-girisimci, -hat-goc, -hat-hekim, -hat-koy, -hat-polis, -hat-politika, -hat-sohret, -hat-usta, -hat-yargi, -meslek-beyazyaka, -meslek-memur, -meslek-serbest, hat-cete, meslek-esnaf</t>
        </is>
      </c>
      <c r="W1756" s="5" t="inlineStr"/>
      <c r="X1756" s="5" t="inlineStr"/>
      <c r="Y1756" s="5" t="inlineStr"/>
      <c r="Z1756" s="6" t="inlineStr"/>
      <c r="AA1756" s="5" t="inlineStr">
        <is>
          <t>hepsi -1</t>
        </is>
      </c>
      <c r="AB1756" s="5" t="inlineStr"/>
      <c r="AC1756" s="5" t="inlineStr"/>
      <c r="AD1756" s="5" t="inlineStr"/>
      <c r="AE1756" s="5" t="inlineStr"/>
      <c r="AF1756" s="5" t="inlineStr"/>
      <c r="AG1756" s="5" t="inlineStr">
        <is>
          <t>hat-cete</t>
        </is>
      </c>
      <c r="AH1756" s="5" t="inlineStr"/>
      <c r="AI1756" s="5" t="inlineStr"/>
      <c r="AJ1756" s="5" t="inlineStr"/>
    </row>
    <row r="1757">
      <c r="A1757" s="5" t="inlineStr">
        <is>
          <t>kriz-9</t>
        </is>
      </c>
      <c r="B1757" s="5" t="n">
        <v>6</v>
      </c>
      <c r="C1757" s="6" t="inlineStr">
        <is>
          <t>Emekli yatırım kulübüne üye topla</t>
        </is>
      </c>
      <c r="D1757" s="5" t="inlineStr">
        <is>
          <t>Kurnazlık</t>
        </is>
      </c>
      <c r="E1757" s="5" t="inlineStr">
        <is>
          <t>Zor</t>
        </is>
      </c>
      <c r="F1757" s="5" t="inlineStr"/>
      <c r="G1757" s="6" t="inlineStr"/>
      <c r="H1757" s="6" t="inlineStr">
        <is>
          <t>Bir ilan, üç telefon, bir sunum. Para geldi; nereden geldiğini sormamaya karar verdin. Vicdanın da sormadı; şimdilik.</t>
        </is>
      </c>
      <c r="I1757" s="6" t="inlineStr">
        <is>
          <t>Öyle hızlı büyüdün ki bir ay içinde kendi seminerini veriyordun. Salon doluydu; arka sırada vicdanın oturuyordu.</t>
        </is>
      </c>
      <c r="J1757" s="6" t="inlineStr">
        <is>
          <t>İlanın ilk cevabını veren kişi bir dolandırıcıydı. Seni dolandırmaya çalıştı; ikiniz de vazgeçtiniz.</t>
        </is>
      </c>
      <c r="K1757" s="6" t="inlineStr">
        <is>
          <t>İlk “fırsatı” yakından inceleyince kendini bir tüketici programında buldun. Adın yok, sesin var.</t>
        </is>
      </c>
      <c r="L1757" s="6" t="inlineStr"/>
      <c r="M1757" s="5" t="inlineStr"/>
      <c r="N1757" s="5" t="inlineStr"/>
      <c r="O1757" s="6" t="inlineStr"/>
      <c r="P1757" s="6" t="inlineStr"/>
      <c r="Q1757" s="5" t="inlineStr"/>
      <c r="R1757" s="5" t="inlineStr"/>
      <c r="S1757" s="5" t="inlineStr"/>
      <c r="T1757" s="5" t="inlineStr"/>
      <c r="U1757" s="5" t="inlineStr"/>
      <c r="V1757" s="5" t="inlineStr">
        <is>
          <t>-hat-cete, -hat-girisimci, -hat-goc, -hat-hekim, -hat-koy, -hat-polis, -hat-politika, -hat-sohret, -hat-usta, -hat-yargi, -meslek-beyazyaka, -meslek-esnaf, -meslek-memur, hat-dolandirici, meslek-serbest</t>
        </is>
      </c>
      <c r="W1757" s="5" t="inlineStr"/>
      <c r="X1757" s="5" t="inlineStr"/>
      <c r="Y1757" s="5" t="inlineStr"/>
      <c r="Z1757" s="6" t="inlineStr"/>
      <c r="AA1757" s="5" t="inlineStr">
        <is>
          <t>hepsi -1</t>
        </is>
      </c>
      <c r="AB1757" s="5" t="inlineStr"/>
      <c r="AC1757" s="5" t="inlineStr"/>
      <c r="AD1757" s="5" t="inlineStr"/>
      <c r="AE1757" s="5" t="inlineStr"/>
      <c r="AF1757" s="5" t="inlineStr"/>
      <c r="AG1757" s="5" t="inlineStr">
        <is>
          <t>hat-dolandirici</t>
        </is>
      </c>
      <c r="AH1757" s="5" t="inlineStr"/>
      <c r="AI1757" s="5" t="inlineStr"/>
      <c r="AJ1757" s="5" t="inlineStr"/>
    </row>
    <row r="1758">
      <c r="A1758" s="5" t="inlineStr">
        <is>
          <t>b8-orta-yas</t>
        </is>
      </c>
      <c r="B1758" s="5" t="n">
        <v>1</v>
      </c>
      <c r="C1758" s="6" t="inlineStr">
        <is>
          <t>Hiçbir şey olmamış gibi devam et</t>
        </is>
      </c>
      <c r="D1758" s="5" t="inlineStr"/>
      <c r="E1758" s="5" t="inlineStr"/>
      <c r="F1758" s="5" t="inlineStr">
        <is>
          <t>Dayanıklılık +1</t>
        </is>
      </c>
      <c r="G1758" s="6" t="inlineStr">
        <is>
          <t>Orta yaş krizini sessizce atlattın. Sadece bir kez, markette, indirimli portakalların önünde ağladın.</t>
        </is>
      </c>
      <c r="H1758" s="6" t="inlineStr"/>
      <c r="I1758" s="6" t="inlineStr"/>
      <c r="J1758" s="6" t="inlineStr"/>
      <c r="K1758" s="6" t="inlineStr"/>
      <c r="L1758" s="6" t="inlineStr"/>
      <c r="M1758" s="5" t="inlineStr"/>
      <c r="N1758" s="5" t="inlineStr"/>
      <c r="O1758" s="6" t="inlineStr"/>
      <c r="P1758" s="6" t="inlineStr"/>
      <c r="Q1758" s="5" t="inlineStr"/>
      <c r="R1758" s="5" t="inlineStr"/>
      <c r="S1758" s="5" t="inlineStr"/>
      <c r="T1758" s="5" t="inlineStr"/>
      <c r="U1758" s="5" t="inlineStr"/>
      <c r="V1758" s="5" t="inlineStr"/>
      <c r="W1758" s="5" t="inlineStr"/>
      <c r="X1758" s="5" t="inlineStr"/>
      <c r="Y1758" s="5" t="inlineStr"/>
      <c r="Z1758" s="6" t="inlineStr"/>
      <c r="AA1758" s="5" t="inlineStr"/>
      <c r="AB1758" s="5" t="inlineStr"/>
      <c r="AC1758" s="5" t="inlineStr"/>
      <c r="AD1758" s="5" t="inlineStr"/>
      <c r="AE1758" s="5" t="inlineStr"/>
      <c r="AF1758" s="5" t="inlineStr"/>
      <c r="AG1758" s="5" t="inlineStr"/>
      <c r="AH1758" s="5" t="inlineStr"/>
      <c r="AI1758" s="5" t="inlineStr"/>
      <c r="AJ1758" s="5" t="inlineStr"/>
    </row>
    <row r="1759">
      <c r="A1759" s="5" t="inlineStr">
        <is>
          <t>b8-orta-yas</t>
        </is>
      </c>
      <c r="B1759" s="5" t="n">
        <v>2</v>
      </c>
      <c r="C1759" s="6" t="inlineStr">
        <is>
          <t>Her şeyi bırak, köye dön</t>
        </is>
      </c>
      <c r="D1759" s="5" t="inlineStr">
        <is>
          <t>Cesaret</t>
        </is>
      </c>
      <c r="E1759" s="5" t="inlineStr">
        <is>
          <t>Zor</t>
        </is>
      </c>
      <c r="F1759" s="5" t="inlineStr"/>
      <c r="G1759" s="6" t="inlineStr"/>
      <c r="H1759" s="6" t="inlineStr">
        <is>
          <t>Kırk dördünde köye taşındın. İlk hafta bir keçi seni kovaladı; köylülere göre bu bir kabul töreniydi.</t>
        </is>
      </c>
      <c r="I1759" s="6" t="inlineStr">
        <is>
          <t>Köye taşındığın hafta muhtar seni kahveye çağırdı, ikinci hafta kooperatife. Köy seni şehirden daha çabuk sevdi.</t>
        </is>
      </c>
      <c r="J1759" s="6" t="inlineStr">
        <is>
          <t>Valizleri topladın, otogara kadar gittin, bilet kuyruğunda bir saat bekledin. Sonra eve döndün; valizler hâlâ kapının önünde.</t>
        </is>
      </c>
      <c r="K1759" s="6" t="inlineStr">
        <is>
          <t>Köye gittin; dedenin evinin çatısı yoktu, tarlası da başkasınındı. Bir hafta sonra şehre, eski işine döndün; biraz güneşlenmiş olarak.</t>
        </is>
      </c>
      <c r="L1759" s="6" t="inlineStr"/>
      <c r="M1759" s="5" t="inlineStr"/>
      <c r="N1759" s="5" t="inlineStr"/>
      <c r="O1759" s="6" t="inlineStr"/>
      <c r="P1759" s="6" t="inlineStr"/>
      <c r="Q1759" s="5" t="inlineStr"/>
      <c r="R1759" s="5" t="inlineStr"/>
      <c r="S1759" s="5" t="inlineStr"/>
      <c r="T1759" s="5" t="inlineStr"/>
      <c r="U1759" s="5" t="inlineStr"/>
      <c r="V1759" s="5" t="inlineStr">
        <is>
          <t>-hat-cete, -hat-dolandirici, -hat-girisimci, -hat-goc, -hat-hekim, -hat-polis, -hat-politika, -hat-sohret, -hat-usta, -hat-yargi, -meslek-beyazyaka, -meslek-memur, -meslek-serbest, hat-koy, meslek-esnaf</t>
        </is>
      </c>
      <c r="W1759" s="5" t="inlineStr"/>
      <c r="X1759" s="5" t="inlineStr"/>
      <c r="Y1759" s="5" t="inlineStr"/>
      <c r="Z1759" s="6" t="inlineStr"/>
      <c r="AA1759" s="5" t="inlineStr">
        <is>
          <t>Yalçın +1, Şen +1, Tan -1, Varlı -1</t>
        </is>
      </c>
      <c r="AB1759" s="5" t="inlineStr"/>
      <c r="AC1759" s="5" t="inlineStr"/>
      <c r="AD1759" s="5" t="inlineStr"/>
      <c r="AE1759" s="5" t="inlineStr"/>
      <c r="AF1759" s="5" t="inlineStr"/>
      <c r="AG1759" s="5" t="inlineStr">
        <is>
          <t>hat-koy</t>
        </is>
      </c>
      <c r="AH1759" s="5" t="inlineStr"/>
      <c r="AI1759" s="5" t="inlineStr"/>
      <c r="AJ1759" s="5" t="inlineStr"/>
    </row>
    <row r="1760">
      <c r="A1760" s="5" t="inlineStr">
        <is>
          <t>b8-orta-yas</t>
        </is>
      </c>
      <c r="B1760" s="5" t="n">
        <v>3</v>
      </c>
      <c r="C1760" s="6" t="inlineStr">
        <is>
          <t>Motosiklet al, saçını uzat</t>
        </is>
      </c>
      <c r="D1760" s="5" t="inlineStr"/>
      <c r="E1760" s="5" t="inlineStr"/>
      <c r="F1760" s="5" t="inlineStr">
        <is>
          <t>Cesaret +1, Pişkinlik +1</t>
        </is>
      </c>
      <c r="G1760" s="6" t="inlineStr">
        <is>
          <t>Motosikleti aldın, saçını uzatmaya karar verdin. Motosiklet geldi; saç gelmedi. Kaskın altında kimse fark etmiyor.</t>
        </is>
      </c>
      <c r="H1760" s="6" t="inlineStr"/>
      <c r="I1760" s="6" t="inlineStr"/>
      <c r="J1760" s="6" t="inlineStr"/>
      <c r="K1760" s="6" t="inlineStr"/>
      <c r="L1760" s="6" t="inlineStr"/>
      <c r="M1760" s="5" t="inlineStr"/>
      <c r="N1760" s="5" t="inlineStr"/>
      <c r="O1760" s="6" t="inlineStr"/>
      <c r="P1760" s="6" t="inlineStr"/>
      <c r="Q1760" s="5" t="inlineStr"/>
      <c r="R1760" s="5" t="inlineStr"/>
      <c r="S1760" s="5" t="inlineStr"/>
      <c r="T1760" s="5" t="inlineStr"/>
      <c r="U1760" s="5" t="inlineStr">
        <is>
          <t>motosikletli</t>
        </is>
      </c>
      <c r="V1760" s="5" t="inlineStr"/>
      <c r="W1760" s="5" t="inlineStr"/>
      <c r="X1760" s="5" t="inlineStr"/>
      <c r="Y1760" s="5" t="inlineStr"/>
      <c r="Z1760" s="6" t="inlineStr"/>
      <c r="AA1760" s="5" t="inlineStr"/>
      <c r="AB1760" s="5" t="inlineStr"/>
      <c r="AC1760" s="5" t="inlineStr"/>
      <c r="AD1760" s="5" t="inlineStr"/>
      <c r="AE1760" s="5" t="inlineStr"/>
      <c r="AF1760" s="5" t="inlineStr"/>
      <c r="AG1760" s="5" t="inlineStr">
        <is>
          <t>evli</t>
        </is>
      </c>
      <c r="AH1760" s="5" t="inlineStr"/>
      <c r="AI1760" s="5" t="inlineStr"/>
      <c r="AJ1760" s="5" t="inlineStr"/>
    </row>
    <row r="1761">
      <c r="A1761" s="5" t="inlineStr">
        <is>
          <t>b8-orta-yas</t>
        </is>
      </c>
      <c r="B1761" s="5" t="n">
        <v>4</v>
      </c>
      <c r="C1761" s="6" t="inlineStr">
        <is>
          <t>Motosiklet al, eşine sonra söyle</t>
        </is>
      </c>
      <c r="D1761" s="5" t="inlineStr">
        <is>
          <t>Pişkinlik</t>
        </is>
      </c>
      <c r="E1761" s="5" t="inlineStr">
        <is>
          <t>Zor</t>
        </is>
      </c>
      <c r="F1761" s="5" t="inlineStr"/>
      <c r="G1761" s="6" t="inlineStr"/>
      <c r="H1761" s="6" t="inlineStr">
        <is>
          <t>Motosikleti eve getirdin. Eşin önce güldü, sonra kaskı aldı, sonra arkana bindi. Pazar sabahları artık sahil yolundasınız.</t>
        </is>
      </c>
      <c r="I1761" s="6" t="inlineStr">
        <is>
          <t>Eşin motosikleti öyle sevdi ki ehliyet kursuna yazıldı. Şimdi iki motosikletiniz var; biri onun, daha büyüğü.</t>
        </is>
      </c>
      <c r="J1761" s="6" t="inlineStr">
        <is>
          <t>Eşin motosikleti gördü ve hiçbir şey demedi. İki hafta boyunca hiçbir şey demedi. Motosikleti sattın.</t>
        </is>
      </c>
      <c r="K1761" s="6" t="inlineStr">
        <is>
          <t>Eşin motosikleti gördü, sonra seni, sonra bir avukatı aradı. Motosiklet sende kaldı; ev onda.</t>
        </is>
      </c>
      <c r="L1761" s="6" t="inlineStr"/>
      <c r="M1761" s="5" t="inlineStr"/>
      <c r="N1761" s="5" t="inlineStr"/>
      <c r="O1761" s="6" t="inlineStr"/>
      <c r="P1761" s="6" t="inlineStr"/>
      <c r="Q1761" s="5" t="inlineStr"/>
      <c r="R1761" s="5" t="inlineStr">
        <is>
          <t>evli</t>
        </is>
      </c>
      <c r="S1761" s="5" t="inlineStr"/>
      <c r="T1761" s="5" t="inlineStr"/>
      <c r="U1761" s="5" t="inlineStr"/>
      <c r="V1761" s="5" t="inlineStr">
        <is>
          <t>motosikletli</t>
        </is>
      </c>
      <c r="W1761" s="5" t="inlineStr">
        <is>
          <t>-evli, bosandi</t>
        </is>
      </c>
      <c r="X1761" s="5" t="inlineStr"/>
      <c r="Y1761" s="5" t="n">
        <v>3</v>
      </c>
      <c r="Z1761" s="6" t="inlineStr">
        <is>
          <t>Motosikletle çıkan ilk gece turunun ilk virajında. Eşi “Ben söylemiştim” diyemedi; telefon hâlâ sessizde.</t>
        </is>
      </c>
      <c r="AA1761" s="5" t="inlineStr"/>
      <c r="AB1761" s="5" t="inlineStr"/>
      <c r="AC1761" s="5" t="inlineStr"/>
      <c r="AD1761" s="5" t="inlineStr"/>
      <c r="AE1761" s="5" t="inlineStr"/>
      <c r="AF1761" s="5" t="inlineStr"/>
      <c r="AG1761" s="5" t="inlineStr"/>
      <c r="AH1761" s="5" t="inlineStr"/>
      <c r="AI1761" s="5" t="inlineStr"/>
      <c r="AJ1761" s="5" t="inlineStr"/>
    </row>
    <row r="1762">
      <c r="A1762" s="5" t="inlineStr">
        <is>
          <t>b8-orta-yas</t>
        </is>
      </c>
      <c r="B1762" s="5" t="n">
        <v>5</v>
      </c>
      <c r="C1762" s="6" t="inlineStr">
        <is>
          <t>Müdürlüğe son bir kez oyna</t>
        </is>
      </c>
      <c r="D1762" s="5" t="inlineStr">
        <is>
          <t>Dayanıklılık</t>
        </is>
      </c>
      <c r="E1762" s="5" t="inlineStr">
        <is>
          <t>Zor</t>
        </is>
      </c>
      <c r="F1762" s="5" t="inlineStr"/>
      <c r="G1762" s="6" t="inlineStr"/>
      <c r="H1762" s="6" t="inlineStr">
        <is>
          <t>Müdür oldun. Kapına “Lütfen kapıyı çalınız” yazısı asıldı; ilk çalan, eski müdürün.</t>
        </is>
      </c>
      <c r="I1762" s="6" t="inlineStr">
        <is>
          <t>Genel müdürlüğe çağrıldın. Yeni masanda üç telefon var; biri hiç çalmıyor, sadece duruyor.</t>
        </is>
      </c>
      <c r="J1762" s="6" t="inlineStr">
        <is>
          <t>Müdürlük mülakatında yirmi yıllık tecrüben tek bir çoktan seçmeli soruya sığmadı. Masan yerinde kaldı; çayın da.</t>
        </is>
      </c>
      <c r="K1762" s="6" t="inlineStr">
        <is>
          <t>Terfi dilekçeni yanlış birime verdin. Üç ay sonra dilekçe sana geri geldi, üstünde “Gereği için” yazıyordu. Kendi terfini kendin reddettin; mevzuat öyle diyor.</t>
        </is>
      </c>
      <c r="L1762" s="6" t="inlineStr"/>
      <c r="M1762" s="5" t="inlineStr"/>
      <c r="N1762" s="5" t="inlineStr"/>
      <c r="O1762" s="6" t="inlineStr"/>
      <c r="P1762" s="6" t="inlineStr"/>
      <c r="Q1762" s="5" t="inlineStr"/>
      <c r="R1762" s="5" t="inlineStr">
        <is>
          <t>meslek-memur</t>
        </is>
      </c>
      <c r="S1762" s="5" t="inlineStr"/>
      <c r="T1762" s="5" t="inlineStr"/>
      <c r="U1762" s="5" t="inlineStr"/>
      <c r="V1762" s="5" t="inlineStr">
        <is>
          <t>zirve</t>
        </is>
      </c>
      <c r="W1762" s="5" t="inlineStr"/>
      <c r="X1762" s="5" t="inlineStr"/>
      <c r="Y1762" s="5" t="inlineStr"/>
      <c r="Z1762" s="6" t="inlineStr"/>
      <c r="AA1762" s="5" t="inlineStr"/>
      <c r="AB1762" s="5" t="inlineStr"/>
      <c r="AC1762" s="5" t="inlineStr"/>
      <c r="AD1762" s="5" t="inlineStr">
        <is>
          <t>Rahat</t>
        </is>
      </c>
      <c r="AE1762" s="5" t="inlineStr"/>
      <c r="AF1762" s="5" t="inlineStr"/>
      <c r="AG1762" s="5" t="inlineStr">
        <is>
          <t>hat-polis, hat-yargi, hat-hekim, memur-terfi</t>
        </is>
      </c>
      <c r="AH1762" s="5" t="inlineStr"/>
      <c r="AI1762" s="5" t="inlineStr"/>
      <c r="AJ1762" s="5" t="inlineStr"/>
    </row>
    <row r="1763">
      <c r="A1763" s="5" t="inlineStr">
        <is>
          <t>b8-orta-yas</t>
        </is>
      </c>
      <c r="B1763" s="5" t="n">
        <v>6</v>
      </c>
      <c r="C1763" s="6" t="inlineStr">
        <is>
          <t>Direktörlüğe son bir kez oyna</t>
        </is>
      </c>
      <c r="D1763" s="5" t="inlineStr">
        <is>
          <t>Akıl</t>
        </is>
      </c>
      <c r="E1763" s="5" t="inlineStr">
        <is>
          <t>Zor</t>
        </is>
      </c>
      <c r="F1763" s="5" t="inlineStr"/>
      <c r="G1763" s="6" t="inlineStr"/>
      <c r="H1763" s="6" t="inlineStr">
        <is>
          <t>Direktör oldun. Takviminde tek boş saat kendi doğum günün; o da “belki” olarak işaretli.</t>
        </is>
      </c>
      <c r="I1763" s="6" t="inlineStr">
        <is>
          <t>Yönetim kuruluna girdin. Kartvizitini annene verdin; çerçeveletip vitrinde kristal şekerliğin yanına koydu.</t>
        </is>
      </c>
      <c r="J1763" s="6" t="inlineStr">
        <is>
          <t>Direktörlük otuz yaşındaki bir “yetenek”e gitti. Sen ona sunum yapmayı öğretiyorsun.</t>
        </is>
      </c>
      <c r="K1763" s="6" t="inlineStr">
        <is>
          <t>Terfi sunumunu bitirdin, “Sorusu olan?” dedin. Genel müdür elini kaldırdı: “Siz hangi birimdeydiniz?” Yirmi iki yıldır aynı kattasın.</t>
        </is>
      </c>
      <c r="L1763" s="6" t="inlineStr"/>
      <c r="M1763" s="5" t="inlineStr"/>
      <c r="N1763" s="5" t="inlineStr"/>
      <c r="O1763" s="6" t="inlineStr"/>
      <c r="P1763" s="6" t="inlineStr"/>
      <c r="Q1763" s="5" t="inlineStr"/>
      <c r="R1763" s="5" t="inlineStr">
        <is>
          <t>meslek-beyazyaka</t>
        </is>
      </c>
      <c r="S1763" s="5" t="inlineStr"/>
      <c r="T1763" s="5" t="inlineStr"/>
      <c r="U1763" s="5" t="inlineStr"/>
      <c r="V1763" s="5" t="inlineStr">
        <is>
          <t>zirve</t>
        </is>
      </c>
      <c r="W1763" s="5" t="inlineStr"/>
      <c r="X1763" s="5" t="inlineStr"/>
      <c r="Y1763" s="5" t="inlineStr"/>
      <c r="Z1763" s="6" t="inlineStr"/>
      <c r="AA1763" s="5" t="inlineStr"/>
      <c r="AB1763" s="5" t="inlineStr"/>
      <c r="AC1763" s="5" t="inlineStr"/>
      <c r="AD1763" s="5" t="inlineStr">
        <is>
          <t>Rahat</t>
        </is>
      </c>
      <c r="AE1763" s="5" t="inlineStr"/>
      <c r="AF1763" s="5" t="inlineStr"/>
      <c r="AG1763" s="5" t="inlineStr">
        <is>
          <t>hat-goc</t>
        </is>
      </c>
      <c r="AH1763" s="5" t="inlineStr"/>
      <c r="AI1763" s="5" t="inlineStr"/>
      <c r="AJ1763" s="5" t="inlineStr"/>
    </row>
    <row r="1764">
      <c r="A1764" s="5" t="inlineStr">
        <is>
          <t>b8-orta-yas</t>
        </is>
      </c>
      <c r="B1764" s="5" t="n">
        <v>7</v>
      </c>
      <c r="C1764" s="6" t="inlineStr">
        <is>
          <t>Çarşı başkanlığına oyna</t>
        </is>
      </c>
      <c r="D1764" s="5" t="inlineStr">
        <is>
          <t>Çene</t>
        </is>
      </c>
      <c r="E1764" s="5" t="inlineStr">
        <is>
          <t>Zor</t>
        </is>
      </c>
      <c r="F1764" s="5" t="inlineStr"/>
      <c r="G1764" s="6" t="inlineStr"/>
      <c r="H1764" s="6" t="inlineStr">
        <is>
          <t>Çarşı derneği başkanı oldun. Senin onayın olmadan kimse tabela asamıyor.</t>
        </is>
      </c>
      <c r="I1764" s="6" t="inlineStr">
        <is>
          <t>Çarşı gayriresmî olarak senin adınla anılıyor. Belediye tabelayı değiştirmeyi ciddi ciddi düşünüyor.</t>
        </is>
      </c>
      <c r="J1764" s="6" t="inlineStr">
        <is>
          <t>Dernek seçimini karşı dükkân bir oy farkla kazandı. O oy, senin çırağınındı.</t>
        </is>
      </c>
      <c r="K1764" s="6" t="inlineStr">
        <is>
          <t>Seçim günü kepenk kapandı, içeride kaldın, oy kullanamadın. Fark bir oydu.</t>
        </is>
      </c>
      <c r="L1764" s="6" t="inlineStr"/>
      <c r="M1764" s="5" t="inlineStr"/>
      <c r="N1764" s="5" t="inlineStr"/>
      <c r="O1764" s="6" t="inlineStr"/>
      <c r="P1764" s="6" t="inlineStr"/>
      <c r="Q1764" s="5" t="inlineStr"/>
      <c r="R1764" s="5" t="inlineStr">
        <is>
          <t>meslek-esnaf</t>
        </is>
      </c>
      <c r="S1764" s="5" t="inlineStr"/>
      <c r="T1764" s="5" t="inlineStr"/>
      <c r="U1764" s="5" t="inlineStr"/>
      <c r="V1764" s="5" t="inlineStr">
        <is>
          <t>zirve</t>
        </is>
      </c>
      <c r="W1764" s="5" t="inlineStr"/>
      <c r="X1764" s="5" t="inlineStr"/>
      <c r="Y1764" s="5" t="inlineStr"/>
      <c r="Z1764" s="6" t="inlineStr"/>
      <c r="AA1764" s="5" t="inlineStr"/>
      <c r="AB1764" s="5" t="inlineStr"/>
      <c r="AC1764" s="5" t="inlineStr"/>
      <c r="AD1764" s="5" t="inlineStr">
        <is>
          <t>Rahat</t>
        </is>
      </c>
      <c r="AE1764" s="5" t="inlineStr"/>
      <c r="AF1764" s="5" t="inlineStr"/>
      <c r="AG1764" s="5" t="inlineStr">
        <is>
          <t>hat-cete, hat-koy, hat-usta, esnaf-dernek-baskani</t>
        </is>
      </c>
      <c r="AH1764" s="5" t="inlineStr"/>
      <c r="AI1764" s="5" t="inlineStr"/>
      <c r="AJ1764" s="5" t="inlineStr"/>
    </row>
    <row r="1765">
      <c r="A1765" s="5" t="inlineStr">
        <is>
          <t>b8-orta-yas</t>
        </is>
      </c>
      <c r="B1765" s="5" t="n">
        <v>8</v>
      </c>
      <c r="C1765" s="6" t="inlineStr">
        <is>
          <t>Kendi ajansını kur</t>
        </is>
      </c>
      <c r="D1765" s="5" t="inlineStr">
        <is>
          <t>Pişkinlik</t>
        </is>
      </c>
      <c r="E1765" s="5" t="inlineStr">
        <is>
          <t>Zor</t>
        </is>
      </c>
      <c r="F1765" s="5" t="inlineStr"/>
      <c r="G1765" s="6" t="inlineStr"/>
      <c r="H1765" s="6" t="inlineStr">
        <is>
          <t>Kendi ajansını kurdun. Artık gece yarısı “Küçük bir revizyon” mesajını sen atıyorsun.</t>
        </is>
      </c>
      <c r="I1765" s="6" t="inlineStr">
        <is>
          <t>Ajansın büyüdü; eski müşterilerin artık seni kovalıyor, fatura için değil, randevu için.</t>
        </is>
      </c>
      <c r="J1765" s="6" t="inlineStr">
        <is>
          <t>Ajans planın bir sunumda kaldı. Sunum güzeldi; faturası hâlâ ödenmedi.</t>
        </is>
      </c>
      <c r="K1765" s="6" t="inlineStr">
        <is>
          <t>Ortağın müşterileri alıp gitti. Sana ajansın logosu kaldı; o da senin tasarımındı.</t>
        </is>
      </c>
      <c r="L1765" s="6" t="inlineStr"/>
      <c r="M1765" s="5" t="inlineStr"/>
      <c r="N1765" s="5" t="inlineStr"/>
      <c r="O1765" s="6" t="inlineStr"/>
      <c r="P1765" s="6" t="inlineStr"/>
      <c r="Q1765" s="5" t="inlineStr"/>
      <c r="R1765" s="5" t="inlineStr">
        <is>
          <t>meslek-serbest</t>
        </is>
      </c>
      <c r="S1765" s="5" t="inlineStr"/>
      <c r="T1765" s="5" t="inlineStr"/>
      <c r="U1765" s="5" t="inlineStr"/>
      <c r="V1765" s="5" t="inlineStr">
        <is>
          <t>zirve</t>
        </is>
      </c>
      <c r="W1765" s="5" t="inlineStr"/>
      <c r="X1765" s="5" t="inlineStr"/>
      <c r="Y1765" s="5" t="inlineStr"/>
      <c r="Z1765" s="6" t="inlineStr"/>
      <c r="AA1765" s="5" t="inlineStr"/>
      <c r="AB1765" s="5" t="inlineStr"/>
      <c r="AC1765" s="5" t="inlineStr"/>
      <c r="AD1765" s="5" t="inlineStr">
        <is>
          <t>Rahat</t>
        </is>
      </c>
      <c r="AE1765" s="5" t="inlineStr"/>
      <c r="AF1765" s="5" t="inlineStr"/>
      <c r="AG1765" s="5" t="inlineStr">
        <is>
          <t>hat-sohret, hat-dolandirici, hat-girisimci</t>
        </is>
      </c>
      <c r="AH1765" s="5" t="inlineStr"/>
      <c r="AI1765" s="5" t="inlineStr"/>
      <c r="AJ1765" s="5" t="inlineStr"/>
    </row>
    <row r="1766">
      <c r="A1766" s="5" t="inlineStr">
        <is>
          <t>b8-orta-yas</t>
        </is>
      </c>
      <c r="B1766" s="5" t="n">
        <v>9</v>
      </c>
      <c r="C1766" s="6" t="inlineStr">
        <is>
          <t>Emniyet müdürlüğüne oyna</t>
        </is>
      </c>
      <c r="D1766" s="5" t="inlineStr">
        <is>
          <t>Cesaret</t>
        </is>
      </c>
      <c r="E1766" s="5" t="inlineStr">
        <is>
          <t>Zor</t>
        </is>
      </c>
      <c r="F1766" s="5" t="inlineStr"/>
      <c r="G1766" s="6" t="inlineStr"/>
      <c r="H1766" s="6" t="inlineStr">
        <is>
          <t>Emniyet müdürü oldun. İlk gün eski devriye arkadaşların kapıyı çalmadan girdi: “Müdürüm, çay var mı?” Vardı; sen koydun.</t>
        </is>
      </c>
      <c r="I1766" s="6" t="inlineStr">
        <is>
          <t>İlk gününde yirmi yıllık bir dosyayı kapattın: karakolun kayıp çaydanlığı. Bulundu; müdürün odasındaydı.</t>
        </is>
      </c>
      <c r="J1766" s="6" t="inlineStr">
        <is>
          <t>Müdürlük başka birine gitti. Masanda kalan tek terfi, yeni bir mühür.</t>
        </is>
      </c>
      <c r="K1766" s="6" t="inlineStr">
        <is>
          <t>Tören provasında selamı ters verdin; video herkese ulaştı. Terfi başka bahara.</t>
        </is>
      </c>
      <c r="L1766" s="6" t="inlineStr"/>
      <c r="M1766" s="5" t="inlineStr"/>
      <c r="N1766" s="5" t="inlineStr"/>
      <c r="O1766" s="6" t="inlineStr"/>
      <c r="P1766" s="6" t="inlineStr"/>
      <c r="Q1766" s="5" t="inlineStr"/>
      <c r="R1766" s="5" t="inlineStr">
        <is>
          <t>hat-polis</t>
        </is>
      </c>
      <c r="S1766" s="5" t="inlineStr"/>
      <c r="T1766" s="5" t="inlineStr"/>
      <c r="U1766" s="5" t="inlineStr"/>
      <c r="V1766" s="5" t="inlineStr">
        <is>
          <t>zirve</t>
        </is>
      </c>
      <c r="W1766" s="5" t="inlineStr"/>
      <c r="X1766" s="5" t="inlineStr"/>
      <c r="Y1766" s="5" t="inlineStr"/>
      <c r="Z1766" s="6" t="inlineStr"/>
      <c r="AA1766" s="5" t="inlineStr"/>
      <c r="AB1766" s="5" t="inlineStr"/>
      <c r="AC1766" s="5" t="inlineStr"/>
      <c r="AD1766" s="5" t="inlineStr">
        <is>
          <t>Rahat</t>
        </is>
      </c>
      <c r="AE1766" s="5" t="inlineStr"/>
      <c r="AF1766" s="5" t="inlineStr"/>
      <c r="AG1766" s="5" t="inlineStr">
        <is>
          <t>polis-mudur</t>
        </is>
      </c>
      <c r="AH1766" s="5" t="inlineStr"/>
      <c r="AI1766" s="5" t="inlineStr"/>
      <c r="AJ1766" s="5" t="inlineStr"/>
    </row>
    <row r="1767">
      <c r="A1767" s="5" t="inlineStr">
        <is>
          <t>b8-orta-yas</t>
        </is>
      </c>
      <c r="B1767" s="5" t="n">
        <v>10</v>
      </c>
      <c r="C1767" s="6" t="inlineStr">
        <is>
          <t>Yüksek mahkemeye oyna</t>
        </is>
      </c>
      <c r="D1767" s="5" t="inlineStr">
        <is>
          <t>Akıl</t>
        </is>
      </c>
      <c r="E1767" s="5" t="inlineStr">
        <is>
          <t>Zor</t>
        </is>
      </c>
      <c r="F1767" s="5" t="inlineStr"/>
      <c r="G1767" s="6" t="inlineStr"/>
      <c r="H1767" s="6" t="inlineStr">
        <is>
          <t>Yüksek mahkemeye seçildin. Cübben artık tam oturuyor; terzi haklıymış.</t>
        </is>
      </c>
      <c r="I1767" s="6" t="inlineStr">
        <is>
          <t>Yazdığın bir karar ders kitaplarına girdi. Öğrenciler senin cümlelerinle sınava giriyor; seni hâlâ tanımıyorlar.</t>
        </is>
      </c>
      <c r="J1767" s="6" t="inlineStr">
        <is>
          <t>Listede adın vardı, sonra yoktu. Kimse nedenini açıklamadı; gerekçeli karar da gelmedi.</t>
        </is>
      </c>
      <c r="K1767" s="6" t="inlineStr">
        <is>
          <t>Mülakatta farkında olmadan kendi eski kararını eleştirdin. Kurul çok güldü; seçmedi.</t>
        </is>
      </c>
      <c r="L1767" s="6" t="inlineStr"/>
      <c r="M1767" s="5" t="inlineStr"/>
      <c r="N1767" s="5" t="inlineStr"/>
      <c r="O1767" s="6" t="inlineStr"/>
      <c r="P1767" s="6" t="inlineStr"/>
      <c r="Q1767" s="5" t="inlineStr"/>
      <c r="R1767" s="5" t="inlineStr">
        <is>
          <t>hat-yargi</t>
        </is>
      </c>
      <c r="S1767" s="5" t="inlineStr"/>
      <c r="T1767" s="5" t="inlineStr"/>
      <c r="U1767" s="5" t="inlineStr"/>
      <c r="V1767" s="5" t="inlineStr">
        <is>
          <t>zirve</t>
        </is>
      </c>
      <c r="W1767" s="5" t="inlineStr"/>
      <c r="X1767" s="5" t="inlineStr"/>
      <c r="Y1767" s="5" t="inlineStr"/>
      <c r="Z1767" s="6" t="inlineStr"/>
      <c r="AA1767" s="5" t="inlineStr"/>
      <c r="AB1767" s="5" t="inlineStr"/>
      <c r="AC1767" s="5" t="inlineStr"/>
      <c r="AD1767" s="5" t="inlineStr">
        <is>
          <t>Rahat</t>
        </is>
      </c>
      <c r="AE1767" s="5" t="inlineStr"/>
      <c r="AF1767" s="5" t="inlineStr"/>
      <c r="AG1767" s="5" t="inlineStr">
        <is>
          <t>yargi-yuksek</t>
        </is>
      </c>
      <c r="AH1767" s="5" t="inlineStr"/>
      <c r="AI1767" s="5" t="inlineStr"/>
      <c r="AJ1767" s="5" t="inlineStr"/>
    </row>
    <row r="1768">
      <c r="A1768" s="5" t="inlineStr">
        <is>
          <t>b8-orta-yas</t>
        </is>
      </c>
      <c r="B1768" s="5" t="n">
        <v>11</v>
      </c>
      <c r="C1768" s="6" t="inlineStr">
        <is>
          <t>Profesörlüğe oyna</t>
        </is>
      </c>
      <c r="D1768" s="5" t="inlineStr">
        <is>
          <t>Akıl</t>
        </is>
      </c>
      <c r="E1768" s="5" t="inlineStr">
        <is>
          <t>Zor</t>
        </is>
      </c>
      <c r="F1768" s="5" t="inlineStr"/>
      <c r="G1768" s="6" t="inlineStr"/>
      <c r="H1768" s="6" t="inlineStr">
        <is>
          <t>Profesör oldun. Aile grubundaki teyzen artık seni “Hocam” diye etiketliyor; semptomlarla birlikte.</t>
        </is>
      </c>
      <c r="I1768" s="6" t="inlineStr">
        <is>
          <t>Adını taşıyan bir ameliyat tekniği var. Kimse doğru telaffuz edemiyor; herkes uyguluyor.</t>
        </is>
      </c>
      <c r="J1768" s="6" t="inlineStr">
        <is>
          <t>Profesörlük jürisi dosyanı bir yıl erteledi. Sen de bir yıl daha nöbet tuttun.</t>
        </is>
      </c>
      <c r="K1768" s="6" t="inlineStr">
        <is>
          <t>Jüri sunumunda slaytların yerine tatil fotoğrafların açıldı. Jüri denizi beğendi, dosyayı beğenmedi.</t>
        </is>
      </c>
      <c r="L1768" s="6" t="inlineStr"/>
      <c r="M1768" s="5" t="inlineStr"/>
      <c r="N1768" s="5" t="inlineStr"/>
      <c r="O1768" s="6" t="inlineStr"/>
      <c r="P1768" s="6" t="inlineStr"/>
      <c r="Q1768" s="5" t="inlineStr"/>
      <c r="R1768" s="5" t="inlineStr">
        <is>
          <t>hat-hekim</t>
        </is>
      </c>
      <c r="S1768" s="5" t="inlineStr"/>
      <c r="T1768" s="5" t="inlineStr"/>
      <c r="U1768" s="5" t="inlineStr"/>
      <c r="V1768" s="5" t="inlineStr">
        <is>
          <t>zirve</t>
        </is>
      </c>
      <c r="W1768" s="5" t="inlineStr"/>
      <c r="X1768" s="5" t="inlineStr"/>
      <c r="Y1768" s="5" t="inlineStr"/>
      <c r="Z1768" s="6" t="inlineStr"/>
      <c r="AA1768" s="5" t="inlineStr"/>
      <c r="AB1768" s="5" t="inlineStr"/>
      <c r="AC1768" s="5" t="inlineStr"/>
      <c r="AD1768" s="5" t="inlineStr">
        <is>
          <t>Rahat</t>
        </is>
      </c>
      <c r="AE1768" s="5" t="inlineStr"/>
      <c r="AF1768" s="5" t="inlineStr"/>
      <c r="AG1768" s="5" t="inlineStr">
        <is>
          <t>hekim-profesor</t>
        </is>
      </c>
      <c r="AH1768" s="5" t="inlineStr"/>
      <c r="AI1768" s="5" t="inlineStr"/>
      <c r="AJ1768" s="5" t="inlineStr"/>
    </row>
    <row r="1769">
      <c r="A1769" s="5" t="inlineStr">
        <is>
          <t>b8-orta-yas</t>
        </is>
      </c>
      <c r="B1769" s="5" t="n">
        <v>12</v>
      </c>
      <c r="C1769" s="6" t="inlineStr">
        <is>
          <t>Meclise girmeye oyna</t>
        </is>
      </c>
      <c r="D1769" s="5" t="inlineStr">
        <is>
          <t>Çene</t>
        </is>
      </c>
      <c r="E1769" s="5" t="inlineStr">
        <is>
          <t>Zor</t>
        </is>
      </c>
      <c r="F1769" s="5" t="inlineStr"/>
      <c r="G1769" s="6" t="inlineStr"/>
      <c r="H1769" s="6" t="inlineStr">
        <is>
          <t>Makarya Meclisi'ne girdin. İlk konuşmanda mikrofon kapalıydı; yine de alkış aldın.</t>
        </is>
      </c>
      <c r="I1769" s="6" t="inlineStr">
        <is>
          <t>İlk konuşman öyle yankı yaptı ki iki parti seni transfer etmek istedi. Birinin adını hâlâ bilmiyorsun.</t>
        </is>
      </c>
      <c r="J1769" s="6" t="inlineStr">
        <is>
          <t>Listede bir sıra aşağıdaydın. Bir oy fark etti; o oy senin de değildi, sandığa geç kaldın.</t>
        </is>
      </c>
      <c r="K1769" s="6" t="inlineStr">
        <is>
          <t>Mitingde rakibin sloganını söyledin. Kalabalık coştu; rakibin kazandı.</t>
        </is>
      </c>
      <c r="L1769" s="6" t="inlineStr"/>
      <c r="M1769" s="5" t="inlineStr"/>
      <c r="N1769" s="5" t="inlineStr"/>
      <c r="O1769" s="6" t="inlineStr"/>
      <c r="P1769" s="6" t="inlineStr"/>
      <c r="Q1769" s="5" t="inlineStr"/>
      <c r="R1769" s="5" t="inlineStr">
        <is>
          <t>hat-politika</t>
        </is>
      </c>
      <c r="S1769" s="5" t="inlineStr"/>
      <c r="T1769" s="5" t="inlineStr"/>
      <c r="U1769" s="5" t="inlineStr"/>
      <c r="V1769" s="5" t="inlineStr">
        <is>
          <t>zirve</t>
        </is>
      </c>
      <c r="W1769" s="5" t="inlineStr"/>
      <c r="X1769" s="5" t="inlineStr"/>
      <c r="Y1769" s="5" t="inlineStr"/>
      <c r="Z1769" s="6" t="inlineStr"/>
      <c r="AA1769" s="5" t="inlineStr"/>
      <c r="AB1769" s="5" t="inlineStr"/>
      <c r="AC1769" s="5" t="inlineStr"/>
      <c r="AD1769" s="5" t="inlineStr">
        <is>
          <t>Rahat</t>
        </is>
      </c>
      <c r="AE1769" s="5" t="inlineStr"/>
      <c r="AF1769" s="5" t="inlineStr"/>
      <c r="AG1769" s="5" t="inlineStr"/>
      <c r="AH1769" s="5" t="inlineStr"/>
      <c r="AI1769" s="5" t="inlineStr"/>
      <c r="AJ1769" s="5" t="inlineStr"/>
    </row>
    <row r="1770">
      <c r="A1770" s="5" t="inlineStr">
        <is>
          <t>b8-orta-yas</t>
        </is>
      </c>
      <c r="B1770" s="5" t="n">
        <v>13</v>
      </c>
      <c r="C1770" s="6" t="inlineStr">
        <is>
          <t>Semtin büyük masasına oyna</t>
        </is>
      </c>
      <c r="D1770" s="5" t="inlineStr">
        <is>
          <t>Cesaret</t>
        </is>
      </c>
      <c r="E1770" s="5" t="inlineStr">
        <is>
          <t>Zor</t>
        </is>
      </c>
      <c r="F1770" s="5" t="inlineStr"/>
      <c r="G1770" s="6" t="inlineStr"/>
      <c r="H1770" s="6" t="inlineStr">
        <is>
          <t>Semtin bütün kahveleri seni tanıyor. Düğünlerde takı sırası artık senden başlıyor.</t>
        </is>
      </c>
      <c r="I1770" s="6" t="inlineStr">
        <is>
          <t>Üç mahalle sana bağlandı. Belediye bile bir çukuru kapatmadan önce kahveye uğruyor.</t>
        </is>
      </c>
      <c r="J1770" s="6" t="inlineStr">
        <is>
          <t>Semtin büyük masası yaşlı bir abiye kaldı. Sen yine yanındasın; çayı sen koyuyorsun.</t>
        </is>
      </c>
      <c r="K1770" s="6" t="inlineStr">
        <is>
          <t>Toplantıda yanlış masaya oturdun: rakip abinin masasına. Üç ay kimse selamını almadı.</t>
        </is>
      </c>
      <c r="L1770" s="6" t="inlineStr"/>
      <c r="M1770" s="5" t="inlineStr"/>
      <c r="N1770" s="5" t="inlineStr"/>
      <c r="O1770" s="6" t="inlineStr"/>
      <c r="P1770" s="6" t="inlineStr"/>
      <c r="Q1770" s="5" t="inlineStr"/>
      <c r="R1770" s="5" t="inlineStr">
        <is>
          <t>hat-cete</t>
        </is>
      </c>
      <c r="S1770" s="5" t="inlineStr"/>
      <c r="T1770" s="5" t="inlineStr"/>
      <c r="U1770" s="5" t="inlineStr"/>
      <c r="V1770" s="5" t="inlineStr">
        <is>
          <t>zirve</t>
        </is>
      </c>
      <c r="W1770" s="5" t="inlineStr">
        <is>
          <t>hapis</t>
        </is>
      </c>
      <c r="X1770" s="5" t="inlineStr"/>
      <c r="Y1770" s="5" t="inlineStr"/>
      <c r="Z1770" s="6" t="inlineStr"/>
      <c r="AA1770" s="5" t="inlineStr"/>
      <c r="AB1770" s="5" t="inlineStr"/>
      <c r="AC1770" s="5" t="inlineStr"/>
      <c r="AD1770" s="5" t="inlineStr">
        <is>
          <t>Varlıklı</t>
        </is>
      </c>
      <c r="AE1770" s="5" t="inlineStr"/>
      <c r="AF1770" s="5" t="inlineStr"/>
      <c r="AG1770" s="5" t="inlineStr"/>
      <c r="AH1770" s="5" t="inlineStr"/>
      <c r="AI1770" s="5" t="inlineStr"/>
      <c r="AJ1770" s="5" t="inlineStr"/>
    </row>
    <row r="1771">
      <c r="A1771" s="5" t="inlineStr">
        <is>
          <t>b8-orta-yas</t>
        </is>
      </c>
      <c r="B1771" s="5" t="n">
        <v>14</v>
      </c>
      <c r="C1771" s="6" t="inlineStr">
        <is>
          <t>Stadyum seminerine oyna</t>
        </is>
      </c>
      <c r="D1771" s="5" t="inlineStr">
        <is>
          <t>Kurnazlık</t>
        </is>
      </c>
      <c r="E1771" s="5" t="inlineStr">
        <is>
          <t>Zor</t>
        </is>
      </c>
      <c r="F1771" s="5" t="inlineStr"/>
      <c r="G1771" s="6" t="inlineStr"/>
      <c r="H1771" s="6" t="inlineStr">
        <is>
          <t>Yatırım kulübünün üye sayısı on bini geçti. Hiçbiri ne sattığını bilmiyor; sen de.</t>
        </is>
      </c>
      <c r="I1771" s="6" t="inlineStr">
        <is>
          <t>Seminerlerin artık stadyumda. Kapıda satılan kitabının adı “Kolay Para Yoktur.” En çok satan kitap.</t>
        </is>
      </c>
      <c r="J1771" s="6" t="inlineStr">
        <is>
          <t>Büyük seminer için tuttuğun salon boş kaldı. Katılan tek kişi iade istedi; hayatında ilk kez iade ettin.</t>
        </is>
      </c>
      <c r="K1771" s="6" t="inlineStr">
        <is>
          <t>Ön sırada oturan izleyici bir müfettişti. Sunumun ilk slaytında sohbet, ikincisinde tutanak başladı.</t>
        </is>
      </c>
      <c r="L1771" s="6" t="inlineStr"/>
      <c r="M1771" s="5" t="inlineStr"/>
      <c r="N1771" s="5" t="inlineStr"/>
      <c r="O1771" s="6" t="inlineStr"/>
      <c r="P1771" s="6" t="inlineStr"/>
      <c r="Q1771" s="5" t="inlineStr"/>
      <c r="R1771" s="5" t="inlineStr">
        <is>
          <t>hat-dolandirici</t>
        </is>
      </c>
      <c r="S1771" s="5" t="inlineStr"/>
      <c r="T1771" s="5" t="inlineStr"/>
      <c r="U1771" s="5" t="inlineStr"/>
      <c r="V1771" s="5" t="inlineStr">
        <is>
          <t>zirve</t>
        </is>
      </c>
      <c r="W1771" s="5" t="inlineStr">
        <is>
          <t>hapis</t>
        </is>
      </c>
      <c r="X1771" s="5" t="inlineStr"/>
      <c r="Y1771" s="5" t="inlineStr"/>
      <c r="Z1771" s="6" t="inlineStr"/>
      <c r="AA1771" s="5" t="inlineStr"/>
      <c r="AB1771" s="5" t="inlineStr"/>
      <c r="AC1771" s="5" t="inlineStr"/>
      <c r="AD1771" s="5" t="inlineStr">
        <is>
          <t>Varlıklı</t>
        </is>
      </c>
      <c r="AE1771" s="5" t="inlineStr"/>
      <c r="AF1771" s="5" t="inlineStr"/>
      <c r="AG1771" s="5" t="inlineStr"/>
      <c r="AH1771" s="5" t="inlineStr"/>
      <c r="AI1771" s="5" t="inlineStr"/>
      <c r="AJ1771" s="5" t="inlineStr"/>
    </row>
    <row r="1772">
      <c r="A1772" s="5" t="inlineStr">
        <is>
          <t>b8-orta-yas</t>
        </is>
      </c>
      <c r="B1772" s="5" t="n">
        <v>15</v>
      </c>
      <c r="C1772" s="6" t="inlineStr">
        <is>
          <t>Yılın yüzü olmaya oyna</t>
        </is>
      </c>
      <c r="D1772" s="5" t="inlineStr">
        <is>
          <t>Pişkinlik</t>
        </is>
      </c>
      <c r="E1772" s="5" t="inlineStr">
        <is>
          <t>Zor</t>
        </is>
      </c>
      <c r="F1772" s="5" t="inlineStr"/>
      <c r="G1772" s="6" t="inlineStr"/>
      <c r="H1772" s="6" t="inlineStr">
        <is>
          <t>Yılın yüzü seçildin. Teşekkür listen annenden başlayıp kuaförünle bitti.</t>
        </is>
      </c>
      <c r="I1772" s="6" t="inlineStr">
        <is>
          <t>Bir balmumu heykelin yapıldı. Heykel senden genç duruyor; biraz kıskanıyorsun.</t>
        </is>
      </c>
      <c r="J1772" s="6" t="inlineStr">
        <is>
          <t>Ödül rakibine gitti. Sen alkışlarken kamera sana döndü; alkışın biraz kısa kaldı.</t>
        </is>
      </c>
      <c r="K1772" s="6" t="inlineStr">
        <is>
          <t>Ödül töreninde eski menajerine teşekkür ettin, yanlışlıkla. Menajer ertesi gün aradı; barıştınız, işin yok.</t>
        </is>
      </c>
      <c r="L1772" s="6" t="inlineStr"/>
      <c r="M1772" s="5" t="inlineStr"/>
      <c r="N1772" s="5" t="inlineStr"/>
      <c r="O1772" s="6" t="inlineStr"/>
      <c r="P1772" s="6" t="inlineStr"/>
      <c r="Q1772" s="5" t="inlineStr"/>
      <c r="R1772" s="5" t="inlineStr">
        <is>
          <t>hat-sohret</t>
        </is>
      </c>
      <c r="S1772" s="5" t="inlineStr"/>
      <c r="T1772" s="5" t="inlineStr"/>
      <c r="U1772" s="5" t="inlineStr"/>
      <c r="V1772" s="5" t="inlineStr">
        <is>
          <t>zirve</t>
        </is>
      </c>
      <c r="W1772" s="5" t="inlineStr"/>
      <c r="X1772" s="5" t="inlineStr"/>
      <c r="Y1772" s="5" t="inlineStr"/>
      <c r="Z1772" s="6" t="inlineStr"/>
      <c r="AA1772" s="5" t="inlineStr"/>
      <c r="AB1772" s="5" t="inlineStr"/>
      <c r="AC1772" s="5" t="inlineStr"/>
      <c r="AD1772" s="5" t="inlineStr">
        <is>
          <t>Varlıklı</t>
        </is>
      </c>
      <c r="AE1772" s="5" t="inlineStr"/>
      <c r="AF1772" s="5" t="inlineStr"/>
      <c r="AG1772" s="5" t="inlineStr"/>
      <c r="AH1772" s="5" t="inlineStr"/>
      <c r="AI1772" s="5" t="inlineStr"/>
      <c r="AJ1772" s="5" t="inlineStr"/>
    </row>
    <row r="1773">
      <c r="A1773" s="5" t="inlineStr">
        <is>
          <t>b8-orta-yas</t>
        </is>
      </c>
      <c r="B1773" s="5" t="n">
        <v>16</v>
      </c>
      <c r="C1773" s="6" t="inlineStr">
        <is>
          <t>Şirketi büyütmeye oyna</t>
        </is>
      </c>
      <c r="D1773" s="5" t="inlineStr">
        <is>
          <t>Akıl</t>
        </is>
      </c>
      <c r="E1773" s="5" t="inlineStr">
        <is>
          <t>Zor</t>
        </is>
      </c>
      <c r="F1773" s="5" t="inlineStr"/>
      <c r="G1773" s="6" t="inlineStr"/>
      <c r="H1773" s="6" t="inlineStr">
        <is>
          <t>Şirketin sektörünün en büyüğü oldu. Logoyu değiştirmek için üç ay toplantı yaptınız.</t>
        </is>
      </c>
      <c r="I1773" s="6" t="inlineStr">
        <is>
          <t>Şirketin halka açıldı. Annen hisse aldı; her sabah fiyatı sana soruyor.</t>
        </is>
      </c>
      <c r="J1773" s="6" t="inlineStr">
        <is>
          <t>Büyüme turu kapanmadı. Şirketin küçük ve kârlı kaldı; bu cümleyi yatırımcılara hâlâ anlatamıyorsun.</t>
        </is>
      </c>
      <c r="K1773" s="6" t="inlineStr">
        <is>
          <t>Büyük anlaşmanın imza gününde kalemi unuttun. Karşı taraf “Bu bir işaret” dedi ve kalktı.</t>
        </is>
      </c>
      <c r="L1773" s="6" t="inlineStr"/>
      <c r="M1773" s="5" t="inlineStr"/>
      <c r="N1773" s="5" t="inlineStr"/>
      <c r="O1773" s="6" t="inlineStr"/>
      <c r="P1773" s="6" t="inlineStr"/>
      <c r="Q1773" s="5" t="inlineStr"/>
      <c r="R1773" s="5" t="inlineStr">
        <is>
          <t>hat-girisimci</t>
        </is>
      </c>
      <c r="S1773" s="5" t="inlineStr"/>
      <c r="T1773" s="5" t="inlineStr"/>
      <c r="U1773" s="5" t="inlineStr"/>
      <c r="V1773" s="5" t="inlineStr">
        <is>
          <t>zirve</t>
        </is>
      </c>
      <c r="W1773" s="5" t="inlineStr"/>
      <c r="X1773" s="5" t="inlineStr"/>
      <c r="Y1773" s="5" t="inlineStr"/>
      <c r="Z1773" s="6" t="inlineStr"/>
      <c r="AA1773" s="5" t="inlineStr"/>
      <c r="AB1773" s="5" t="inlineStr"/>
      <c r="AC1773" s="5" t="inlineStr"/>
      <c r="AD1773" s="5" t="inlineStr">
        <is>
          <t>Varlıklı</t>
        </is>
      </c>
      <c r="AE1773" s="5" t="inlineStr"/>
      <c r="AF1773" s="5" t="inlineStr"/>
      <c r="AG1773" s="5" t="inlineStr"/>
      <c r="AH1773" s="5" t="inlineStr"/>
      <c r="AI1773" s="5" t="inlineStr"/>
      <c r="AJ1773" s="5" t="inlineStr"/>
    </row>
    <row r="1774">
      <c r="A1774" s="5" t="inlineStr">
        <is>
          <t>b8-orta-yas</t>
        </is>
      </c>
      <c r="B1774" s="5" t="n">
        <v>17</v>
      </c>
      <c r="C1774" s="6" t="inlineStr">
        <is>
          <t>Öte Diyar'da kendi dükkânını aç</t>
        </is>
      </c>
      <c r="D1774" s="5" t="inlineStr">
        <is>
          <t>Dayanıklılık</t>
        </is>
      </c>
      <c r="E1774" s="5" t="inlineStr">
        <is>
          <t>Zor</t>
        </is>
      </c>
      <c r="F1774" s="5" t="inlineStr"/>
      <c r="G1774" s="6" t="inlineStr"/>
      <c r="H1774" s="6" t="inlineStr">
        <is>
          <t>Öte Diyar'da kendi dükkânını açtın; tabelada adın ilk kez doğru yazılmış.</t>
        </is>
      </c>
      <c r="I1774" s="6" t="inlineStr">
        <is>
          <t>Öte Diyar'ın bir gazetesi seni “yılın göçmeni” seçti. Memlekette haberin başlığını “Bizim çocuk” diye çevirdiler.</t>
        </is>
      </c>
      <c r="J1774" s="6" t="inlineStr">
        <is>
          <t>Dükkân başvurusunun bir sayfası iki dilde de eksik çıktı. Başkasının tezgâhında devam ediyorsun; tabelada yine başkasının adı var.</t>
        </is>
      </c>
      <c r="K1774" s="6" t="inlineStr">
        <is>
          <t>Açılış günü kurdeleyi kestin, içeri bir müfettiş girdi. İzin belgen başka bir dükkânınmış. Açılış ve kapanış aynı fotoğrafta.</t>
        </is>
      </c>
      <c r="L1774" s="6" t="inlineStr"/>
      <c r="M1774" s="5" t="inlineStr"/>
      <c r="N1774" s="5" t="inlineStr"/>
      <c r="O1774" s="6" t="inlineStr"/>
      <c r="P1774" s="6" t="inlineStr"/>
      <c r="Q1774" s="5" t="inlineStr"/>
      <c r="R1774" s="5" t="inlineStr">
        <is>
          <t>hat-goc</t>
        </is>
      </c>
      <c r="S1774" s="5" t="inlineStr"/>
      <c r="T1774" s="5" t="inlineStr"/>
      <c r="U1774" s="5" t="inlineStr"/>
      <c r="V1774" s="5" t="inlineStr">
        <is>
          <t>zirve</t>
        </is>
      </c>
      <c r="W1774" s="5" t="inlineStr"/>
      <c r="X1774" s="5" t="inlineStr"/>
      <c r="Y1774" s="5" t="inlineStr"/>
      <c r="Z1774" s="6" t="inlineStr"/>
      <c r="AA1774" s="5" t="inlineStr"/>
      <c r="AB1774" s="5" t="inlineStr"/>
      <c r="AC1774" s="5" t="inlineStr"/>
      <c r="AD1774" s="5" t="inlineStr">
        <is>
          <t>Rahat</t>
        </is>
      </c>
      <c r="AE1774" s="5" t="inlineStr"/>
      <c r="AF1774" s="5" t="inlineStr"/>
      <c r="AG1774" s="5" t="inlineStr">
        <is>
          <t>ote-diyar-dukkani</t>
        </is>
      </c>
      <c r="AH1774" s="5" t="inlineStr"/>
      <c r="AI1774" s="5" t="inlineStr"/>
      <c r="AJ1774" s="5" t="inlineStr"/>
    </row>
    <row r="1775">
      <c r="A1775" s="5" t="inlineStr">
        <is>
          <t>b8-orta-yas</t>
        </is>
      </c>
      <c r="B1775" s="5" t="n">
        <v>18</v>
      </c>
      <c r="C1775" s="6" t="inlineStr">
        <is>
          <t>Muhtarlığa aday ol</t>
        </is>
      </c>
      <c r="D1775" s="5" t="inlineStr">
        <is>
          <t>Sosyal Radar</t>
        </is>
      </c>
      <c r="E1775" s="5" t="inlineStr">
        <is>
          <t>Zor</t>
        </is>
      </c>
      <c r="F1775" s="5" t="inlineStr"/>
      <c r="G1775" s="6" t="inlineStr"/>
      <c r="H1775" s="6" t="inlineStr">
        <is>
          <t>Köyün muhtarı seçildin. İlk icraatın keçiler için hız sınırı.</t>
        </is>
      </c>
      <c r="I1775" s="6" t="inlineStr">
        <is>
          <t>Köyün ünlü oldu; şehirden tur otobüsleri geliyor. Keçilerle fotoğraf ücretli.</t>
        </is>
      </c>
      <c r="J1775" s="6" t="inlineStr">
        <is>
          <t>Muhtarlık seçimini yirmi yıllık muhtara kaybettin. Seni kahvede yardımcısı ilan etti; maaşsız.</t>
        </is>
      </c>
      <c r="K1775" s="6" t="inlineStr">
        <is>
          <t>Seçim günü keçiler sandığı devirdi. Oylar yeniden sayıldı; keçiler karşı tarafı destekliyormuş.</t>
        </is>
      </c>
      <c r="L1775" s="6" t="inlineStr"/>
      <c r="M1775" s="5" t="inlineStr"/>
      <c r="N1775" s="5" t="inlineStr"/>
      <c r="O1775" s="6" t="inlineStr"/>
      <c r="P1775" s="6" t="inlineStr"/>
      <c r="Q1775" s="5" t="inlineStr"/>
      <c r="R1775" s="5" t="inlineStr">
        <is>
          <t>hat-koy</t>
        </is>
      </c>
      <c r="S1775" s="5" t="inlineStr"/>
      <c r="T1775" s="5" t="inlineStr"/>
      <c r="U1775" s="5" t="inlineStr"/>
      <c r="V1775" s="5" t="inlineStr">
        <is>
          <t>zirve</t>
        </is>
      </c>
      <c r="W1775" s="5" t="inlineStr"/>
      <c r="X1775" s="5" t="inlineStr"/>
      <c r="Y1775" s="5" t="inlineStr"/>
      <c r="Z1775" s="6" t="inlineStr"/>
      <c r="AA1775" s="5" t="inlineStr"/>
      <c r="AB1775" s="5" t="inlineStr"/>
      <c r="AC1775" s="5" t="inlineStr"/>
      <c r="AD1775" s="5" t="inlineStr">
        <is>
          <t>Orta</t>
        </is>
      </c>
      <c r="AE1775" s="5" t="inlineStr"/>
      <c r="AF1775" s="5" t="inlineStr"/>
      <c r="AG1775" s="5" t="inlineStr">
        <is>
          <t>muhtar</t>
        </is>
      </c>
      <c r="AH1775" s="5" t="inlineStr"/>
      <c r="AI1775" s="5" t="inlineStr"/>
      <c r="AJ1775" s="5" t="inlineStr"/>
    </row>
    <row r="1776">
      <c r="A1776" s="5" t="inlineStr">
        <is>
          <t>b8-orta-yas</t>
        </is>
      </c>
      <c r="B1776" s="5" t="n">
        <v>19</v>
      </c>
      <c r="C1776" s="6" t="inlineStr">
        <is>
          <t>Ustaların ustası olmaya oyna</t>
        </is>
      </c>
      <c r="D1776" s="5" t="inlineStr">
        <is>
          <t>Akıl</t>
        </is>
      </c>
      <c r="E1776" s="5" t="inlineStr">
        <is>
          <t>Zor</t>
        </is>
      </c>
      <c r="F1776" s="5" t="inlineStr"/>
      <c r="G1776" s="6" t="inlineStr"/>
      <c r="H1776" s="6" t="inlineStr">
        <is>
          <t>Sanayinin “ustaların ustası” oldun. Çözülemeyen arıza sana gelir; ya çözülür ya efsane olur.</t>
        </is>
      </c>
      <c r="I1776" s="6" t="inlineStr">
        <is>
          <t>Yetiştirdiğin çıraklar üç sanayide dükkân açtı. Hepsinin duvarında senin fotoğrafın var; biraz gençken çekilmiş.</t>
        </is>
      </c>
      <c r="J1776" s="6" t="inlineStr">
        <is>
          <t>Sanayi ustaları çözülemeyen bir arızayı sana getirdi; çözemedin. Genç bir çırak çözdü: seninki.</t>
        </is>
      </c>
      <c r="K1776" s="6" t="inlineStr">
        <is>
          <t>Ustalık gösterisinde motoru ters taktın. Motor çalıştı; ters yöne.</t>
        </is>
      </c>
      <c r="L1776" s="6" t="inlineStr"/>
      <c r="M1776" s="5" t="inlineStr"/>
      <c r="N1776" s="5" t="inlineStr"/>
      <c r="O1776" s="6" t="inlineStr"/>
      <c r="P1776" s="6" t="inlineStr"/>
      <c r="Q1776" s="5" t="inlineStr"/>
      <c r="R1776" s="5" t="inlineStr">
        <is>
          <t>hat-usta</t>
        </is>
      </c>
      <c r="S1776" s="5" t="inlineStr"/>
      <c r="T1776" s="5" t="inlineStr"/>
      <c r="U1776" s="5" t="inlineStr"/>
      <c r="V1776" s="5" t="inlineStr">
        <is>
          <t>zirve</t>
        </is>
      </c>
      <c r="W1776" s="5" t="inlineStr"/>
      <c r="X1776" s="5" t="inlineStr"/>
      <c r="Y1776" s="5" t="inlineStr"/>
      <c r="Z1776" s="6" t="inlineStr"/>
      <c r="AA1776" s="5" t="inlineStr"/>
      <c r="AB1776" s="5" t="inlineStr"/>
      <c r="AC1776" s="5" t="inlineStr"/>
      <c r="AD1776" s="5" t="inlineStr">
        <is>
          <t>Rahat</t>
        </is>
      </c>
      <c r="AE1776" s="5" t="inlineStr"/>
      <c r="AF1776" s="5" t="inlineStr"/>
      <c r="AG1776" s="5" t="inlineStr">
        <is>
          <t>ustalarin-ustasi</t>
        </is>
      </c>
      <c r="AH1776" s="5" t="inlineStr"/>
      <c r="AI1776" s="5" t="inlineStr"/>
      <c r="AJ1776" s="5" t="inlineStr"/>
    </row>
    <row r="1777">
      <c r="A1777" s="5" t="inlineStr">
        <is>
          <t>b8-buyuk-firsat</t>
        </is>
      </c>
      <c r="B1777" s="5" t="n">
        <v>1</v>
      </c>
      <c r="C1777" s="6" t="inlineStr">
        <is>
          <t>Üçünü de kibarca geri çevir</t>
        </is>
      </c>
      <c r="D1777" s="5" t="inlineStr"/>
      <c r="E1777" s="5" t="inlineStr"/>
      <c r="F1777" s="5" t="inlineStr">
        <is>
          <t>İtibar +1, Dayanıklılık +1</t>
        </is>
      </c>
      <c r="G1777" s="6" t="inlineStr">
        <is>
          <t>Üç telefonu da kibarca kapattın. Akşam pastanın başında annen sordu: “Kimdi o arayanlar?” “Yanlış numara” dedin. Mumları üflerken bir dilek tuttun; üçünden biri olabilirdi.</t>
        </is>
      </c>
      <c r="H1777" s="6" t="inlineStr"/>
      <c r="I1777" s="6" t="inlineStr"/>
      <c r="J1777" s="6" t="inlineStr"/>
      <c r="K1777" s="6" t="inlineStr"/>
      <c r="L1777" s="6" t="inlineStr"/>
      <c r="M1777" s="5" t="inlineStr"/>
      <c r="N1777" s="5" t="inlineStr"/>
      <c r="O1777" s="6" t="inlineStr"/>
      <c r="P1777" s="6" t="inlineStr"/>
      <c r="Q1777" s="5" t="inlineStr"/>
      <c r="R1777" s="5" t="inlineStr"/>
      <c r="S1777" s="5" t="inlineStr"/>
      <c r="T1777" s="5" t="inlineStr"/>
      <c r="U1777" s="5" t="inlineStr"/>
      <c r="V1777" s="5" t="inlineStr"/>
      <c r="W1777" s="5" t="inlineStr"/>
      <c r="X1777" s="5" t="inlineStr"/>
      <c r="Y1777" s="5" t="inlineStr"/>
      <c r="Z1777" s="6" t="inlineStr"/>
      <c r="AA1777" s="5" t="inlineStr"/>
      <c r="AB1777" s="5" t="inlineStr"/>
      <c r="AC1777" s="5" t="inlineStr"/>
      <c r="AD1777" s="5" t="inlineStr"/>
      <c r="AE1777" s="5" t="inlineStr"/>
      <c r="AF1777" s="5" t="inlineStr"/>
      <c r="AG1777" s="5" t="inlineStr"/>
      <c r="AH1777" s="5" t="inlineStr"/>
      <c r="AI1777" s="5" t="inlineStr"/>
      <c r="AJ1777" s="5" t="inlineStr"/>
    </row>
    <row r="1778">
      <c r="A1778" s="5" t="inlineStr">
        <is>
          <t>b8-buyuk-firsat</t>
        </is>
      </c>
      <c r="B1778" s="5" t="n">
        <v>2</v>
      </c>
      <c r="C1778" s="6" t="inlineStr">
        <is>
          <t>Adaylık teklifini kabul et</t>
        </is>
      </c>
      <c r="D1778" s="5" t="inlineStr">
        <is>
          <t>Çene</t>
        </is>
      </c>
      <c r="E1778" s="5" t="inlineStr">
        <is>
          <t>Zor</t>
        </is>
      </c>
      <c r="F1778" s="5" t="inlineStr"/>
      <c r="G1778" s="6" t="inlineStr"/>
      <c r="H1778" s="6" t="inlineStr">
        <is>
          <t>İl başkanı seni listenin üst sırasına koydu. Afişin ertesi hafta basıldı; fotoğrafın yirmi yıl önceden, sloganın dünden.</t>
        </is>
      </c>
      <c r="I1778" s="6" t="inlineStr">
        <is>
          <t>Adaylığın açıklandığı gün mahallede kendiliğinden bir miting oldu. Kürsü bir çay ocağıydı, kalabalık gerçekti.</t>
        </is>
      </c>
      <c r="J1778" s="6" t="inlineStr">
        <is>
          <t>İl başkanı seni dinledi, sonra listeyi dinledi. Liste senden kalabalıktı; adın yedek sıraya yazıldı.</t>
        </is>
      </c>
      <c r="K1778" s="6" t="inlineStr">
        <is>
          <t>Tanışma toplantısında kürsüye çıktın, heyecanla bağırdın: “Yaşasın…” Ağzından rakip partinin adı çıktı. Salon aynı anda öksürdü. İl başkanı numaranı gözünün önünde rehberden sildi.</t>
        </is>
      </c>
      <c r="L1778" s="6" t="inlineStr"/>
      <c r="M1778" s="5" t="inlineStr"/>
      <c r="N1778" s="5" t="inlineStr"/>
      <c r="O1778" s="6" t="inlineStr"/>
      <c r="P1778" s="6" t="inlineStr"/>
      <c r="Q1778" s="5" t="inlineStr"/>
      <c r="R1778" s="5" t="inlineStr"/>
      <c r="S1778" s="5" t="inlineStr"/>
      <c r="T1778" s="5" t="inlineStr"/>
      <c r="U1778" s="5" t="inlineStr"/>
      <c r="V1778" s="5" t="inlineStr">
        <is>
          <t>-hat-cete, -hat-dolandirici, -hat-girisimci, -hat-goc, -hat-hekim, -hat-koy, -hat-polis, -hat-sohret, -hat-usta, -hat-yargi, -meslek-beyazyaka, -meslek-esnaf, -meslek-memur, -meslek-serbest, hat-politika</t>
        </is>
      </c>
      <c r="W1778" s="5" t="inlineStr"/>
      <c r="X1778" s="5" t="inlineStr"/>
      <c r="Y1778" s="5" t="inlineStr"/>
      <c r="Z1778" s="6" t="inlineStr"/>
      <c r="AA1778" s="5" t="inlineStr"/>
      <c r="AB1778" s="5" t="inlineStr"/>
      <c r="AC1778" s="5" t="inlineStr"/>
      <c r="AD1778" s="5" t="inlineStr"/>
      <c r="AE1778" s="5" t="inlineStr"/>
      <c r="AF1778" s="5" t="inlineStr"/>
      <c r="AG1778" s="5" t="inlineStr">
        <is>
          <t>hat-politika</t>
        </is>
      </c>
      <c r="AH1778" s="5" t="inlineStr"/>
      <c r="AI1778" s="5" t="inlineStr"/>
      <c r="AJ1778" s="5" t="inlineStr"/>
    </row>
    <row r="1779">
      <c r="A1779" s="5" t="inlineStr">
        <is>
          <t>b8-buyuk-firsat</t>
        </is>
      </c>
      <c r="B1779" s="5" t="n">
        <v>3</v>
      </c>
      <c r="C1779" s="6" t="inlineStr">
        <is>
          <t>Öte Diyar'daki teklife evet de</t>
        </is>
      </c>
      <c r="D1779" s="5" t="inlineStr">
        <is>
          <t>Akıl</t>
        </is>
      </c>
      <c r="E1779" s="5" t="inlineStr">
        <is>
          <t>Zor</t>
        </is>
      </c>
      <c r="F1779" s="5" t="inlineStr"/>
      <c r="G1779" s="6" t="inlineStr"/>
      <c r="H1779" s="6" t="inlineStr">
        <is>
          <t>Elli yaşında valiz topladın. Valizin köşesinden annenin sıkıştırdığı bir dizi kuru biber çıktı. Öte Diyar'daki ilk sabah kahveni tek başına içtin; biberleri mutfağa astın.</t>
        </is>
      </c>
      <c r="I1779" s="6" t="inlineStr">
        <is>
          <t>Şirket seni bir bölüm müdürü olarak aldı; memlekette herkes seni zengin sanıyor. Yarı haklılar.</t>
        </is>
      </c>
      <c r="J1779" s="6" t="inlineStr">
        <is>
          <t>Mülakatın dil bölümünde takıldın. Şirket “Bir sonraki sefere” dedi; sonraki sefer yaşına bağlı.</t>
        </is>
      </c>
      <c r="K1779" s="6" t="inlineStr">
        <is>
          <t>Vize görüşmesinde memuru eski bir komşuya benzetip camın üstünden sarılmaya çalıştın. Komşu değildi. Vize reddedildi; gerekçe kutusunda tek kelime: “Sarıldı.”</t>
        </is>
      </c>
      <c r="L1779" s="6" t="inlineStr"/>
      <c r="M1779" s="5" t="inlineStr"/>
      <c r="N1779" s="5" t="inlineStr"/>
      <c r="O1779" s="6" t="inlineStr"/>
      <c r="P1779" s="6" t="inlineStr"/>
      <c r="Q1779" s="5" t="inlineStr"/>
      <c r="R1779" s="5" t="inlineStr"/>
      <c r="S1779" s="5" t="inlineStr"/>
      <c r="T1779" s="5" t="inlineStr"/>
      <c r="U1779" s="5" t="inlineStr"/>
      <c r="V1779" s="5" t="inlineStr">
        <is>
          <t>-hat-cete, -hat-dolandirici, -hat-girisimci, -hat-hekim, -hat-koy, -hat-polis, -hat-politika, -hat-sohret, -hat-usta, -hat-yargi, -meslek-esnaf, -meslek-memur, -meslek-serbest, hat-goc, meslek-beyazyaka</t>
        </is>
      </c>
      <c r="W1779" s="5" t="inlineStr"/>
      <c r="X1779" s="5" t="inlineStr"/>
      <c r="Y1779" s="5" t="inlineStr"/>
      <c r="Z1779" s="6" t="inlineStr"/>
      <c r="AA1779" s="5" t="inlineStr"/>
      <c r="AB1779" s="5" t="inlineStr"/>
      <c r="AC1779" s="5" t="inlineStr"/>
      <c r="AD1779" s="5" t="inlineStr">
        <is>
          <t>Rahat</t>
        </is>
      </c>
      <c r="AE1779" s="5" t="inlineStr"/>
      <c r="AF1779" s="5" t="inlineStr"/>
      <c r="AG1779" s="5" t="inlineStr">
        <is>
          <t>hat-goc</t>
        </is>
      </c>
      <c r="AH1779" s="5" t="inlineStr"/>
      <c r="AI1779" s="5" t="inlineStr"/>
      <c r="AJ1779" s="5" t="inlineStr"/>
    </row>
    <row r="1780">
      <c r="A1780" s="5" t="inlineStr">
        <is>
          <t>b8-buyuk-firsat</t>
        </is>
      </c>
      <c r="B1780" s="5" t="n">
        <v>4</v>
      </c>
      <c r="C1780" s="6" t="inlineStr">
        <is>
          <t>Yarışma programına katıl</t>
        </is>
      </c>
      <c r="D1780" s="5" t="inlineStr">
        <is>
          <t>Pişkinlik</t>
        </is>
      </c>
      <c r="E1780" s="5" t="inlineStr">
        <is>
          <t>Zor</t>
        </is>
      </c>
      <c r="F1780" s="5" t="inlineStr"/>
      <c r="G1780" s="6" t="inlineStr"/>
      <c r="H1780" s="6" t="inlineStr">
        <is>
          <t>Programda son üçe kaldın; ülke seni sevdi. Ertesi hafta bir dizide “bilge komşu” rolün var.</t>
        </is>
      </c>
      <c r="I1780" s="6" t="inlineStr">
        <is>
          <t>Programı kazandın. Ödül ikinci planda kaldı; asıl ödül, pazarda seninle fotoğraf çekmek isteyen teyzeler.</t>
        </is>
      </c>
      <c r="J1780" s="6" t="inlineStr">
        <is>
          <t>İlk turda elendin. Ama elendiğin bölüm çok izlendi; eleniş videon hâlâ dolaşıyor.</t>
        </is>
      </c>
      <c r="K1780" s="6" t="inlineStr">
        <is>
          <t>Son soruda telefon jokerini kullanıp anneni aradın. Annen yanlış cevap verdi, sonra canlı yayında sordu: “Yavrum, yemeğini yedin mi?” Elendin; o an her yılbaşı yeniden yayında.</t>
        </is>
      </c>
      <c r="L1780" s="6" t="inlineStr"/>
      <c r="M1780" s="5" t="inlineStr"/>
      <c r="N1780" s="5" t="inlineStr"/>
      <c r="O1780" s="6" t="inlineStr"/>
      <c r="P1780" s="6" t="inlineStr"/>
      <c r="Q1780" s="5" t="inlineStr"/>
      <c r="R1780" s="5" t="inlineStr"/>
      <c r="S1780" s="5" t="inlineStr"/>
      <c r="T1780" s="5" t="inlineStr"/>
      <c r="U1780" s="5" t="inlineStr"/>
      <c r="V1780" s="5" t="inlineStr">
        <is>
          <t>-hat-cete, -hat-dolandirici, -hat-girisimci, -hat-goc, -hat-hekim, -hat-koy, -hat-polis, -hat-politika, -hat-usta, -hat-yargi, -meslek-beyazyaka, -meslek-esnaf, -meslek-memur, hat-sohret, meslek-serbest</t>
        </is>
      </c>
      <c r="W1780" s="5" t="inlineStr"/>
      <c r="X1780" s="5" t="inlineStr"/>
      <c r="Y1780" s="5" t="inlineStr"/>
      <c r="Z1780" s="6" t="inlineStr"/>
      <c r="AA1780" s="5" t="inlineStr"/>
      <c r="AB1780" s="5" t="inlineStr"/>
      <c r="AC1780" s="5" t="inlineStr"/>
      <c r="AD1780" s="5" t="inlineStr"/>
      <c r="AE1780" s="5" t="inlineStr"/>
      <c r="AF1780" s="5" t="inlineStr"/>
      <c r="AG1780" s="5" t="inlineStr">
        <is>
          <t>hat-sohret</t>
        </is>
      </c>
      <c r="AH1780" s="5" t="inlineStr"/>
      <c r="AI1780" s="5" t="inlineStr"/>
      <c r="AJ1780" s="5" t="inlineStr"/>
    </row>
    <row r="1781">
      <c r="A1781" s="5" t="inlineStr">
        <is>
          <t>b8-buyuk-firsat</t>
        </is>
      </c>
      <c r="B1781" s="5" t="n">
        <v>5</v>
      </c>
      <c r="C1781" s="6" t="inlineStr">
        <is>
          <t>Mahallenin önerisiyle aday ol</t>
        </is>
      </c>
      <c r="D1781" s="5" t="inlineStr">
        <is>
          <t>İtibar</t>
        </is>
      </c>
      <c r="E1781" s="5" t="inlineStr">
        <is>
          <t>Zor</t>
        </is>
      </c>
      <c r="F1781" s="5" t="inlineStr"/>
      <c r="G1781" s="6" t="inlineStr"/>
      <c r="H1781" s="6" t="inlineStr">
        <is>
          <t>Telefon açan il başkanı değil, mahallenin kendisiydi: kahveciler, esnaf, öğretmenler. Adaylığın bir dilekçeyle başladı, iki yüz imzayla.</t>
        </is>
      </c>
      <c r="I1781" s="6" t="inlineStr">
        <is>
          <t>İmza listesi uzadıkça kahveci masaları birleştirdi, bakkal kalemini verdi. Partiye iki dosyayla gittin; il başkanı dosyaları eliyle tarttı ve adını listenin başına yazdı.</t>
        </is>
      </c>
      <c r="J1781" s="6" t="inlineStr">
        <is>
          <t>Dilekçe partinin il binasına ulaştı ve bir çekmeceye girdi. Çekmece hâlâ kapalı.</t>
        </is>
      </c>
      <c r="K1781" s="6" t="inlineStr">
        <is>
          <t>İmza listesinde mahallenin kedisinin adı da vardı. Parti bunu ciddiyetsizlik saydı; kedi sana küstü.</t>
        </is>
      </c>
      <c r="L1781" s="6" t="inlineStr"/>
      <c r="M1781" s="5" t="inlineStr"/>
      <c r="N1781" s="5" t="inlineStr"/>
      <c r="O1781" s="6" t="inlineStr"/>
      <c r="P1781" s="6" t="inlineStr"/>
      <c r="Q1781" s="5" t="inlineStr"/>
      <c r="R1781" s="5" t="inlineStr"/>
      <c r="S1781" s="5" t="inlineStr"/>
      <c r="T1781" s="5" t="inlineStr"/>
      <c r="U1781" s="5" t="inlineStr"/>
      <c r="V1781" s="5" t="inlineStr">
        <is>
          <t>-hat-cete, -hat-dolandirici, -hat-girisimci, -hat-goc, -hat-hekim, -hat-koy, -hat-polis, -hat-sohret, -hat-usta, -hat-yargi, -meslek-beyazyaka, -meslek-esnaf, -meslek-memur, -meslek-serbest, hat-politika</t>
        </is>
      </c>
      <c r="W1781" s="5" t="inlineStr"/>
      <c r="X1781" s="5" t="inlineStr"/>
      <c r="Y1781" s="5" t="inlineStr"/>
      <c r="Z1781" s="6" t="inlineStr"/>
      <c r="AA1781" s="5" t="inlineStr"/>
      <c r="AB1781" s="5" t="inlineStr"/>
      <c r="AC1781" s="5" t="inlineStr"/>
      <c r="AD1781" s="5" t="inlineStr"/>
      <c r="AE1781" s="5" t="inlineStr"/>
      <c r="AF1781" s="5" t="inlineStr"/>
      <c r="AG1781" s="5" t="inlineStr">
        <is>
          <t>hat-politika</t>
        </is>
      </c>
      <c r="AH1781" s="5" t="inlineStr">
        <is>
          <t>İtibar 43</t>
        </is>
      </c>
      <c r="AI1781" s="5" t="inlineStr"/>
      <c r="AJ1781" s="5" t="inlineStr"/>
    </row>
    <row r="1782">
      <c r="A1782" s="5" t="inlineStr">
        <is>
          <t>b7-erken-tahliye</t>
        </is>
      </c>
      <c r="B1782" s="5" t="n">
        <v>1</v>
      </c>
      <c r="C1782" s="6" t="inlineStr">
        <is>
          <t>Islah kursundan esnaflığa geç</t>
        </is>
      </c>
      <c r="D1782" s="5" t="inlineStr"/>
      <c r="E1782" s="5" t="inlineStr"/>
      <c r="F1782" s="5" t="inlineStr">
        <is>
          <t>Dayanıklılık +1, İtibar +1</t>
        </is>
      </c>
      <c r="G1782" s="6" t="inlineStr">
        <is>
          <t>Mahallede küçük bir dükkân kiraladın; tabelaya “Kursta öğrendim” yazdırdın. İlk müşterin koğuşun çaycısıydı; senden önce çıkmış.</t>
        </is>
      </c>
      <c r="H1782" s="6" t="inlineStr"/>
      <c r="I1782" s="6" t="inlineStr"/>
      <c r="J1782" s="6" t="inlineStr"/>
      <c r="K1782" s="6" t="inlineStr"/>
      <c r="L1782" s="6" t="inlineStr"/>
      <c r="M1782" s="5" t="inlineStr"/>
      <c r="N1782" s="5" t="inlineStr"/>
      <c r="O1782" s="6" t="inlineStr"/>
      <c r="P1782" s="6" t="inlineStr"/>
      <c r="Q1782" s="5" t="inlineStr"/>
      <c r="R1782" s="5" t="inlineStr"/>
      <c r="S1782" s="5" t="inlineStr"/>
      <c r="T1782" s="5" t="inlineStr"/>
      <c r="U1782" s="5" t="inlineStr">
        <is>
          <t>-hat-cete, -hat-dolandirici, -hat-girisimci, -hat-goc, -hat-hekim, -hat-koy, -hat-polis, -hat-politika, -hat-sohret, -hat-usta, -hat-yargi, -meslek-beyazyaka, -meslek-memur, -meslek-serbest, meslek-esnaf, -hapis, eski-hukumlu, -ceza-indirimi</t>
        </is>
      </c>
      <c r="V1782" s="5" t="inlineStr"/>
      <c r="W1782" s="5" t="inlineStr"/>
      <c r="X1782" s="5" t="inlineStr"/>
      <c r="Y1782" s="5" t="inlineStr"/>
      <c r="Z1782" s="6" t="inlineStr"/>
      <c r="AA1782" s="5" t="inlineStr"/>
      <c r="AB1782" s="5" t="inlineStr"/>
      <c r="AC1782" s="5" t="inlineStr"/>
      <c r="AD1782" s="5" t="inlineStr">
        <is>
          <t>Kıt</t>
        </is>
      </c>
      <c r="AE1782" s="5" t="inlineStr"/>
      <c r="AF1782" s="5" t="inlineStr"/>
      <c r="AG1782" s="5" t="inlineStr"/>
      <c r="AH1782" s="5" t="inlineStr"/>
      <c r="AI1782" s="5" t="inlineStr"/>
      <c r="AJ1782" s="5" t="inlineStr"/>
    </row>
    <row r="1783">
      <c r="A1783" s="5" t="inlineStr">
        <is>
          <t>b7-erken-tahliye</t>
        </is>
      </c>
      <c r="B1783" s="5" t="n">
        <v>2</v>
      </c>
      <c r="C1783" s="6" t="inlineStr">
        <is>
          <t>Eski işine dön</t>
        </is>
      </c>
      <c r="D1783" s="5" t="inlineStr"/>
      <c r="E1783" s="5" t="inlineStr"/>
      <c r="F1783" s="5" t="inlineStr">
        <is>
          <t>Pişkinlik +1, Cesaret +1</t>
        </is>
      </c>
      <c r="G1783" s="6" t="inlineStr">
        <is>
          <t>Eski telefonunu açtın: kırk iki cevapsız arama. Hiçbiri seni özlememiş, hepsi işi soruyor. Kaldığın yerden devam; biraz daha dikkatli.</t>
        </is>
      </c>
      <c r="H1783" s="6" t="inlineStr"/>
      <c r="I1783" s="6" t="inlineStr"/>
      <c r="J1783" s="6" t="inlineStr"/>
      <c r="K1783" s="6" t="inlineStr"/>
      <c r="L1783" s="6" t="inlineStr"/>
      <c r="M1783" s="5" t="inlineStr"/>
      <c r="N1783" s="5" t="inlineStr"/>
      <c r="O1783" s="6" t="inlineStr"/>
      <c r="P1783" s="6" t="inlineStr"/>
      <c r="Q1783" s="5" t="inlineStr"/>
      <c r="R1783" s="5" t="inlineStr"/>
      <c r="S1783" s="5" t="inlineStr"/>
      <c r="T1783" s="5" t="inlineStr"/>
      <c r="U1783" s="5" t="inlineStr">
        <is>
          <t>-hapis, eski-hukumlu, -ceza-indirimi</t>
        </is>
      </c>
      <c r="V1783" s="5" t="inlineStr"/>
      <c r="W1783" s="5" t="inlineStr"/>
      <c r="X1783" s="5" t="inlineStr"/>
      <c r="Y1783" s="5" t="inlineStr"/>
      <c r="Z1783" s="6" t="inlineStr"/>
      <c r="AA1783" s="5" t="inlineStr"/>
      <c r="AB1783" s="5" t="inlineStr"/>
      <c r="AC1783" s="5" t="inlineStr"/>
      <c r="AD1783" s="5" t="inlineStr"/>
      <c r="AE1783" s="5" t="inlineStr"/>
      <c r="AF1783" s="5" t="inlineStr"/>
      <c r="AG1783" s="5" t="inlineStr"/>
      <c r="AH1783" s="5" t="inlineStr"/>
      <c r="AI1783" s="5" t="inlineStr"/>
      <c r="AJ1783" s="5" t="inlineStr"/>
    </row>
    <row r="1784">
      <c r="A1784" s="5" t="inlineStr">
        <is>
          <t>b7-erken-tahliye</t>
        </is>
      </c>
      <c r="B1784" s="5" t="n">
        <v>3</v>
      </c>
      <c r="C1784" s="6" t="inlineStr">
        <is>
          <t>Koğuş anılarını kitap yap</t>
        </is>
      </c>
      <c r="D1784" s="5" t="inlineStr">
        <is>
          <t>Çene</t>
        </is>
      </c>
      <c r="E1784" s="5" t="inlineStr">
        <is>
          <t>Zor</t>
        </is>
      </c>
      <c r="F1784" s="5" t="inlineStr"/>
      <c r="G1784" s="6" t="inlineStr"/>
      <c r="H1784" s="6" t="inlineStr">
        <is>
          <t>“Koğuşta Çay Nasıl Demlenir” çıktı. İlk imza gününe çaycı da geldi; kitaba bakmadan “Şekeri az yazmışsın” dedi.</t>
        </is>
      </c>
      <c r="I1784" s="6" t="inlineStr">
        <is>
          <t>Kitap çok satanlar rafında. Bir yapımcı dizisini çekmek istiyor; sen kendi rolünü oynamak istedin, kabul etti.</t>
        </is>
      </c>
      <c r="J1784" s="6" t="inlineStr">
        <is>
          <t>Kitabı yazdın, yayınevi “Bu fazla gerçekçi” dedi. Taslak çekmecede; sen eski hayatına dönüyorsun.</t>
        </is>
      </c>
      <c r="K1784" s="6" t="inlineStr">
        <is>
          <t>Kitaba bütün koğuşun lakaplarını yazdın. Basılmadı ama koğuşta okundu; kırk mektup geldi, hepsi düzeltme istiyor.</t>
        </is>
      </c>
      <c r="L1784" s="6" t="inlineStr"/>
      <c r="M1784" s="5" t="inlineStr"/>
      <c r="N1784" s="5" t="inlineStr"/>
      <c r="O1784" s="6" t="inlineStr"/>
      <c r="P1784" s="6" t="inlineStr"/>
      <c r="Q1784" s="5" t="inlineStr"/>
      <c r="R1784" s="5" t="inlineStr"/>
      <c r="S1784" s="5" t="inlineStr"/>
      <c r="T1784" s="5" t="inlineStr"/>
      <c r="U1784" s="5" t="inlineStr"/>
      <c r="V1784" s="5" t="inlineStr">
        <is>
          <t>-hat-cete, -hat-dolandirici, -hat-girisimci, -hat-goc, -hat-hekim, -hat-koy, -hat-polis, -hat-politika, -hat-usta, -hat-yargi, -meslek-beyazyaka, -meslek-esnaf, -meslek-memur, hat-sohret, meslek-serbest, -hapis, eski-hukumlu, -ceza-indirimi</t>
        </is>
      </c>
      <c r="W1784" s="5" t="inlineStr">
        <is>
          <t>-hapis, eski-hukumlu, -ceza-indirimi</t>
        </is>
      </c>
      <c r="X1784" s="5" t="inlineStr"/>
      <c r="Y1784" s="5" t="inlineStr"/>
      <c r="Z1784" s="6" t="inlineStr"/>
      <c r="AA1784" s="5" t="inlineStr"/>
      <c r="AB1784" s="5" t="inlineStr">
        <is>
          <t>-hapis, eski-hukumlu, -ceza-indirimi</t>
        </is>
      </c>
      <c r="AC1784" s="5" t="inlineStr"/>
      <c r="AD1784" s="5" t="inlineStr"/>
      <c r="AE1784" s="5" t="inlineStr"/>
      <c r="AF1784" s="5" t="inlineStr"/>
      <c r="AG1784" s="5" t="inlineStr"/>
      <c r="AH1784" s="5" t="inlineStr"/>
      <c r="AI1784" s="5" t="inlineStr"/>
      <c r="AJ1784" s="5" t="inlineStr"/>
    </row>
    <row r="1785">
      <c r="A1785" s="5" t="inlineStr">
        <is>
          <t>b7-erken-tahliye</t>
        </is>
      </c>
      <c r="B1785" s="5" t="n">
        <v>4</v>
      </c>
      <c r="C1785" s="6" t="inlineStr">
        <is>
          <t>“Sistemi içeriden tanıyorum” diye siyasete gir</t>
        </is>
      </c>
      <c r="D1785" s="5" t="inlineStr">
        <is>
          <t>Pişkinlik</t>
        </is>
      </c>
      <c r="E1785" s="5" t="inlineStr">
        <is>
          <t>Zor</t>
        </is>
      </c>
      <c r="F1785" s="5" t="inlineStr"/>
      <c r="G1785" s="6" t="inlineStr"/>
      <c r="H1785" s="6" t="inlineStr">
        <is>
          <t>Slogan tuttu. Bir partinin ilçe teşkilatı seni kapıda karşıladı; ilk mitingde en önde koğuştan çıkmış arkadaşların alkışlıyordu.</t>
        </is>
      </c>
      <c r="I1785" s="6" t="inlineStr">
        <is>
          <t>Sloganın afişlere basıldı. Rakiplerinin geçmişi sorulunca “Benimki belli” diyorsun; salon ayağa kalkıyor.</t>
        </is>
      </c>
      <c r="J1785" s="6" t="inlineStr">
        <is>
          <t>Parti binasında sloganını söyledin. Kapıdaki görevli başını salladı: “Bu hafta üçüncü geliyor bu slogan. Öbürleri de içeriden.” Eski hayatına döndün.</t>
        </is>
      </c>
      <c r="K1785" s="6" t="inlineStr">
        <is>
          <t>Eski hayatına döndün; ama önce parti binasının kapısında görevli “Buyurun” dedi ve sen alışkanlıkla ellerini kaldırdın.</t>
        </is>
      </c>
      <c r="L1785" s="6" t="inlineStr"/>
      <c r="M1785" s="5" t="inlineStr"/>
      <c r="N1785" s="5" t="inlineStr"/>
      <c r="O1785" s="6" t="inlineStr"/>
      <c r="P1785" s="6" t="inlineStr"/>
      <c r="Q1785" s="5" t="inlineStr"/>
      <c r="R1785" s="5" t="inlineStr"/>
      <c r="S1785" s="5" t="inlineStr"/>
      <c r="T1785" s="5" t="inlineStr"/>
      <c r="U1785" s="5" t="inlineStr"/>
      <c r="V1785" s="5" t="inlineStr">
        <is>
          <t>-hat-cete, -hat-dolandirici, -hat-girisimci, -hat-goc, -hat-hekim, -hat-koy, -hat-polis, -hat-sohret, -hat-usta, -hat-yargi, -meslek-beyazyaka, -meslek-esnaf, -meslek-memur, -meslek-serbest, hat-politika, -hapis, eski-hukumlu, -ceza-indirimi</t>
        </is>
      </c>
      <c r="W1785" s="5" t="inlineStr">
        <is>
          <t>-hapis, eski-hukumlu, -ceza-indirimi</t>
        </is>
      </c>
      <c r="X1785" s="5" t="inlineStr"/>
      <c r="Y1785" s="5" t="inlineStr"/>
      <c r="Z1785" s="6" t="inlineStr"/>
      <c r="AA1785" s="5" t="inlineStr"/>
      <c r="AB1785" s="5" t="inlineStr">
        <is>
          <t>-hapis, eski-hukumlu, -ceza-indirimi</t>
        </is>
      </c>
      <c r="AC1785" s="5" t="inlineStr"/>
      <c r="AD1785" s="5" t="inlineStr"/>
      <c r="AE1785" s="5" t="inlineStr"/>
      <c r="AF1785" s="5" t="inlineStr"/>
      <c r="AG1785" s="5" t="inlineStr"/>
      <c r="AH1785" s="5" t="inlineStr"/>
      <c r="AI1785" s="5" t="inlineStr"/>
      <c r="AJ1785" s="5" t="inlineStr"/>
    </row>
    <row r="1786">
      <c r="A1786" s="5" t="inlineStr">
        <is>
          <t>b7-erken-tahliye</t>
        </is>
      </c>
      <c r="B1786" s="5" t="n">
        <v>5</v>
      </c>
      <c r="C1786" s="6" t="inlineStr">
        <is>
          <t>Mahallenin kefaletiyle iş bul</t>
        </is>
      </c>
      <c r="D1786" s="5" t="inlineStr"/>
      <c r="E1786" s="5" t="inlineStr"/>
      <c r="F1786" s="5" t="inlineStr">
        <is>
          <t>İtibar +1, Dayanıklılık +1</t>
        </is>
      </c>
      <c r="G1786" s="6" t="inlineStr">
        <is>
          <t>Kapıda seni çarşının en eski esnafı bekliyordu: “Senin için söz verdim, dükkânın arka tarafı senin.” Mahallede kimse geçmişini sormadı; sordurmadılar.</t>
        </is>
      </c>
      <c r="H1786" s="6" t="inlineStr"/>
      <c r="I1786" s="6" t="inlineStr"/>
      <c r="J1786" s="6" t="inlineStr"/>
      <c r="K1786" s="6" t="inlineStr"/>
      <c r="L1786" s="6" t="inlineStr"/>
      <c r="M1786" s="5" t="inlineStr"/>
      <c r="N1786" s="5" t="inlineStr"/>
      <c r="O1786" s="6" t="inlineStr"/>
      <c r="P1786" s="6" t="inlineStr"/>
      <c r="Q1786" s="5" t="inlineStr"/>
      <c r="R1786" s="5" t="inlineStr"/>
      <c r="S1786" s="5" t="inlineStr"/>
      <c r="T1786" s="5" t="inlineStr"/>
      <c r="U1786" s="5" t="inlineStr">
        <is>
          <t>-hat-cete, -hat-dolandirici, -hat-girisimci, -hat-goc, -hat-hekim, -hat-koy, -hat-polis, -hat-politika, -hat-sohret, -hat-usta, -hat-yargi, -meslek-beyazyaka, -meslek-memur, -meslek-serbest, meslek-esnaf, -hapis, eski-hukumlu, -ceza-indirimi</t>
        </is>
      </c>
      <c r="V1786" s="5" t="inlineStr"/>
      <c r="W1786" s="5" t="inlineStr"/>
      <c r="X1786" s="5" t="inlineStr"/>
      <c r="Y1786" s="5" t="inlineStr"/>
      <c r="Z1786" s="6" t="inlineStr"/>
      <c r="AA1786" s="5" t="inlineStr"/>
      <c r="AB1786" s="5" t="inlineStr"/>
      <c r="AC1786" s="5" t="inlineStr"/>
      <c r="AD1786" s="5" t="inlineStr">
        <is>
          <t>Kıt</t>
        </is>
      </c>
      <c r="AE1786" s="5" t="inlineStr"/>
      <c r="AF1786" s="5" t="inlineStr"/>
      <c r="AG1786" s="5" t="inlineStr"/>
      <c r="AH1786" s="5" t="inlineStr">
        <is>
          <t>İtibar 43</t>
        </is>
      </c>
      <c r="AI1786" s="5" t="inlineStr"/>
      <c r="AJ1786" s="5" t="inlineStr"/>
    </row>
    <row r="1787">
      <c r="A1787" s="5" t="inlineStr">
        <is>
          <t>b8-erken-tahliye</t>
        </is>
      </c>
      <c r="B1787" s="5" t="n">
        <v>1</v>
      </c>
      <c r="C1787" s="6" t="inlineStr">
        <is>
          <t>Kursta öğrendiğinle esnaf ol</t>
        </is>
      </c>
      <c r="D1787" s="5" t="inlineStr"/>
      <c r="E1787" s="5" t="inlineStr"/>
      <c r="F1787" s="5" t="inlineStr">
        <is>
          <t>Dayanıklılık +1, Akıl +1</t>
        </is>
      </c>
      <c r="G1787" s="6" t="inlineStr">
        <is>
          <t>Sanayinin ucunda küçük bir dükkân tuttun: sabun, kaşık, bir de tavla tamiri. Müşterilerin yarısı eski koğuş arkadaşların; hepsi pazarlık ediyor, hepsi kaybediyor.</t>
        </is>
      </c>
      <c r="H1787" s="6" t="inlineStr"/>
      <c r="I1787" s="6" t="inlineStr"/>
      <c r="J1787" s="6" t="inlineStr"/>
      <c r="K1787" s="6" t="inlineStr"/>
      <c r="L1787" s="6" t="inlineStr"/>
      <c r="M1787" s="5" t="inlineStr"/>
      <c r="N1787" s="5" t="inlineStr"/>
      <c r="O1787" s="6" t="inlineStr"/>
      <c r="P1787" s="6" t="inlineStr"/>
      <c r="Q1787" s="5" t="inlineStr"/>
      <c r="R1787" s="5" t="inlineStr"/>
      <c r="S1787" s="5" t="inlineStr"/>
      <c r="T1787" s="5" t="inlineStr"/>
      <c r="U1787" s="5" t="inlineStr">
        <is>
          <t>-hat-cete, -hat-dolandirici, -hat-girisimci, -hat-goc, -hat-hekim, -hat-koy, -hat-polis, -hat-politika, -hat-sohret, -hat-usta, -hat-yargi, -meslek-beyazyaka, -meslek-memur, -meslek-serbest, meslek-esnaf, -hapis, eski-hukumlu, -ceza-indirimi</t>
        </is>
      </c>
      <c r="V1787" s="5" t="inlineStr"/>
      <c r="W1787" s="5" t="inlineStr"/>
      <c r="X1787" s="5" t="inlineStr"/>
      <c r="Y1787" s="5" t="inlineStr"/>
      <c r="Z1787" s="6" t="inlineStr"/>
      <c r="AA1787" s="5" t="inlineStr"/>
      <c r="AB1787" s="5" t="inlineStr"/>
      <c r="AC1787" s="5" t="inlineStr"/>
      <c r="AD1787" s="5" t="inlineStr">
        <is>
          <t>Kıt</t>
        </is>
      </c>
      <c r="AE1787" s="5" t="inlineStr"/>
      <c r="AF1787" s="5" t="inlineStr"/>
      <c r="AG1787" s="5" t="inlineStr"/>
      <c r="AH1787" s="5" t="inlineStr"/>
      <c r="AI1787" s="5" t="inlineStr"/>
      <c r="AJ1787" s="5" t="inlineStr"/>
    </row>
    <row r="1788">
      <c r="A1788" s="5" t="inlineStr">
        <is>
          <t>b8-erken-tahliye</t>
        </is>
      </c>
      <c r="B1788" s="5" t="n">
        <v>2</v>
      </c>
      <c r="C1788" s="6" t="inlineStr">
        <is>
          <t>Eski işine dön</t>
        </is>
      </c>
      <c r="D1788" s="5" t="inlineStr"/>
      <c r="E1788" s="5" t="inlineStr"/>
      <c r="F1788" s="5" t="inlineStr">
        <is>
          <t>Pişkinlik +1, Kurnazlık +1</t>
        </is>
      </c>
      <c r="G1788" s="6" t="inlineStr">
        <is>
          <t>Eski defterini açtın; isimlerin yarısı emekli, yarısı taşınmış. Kalanlarla devam ediyorsun; masan eskisinden küçük, gözlüğün kalın.</t>
        </is>
      </c>
      <c r="H1788" s="6" t="inlineStr"/>
      <c r="I1788" s="6" t="inlineStr"/>
      <c r="J1788" s="6" t="inlineStr"/>
      <c r="K1788" s="6" t="inlineStr"/>
      <c r="L1788" s="6" t="inlineStr"/>
      <c r="M1788" s="5" t="inlineStr"/>
      <c r="N1788" s="5" t="inlineStr"/>
      <c r="O1788" s="6" t="inlineStr"/>
      <c r="P1788" s="6" t="inlineStr"/>
      <c r="Q1788" s="5" t="inlineStr"/>
      <c r="R1788" s="5" t="inlineStr"/>
      <c r="S1788" s="5" t="inlineStr"/>
      <c r="T1788" s="5" t="inlineStr"/>
      <c r="U1788" s="5" t="inlineStr">
        <is>
          <t>-hapis, eski-hukumlu, -ceza-indirimi</t>
        </is>
      </c>
      <c r="V1788" s="5" t="inlineStr"/>
      <c r="W1788" s="5" t="inlineStr"/>
      <c r="X1788" s="5" t="inlineStr"/>
      <c r="Y1788" s="5" t="inlineStr"/>
      <c r="Z1788" s="6" t="inlineStr"/>
      <c r="AA1788" s="5" t="inlineStr"/>
      <c r="AB1788" s="5" t="inlineStr"/>
      <c r="AC1788" s="5" t="inlineStr"/>
      <c r="AD1788" s="5" t="inlineStr"/>
      <c r="AE1788" s="5" t="inlineStr"/>
      <c r="AF1788" s="5" t="inlineStr"/>
      <c r="AG1788" s="5" t="inlineStr"/>
      <c r="AH1788" s="5" t="inlineStr"/>
      <c r="AI1788" s="5" t="inlineStr"/>
      <c r="AJ1788" s="5" t="inlineStr"/>
    </row>
    <row r="1789">
      <c r="A1789" s="5" t="inlineStr">
        <is>
          <t>b8-erken-tahliye</t>
        </is>
      </c>
      <c r="B1789" s="5" t="n">
        <v>3</v>
      </c>
      <c r="C1789" s="6" t="inlineStr">
        <is>
          <t>Uzun yılları kitap yap</t>
        </is>
      </c>
      <c r="D1789" s="5" t="inlineStr">
        <is>
          <t>Çene</t>
        </is>
      </c>
      <c r="E1789" s="5" t="inlineStr">
        <is>
          <t>Zor</t>
        </is>
      </c>
      <c r="F1789" s="5" t="inlineStr"/>
      <c r="G1789" s="6" t="inlineStr"/>
      <c r="H1789" s="6" t="inlineStr">
        <is>
          <t>Kitabın adı “Kısa Kesilen Ceza” oldu; teşekkür bölümü otuz sayfa. İmza gününde kuyrukta muhtar, bakkal ve kefil olan herkes vardı; her biri kendi sayfasını açtırıp imzalattı.</t>
        </is>
      </c>
      <c r="I1789" s="6" t="inlineStr">
        <is>
          <t>Kitap her yerde konuşuluyor; söyleşilerin biletleri tükeniyor. Koğuşa imzalı bir kutu kitap yolladın; en çok çaycı okudu.</t>
        </is>
      </c>
      <c r="J1789" s="6" t="inlineStr">
        <is>
          <t>Eski yoluna döndün. Yayınevi taslağı geri yollamıştı, kenarına tek not düşerek: “Anılar uzun, okur kısa.”</t>
        </is>
      </c>
      <c r="K1789" s="6" t="inlineStr">
        <is>
          <t>Kitabın çıktı; bir öykü yarışmasında “kurgu” dalında mansiyon aldı. Jüri notu: “Bu kadarı da olmaz.” Hepsi gerçekti. Kimse inanmayınca eski yoluna döndün.</t>
        </is>
      </c>
      <c r="L1789" s="6" t="inlineStr"/>
      <c r="M1789" s="5" t="inlineStr"/>
      <c r="N1789" s="5" t="inlineStr"/>
      <c r="O1789" s="6" t="inlineStr"/>
      <c r="P1789" s="6" t="inlineStr"/>
      <c r="Q1789" s="5" t="inlineStr"/>
      <c r="R1789" s="5" t="inlineStr"/>
      <c r="S1789" s="5" t="inlineStr"/>
      <c r="T1789" s="5" t="inlineStr"/>
      <c r="U1789" s="5" t="inlineStr"/>
      <c r="V1789" s="5" t="inlineStr">
        <is>
          <t>-hat-cete, -hat-dolandirici, -hat-girisimci, -hat-goc, -hat-hekim, -hat-koy, -hat-polis, -hat-politika, -hat-usta, -hat-yargi, -meslek-beyazyaka, -meslek-esnaf, -meslek-memur, hat-sohret, meslek-serbest, -hapis, eski-hukumlu, -ceza-indirimi</t>
        </is>
      </c>
      <c r="W1789" s="5" t="inlineStr">
        <is>
          <t>-hapis, eski-hukumlu, -ceza-indirimi</t>
        </is>
      </c>
      <c r="X1789" s="5" t="inlineStr"/>
      <c r="Y1789" s="5" t="inlineStr"/>
      <c r="Z1789" s="6" t="inlineStr"/>
      <c r="AA1789" s="5" t="inlineStr"/>
      <c r="AB1789" s="5" t="inlineStr">
        <is>
          <t>-hapis, eski-hukumlu, -ceza-indirimi</t>
        </is>
      </c>
      <c r="AC1789" s="5" t="inlineStr"/>
      <c r="AD1789" s="5" t="inlineStr"/>
      <c r="AE1789" s="5" t="inlineStr"/>
      <c r="AF1789" s="5" t="inlineStr"/>
      <c r="AG1789" s="5" t="inlineStr"/>
      <c r="AH1789" s="5" t="inlineStr"/>
      <c r="AI1789" s="5" t="inlineStr"/>
      <c r="AJ1789" s="5" t="inlineStr"/>
    </row>
    <row r="1790">
      <c r="A1790" s="5" t="inlineStr">
        <is>
          <t>b8-erken-tahliye</t>
        </is>
      </c>
      <c r="B1790" s="5" t="n">
        <v>4</v>
      </c>
      <c r="C1790" s="6" t="inlineStr">
        <is>
          <t>“İçeriyi ben gördüm” de, siyasete gir</t>
        </is>
      </c>
      <c r="D1790" s="5" t="inlineStr">
        <is>
          <t>Pişkinlik</t>
        </is>
      </c>
      <c r="E1790" s="5" t="inlineStr">
        <is>
          <t>Zor</t>
        </is>
      </c>
      <c r="F1790" s="5" t="inlineStr"/>
      <c r="G1790" s="6" t="inlineStr"/>
      <c r="H1790" s="6" t="inlineStr">
        <is>
          <t>Afişindeki cümle kısaydı: “Ben içeriyi gördüm.” Mahalle seni meclis yolunda destekliyor; koğuş da, mektupla.</t>
        </is>
      </c>
      <c r="I1790" s="6" t="inlineStr">
        <is>
          <t>Parti seni cezaevleri komisyonuna önerdi. İlk ziyaretinde eski koğuşuna gittin; koğuş ayağa kalktı, çaycı en iyi bardağı çıkardı. Müdür yanına oturmadan önce izin istedi.</t>
        </is>
      </c>
      <c r="J1790" s="6" t="inlineStr">
        <is>
          <t>Eski yoluna döndün. Başvuru formunda “Son on yılınızı anlatınız” diye bir kutu vardı; kutu iki satırlıktı.</t>
        </is>
      </c>
      <c r="K1790" s="6" t="inlineStr">
        <is>
          <t>Eski yoluna döndün; ilk konuşmanı koğuş diliyle yaptıktan sonra. Salonda bir tek eski bir gardiyan anladı; o da alkışlamadı.</t>
        </is>
      </c>
      <c r="L1790" s="6" t="inlineStr"/>
      <c r="M1790" s="5" t="inlineStr"/>
      <c r="N1790" s="5" t="inlineStr"/>
      <c r="O1790" s="6" t="inlineStr"/>
      <c r="P1790" s="6" t="inlineStr"/>
      <c r="Q1790" s="5" t="inlineStr"/>
      <c r="R1790" s="5" t="inlineStr"/>
      <c r="S1790" s="5" t="inlineStr"/>
      <c r="T1790" s="5" t="inlineStr"/>
      <c r="U1790" s="5" t="inlineStr"/>
      <c r="V1790" s="5" t="inlineStr">
        <is>
          <t>-hat-cete, -hat-dolandirici, -hat-girisimci, -hat-goc, -hat-hekim, -hat-koy, -hat-polis, -hat-sohret, -hat-usta, -hat-yargi, -meslek-beyazyaka, -meslek-esnaf, -meslek-memur, -meslek-serbest, hat-politika, -hapis, eski-hukumlu, -ceza-indirimi</t>
        </is>
      </c>
      <c r="W1790" s="5" t="inlineStr">
        <is>
          <t>-hapis, eski-hukumlu, -ceza-indirimi</t>
        </is>
      </c>
      <c r="X1790" s="5" t="inlineStr"/>
      <c r="Y1790" s="5" t="inlineStr"/>
      <c r="Z1790" s="6" t="inlineStr"/>
      <c r="AA1790" s="5" t="inlineStr"/>
      <c r="AB1790" s="5" t="inlineStr">
        <is>
          <t>-hapis, eski-hukumlu, -ceza-indirimi</t>
        </is>
      </c>
      <c r="AC1790" s="5" t="inlineStr"/>
      <c r="AD1790" s="5" t="inlineStr"/>
      <c r="AE1790" s="5" t="inlineStr"/>
      <c r="AF1790" s="5" t="inlineStr"/>
      <c r="AG1790" s="5" t="inlineStr"/>
      <c r="AH1790" s="5" t="inlineStr"/>
      <c r="AI1790" s="5" t="inlineStr"/>
      <c r="AJ1790" s="5" t="inlineStr"/>
    </row>
    <row r="1791">
      <c r="A1791" s="5" t="inlineStr">
        <is>
          <t>b8-erken-tahliye</t>
        </is>
      </c>
      <c r="B1791" s="5" t="n">
        <v>5</v>
      </c>
      <c r="C1791" s="6" t="inlineStr">
        <is>
          <t>Mahallenin kefaletiyle iş bul</t>
        </is>
      </c>
      <c r="D1791" s="5" t="inlineStr"/>
      <c r="E1791" s="5" t="inlineStr"/>
      <c r="F1791" s="5" t="inlineStr">
        <is>
          <t>İtibar +1, Dayanıklılık +1</t>
        </is>
      </c>
      <c r="G1791" s="6" t="inlineStr">
        <is>
          <t>Kapıda seni çarşının en eski esnafı bekliyordu: “Senin için söz verdim, dükkânın arka tarafı senin.” Mahallede kimse geçmişini sormadı; sordurmadılar.</t>
        </is>
      </c>
      <c r="H1791" s="6" t="inlineStr"/>
      <c r="I1791" s="6" t="inlineStr"/>
      <c r="J1791" s="6" t="inlineStr"/>
      <c r="K1791" s="6" t="inlineStr"/>
      <c r="L1791" s="6" t="inlineStr"/>
      <c r="M1791" s="5" t="inlineStr"/>
      <c r="N1791" s="5" t="inlineStr"/>
      <c r="O1791" s="6" t="inlineStr"/>
      <c r="P1791" s="6" t="inlineStr"/>
      <c r="Q1791" s="5" t="inlineStr"/>
      <c r="R1791" s="5" t="inlineStr"/>
      <c r="S1791" s="5" t="inlineStr"/>
      <c r="T1791" s="5" t="inlineStr"/>
      <c r="U1791" s="5" t="inlineStr">
        <is>
          <t>-hat-cete, -hat-dolandirici, -hat-girisimci, -hat-goc, -hat-hekim, -hat-koy, -hat-polis, -hat-politika, -hat-sohret, -hat-usta, -hat-yargi, -meslek-beyazyaka, -meslek-memur, -meslek-serbest, meslek-esnaf, -hapis, eski-hukumlu, -ceza-indirimi</t>
        </is>
      </c>
      <c r="V1791" s="5" t="inlineStr"/>
      <c r="W1791" s="5" t="inlineStr"/>
      <c r="X1791" s="5" t="inlineStr"/>
      <c r="Y1791" s="5" t="inlineStr"/>
      <c r="Z1791" s="6" t="inlineStr"/>
      <c r="AA1791" s="5" t="inlineStr"/>
      <c r="AB1791" s="5" t="inlineStr"/>
      <c r="AC1791" s="5" t="inlineStr"/>
      <c r="AD1791" s="5" t="inlineStr">
        <is>
          <t>Kıt</t>
        </is>
      </c>
      <c r="AE1791" s="5" t="inlineStr"/>
      <c r="AF1791" s="5" t="inlineStr"/>
      <c r="AG1791" s="5" t="inlineStr"/>
      <c r="AH1791" s="5" t="inlineStr">
        <is>
          <t>İtibar 43</t>
        </is>
      </c>
      <c r="AI1791" s="5" t="inlineStr"/>
      <c r="AJ1791" s="5" t="inlineStr"/>
    </row>
    <row r="1792">
      <c r="A1792" s="5" t="inlineStr">
        <is>
          <t>b1-misafir-geldi</t>
        </is>
      </c>
      <c r="B1792" s="5" t="n">
        <v>1</v>
      </c>
      <c r="C1792" s="6" t="inlineStr">
        <is>
          <t>Tekerleme oku</t>
        </is>
      </c>
      <c r="D1792" s="5" t="inlineStr"/>
      <c r="E1792" s="5" t="inlineStr"/>
      <c r="F1792" s="5" t="inlineStr">
        <is>
          <t>Pişkinlik +1</t>
        </is>
      </c>
      <c r="G1792" s="6" t="inlineStr">
        <is>
          <t>Tek bildiğin tekerlemeyi okudun; yarısını uydurdun. Teyze alkışladı, annen gururlandı. Çikolata vitrinden inmedi.</t>
        </is>
      </c>
      <c r="H1792" s="6" t="inlineStr"/>
      <c r="I1792" s="6" t="inlineStr"/>
      <c r="J1792" s="6" t="inlineStr"/>
      <c r="K1792" s="6" t="inlineStr"/>
      <c r="L1792" s="6" t="inlineStr"/>
      <c r="M1792" s="5" t="inlineStr"/>
      <c r="N1792" s="5" t="inlineStr"/>
      <c r="O1792" s="6" t="inlineStr"/>
      <c r="P1792" s="6" t="inlineStr"/>
      <c r="Q1792" s="5" t="inlineStr"/>
      <c r="R1792" s="5" t="inlineStr"/>
      <c r="S1792" s="5" t="inlineStr"/>
      <c r="T1792" s="5" t="inlineStr"/>
      <c r="U1792" s="5" t="inlineStr"/>
      <c r="V1792" s="5" t="inlineStr"/>
      <c r="W1792" s="5" t="inlineStr"/>
      <c r="X1792" s="5" t="inlineStr"/>
      <c r="Y1792" s="5" t="inlineStr"/>
      <c r="Z1792" s="6" t="inlineStr"/>
      <c r="AA1792" s="5" t="inlineStr"/>
      <c r="AB1792" s="5" t="inlineStr"/>
      <c r="AC1792" s="5" t="inlineStr"/>
      <c r="AD1792" s="5" t="inlineStr"/>
      <c r="AE1792" s="5" t="inlineStr"/>
      <c r="AF1792" s="5" t="inlineStr"/>
      <c r="AG1792" s="5" t="inlineStr"/>
      <c r="AH1792" s="5" t="inlineStr"/>
      <c r="AI1792" s="5" t="inlineStr"/>
      <c r="AJ1792" s="5" t="inlineStr"/>
    </row>
    <row r="1793">
      <c r="A1793" s="5" t="inlineStr">
        <is>
          <t>b1-misafir-geldi</t>
        </is>
      </c>
      <c r="B1793" s="5" t="n">
        <v>2</v>
      </c>
      <c r="C1793" s="6" t="inlineStr">
        <is>
          <t>Vitrindeki çikolataya git</t>
        </is>
      </c>
      <c r="D1793" s="5" t="inlineStr">
        <is>
          <t>Kurnazlık</t>
        </is>
      </c>
      <c r="E1793" s="5" t="inlineStr">
        <is>
          <t>Orta</t>
        </is>
      </c>
      <c r="F1793" s="5" t="inlineStr"/>
      <c r="G1793" s="6" t="inlineStr"/>
      <c r="H1793" s="6" t="inlineStr">
        <is>
          <t>Vitrine yanaştın, teyzeye baktın, teyze annene baktı. Eline bir çikolata geldi; “Son” dendi.</t>
        </is>
      </c>
      <c r="I1793" s="6" t="inlineStr">
        <is>
          <t>Vitrine bakıp iç çektin. Teyze “Aman, versene çocuğa” dedi; annen mecbur kaldı. Kutu açıldı, ilk sen aldın.</t>
        </is>
      </c>
      <c r="J1793" s="6" t="inlineStr">
        <is>
          <t>Vitrine gittin. Annen gözüyle “Otur” dedi. Oturdun. Kutu bir sonraki misafire kaldı.</t>
        </is>
      </c>
      <c r="K1793" s="6" t="inlineStr">
        <is>
          <t>Vitrinin kapağını çektin; kapak elinde kaldı. Teyze “Olur böyle şeyler” dedi. Annen gülümsedi; gözleri gülümsemedi.</t>
        </is>
      </c>
      <c r="L1793" s="6" t="inlineStr"/>
      <c r="M1793" s="5" t="inlineStr"/>
      <c r="N1793" s="5" t="inlineStr"/>
      <c r="O1793" s="6" t="inlineStr"/>
      <c r="P1793" s="6" t="inlineStr"/>
      <c r="Q1793" s="5" t="inlineStr"/>
      <c r="R1793" s="5" t="inlineStr"/>
      <c r="S1793" s="5" t="inlineStr"/>
      <c r="T1793" s="5" t="inlineStr"/>
      <c r="U1793" s="5" t="inlineStr"/>
      <c r="V1793" s="5" t="inlineStr"/>
      <c r="W1793" s="5" t="inlineStr"/>
      <c r="X1793" s="5" t="inlineStr"/>
      <c r="Y1793" s="5" t="inlineStr"/>
      <c r="Z1793" s="6" t="inlineStr"/>
      <c r="AA1793" s="5" t="inlineStr"/>
      <c r="AB1793" s="5" t="inlineStr"/>
      <c r="AC1793" s="5" t="inlineStr"/>
      <c r="AD1793" s="5" t="inlineStr"/>
      <c r="AE1793" s="5" t="inlineStr"/>
      <c r="AF1793" s="5" t="inlineStr"/>
      <c r="AG1793" s="5" t="inlineStr"/>
      <c r="AH1793" s="5" t="inlineStr"/>
      <c r="AI1793" s="5" t="inlineStr"/>
      <c r="AJ1793" s="5" t="inlineStr"/>
    </row>
    <row r="1794">
      <c r="A1794" s="5" t="inlineStr">
        <is>
          <t>b1-misafir-geldi</t>
        </is>
      </c>
      <c r="B1794" s="5" t="n">
        <v>3</v>
      </c>
      <c r="C1794" s="6" t="inlineStr">
        <is>
          <t>Teyzenin kucağına çık</t>
        </is>
      </c>
      <c r="D1794" s="5" t="inlineStr">
        <is>
          <t>Gönül</t>
        </is>
      </c>
      <c r="E1794" s="5" t="inlineStr">
        <is>
          <t>Kolay</t>
        </is>
      </c>
      <c r="F1794" s="5" t="inlineStr"/>
      <c r="G1794" s="6" t="inlineStr"/>
      <c r="H1794" s="6" t="inlineStr">
        <is>
          <t>Kucağına çıktın. Teyze yanağını sıktı, annen rahatladı. Sohbet iki saat sürdü; sen kucakta uyudun.</t>
        </is>
      </c>
      <c r="I1794" s="6" t="inlineStr">
        <is>
          <t>Boynuna sarıldın. Teyze “Bunu ben alıyorum” dedi. Ertesi hafta elinde bir hediyeyle geldi; sana.</t>
        </is>
      </c>
      <c r="J1794" s="6" t="inlineStr">
        <is>
          <t>Kucağına uzandın; teyze tam o an çayını aldı. Kucak doluydu. Halıya oturup bekledin; çay bitmedi.</t>
        </is>
      </c>
      <c r="K1794" s="6" t="inlineStr">
        <is>
          <t>Kucağına çıktın ve orada kaldın. Teyze gitmek istedi, bırakmadın; bir saat daha kaldı. Annen o bir saati sana bakışıyla anlattı.</t>
        </is>
      </c>
      <c r="L1794" s="6" t="inlineStr"/>
      <c r="M1794" s="5" t="inlineStr"/>
      <c r="N1794" s="5" t="inlineStr"/>
      <c r="O1794" s="6" t="inlineStr"/>
      <c r="P1794" s="6" t="inlineStr"/>
      <c r="Q1794" s="5" t="inlineStr"/>
      <c r="R1794" s="5" t="inlineStr"/>
      <c r="S1794" s="5" t="inlineStr"/>
      <c r="T1794" s="5" t="inlineStr"/>
      <c r="U1794" s="5" t="inlineStr"/>
      <c r="V1794" s="5" t="inlineStr"/>
      <c r="W1794" s="5" t="inlineStr"/>
      <c r="X1794" s="5" t="inlineStr"/>
      <c r="Y1794" s="5" t="inlineStr"/>
      <c r="Z1794" s="6" t="inlineStr"/>
      <c r="AA1794" s="5" t="inlineStr"/>
      <c r="AB1794" s="5" t="inlineStr"/>
      <c r="AC1794" s="5" t="inlineStr"/>
      <c r="AD1794" s="5" t="inlineStr"/>
      <c r="AE1794" s="5" t="inlineStr"/>
      <c r="AF1794" s="5" t="inlineStr"/>
      <c r="AG1794" s="5" t="inlineStr"/>
      <c r="AH1794" s="5" t="inlineStr"/>
      <c r="AI1794" s="5" t="inlineStr"/>
      <c r="AJ1794" s="5" t="inlineStr"/>
    </row>
    <row r="1795">
      <c r="A1795" s="5" t="inlineStr">
        <is>
          <t>b1-misafir-geldi</t>
        </is>
      </c>
      <c r="B1795" s="5" t="n">
        <v>4</v>
      </c>
      <c r="C1795" s="6" t="inlineStr">
        <is>
          <t>Odana kaç</t>
        </is>
      </c>
      <c r="D1795" s="5" t="inlineStr"/>
      <c r="E1795" s="5" t="inlineStr"/>
      <c r="F1795" s="5" t="inlineStr">
        <is>
          <t>Dayanıklılık +1</t>
        </is>
      </c>
      <c r="G1795" s="6" t="inlineStr">
        <is>
          <t>Odana kaçtın. Teyze “Utangaç” dedi, annen “Yorgun” dedi. Sen çikolatanın nerede olduğunu düşündün.</t>
        </is>
      </c>
      <c r="H1795" s="6" t="inlineStr"/>
      <c r="I1795" s="6" t="inlineStr"/>
      <c r="J1795" s="6" t="inlineStr"/>
      <c r="K1795" s="6" t="inlineStr"/>
      <c r="L1795" s="6" t="inlineStr"/>
      <c r="M1795" s="5" t="inlineStr"/>
      <c r="N1795" s="5" t="inlineStr"/>
      <c r="O1795" s="6" t="inlineStr"/>
      <c r="P1795" s="6" t="inlineStr"/>
      <c r="Q1795" s="5" t="inlineStr"/>
      <c r="R1795" s="5" t="inlineStr"/>
      <c r="S1795" s="5" t="inlineStr"/>
      <c r="T1795" s="5" t="inlineStr"/>
      <c r="U1795" s="5" t="inlineStr"/>
      <c r="V1795" s="5" t="inlineStr"/>
      <c r="W1795" s="5" t="inlineStr"/>
      <c r="X1795" s="5" t="inlineStr"/>
      <c r="Y1795" s="5" t="inlineStr"/>
      <c r="Z1795" s="6" t="inlineStr"/>
      <c r="AA1795" s="5" t="inlineStr"/>
      <c r="AB1795" s="5" t="inlineStr"/>
      <c r="AC1795" s="5" t="inlineStr"/>
      <c r="AD1795" s="5" t="inlineStr"/>
      <c r="AE1795" s="5" t="inlineStr"/>
      <c r="AF1795" s="5" t="inlineStr"/>
      <c r="AG1795" s="5" t="inlineStr"/>
      <c r="AH1795" s="5" t="inlineStr"/>
      <c r="AI1795" s="5" t="inlineStr"/>
      <c r="AJ1795" s="5" t="inlineStr"/>
    </row>
    <row r="1796">
      <c r="A1796" s="5" t="inlineStr">
        <is>
          <t>b2-kardes-geldi</t>
        </is>
      </c>
      <c r="B1796" s="5" t="n">
        <v>1</v>
      </c>
      <c r="C1796" s="6" t="inlineStr">
        <is>
          <t>Kucağına al</t>
        </is>
      </c>
      <c r="D1796" s="5" t="inlineStr">
        <is>
          <t>Gönül</t>
        </is>
      </c>
      <c r="E1796" s="5" t="inlineStr">
        <is>
          <t>Orta</t>
        </is>
      </c>
      <c r="F1796" s="5" t="inlineStr"/>
      <c r="G1796" s="6" t="inlineStr"/>
      <c r="H1796" s="6" t="inlineStr">
        <is>
          <t>Annen bebeği kucağına koydu; nefesini tuttun, kıpırdamadın. Bebek uyudu, sen bir saat heykel oldun.</t>
        </is>
      </c>
      <c r="I1796" s="6" t="inlineStr">
        <is>
          <t>Kucağına aldın; ağlamayı kesti. Babaannen annene “Bu çocuk onu senden iyi tutuyor” dedi. O fotoğraf her bayram çıkıyor.</t>
        </is>
      </c>
      <c r="J1796" s="6" t="inlineStr">
        <is>
          <t>Kucağına almak istedin. Annen “Biraz büyüsün” dedi. Bebeğin büyümesini bekleyeceksin; uzun iş.</t>
        </is>
      </c>
      <c r="K1796" s="6" t="inlineStr">
        <is>
          <t>Kucağına aldın, yüzüne baktın ve sordun: “Geri verelim mi?” Babaannen bunu otuz yıl anlattı.</t>
        </is>
      </c>
      <c r="L1796" s="6" t="inlineStr"/>
      <c r="M1796" s="5" t="inlineStr"/>
      <c r="N1796" s="5" t="inlineStr"/>
      <c r="O1796" s="6" t="inlineStr"/>
      <c r="P1796" s="6" t="inlineStr"/>
      <c r="Q1796" s="5" t="inlineStr"/>
      <c r="R1796" s="5" t="inlineStr"/>
      <c r="S1796" s="5" t="inlineStr"/>
      <c r="T1796" s="5" t="inlineStr"/>
      <c r="U1796" s="5" t="inlineStr">
        <is>
          <t>kardesli</t>
        </is>
      </c>
      <c r="V1796" s="5" t="inlineStr"/>
      <c r="W1796" s="5" t="inlineStr"/>
      <c r="X1796" s="5" t="inlineStr"/>
      <c r="Y1796" s="5" t="inlineStr"/>
      <c r="Z1796" s="6" t="inlineStr"/>
      <c r="AA1796" s="5" t="inlineStr"/>
      <c r="AB1796" s="5" t="inlineStr"/>
      <c r="AC1796" s="5" t="inlineStr"/>
      <c r="AD1796" s="5" t="inlineStr"/>
      <c r="AE1796" s="5" t="inlineStr"/>
      <c r="AF1796" s="5" t="inlineStr"/>
      <c r="AG1796" s="5" t="inlineStr"/>
      <c r="AH1796" s="5" t="inlineStr"/>
      <c r="AI1796" s="5" t="inlineStr"/>
      <c r="AJ1796" s="5" t="inlineStr"/>
    </row>
    <row r="1797">
      <c r="A1797" s="5" t="inlineStr">
        <is>
          <t>b2-kardes-geldi</t>
        </is>
      </c>
      <c r="B1797" s="5" t="n">
        <v>2</v>
      </c>
      <c r="C1797" s="6" t="inlineStr">
        <is>
          <t>Bebek gibi davran, emzik iste</t>
        </is>
      </c>
      <c r="D1797" s="5" t="inlineStr">
        <is>
          <t>Pişkinlik</t>
        </is>
      </c>
      <c r="E1797" s="5" t="inlineStr">
        <is>
          <t>Kolay</t>
        </is>
      </c>
      <c r="F1797" s="5" t="inlineStr"/>
      <c r="G1797" s="6" t="inlineStr"/>
      <c r="H1797" s="6" t="inlineStr">
        <is>
          <t>Emzik istedin. Annen güldü, seni de kucağına aldı. Bir kolda o, bir kolda sen.</t>
        </is>
      </c>
      <c r="I1797" s="6" t="inlineStr">
        <is>
          <t>Emziği aldın, beşiğin yanına kıvrıldın, “Ingaa” dedin. Salon güldü; o akşam seni de beşiğin yanında uyuttular. İki bebekli ev.</t>
        </is>
      </c>
      <c r="J1797" s="6" t="inlineStr">
        <is>
          <t>Emzik istedin. Baban “Sen büyüdün artık” dedi. Büyümek bu kadar kötü bir haber olmamalıydı.</t>
        </is>
      </c>
      <c r="K1797" s="6" t="inlineStr">
        <is>
          <t>Bebeğin emziğini kaptın, kendi ağzına taktın, vermedin. Bebek ağladı, sen emdin; misafirler bir bebeğe bir sana baktı. Babaannen “Biri büyüdü dedik, öbürü küçüldü” dedi; o akşamki bütün fotoğraflarda emzikli olan sensin.</t>
        </is>
      </c>
      <c r="L1797" s="6" t="inlineStr"/>
      <c r="M1797" s="5" t="inlineStr"/>
      <c r="N1797" s="5" t="inlineStr"/>
      <c r="O1797" s="6" t="inlineStr"/>
      <c r="P1797" s="6" t="inlineStr"/>
      <c r="Q1797" s="5" t="inlineStr"/>
      <c r="R1797" s="5" t="inlineStr"/>
      <c r="S1797" s="5" t="inlineStr"/>
      <c r="T1797" s="5" t="inlineStr"/>
      <c r="U1797" s="5" t="inlineStr">
        <is>
          <t>kardesli</t>
        </is>
      </c>
      <c r="V1797" s="5" t="inlineStr"/>
      <c r="W1797" s="5" t="inlineStr"/>
      <c r="X1797" s="5" t="inlineStr"/>
      <c r="Y1797" s="5" t="inlineStr"/>
      <c r="Z1797" s="6" t="inlineStr"/>
      <c r="AA1797" s="5" t="inlineStr"/>
      <c r="AB1797" s="5" t="inlineStr"/>
      <c r="AC1797" s="5" t="inlineStr"/>
      <c r="AD1797" s="5" t="inlineStr"/>
      <c r="AE1797" s="5" t="inlineStr"/>
      <c r="AF1797" s="5" t="inlineStr"/>
      <c r="AG1797" s="5" t="inlineStr"/>
      <c r="AH1797" s="5" t="inlineStr"/>
      <c r="AI1797" s="5" t="inlineStr">
        <is>
          <t>Emzikli</t>
        </is>
      </c>
      <c r="AJ1797" s="5" t="inlineStr"/>
    </row>
    <row r="1798">
      <c r="A1798" s="5" t="inlineStr">
        <is>
          <t>b2-kardes-geldi</t>
        </is>
      </c>
      <c r="B1798" s="5" t="n">
        <v>3</v>
      </c>
      <c r="C1798" s="6" t="inlineStr">
        <is>
          <t>Hediyeleri say: kaç onun, kaç senin</t>
        </is>
      </c>
      <c r="D1798" s="5" t="inlineStr">
        <is>
          <t>Kurnazlık</t>
        </is>
      </c>
      <c r="E1798" s="5" t="inlineStr">
        <is>
          <t>Orta</t>
        </is>
      </c>
      <c r="F1798" s="5" t="inlineStr"/>
      <c r="G1798" s="6" t="inlineStr"/>
      <c r="H1798" s="6" t="inlineStr">
        <is>
          <t>Saydın, itiraz ettin, bir hediyeyi “Ona daha erken” diyerek kendine aldın. Bebek itiraz etmedi.</t>
        </is>
      </c>
      <c r="I1798" s="6" t="inlineStr">
        <is>
          <t>Saydın: on bir ona, bir sana. Bunu herkese yüksek sesle duyurdun. Ertesi gün gelen herkes iki hediye getirdi.</t>
        </is>
      </c>
      <c r="J1798" s="6" t="inlineStr">
        <is>
          <t>Saymaya başladın; ona kadar sayabiliyordun, hediyeler on ikiydi. Hesap tutmadı.</t>
        </is>
      </c>
      <c r="K1798" s="6" t="inlineStr">
        <is>
          <t>Teyzenin getirdiği paketi “Bu bana!” diye açtın. İçinden bebek patiği çıktı. Teyze o patiği hâlâ anlatıyor.</t>
        </is>
      </c>
      <c r="L1798" s="6" t="inlineStr"/>
      <c r="M1798" s="5" t="inlineStr"/>
      <c r="N1798" s="5" t="inlineStr"/>
      <c r="O1798" s="6" t="inlineStr"/>
      <c r="P1798" s="6" t="inlineStr"/>
      <c r="Q1798" s="5" t="inlineStr"/>
      <c r="R1798" s="5" t="inlineStr"/>
      <c r="S1798" s="5" t="inlineStr"/>
      <c r="T1798" s="5" t="inlineStr"/>
      <c r="U1798" s="5" t="inlineStr">
        <is>
          <t>kardesli</t>
        </is>
      </c>
      <c r="V1798" s="5" t="inlineStr"/>
      <c r="W1798" s="5" t="inlineStr"/>
      <c r="X1798" s="5" t="inlineStr"/>
      <c r="Y1798" s="5" t="inlineStr"/>
      <c r="Z1798" s="6" t="inlineStr"/>
      <c r="AA1798" s="5" t="inlineStr"/>
      <c r="AB1798" s="5" t="inlineStr"/>
      <c r="AC1798" s="5" t="inlineStr"/>
      <c r="AD1798" s="5" t="inlineStr"/>
      <c r="AE1798" s="5" t="inlineStr"/>
      <c r="AF1798" s="5" t="inlineStr"/>
      <c r="AG1798" s="5" t="inlineStr"/>
      <c r="AH1798" s="5" t="inlineStr"/>
      <c r="AI1798" s="5" t="inlineStr"/>
      <c r="AJ1798" s="5" t="inlineStr"/>
    </row>
    <row r="1799">
      <c r="A1799" s="5" t="inlineStr">
        <is>
          <t>b2-kardes-geldi</t>
        </is>
      </c>
      <c r="B1799" s="5" t="n">
        <v>4</v>
      </c>
      <c r="C1799" s="6" t="inlineStr">
        <is>
          <t>Kenardan izle</t>
        </is>
      </c>
      <c r="D1799" s="5" t="inlineStr"/>
      <c r="E1799" s="5" t="inlineStr"/>
      <c r="F1799" s="5" t="inlineStr">
        <is>
          <t>Sosyal Radar +1</t>
        </is>
      </c>
      <c r="G1799" s="6" t="inlineStr">
        <is>
          <t>Kenardan izledin. Herkes bebeğe bakarken deden sana baktı, cebinden bir şeker çıkardı: “Sen de hâlâ benimsin.”</t>
        </is>
      </c>
      <c r="H1799" s="6" t="inlineStr"/>
      <c r="I1799" s="6" t="inlineStr"/>
      <c r="J1799" s="6" t="inlineStr"/>
      <c r="K1799" s="6" t="inlineStr"/>
      <c r="L1799" s="6" t="inlineStr"/>
      <c r="M1799" s="5" t="inlineStr"/>
      <c r="N1799" s="5" t="inlineStr"/>
      <c r="O1799" s="6" t="inlineStr"/>
      <c r="P1799" s="6" t="inlineStr"/>
      <c r="Q1799" s="5" t="inlineStr"/>
      <c r="R1799" s="5" t="inlineStr"/>
      <c r="S1799" s="5" t="inlineStr"/>
      <c r="T1799" s="5" t="inlineStr"/>
      <c r="U1799" s="5" t="inlineStr">
        <is>
          <t>kardesli</t>
        </is>
      </c>
      <c r="V1799" s="5" t="inlineStr"/>
      <c r="W1799" s="5" t="inlineStr"/>
      <c r="X1799" s="5" t="inlineStr"/>
      <c r="Y1799" s="5" t="inlineStr"/>
      <c r="Z1799" s="6" t="inlineStr"/>
      <c r="AA1799" s="5" t="inlineStr"/>
      <c r="AB1799" s="5" t="inlineStr"/>
      <c r="AC1799" s="5" t="inlineStr"/>
      <c r="AD1799" s="5" t="inlineStr"/>
      <c r="AE1799" s="5" t="inlineStr"/>
      <c r="AF1799" s="5" t="inlineStr"/>
      <c r="AG1799" s="5" t="inlineStr"/>
      <c r="AH1799" s="5" t="inlineStr"/>
      <c r="AI1799" s="5" t="inlineStr"/>
      <c r="AJ1799" s="5" t="inlineStr"/>
    </row>
    <row r="1800">
      <c r="A1800" s="5" t="inlineStr">
        <is>
          <t>b2-bayram-sabahi</t>
        </is>
      </c>
      <c r="B1800" s="5" t="n">
        <v>1</v>
      </c>
      <c r="C1800" s="6" t="inlineStr">
        <is>
          <t>Sırayla el öp</t>
        </is>
      </c>
      <c r="D1800" s="5" t="inlineStr"/>
      <c r="E1800" s="5" t="inlineStr"/>
      <c r="F1800" s="5" t="inlineStr">
        <is>
          <t>İtibar +1</t>
        </is>
      </c>
      <c r="G1800" s="6" t="inlineStr">
        <is>
          <t>Bütün elleri öptün, bütün yanaklar sıkıldı. Cebin doldu, yanakların kızardı. Değdi.</t>
        </is>
      </c>
      <c r="H1800" s="6" t="inlineStr"/>
      <c r="I1800" s="6" t="inlineStr"/>
      <c r="J1800" s="6" t="inlineStr"/>
      <c r="K1800" s="6" t="inlineStr"/>
      <c r="L1800" s="6" t="inlineStr"/>
      <c r="M1800" s="5" t="inlineStr"/>
      <c r="N1800" s="5" t="inlineStr"/>
      <c r="O1800" s="6" t="inlineStr"/>
      <c r="P1800" s="6" t="inlineStr"/>
      <c r="Q1800" s="5" t="inlineStr"/>
      <c r="R1800" s="5" t="inlineStr"/>
      <c r="S1800" s="5" t="inlineStr"/>
      <c r="T1800" s="5" t="inlineStr"/>
      <c r="U1800" s="5" t="inlineStr"/>
      <c r="V1800" s="5" t="inlineStr"/>
      <c r="W1800" s="5" t="inlineStr"/>
      <c r="X1800" s="5" t="inlineStr"/>
      <c r="Y1800" s="5" t="inlineStr"/>
      <c r="Z1800" s="6" t="inlineStr"/>
      <c r="AA1800" s="5" t="inlineStr"/>
      <c r="AB1800" s="5" t="inlineStr"/>
      <c r="AC1800" s="5" t="inlineStr"/>
      <c r="AD1800" s="5" t="inlineStr"/>
      <c r="AE1800" s="5" t="inlineStr"/>
      <c r="AF1800" s="5" t="inlineStr"/>
      <c r="AG1800" s="5" t="inlineStr"/>
      <c r="AH1800" s="5" t="inlineStr"/>
      <c r="AI1800" s="5" t="inlineStr"/>
      <c r="AJ1800" s="5" t="inlineStr"/>
    </row>
    <row r="1801">
      <c r="A1801" s="5" t="inlineStr">
        <is>
          <t>b2-bayram-sabahi</t>
        </is>
      </c>
      <c r="B1801" s="5" t="n">
        <v>2</v>
      </c>
      <c r="C1801" s="6" t="inlineStr">
        <is>
          <t>Elini öpüp cebe bak</t>
        </is>
      </c>
      <c r="D1801" s="5" t="inlineStr">
        <is>
          <t>Pişkinlik</t>
        </is>
      </c>
      <c r="E1801" s="5" t="inlineStr">
        <is>
          <t>Kolay</t>
        </is>
      </c>
      <c r="F1801" s="5" t="inlineStr"/>
      <c r="G1801" s="6" t="inlineStr"/>
      <c r="H1801" s="6" t="inlineStr">
        <is>
          <t>Elini öptün, gözün cepte kaldı. Halan gördü, güldü, verdi.</t>
        </is>
      </c>
      <c r="I1801" s="6" t="inlineStr">
        <is>
          <t>Dedenin cebine baktın. Deden güldü, “Yakaladı beni” dedi, iki kat verdi. Salon sana güldü, sen cebine.</t>
        </is>
      </c>
      <c r="J1801" s="6" t="inlineStr">
        <is>
          <t>Cebe baktın. Amca “Önce el öpülür” dedi. Öptün; cep açılmadı.</t>
        </is>
      </c>
      <c r="K1801" s="6" t="inlineStr">
        <is>
          <t>Elini öpmeden “Harçlık?” dedin. Salon sustu, annen kulağına eğildi. O gün cebine tek bozukluk girmedi; akşam yemeğinde hâlâ konuşuluyordu.</t>
        </is>
      </c>
      <c r="L1801" s="6" t="inlineStr"/>
      <c r="M1801" s="5" t="inlineStr"/>
      <c r="N1801" s="5" t="inlineStr"/>
      <c r="O1801" s="6" t="inlineStr"/>
      <c r="P1801" s="6" t="inlineStr"/>
      <c r="Q1801" s="5" t="inlineStr"/>
      <c r="R1801" s="5" t="inlineStr"/>
      <c r="S1801" s="5" t="inlineStr"/>
      <c r="T1801" s="5" t="inlineStr"/>
      <c r="U1801" s="5" t="inlineStr"/>
      <c r="V1801" s="5" t="inlineStr"/>
      <c r="W1801" s="5" t="inlineStr"/>
      <c r="X1801" s="5" t="inlineStr"/>
      <c r="Y1801" s="5" t="inlineStr"/>
      <c r="Z1801" s="6" t="inlineStr"/>
      <c r="AA1801" s="5" t="inlineStr"/>
      <c r="AB1801" s="5" t="inlineStr"/>
      <c r="AC1801" s="5" t="inlineStr"/>
      <c r="AD1801" s="5" t="inlineStr"/>
      <c r="AE1801" s="5" t="inlineStr"/>
      <c r="AF1801" s="5" t="inlineStr"/>
      <c r="AG1801" s="5" t="inlineStr"/>
      <c r="AH1801" s="5" t="inlineStr"/>
      <c r="AI1801" s="5" t="inlineStr"/>
      <c r="AJ1801" s="5" t="inlineStr"/>
    </row>
    <row r="1802">
      <c r="A1802" s="5" t="inlineStr">
        <is>
          <t>b2-bayram-sabahi</t>
        </is>
      </c>
      <c r="B1802" s="5" t="n">
        <v>3</v>
      </c>
      <c r="C1802" s="6" t="inlineStr">
        <is>
          <t>Kolonyayı sen dök</t>
        </is>
      </c>
      <c r="D1802" s="5" t="inlineStr">
        <is>
          <t>Dayanıklılık</t>
        </is>
      </c>
      <c r="E1802" s="5" t="inlineStr">
        <is>
          <t>Kolay</t>
        </is>
      </c>
      <c r="F1802" s="5" t="inlineStr"/>
      <c r="G1802" s="6" t="inlineStr"/>
      <c r="H1802" s="6" t="inlineStr">
        <is>
          <t>Hepsine döktün; iki avuca biraz fazla, halıya biraz. Kimse bir şey demedi; bayramdı.</t>
        </is>
      </c>
      <c r="I1802" s="6" t="inlineStr">
        <is>
          <t>On iki avuç, on iki ölçü, sıfır halı. Babaannen “Bu çocuk bayram için doğmuş” dedi; harçlıklar iki kat geldi.</t>
        </is>
      </c>
      <c r="J1802" s="6" t="inlineStr">
        <is>
          <t>Şişeyi ters tuttun. Kolonya sana döküldü. Bütün bayram senden limon koktu.</t>
        </is>
      </c>
      <c r="K1802" s="6" t="inlineStr">
        <is>
          <t>Şişeyle sallandın: halı, koltuk, kedi ve halanın çantası kolonyalandı. Çantadaki harçlık zarfı da. Harçlık yine geldi; ıslak ve geç.</t>
        </is>
      </c>
      <c r="L1802" s="6" t="inlineStr">
        <is>
          <t>Yarıya kadar iyi gitti; sonra şişe kaydı, dayın ıslandı. Dayın güldü; dayın hep güler.</t>
        </is>
      </c>
      <c r="M1802" s="5" t="inlineStr">
        <is>
          <t>timing</t>
        </is>
      </c>
      <c r="N1802" s="5" t="inlineStr">
        <is>
          <t>Kolonya Ölçüsü</t>
        </is>
      </c>
      <c r="O1802" s="6" t="inlineStr">
        <is>
          <t>İbre yeşil alandayken DURDUR'a bas. Art arda tutturdukça kombo kazanırsın.</t>
        </is>
      </c>
      <c r="P1802" s="6" t="n"/>
      <c r="Q1802" s="5" t="inlineStr"/>
      <c r="R1802" s="5" t="inlineStr"/>
      <c r="S1802" s="5" t="inlineStr"/>
      <c r="T1802" s="5" t="inlineStr"/>
      <c r="U1802" s="5" t="inlineStr"/>
      <c r="V1802" s="5" t="inlineStr"/>
      <c r="W1802" s="5" t="inlineStr"/>
      <c r="X1802" s="5" t="inlineStr"/>
      <c r="Y1802" s="5" t="inlineStr"/>
      <c r="Z1802" s="6" t="inlineStr"/>
      <c r="AA1802" s="5" t="inlineStr"/>
      <c r="AB1802" s="5" t="inlineStr"/>
      <c r="AC1802" s="5" t="inlineStr"/>
      <c r="AD1802" s="5" t="inlineStr"/>
      <c r="AE1802" s="5" t="inlineStr"/>
      <c r="AF1802" s="5" t="inlineStr"/>
      <c r="AG1802" s="5" t="inlineStr"/>
      <c r="AH1802" s="5" t="inlineStr"/>
      <c r="AI1802" s="5" t="inlineStr"/>
      <c r="AJ1802" s="5" t="inlineStr"/>
    </row>
    <row r="1803">
      <c r="A1803" s="5" t="inlineStr">
        <is>
          <t>b2-bayram-sabahi</t>
        </is>
      </c>
      <c r="B1803" s="5" t="n">
        <v>4</v>
      </c>
      <c r="C1803" s="6" t="inlineStr">
        <is>
          <t>Harçlık gelmeden kolonya yok</t>
        </is>
      </c>
      <c r="D1803" s="5" t="inlineStr">
        <is>
          <t>Çene</t>
        </is>
      </c>
      <c r="E1803" s="5" t="inlineStr">
        <is>
          <t>Orta</t>
        </is>
      </c>
      <c r="F1803" s="5" t="inlineStr"/>
      <c r="G1803" s="6" t="inlineStr"/>
      <c r="H1803" s="6" t="inlineStr">
        <is>
          <t>Halan güldü, harçlığı verdi, sonra avucunu uzattı. Arkasındaki amca cüzdanını çoktan çıkarmıştı. Babaannen “Bu çocuk kime çekmiş?” dedi; herkes dedene baktı.</t>
        </is>
      </c>
      <c r="I1803" s="6" t="inlineStr">
        <is>
          <t>Şişeyi tuttun, öbür elini uzattın, bekledin. Herkes anladı, herkes güldü, herkes verdi. Kolonya sonra geldi; harçlık önce.</t>
        </is>
      </c>
      <c r="J1803" s="6" t="inlineStr">
        <is>
          <t>“Önce harçlık” dedin. Annen seni mutfağa çağırdı. Kolonyayı kuzenin döktü, harçlığı da o topladı.</t>
        </is>
      </c>
      <c r="K1803" s="6" t="inlineStr">
        <is>
          <t>“Önce harçlık” dedin; dayın “Hadi bakalım” deyip cebinden boş elini çıkardı. Salon güldü. Harçlık gelmedi, şişe de elinden alındı.</t>
        </is>
      </c>
      <c r="L1803" s="6" t="inlineStr"/>
      <c r="M1803" s="5" t="inlineStr"/>
      <c r="N1803" s="5" t="inlineStr"/>
      <c r="O1803" s="6" t="inlineStr"/>
      <c r="P1803" s="6" t="inlineStr"/>
      <c r="Q1803" s="5" t="inlineStr"/>
      <c r="R1803" s="5" t="inlineStr"/>
      <c r="S1803" s="5" t="inlineStr"/>
      <c r="T1803" s="5" t="inlineStr">
        <is>
          <t>Küçük Tüccar</t>
        </is>
      </c>
      <c r="U1803" s="5" t="inlineStr"/>
      <c r="V1803" s="5" t="inlineStr"/>
      <c r="W1803" s="5" t="inlineStr"/>
      <c r="X1803" s="5" t="inlineStr"/>
      <c r="Y1803" s="5" t="inlineStr"/>
      <c r="Z1803" s="6" t="inlineStr"/>
      <c r="AA1803" s="5" t="inlineStr"/>
      <c r="AB1803" s="5" t="inlineStr"/>
      <c r="AC1803" s="5" t="inlineStr"/>
      <c r="AD1803" s="5" t="inlineStr"/>
      <c r="AE1803" s="5" t="inlineStr"/>
      <c r="AF1803" s="5" t="inlineStr"/>
      <c r="AG1803" s="5" t="inlineStr"/>
      <c r="AH1803" s="5" t="inlineStr"/>
      <c r="AI1803" s="5" t="inlineStr"/>
      <c r="AJ1803" s="5" t="inlineStr"/>
    </row>
    <row r="1804">
      <c r="A1804" s="5" t="inlineStr">
        <is>
          <t>b3-okuma-bayrami</t>
        </is>
      </c>
      <c r="B1804" s="5" t="n">
        <v>1</v>
      </c>
      <c r="C1804" s="6" t="inlineStr">
        <is>
          <t>Hece hece, yavaş oku</t>
        </is>
      </c>
      <c r="D1804" s="5" t="inlineStr"/>
      <c r="E1804" s="5" t="inlineStr"/>
      <c r="F1804" s="5" t="inlineStr">
        <is>
          <t>Dayanıklılık +1</t>
        </is>
      </c>
      <c r="G1804" s="6" t="inlineStr">
        <is>
          <t>Hece hece okudun; cümle iki dakika sürdü. Kurdele yakana takıldı. Babaannen eve gelince kurdeleyi vitrine, kristal şekerliğin yanına koydu.</t>
        </is>
      </c>
      <c r="H1804" s="6" t="inlineStr"/>
      <c r="I1804" s="6" t="inlineStr"/>
      <c r="J1804" s="6" t="inlineStr"/>
      <c r="K1804" s="6" t="inlineStr"/>
      <c r="L1804" s="6" t="inlineStr"/>
      <c r="M1804" s="5" t="inlineStr"/>
      <c r="N1804" s="5" t="inlineStr"/>
      <c r="O1804" s="6" t="inlineStr"/>
      <c r="P1804" s="6" t="inlineStr"/>
      <c r="Q1804" s="5" t="inlineStr"/>
      <c r="R1804" s="5" t="inlineStr"/>
      <c r="S1804" s="5" t="inlineStr"/>
      <c r="T1804" s="5" t="inlineStr"/>
      <c r="U1804" s="5" t="inlineStr"/>
      <c r="V1804" s="5" t="inlineStr"/>
      <c r="W1804" s="5" t="inlineStr"/>
      <c r="X1804" s="5" t="inlineStr"/>
      <c r="Y1804" s="5" t="inlineStr"/>
      <c r="Z1804" s="6" t="inlineStr"/>
      <c r="AA1804" s="5" t="inlineStr"/>
      <c r="AB1804" s="5" t="inlineStr"/>
      <c r="AC1804" s="5" t="inlineStr"/>
      <c r="AD1804" s="5" t="inlineStr"/>
      <c r="AE1804" s="5" t="inlineStr"/>
      <c r="AF1804" s="5" t="inlineStr"/>
      <c r="AG1804" s="5" t="inlineStr"/>
      <c r="AH1804" s="5" t="inlineStr"/>
      <c r="AI1804" s="5" t="inlineStr"/>
      <c r="AJ1804" s="5" t="inlineStr"/>
    </row>
    <row r="1805">
      <c r="A1805" s="5" t="inlineStr">
        <is>
          <t>b3-okuma-bayrami</t>
        </is>
      </c>
      <c r="B1805" s="5" t="n">
        <v>2</v>
      </c>
      <c r="C1805" s="6" t="inlineStr">
        <is>
          <t>Öndekileri dinle, ezberden oku</t>
        </is>
      </c>
      <c r="D1805" s="5" t="inlineStr">
        <is>
          <t>Kurnazlık</t>
        </is>
      </c>
      <c r="E1805" s="5" t="inlineStr">
        <is>
          <t>Orta</t>
        </is>
      </c>
      <c r="F1805" s="5" t="inlineStr"/>
      <c r="G1805" s="6" t="inlineStr"/>
      <c r="H1805" s="6" t="inlineStr">
        <is>
          <t>Cümleyi ezberden söyledin, parmağını da kelimelerin üstünde gezdirdin. Kimse fark etmedi; kurdele senin.</t>
        </is>
      </c>
      <c r="I1805" s="6" t="inlineStr">
        <is>
          <t>Öndeki üç çocuğu dinleyip cümleyi ezberledin, kitaba bakmadan okudun. Öğretmen “Bu çocuk kitaba bakmıyor bile” dedi. Bakmıyordun, çünkü okuyamıyordun.</t>
        </is>
      </c>
      <c r="J1805" s="6" t="inlineStr">
        <is>
          <t>Ezber üçüncü kelimede bitti. Kitaba baktın ama nerede olduğunu bilmiyordun. Öğretmen gelip parmağıyla gösterdi.</t>
        </is>
      </c>
      <c r="K1805" s="6" t="inlineStr">
        <is>
          <t>Ezberledin ama kitabı ters tuttun. Ön sıradan deden “Ters tutuyor!” diye bağırdı. Videoda en net duyulan cümle o oldu.</t>
        </is>
      </c>
      <c r="L1805" s="6" t="inlineStr"/>
      <c r="M1805" s="5" t="inlineStr"/>
      <c r="N1805" s="5" t="inlineStr"/>
      <c r="O1805" s="6" t="inlineStr"/>
      <c r="P1805" s="6" t="inlineStr"/>
      <c r="Q1805" s="5" t="inlineStr"/>
      <c r="R1805" s="5" t="inlineStr"/>
      <c r="S1805" s="5" t="inlineStr"/>
      <c r="T1805" s="5" t="inlineStr"/>
      <c r="U1805" s="5" t="inlineStr"/>
      <c r="V1805" s="5" t="inlineStr"/>
      <c r="W1805" s="5" t="inlineStr"/>
      <c r="X1805" s="5" t="inlineStr"/>
      <c r="Y1805" s="5" t="inlineStr"/>
      <c r="Z1805" s="6" t="inlineStr"/>
      <c r="AA1805" s="5" t="inlineStr"/>
      <c r="AB1805" s="5" t="inlineStr"/>
      <c r="AC1805" s="5" t="inlineStr"/>
      <c r="AD1805" s="5" t="inlineStr"/>
      <c r="AE1805" s="5" t="inlineStr"/>
      <c r="AF1805" s="5" t="inlineStr"/>
      <c r="AG1805" s="5" t="inlineStr"/>
      <c r="AH1805" s="5" t="inlineStr"/>
      <c r="AI1805" s="5" t="inlineStr"/>
      <c r="AJ1805" s="5" t="inlineStr"/>
    </row>
    <row r="1806">
      <c r="A1806" s="5" t="inlineStr">
        <is>
          <t>b3-okuma-bayrami</t>
        </is>
      </c>
      <c r="B1806" s="5" t="n">
        <v>3</v>
      </c>
      <c r="C1806" s="6" t="inlineStr">
        <is>
          <t>Kocaman sesle oku</t>
        </is>
      </c>
      <c r="D1806" s="5" t="inlineStr">
        <is>
          <t>Cesaret</t>
        </is>
      </c>
      <c r="E1806" s="5" t="inlineStr">
        <is>
          <t>Orta</t>
        </is>
      </c>
      <c r="F1806" s="5" t="inlineStr"/>
      <c r="G1806" s="6" t="inlineStr"/>
      <c r="H1806" s="6" t="inlineStr">
        <is>
          <t>Sesin salonu doldurdu. Annen ağladı; babaannen “Bizim taraftan çekmiş” dedi.</t>
        </is>
      </c>
      <c r="I1806" s="6" t="inlineStr">
        <is>
          <t>Öyle gür okudun ki arka sıradaki deden ayağa kalkıp alkışladı. Müdür kurdeleni kendi eliyle taktı.</t>
        </is>
      </c>
      <c r="J1806" s="6" t="inlineStr">
        <is>
          <t>Mikrofona fazla yaklaştın; hoparlör ötmeye başladı. Cümleyi kimse duymadı ama kurdele takıldı.</t>
        </is>
      </c>
      <c r="K1806" s="6" t="inlineStr">
        <is>
          <t>Heyecandan “Ali topu at” yerine “Ali topu ye” okudun. Salon kahkahaya boğuldu. O günden sonra sana top atan herkes “Ye!” diye bağırdı.</t>
        </is>
      </c>
      <c r="L1806" s="6" t="inlineStr"/>
      <c r="M1806" s="5" t="inlineStr"/>
      <c r="N1806" s="5" t="inlineStr"/>
      <c r="O1806" s="6" t="inlineStr"/>
      <c r="P1806" s="6" t="inlineStr"/>
      <c r="Q1806" s="5" t="inlineStr"/>
      <c r="R1806" s="5" t="inlineStr"/>
      <c r="S1806" s="5" t="inlineStr"/>
      <c r="T1806" s="5" t="inlineStr"/>
      <c r="U1806" s="5" t="inlineStr"/>
      <c r="V1806" s="5" t="inlineStr"/>
      <c r="W1806" s="5" t="inlineStr"/>
      <c r="X1806" s="5" t="inlineStr"/>
      <c r="Y1806" s="5" t="inlineStr"/>
      <c r="Z1806" s="6" t="inlineStr"/>
      <c r="AA1806" s="5" t="inlineStr"/>
      <c r="AB1806" s="5" t="inlineStr"/>
      <c r="AC1806" s="5" t="inlineStr"/>
      <c r="AD1806" s="5" t="inlineStr"/>
      <c r="AE1806" s="5" t="inlineStr"/>
      <c r="AF1806" s="5" t="inlineStr"/>
      <c r="AG1806" s="5" t="inlineStr"/>
      <c r="AH1806" s="5" t="inlineStr"/>
      <c r="AI1806" s="5" t="inlineStr"/>
      <c r="AJ1806" s="5" t="inlineStr"/>
    </row>
    <row r="1807">
      <c r="A1807" s="5" t="inlineStr">
        <is>
          <t>b3-okuma-bayrami</t>
        </is>
      </c>
      <c r="B1807" s="5" t="n">
        <v>4</v>
      </c>
      <c r="C1807" s="6" t="inlineStr">
        <is>
          <t>Takılan sıra arkadaşına fısılda</t>
        </is>
      </c>
      <c r="D1807" s="5" t="inlineStr">
        <is>
          <t>Sosyal Radar</t>
        </is>
      </c>
      <c r="E1807" s="5" t="inlineStr">
        <is>
          <t>Orta</t>
        </is>
      </c>
      <c r="F1807" s="5" t="inlineStr"/>
      <c r="G1807" s="6" t="inlineStr"/>
      <c r="H1807" s="6" t="inlineStr">
        <is>
          <t>Arkadaşın takıldı, sen fısıldadın, cümle tamamlandı. Öğretmen sana göz kırptı.</t>
        </is>
      </c>
      <c r="I1807" s="6" t="inlineStr">
        <is>
          <t>Sıra arkadaşın donup kaldı; kulağına fısıldadın, okudu. Alkışın yarısı ona, yarısı sana; annesi çıkışta seni öptü.</t>
        </is>
      </c>
      <c r="J1807" s="6" t="inlineStr">
        <is>
          <t>Fısıldadın ama yanlış satırı. Arkadaşın senin cümleni okudu; sana okuyacak cümle kalmadı.</t>
        </is>
      </c>
      <c r="K1807" s="6" t="inlineStr">
        <is>
          <t>Fısıldayacaktın ama mikrofon açıktı. Salon cümleyi önce senden, sonra arkadaşından duydu. Çıkışta arkadaşının annesi babaannene “Sizinki bizimkinin yerine de okudu, sağ olsun” dedi; babaannen bunu iltifat sanıp bütün akrabaya anlattı.</t>
        </is>
      </c>
      <c r="L1807" s="6" t="inlineStr"/>
      <c r="M1807" s="5" t="inlineStr"/>
      <c r="N1807" s="5" t="inlineStr"/>
      <c r="O1807" s="6" t="inlineStr"/>
      <c r="P1807" s="6" t="inlineStr"/>
      <c r="Q1807" s="5" t="inlineStr"/>
      <c r="R1807" s="5" t="inlineStr"/>
      <c r="S1807" s="5" t="inlineStr"/>
      <c r="T1807" s="5" t="inlineStr"/>
      <c r="U1807" s="5" t="inlineStr"/>
      <c r="V1807" s="5" t="inlineStr"/>
      <c r="W1807" s="5" t="inlineStr"/>
      <c r="X1807" s="5" t="inlineStr"/>
      <c r="Y1807" s="5" t="inlineStr"/>
      <c r="Z1807" s="6" t="inlineStr"/>
      <c r="AA1807" s="5" t="inlineStr"/>
      <c r="AB1807" s="5" t="inlineStr"/>
      <c r="AC1807" s="5" t="inlineStr"/>
      <c r="AD1807" s="5" t="inlineStr"/>
      <c r="AE1807" s="5" t="inlineStr"/>
      <c r="AF1807" s="5" t="inlineStr"/>
      <c r="AG1807" s="5" t="inlineStr"/>
      <c r="AH1807" s="5" t="inlineStr"/>
      <c r="AI1807" s="5" t="inlineStr"/>
      <c r="AJ1807" s="5" t="inlineStr"/>
    </row>
    <row r="1808">
      <c r="A1808" s="5" t="inlineStr">
        <is>
          <t>b5-kuzenin-dugunu</t>
        </is>
      </c>
      <c r="B1808" s="5" t="n">
        <v>1</v>
      </c>
      <c r="C1808" s="6" t="inlineStr">
        <is>
          <t>Masada otur, çerezi bitir</t>
        </is>
      </c>
      <c r="D1808" s="5" t="inlineStr"/>
      <c r="E1808" s="5" t="inlineStr"/>
      <c r="F1808" s="5" t="inlineStr">
        <is>
          <t>Dayanıklılık +1</t>
        </is>
      </c>
      <c r="G1808" s="6" t="inlineStr">
        <is>
          <t>Bütün gece masada oturdun. Çerez tabağı üç kez doldu, üç kez boşaldı. Halan her geçişte “Kalk be” dedi; kalkmadın.</t>
        </is>
      </c>
      <c r="H1808" s="6" t="inlineStr"/>
      <c r="I1808" s="6" t="inlineStr"/>
      <c r="J1808" s="6" t="inlineStr"/>
      <c r="K1808" s="6" t="inlineStr"/>
      <c r="L1808" s="6" t="inlineStr"/>
      <c r="M1808" s="5" t="inlineStr"/>
      <c r="N1808" s="5" t="inlineStr"/>
      <c r="O1808" s="6" t="inlineStr"/>
      <c r="P1808" s="6" t="inlineStr"/>
      <c r="Q1808" s="5" t="inlineStr"/>
      <c r="R1808" s="5" t="inlineStr"/>
      <c r="S1808" s="5" t="inlineStr"/>
      <c r="T1808" s="5" t="inlineStr"/>
      <c r="U1808" s="5" t="inlineStr"/>
      <c r="V1808" s="5" t="inlineStr"/>
      <c r="W1808" s="5" t="inlineStr"/>
      <c r="X1808" s="5" t="inlineStr"/>
      <c r="Y1808" s="5" t="inlineStr"/>
      <c r="Z1808" s="6" t="inlineStr"/>
      <c r="AA1808" s="5" t="inlineStr"/>
      <c r="AB1808" s="5" t="inlineStr"/>
      <c r="AC1808" s="5" t="inlineStr"/>
      <c r="AD1808" s="5" t="inlineStr"/>
      <c r="AE1808" s="5" t="inlineStr"/>
      <c r="AF1808" s="5" t="inlineStr"/>
      <c r="AG1808" s="5" t="inlineStr"/>
      <c r="AH1808" s="5" t="inlineStr"/>
      <c r="AI1808" s="5" t="inlineStr"/>
      <c r="AJ1808" s="5" t="inlineStr"/>
    </row>
    <row r="1809">
      <c r="A1809" s="5" t="inlineStr">
        <is>
          <t>b5-kuzenin-dugunu</t>
        </is>
      </c>
      <c r="B1809" s="5" t="n">
        <v>2</v>
      </c>
      <c r="C1809" s="6" t="inlineStr">
        <is>
          <t>Halayın başına geç</t>
        </is>
      </c>
      <c r="D1809" s="5" t="inlineStr">
        <is>
          <t>Pişkinlik</t>
        </is>
      </c>
      <c r="E1809" s="5" t="inlineStr">
        <is>
          <t>Orta</t>
        </is>
      </c>
      <c r="F1809" s="5" t="inlineStr"/>
      <c r="G1809" s="6" t="inlineStr"/>
      <c r="H1809" s="6" t="inlineStr">
        <is>
          <t>Halayı başlattın, ritmi tuttun. Dayın arkadan “Bizimki!” diye bağırdı; video bir saat içinde aile grubundaydı.</t>
        </is>
      </c>
      <c r="I1809" s="6" t="inlineStr">
        <is>
          <t>Mendili öyle savurdun ki davulcu sana göre çalmaya başladı. Halay salondan taştı, otoparka kadar uzadı. Amcan davulcunun bahşişini senin adınla verdi.</t>
        </is>
      </c>
      <c r="J1809" s="6" t="inlineStr">
        <is>
          <t>Halayın başına geçtin. İki adım sonra dayın mendili elinden kibarca aldı. Sona geçtin.</t>
        </is>
      </c>
      <c r="K1809" s="6" t="inlineStr">
        <is>
          <t>Mendili havaya attın; gelinin duvağına takıldı. Duvak bütün halay boyunca senin elinde dolaştı. Düğün videosunun en çok izlenen yeri burası.</t>
        </is>
      </c>
      <c r="L1809" s="6" t="inlineStr">
        <is>
          <t>Ritmi tuttun ama halayı yanlış yöne çektin. Yarısı seninle, yarısı kuzenle gitti; ortada gelin kaldı.</t>
        </is>
      </c>
      <c r="M1809" s="5" t="inlineStr">
        <is>
          <t>simon</t>
        </is>
      </c>
      <c r="N1809" s="5" t="inlineStr">
        <is>
          <t>Halay Başı</t>
        </is>
      </c>
      <c r="O1809" s="6" t="inlineStr">
        <is>
          <t>Sırayı dinle, aynı sırayla tekrar et.</t>
        </is>
      </c>
      <c r="P1809" s="6" t="inlineStr">
        <is>
          <t>{"items": ["👣", "👏", "🪘", "🕺"]}</t>
        </is>
      </c>
      <c r="Q1809" s="5" t="inlineStr"/>
      <c r="R1809" s="5" t="inlineStr"/>
      <c r="S1809" s="5" t="inlineStr"/>
      <c r="T1809" s="5" t="inlineStr"/>
      <c r="U1809" s="5" t="inlineStr"/>
      <c r="V1809" s="5" t="inlineStr"/>
      <c r="W1809" s="5" t="inlineStr"/>
      <c r="X1809" s="5" t="inlineStr"/>
      <c r="Y1809" s="5" t="inlineStr"/>
      <c r="Z1809" s="6" t="inlineStr"/>
      <c r="AA1809" s="5" t="inlineStr"/>
      <c r="AB1809" s="5" t="inlineStr"/>
      <c r="AC1809" s="5" t="inlineStr"/>
      <c r="AD1809" s="5" t="inlineStr"/>
      <c r="AE1809" s="5" t="inlineStr"/>
      <c r="AF1809" s="5" t="inlineStr"/>
      <c r="AG1809" s="5" t="inlineStr"/>
      <c r="AH1809" s="5" t="inlineStr"/>
      <c r="AI1809" s="5" t="inlineStr"/>
      <c r="AJ1809" s="5" t="inlineStr"/>
    </row>
    <row r="1810">
      <c r="A1810" s="5" t="inlineStr">
        <is>
          <t>b5-kuzenin-dugunu</t>
        </is>
      </c>
      <c r="B1810" s="5" t="n">
        <v>3</v>
      </c>
      <c r="C1810" s="6" t="inlineStr">
        <is>
          <t>Takı anonsunu sen yap</t>
        </is>
      </c>
      <c r="D1810" s="5" t="inlineStr">
        <is>
          <t>Çene</t>
        </is>
      </c>
      <c r="E1810" s="5" t="inlineStr">
        <is>
          <t>Orta</t>
        </is>
      </c>
      <c r="F1810" s="5" t="inlineStr"/>
      <c r="G1810" s="6" t="inlineStr"/>
      <c r="H1810" s="6" t="inlineStr">
        <is>
          <t>Mikrofonu aldın, takıları tek tek okudun. Her “çeyrek”ten önce bir es verdin; salon nefesini tuttu. Ertesi gün mahalle rakamları senin sesinle konuşuyordu.</t>
        </is>
      </c>
      <c r="I1810" s="6" t="inlineStr">
        <is>
          <t>Anonsları öyle yaptın ki her takıdan sonra salon alkışladı. İki teyze bileziğini çıkarıp yeniden taktı; adı bir kez daha okunsun diye.</t>
        </is>
      </c>
      <c r="J1810" s="6" t="inlineStr">
        <is>
          <t>Mikrofonu aldın ama davul susmadı. Anonsun yarısı salona “ııı… çeyrek” diye ulaştı.</t>
        </is>
      </c>
      <c r="K1810" s="6" t="inlineStr">
        <is>
          <t>Bir teyzenin taktığı tek bileziği “Bir bilezik… o kadar” diye anons ettin. Salon sustu. O teyze artık bayramlarda gelmiyor.</t>
        </is>
      </c>
      <c r="L1810" s="6" t="inlineStr"/>
      <c r="M1810" s="5" t="inlineStr"/>
      <c r="N1810" s="5" t="inlineStr"/>
      <c r="O1810" s="6" t="inlineStr"/>
      <c r="P1810" s="6" t="inlineStr"/>
      <c r="Q1810" s="5" t="inlineStr"/>
      <c r="R1810" s="5" t="inlineStr"/>
      <c r="S1810" s="5" t="inlineStr"/>
      <c r="T1810" s="5" t="inlineStr"/>
      <c r="U1810" s="5" t="inlineStr"/>
      <c r="V1810" s="5" t="inlineStr"/>
      <c r="W1810" s="5" t="inlineStr"/>
      <c r="X1810" s="5" t="inlineStr"/>
      <c r="Y1810" s="5" t="inlineStr"/>
      <c r="Z1810" s="6" t="inlineStr"/>
      <c r="AA1810" s="5" t="inlineStr"/>
      <c r="AB1810" s="5" t="inlineStr"/>
      <c r="AC1810" s="5" t="inlineStr"/>
      <c r="AD1810" s="5" t="inlineStr"/>
      <c r="AE1810" s="5" t="inlineStr"/>
      <c r="AF1810" s="5" t="inlineStr"/>
      <c r="AG1810" s="5" t="inlineStr"/>
      <c r="AH1810" s="5" t="inlineStr"/>
      <c r="AI1810" s="5" t="inlineStr"/>
      <c r="AJ1810" s="5" t="inlineStr"/>
    </row>
    <row r="1811">
      <c r="A1811" s="5" t="inlineStr">
        <is>
          <t>b5-kuzenin-dugunu</t>
        </is>
      </c>
      <c r="B1811" s="5" t="n">
        <v>4</v>
      </c>
      <c r="C1811" s="6" t="inlineStr">
        <is>
          <t>Gelin çıkarken kapıyı tut</t>
        </is>
      </c>
      <c r="D1811" s="5" t="inlineStr">
        <is>
          <t>Kurnazlık</t>
        </is>
      </c>
      <c r="E1811" s="5" t="inlineStr">
        <is>
          <t>Orta</t>
        </is>
      </c>
      <c r="F1811" s="5" t="inlineStr"/>
      <c r="G1811" s="6" t="inlineStr"/>
      <c r="H1811" s="6" t="inlineStr">
        <is>
          <t>Kapıyı tuttun, pazarlık ettin, bir zarf aldın. Damat tarafı seni “zor kuzen” diye andı.</t>
        </is>
      </c>
      <c r="I1811" s="6" t="inlineStr">
        <is>
          <t>Gelin evden çıkarken kapıyı tuttun; damadın babası üç kez cebine uzandı. Toplanan para bütün bayram harçlıklarını geçti.</t>
        </is>
      </c>
      <c r="J1811" s="6" t="inlineStr">
        <is>
          <t>Kapıyı tuttun. Damat tarafından biri kapıyı senden sıkı tuttu. Zarf yok, selam var.</t>
        </is>
      </c>
      <c r="K1811" s="6" t="inlineStr">
        <is>
          <t>Kapıyı o kadar uzun tuttun ki konvoy korna çalmaya başladı, bütün sokak balkona çıktı. Annen zarfı damadın babasına özür dileyerek geri verdi.</t>
        </is>
      </c>
      <c r="L1811" s="6" t="inlineStr"/>
      <c r="M1811" s="5" t="inlineStr"/>
      <c r="N1811" s="5" t="inlineStr"/>
      <c r="O1811" s="6" t="inlineStr"/>
      <c r="P1811" s="6" t="inlineStr"/>
      <c r="Q1811" s="5" t="inlineStr"/>
      <c r="R1811" s="5" t="inlineStr"/>
      <c r="S1811" s="5" t="inlineStr"/>
      <c r="T1811" s="5" t="inlineStr"/>
      <c r="U1811" s="5" t="inlineStr"/>
      <c r="V1811" s="5" t="inlineStr"/>
      <c r="W1811" s="5" t="inlineStr"/>
      <c r="X1811" s="5" t="inlineStr"/>
      <c r="Y1811" s="5" t="inlineStr"/>
      <c r="Z1811" s="6" t="inlineStr"/>
      <c r="AA1811" s="5" t="inlineStr"/>
      <c r="AB1811" s="5" t="inlineStr"/>
      <c r="AC1811" s="5" t="inlineStr"/>
      <c r="AD1811" s="5" t="inlineStr"/>
      <c r="AE1811" s="5" t="inlineStr"/>
      <c r="AF1811" s="5" t="inlineStr"/>
      <c r="AG1811" s="5" t="inlineStr"/>
      <c r="AH1811" s="5" t="inlineStr"/>
      <c r="AI1811" s="5" t="inlineStr"/>
      <c r="AJ1811" s="5" t="inlineStr"/>
    </row>
    <row r="1812">
      <c r="A1812" s="5" t="inlineStr">
        <is>
          <t>b6-anneannenin-sandalyesi</t>
        </is>
      </c>
      <c r="B1812" s="5" t="n">
        <v>1</v>
      </c>
      <c r="C1812" s="6" t="inlineStr">
        <is>
          <t>Kapıda dur, ayakkabıları diz</t>
        </is>
      </c>
      <c r="D1812" s="5" t="inlineStr"/>
      <c r="E1812" s="5" t="inlineStr"/>
      <c r="F1812" s="5" t="inlineStr">
        <is>
          <t>Dayanıklılık +1, İtibar +1</t>
        </is>
      </c>
      <c r="G1812" s="6" t="inlineStr">
        <is>
          <t>Üç gün kapıda durdun, iki yüz çift ayakkabı dizdin; birini bile karıştırmadın. Son gece herkes gidince annen tepsiyi elinden aldı: “Otur artık.” Oturdun; o zaman ağladın.</t>
        </is>
      </c>
      <c r="H1812" s="6" t="inlineStr"/>
      <c r="I1812" s="6" t="inlineStr"/>
      <c r="J1812" s="6" t="inlineStr"/>
      <c r="K1812" s="6" t="inlineStr"/>
      <c r="L1812" s="6" t="inlineStr"/>
      <c r="M1812" s="5" t="inlineStr"/>
      <c r="N1812" s="5" t="inlineStr"/>
      <c r="O1812" s="6" t="inlineStr"/>
      <c r="P1812" s="6" t="inlineStr"/>
      <c r="Q1812" s="5" t="inlineStr"/>
      <c r="R1812" s="5" t="inlineStr"/>
      <c r="S1812" s="5" t="inlineStr"/>
      <c r="T1812" s="5" t="inlineStr"/>
      <c r="U1812" s="5" t="inlineStr">
        <is>
          <t>anneanne-ugurladi</t>
        </is>
      </c>
      <c r="V1812" s="5" t="inlineStr"/>
      <c r="W1812" s="5" t="inlineStr"/>
      <c r="X1812" s="5" t="inlineStr"/>
      <c r="Y1812" s="5" t="inlineStr"/>
      <c r="Z1812" s="6" t="inlineStr"/>
      <c r="AA1812" s="5" t="inlineStr"/>
      <c r="AB1812" s="5" t="inlineStr"/>
      <c r="AC1812" s="5" t="inlineStr"/>
      <c r="AD1812" s="5" t="inlineStr"/>
      <c r="AE1812" s="5" t="inlineStr"/>
      <c r="AF1812" s="5" t="inlineStr"/>
      <c r="AG1812" s="5" t="inlineStr"/>
      <c r="AH1812" s="5" t="inlineStr"/>
      <c r="AI1812" s="5" t="inlineStr"/>
      <c r="AJ1812" s="5" t="inlineStr"/>
    </row>
    <row r="1813">
      <c r="A1813" s="5" t="inlineStr">
        <is>
          <t>b6-anneannenin-sandalyesi</t>
        </is>
      </c>
      <c r="B1813" s="5" t="n">
        <v>2</v>
      </c>
      <c r="C1813" s="6" t="inlineStr">
        <is>
          <t>Annenin yanına otur, sus</t>
        </is>
      </c>
      <c r="D1813" s="5" t="inlineStr">
        <is>
          <t>Gönül</t>
        </is>
      </c>
      <c r="E1813" s="5" t="inlineStr">
        <is>
          <t>Orta</t>
        </is>
      </c>
      <c r="F1813" s="5" t="inlineStr"/>
      <c r="G1813" s="6" t="inlineStr"/>
      <c r="H1813" s="6" t="inlineStr">
        <is>
          <t>Yanına oturdun. Annen çayını sana uzattı, sonra bir dakikalığına başını omzuna yasladı. Ertesi sabah anneannenin yüzüğünü avucuna koydu: “Bu sende dursun.”</t>
        </is>
      </c>
      <c r="I1813" s="6" t="inlineStr">
        <is>
          <t>Yanına oturdun, bir şey demedin. Gece yarısı annen anneannenin gençliğini anlatmaya başladı: bir düğünde, damadın üstüne ayran döken utangaç bir kız. Sabaha kadar sürdü; bir ara ikiniz de güldünüz.</t>
        </is>
      </c>
      <c r="J1813" s="6" t="inlineStr">
        <is>
          <t>“En azından uzun yaşadı” dedin. Annen “Bana kısa geldi” dedi ve kalkıp mutfağa gitti. Bir daha teselli cümlesi kurmadın.</t>
        </is>
      </c>
      <c r="K1813" s="6" t="inlineStr">
        <is>
          <t>Yanına oturdun, telefonun çaldı. Zil sesi, anneannenin sana öğrettiği oyun havasıydı. Bütün oda dondu. Sonra annen gülmeye başladı, sonra ağlamaya.</t>
        </is>
      </c>
      <c r="L1813" s="6" t="inlineStr"/>
      <c r="M1813" s="5" t="inlineStr"/>
      <c r="N1813" s="5" t="inlineStr"/>
      <c r="O1813" s="6" t="inlineStr"/>
      <c r="P1813" s="6" t="inlineStr"/>
      <c r="Q1813" s="5" t="inlineStr"/>
      <c r="R1813" s="5" t="inlineStr"/>
      <c r="S1813" s="5" t="inlineStr"/>
      <c r="T1813" s="5" t="inlineStr"/>
      <c r="U1813" s="5" t="inlineStr">
        <is>
          <t>anneanne-ugurladi</t>
        </is>
      </c>
      <c r="V1813" s="5" t="inlineStr"/>
      <c r="W1813" s="5" t="inlineStr"/>
      <c r="X1813" s="5" t="inlineStr"/>
      <c r="Y1813" s="5" t="inlineStr"/>
      <c r="Z1813" s="6" t="inlineStr"/>
      <c r="AA1813" s="5" t="inlineStr"/>
      <c r="AB1813" s="5" t="inlineStr"/>
      <c r="AC1813" s="5" t="inlineStr"/>
      <c r="AD1813" s="5" t="inlineStr"/>
      <c r="AE1813" s="5" t="inlineStr"/>
      <c r="AF1813" s="5" t="inlineStr"/>
      <c r="AG1813" s="5" t="inlineStr"/>
      <c r="AH1813" s="5" t="inlineStr"/>
      <c r="AI1813" s="5" t="inlineStr"/>
      <c r="AJ1813" s="5" t="inlineStr"/>
    </row>
    <row r="1814">
      <c r="A1814" s="5" t="inlineStr">
        <is>
          <t>b6-anneannenin-sandalyesi</t>
        </is>
      </c>
      <c r="B1814" s="5" t="n">
        <v>3</v>
      </c>
      <c r="C1814" s="6" t="inlineStr">
        <is>
          <t>“Ev kimde kalacak?” lafını kes</t>
        </is>
      </c>
      <c r="D1814" s="5" t="inlineStr">
        <is>
          <t>Sosyal Radar</t>
        </is>
      </c>
      <c r="E1814" s="5" t="inlineStr">
        <is>
          <t>Zor</t>
        </is>
      </c>
      <c r="F1814" s="5" t="inlineStr"/>
      <c r="G1814" s="6" t="inlineStr"/>
      <c r="H1814" s="6" t="inlineStr">
        <is>
          <t>Konuyu anneannenin bahçedeki erik ağacına çevirdin. Herkesin bir erik anısı çıktı; ev o akşam unutuldu.</t>
        </is>
      </c>
      <c r="I1814" s="6" t="inlineStr">
        <is>
          <t>Lafı tam zamanında kestin: “Anneannem bu masada kavga istemezdi.” Dayınla teyzen aynı anda sustu, sonra aynı anda sana çay koydu. Ev konusu bir yıl ertelendi; bu ailede bu, barış demek.</t>
        </is>
      </c>
      <c r="J1814" s="6" t="inlineStr">
        <is>
          <t>Araya girdin; kimse duymadı. Ev konuşması mutfağa taşındı. Annen salonda, sesler duyulmasın diye bardakları daha sesli topladı.</t>
        </is>
      </c>
      <c r="K1814" s="6" t="inlineStr">
        <is>
          <t>“Satın evi, olsun bitsin” dedin. Bütün salon sana döndü. Annen o akşam sana çay koymadı; ilk kez.</t>
        </is>
      </c>
      <c r="L1814" s="6" t="inlineStr"/>
      <c r="M1814" s="5" t="inlineStr"/>
      <c r="N1814" s="5" t="inlineStr"/>
      <c r="O1814" s="6" t="inlineStr"/>
      <c r="P1814" s="6" t="inlineStr"/>
      <c r="Q1814" s="5" t="inlineStr"/>
      <c r="R1814" s="5" t="inlineStr"/>
      <c r="S1814" s="5" t="inlineStr"/>
      <c r="T1814" s="5" t="inlineStr"/>
      <c r="U1814" s="5" t="inlineStr">
        <is>
          <t>anneanne-ugurladi</t>
        </is>
      </c>
      <c r="V1814" s="5" t="inlineStr"/>
      <c r="W1814" s="5" t="inlineStr"/>
      <c r="X1814" s="5" t="inlineStr"/>
      <c r="Y1814" s="5" t="inlineStr"/>
      <c r="Z1814" s="6" t="inlineStr"/>
      <c r="AA1814" s="5" t="inlineStr"/>
      <c r="AB1814" s="5" t="inlineStr"/>
      <c r="AC1814" s="5" t="inlineStr"/>
      <c r="AD1814" s="5" t="inlineStr"/>
      <c r="AE1814" s="5" t="inlineStr"/>
      <c r="AF1814" s="5" t="inlineStr"/>
      <c r="AG1814" s="5" t="inlineStr"/>
      <c r="AH1814" s="5" t="inlineStr"/>
      <c r="AI1814" s="5" t="inlineStr"/>
      <c r="AJ1814" s="5" t="inlineStr"/>
    </row>
    <row r="1815">
      <c r="A1815" s="5" t="inlineStr">
        <is>
          <t>b7-bebegin-adi</t>
        </is>
      </c>
      <c r="B1815" s="5" t="n">
        <v>1</v>
      </c>
      <c r="C1815" s="6" t="inlineStr">
        <is>
          <t>Bebeğe bak, adı eşin koysun</t>
        </is>
      </c>
      <c r="D1815" s="5" t="inlineStr"/>
      <c r="E1815" s="5" t="inlineStr"/>
      <c r="F1815" s="5" t="inlineStr">
        <is>
          <t>Gönül +1</t>
        </is>
      </c>
      <c r="G1815" s="6" t="inlineStr">
        <is>
          <t>Bebeğe baktın, sonra eşine: “Sen koy.” Eşin listedeki ilk adı söyledi. Babaanne bir an sustu, sonra torununu öptü ve konuyu bir daha hiç açmadı.</t>
        </is>
      </c>
      <c r="H1815" s="6" t="inlineStr"/>
      <c r="I1815" s="6" t="inlineStr"/>
      <c r="J1815" s="6" t="inlineStr"/>
      <c r="K1815" s="6" t="inlineStr"/>
      <c r="L1815" s="6" t="inlineStr"/>
      <c r="M1815" s="5" t="inlineStr"/>
      <c r="N1815" s="5" t="inlineStr"/>
      <c r="O1815" s="6" t="inlineStr"/>
      <c r="P1815" s="6" t="inlineStr"/>
      <c r="Q1815" s="5" t="inlineStr"/>
      <c r="R1815" s="5" t="inlineStr"/>
      <c r="S1815" s="5" t="inlineStr"/>
      <c r="T1815" s="5" t="inlineStr"/>
      <c r="U1815" s="5" t="inlineStr"/>
      <c r="V1815" s="5" t="inlineStr"/>
      <c r="W1815" s="5" t="inlineStr"/>
      <c r="X1815" s="5" t="inlineStr"/>
      <c r="Y1815" s="5" t="inlineStr"/>
      <c r="Z1815" s="6" t="inlineStr"/>
      <c r="AA1815" s="5" t="inlineStr"/>
      <c r="AB1815" s="5" t="inlineStr"/>
      <c r="AC1815" s="5" t="inlineStr"/>
      <c r="AD1815" s="5" t="inlineStr"/>
      <c r="AE1815" s="5" t="inlineStr"/>
      <c r="AF1815" s="5" t="inlineStr"/>
      <c r="AG1815" s="5" t="inlineStr"/>
      <c r="AH1815" s="5" t="inlineStr"/>
      <c r="AI1815" s="5" t="inlineStr"/>
      <c r="AJ1815" s="5" t="inlineStr"/>
    </row>
    <row r="1816">
      <c r="A1816" s="5" t="inlineStr">
        <is>
          <t>b7-bebegin-adi</t>
        </is>
      </c>
      <c r="B1816" s="5" t="n">
        <v>2</v>
      </c>
      <c r="C1816" s="6" t="inlineStr">
        <is>
          <t>İki büyüğün adını birleştir</t>
        </is>
      </c>
      <c r="D1816" s="5" t="inlineStr">
        <is>
          <t>Sosyal Radar</t>
        </is>
      </c>
      <c r="E1816" s="5" t="inlineStr">
        <is>
          <t>Orta</t>
        </is>
      </c>
      <c r="F1816" s="5" t="inlineStr"/>
      <c r="G1816" s="6" t="inlineStr"/>
      <c r="H1816" s="6" t="inlineStr">
        <is>
          <t>Biri ad, biri göbek adı oldu. Babaanne de anneanne de kendi koyduğu adı önce söylüyor; bebek ikisinin kucağında da uyuyor.</t>
        </is>
      </c>
      <c r="I1816" s="6" t="inlineStr">
        <is>
          <t>İki adı birleştirdin; babaanne de anneanne de aynı anda ağladı. İkisi de torununa adının yarısını kendisinin koyduğunu anlatıyor. İkisi de haklı.</t>
        </is>
      </c>
      <c r="J1816" s="6" t="inlineStr">
        <is>
          <t>İki adı yan yana koydun; kulağa bir ilaç adı gibi geldi. Eşin listeyi yeniden açtı.</t>
        </is>
      </c>
      <c r="K1816" s="6" t="inlineStr">
        <is>
          <t>Heyecandan nüfus kâğıdını sen doldurdun, iki adın harflerini birbirine kattın. Kimlikte kimsenin tanımadığı bir ad yazıyor. Babaanne torununa üç yıl yalnızca “Kuzum” dedi; başka çaresi yoktu.</t>
        </is>
      </c>
      <c r="L1816" s="6" t="inlineStr"/>
      <c r="M1816" s="5" t="inlineStr"/>
      <c r="N1816" s="5" t="inlineStr"/>
      <c r="O1816" s="6" t="inlineStr"/>
      <c r="P1816" s="6" t="inlineStr"/>
      <c r="Q1816" s="5" t="inlineStr"/>
      <c r="R1816" s="5" t="inlineStr"/>
      <c r="S1816" s="5" t="inlineStr"/>
      <c r="T1816" s="5" t="inlineStr"/>
      <c r="U1816" s="5" t="inlineStr"/>
      <c r="V1816" s="5" t="inlineStr"/>
      <c r="W1816" s="5" t="inlineStr"/>
      <c r="X1816" s="5" t="inlineStr"/>
      <c r="Y1816" s="5" t="inlineStr"/>
      <c r="Z1816" s="6" t="inlineStr"/>
      <c r="AA1816" s="5" t="inlineStr"/>
      <c r="AB1816" s="5" t="inlineStr"/>
      <c r="AC1816" s="5" t="inlineStr"/>
      <c r="AD1816" s="5" t="inlineStr"/>
      <c r="AE1816" s="5" t="inlineStr"/>
      <c r="AF1816" s="5" t="inlineStr"/>
      <c r="AG1816" s="5" t="inlineStr"/>
      <c r="AH1816" s="5" t="inlineStr"/>
      <c r="AI1816" s="5" t="inlineStr"/>
      <c r="AJ1816" s="5" t="inlineStr"/>
    </row>
    <row r="1817">
      <c r="A1817" s="5" t="inlineStr">
        <is>
          <t>b7-bebegin-adi</t>
        </is>
      </c>
      <c r="B1817" s="5" t="n">
        <v>3</v>
      </c>
      <c r="C1817" s="6" t="inlineStr">
        <is>
          <t>Kırk gün kapıyı kimseye açma</t>
        </is>
      </c>
      <c r="D1817" s="5" t="inlineStr">
        <is>
          <t>Cesaret</t>
        </is>
      </c>
      <c r="E1817" s="5" t="inlineStr">
        <is>
          <t>Zor</t>
        </is>
      </c>
      <c r="F1817" s="5" t="inlineStr"/>
      <c r="G1817" s="6" t="inlineStr"/>
      <c r="H1817" s="6" t="inlineStr">
        <is>
          <t>Kırk gün kapıyı yalnızca anneanneye açtın. Ev sessiz, bebek uykulu; eşin ilk kez dinlendi. Teyzeler bunu konuştu ama kapının dışında.</t>
        </is>
      </c>
      <c r="I1817" s="6" t="inlineStr">
        <is>
          <t>Kapıya bir not astın: “Kırkımız çıksın, sonra gelin.” Kırk gün kimse gelmedi. Kırk birinci gün bütün akrabalar aynı saatte geldi; ellerinde börek ve altın.</t>
        </is>
      </c>
      <c r="J1817" s="6" t="inlineStr">
        <is>
          <t>Üçüncü gün kayınvalide bir sürahi lohusa şerbetiyle geldi: “Ben misafir değilim.” Beşinci gün “Biz de misafir değiliz” diyen on iki kişi daha geldi.</t>
        </is>
      </c>
      <c r="K1817" s="6" t="inlineStr">
        <is>
          <t>Halanı kapıdan çevirdin. Halan altını kapının koluna bağlayıp merdivenlerden indi. Her bayram anlatıyor: “Yeğenimin bebeğini kapı kolundan sevdim.”</t>
        </is>
      </c>
      <c r="L1817" s="6" t="inlineStr"/>
      <c r="M1817" s="5" t="inlineStr"/>
      <c r="N1817" s="5" t="inlineStr"/>
      <c r="O1817" s="6" t="inlineStr"/>
      <c r="P1817" s="6" t="inlineStr"/>
      <c r="Q1817" s="5" t="inlineStr"/>
      <c r="R1817" s="5" t="inlineStr"/>
      <c r="S1817" s="5" t="inlineStr"/>
      <c r="T1817" s="5" t="inlineStr"/>
      <c r="U1817" s="5" t="inlineStr"/>
      <c r="V1817" s="5" t="inlineStr"/>
      <c r="W1817" s="5" t="inlineStr"/>
      <c r="X1817" s="5" t="inlineStr"/>
      <c r="Y1817" s="5" t="inlineStr"/>
      <c r="Z1817" s="6" t="inlineStr"/>
      <c r="AA1817" s="5" t="inlineStr"/>
      <c r="AB1817" s="5" t="inlineStr"/>
      <c r="AC1817" s="5" t="inlineStr"/>
      <c r="AD1817" s="5" t="inlineStr"/>
      <c r="AE1817" s="5" t="inlineStr"/>
      <c r="AF1817" s="5" t="inlineStr"/>
      <c r="AG1817" s="5" t="inlineStr"/>
      <c r="AH1817" s="5" t="inlineStr"/>
      <c r="AI1817" s="5" t="inlineStr"/>
      <c r="AJ1817" s="5" t="inlineStr"/>
    </row>
    <row r="1818">
      <c r="A1818" s="5" t="inlineStr">
        <is>
          <t>b7-okulun-ilk-gunu</t>
        </is>
      </c>
      <c r="B1818" s="5" t="n">
        <v>1</v>
      </c>
      <c r="C1818" s="6" t="inlineStr">
        <is>
          <t>Kapıda el salla, arkana bakmadan yürü</t>
        </is>
      </c>
      <c r="D1818" s="5" t="inlineStr"/>
      <c r="E1818" s="5" t="inlineStr"/>
      <c r="F1818" s="5" t="inlineStr">
        <is>
          <t>Dayanıklılık +1</t>
        </is>
      </c>
      <c r="G1818" s="6" t="inlineStr">
        <is>
          <t>El salladın, yürüdün, köşeyi dönünce durdun. On dakika duvarın arkasından bahçeyi izledin. Çocuğun hiç ağlamadı; sen ağladın.</t>
        </is>
      </c>
      <c r="H1818" s="6" t="inlineStr"/>
      <c r="I1818" s="6" t="inlineStr"/>
      <c r="J1818" s="6" t="inlineStr"/>
      <c r="K1818" s="6" t="inlineStr"/>
      <c r="L1818" s="6" t="inlineStr"/>
      <c r="M1818" s="5" t="inlineStr"/>
      <c r="N1818" s="5" t="inlineStr"/>
      <c r="O1818" s="6" t="inlineStr"/>
      <c r="P1818" s="6" t="inlineStr"/>
      <c r="Q1818" s="5" t="inlineStr"/>
      <c r="R1818" s="5" t="inlineStr"/>
      <c r="S1818" s="5" t="inlineStr"/>
      <c r="T1818" s="5" t="inlineStr"/>
      <c r="U1818" s="5" t="inlineStr"/>
      <c r="V1818" s="5" t="inlineStr"/>
      <c r="W1818" s="5" t="inlineStr"/>
      <c r="X1818" s="5" t="inlineStr"/>
      <c r="Y1818" s="5" t="inlineStr"/>
      <c r="Z1818" s="6" t="inlineStr"/>
      <c r="AA1818" s="5" t="inlineStr"/>
      <c r="AB1818" s="5" t="inlineStr"/>
      <c r="AC1818" s="5" t="inlineStr"/>
      <c r="AD1818" s="5" t="inlineStr"/>
      <c r="AE1818" s="5" t="inlineStr"/>
      <c r="AF1818" s="5" t="inlineStr"/>
      <c r="AG1818" s="5" t="inlineStr"/>
      <c r="AH1818" s="5" t="inlineStr"/>
      <c r="AI1818" s="5" t="inlineStr"/>
      <c r="AJ1818" s="5" t="inlineStr"/>
    </row>
    <row r="1819">
      <c r="A1819" s="5" t="inlineStr">
        <is>
          <t>b7-okulun-ilk-gunu</t>
        </is>
      </c>
      <c r="B1819" s="5" t="n">
        <v>2</v>
      </c>
      <c r="C1819" s="6" t="inlineStr">
        <is>
          <t>Beslenme çantasına gizli bir not koy</t>
        </is>
      </c>
      <c r="D1819" s="5" t="inlineStr">
        <is>
          <t>Gönül</t>
        </is>
      </c>
      <c r="E1819" s="5" t="inlineStr">
        <is>
          <t>Kolay</t>
        </is>
      </c>
      <c r="F1819" s="5" t="inlineStr"/>
      <c r="G1819" s="6" t="inlineStr"/>
      <c r="H1819" s="6" t="inlineStr">
        <is>
          <t>Elmaların arasına bir kalp çizip koydun. Akşam çanta boş döndü; not dörde katlanmış, önlüğün cebinde. Hâlâ duruyor.</t>
        </is>
      </c>
      <c r="I1819" s="6" t="inlineStr">
        <is>
          <t>Notu teneffüste buldu, bütün sınıfa gösterdi. Ertesi gün sınıfın yarısının çantasında not vardı; veliler sana “Fikir kimden?” diye yazdı.</t>
        </is>
      </c>
      <c r="J1819" s="6" t="inlineStr">
        <is>
          <t>Notu koydun; çocuk okumayı daha bilmiyormuş. Kalbi domates sandı, sıra arkadaşına verdi.</t>
        </is>
      </c>
      <c r="K1819" s="6" t="inlineStr">
        <is>
          <t>Notu ayranın yanına koydun; ayranın kapağı açıldı, not ayranda yüzdü. Öğretmen çantayı teneffüste lavaboda yıkadı. Veli grubuna ilk mesaj öğretmenden geldi: “Sevgili veliler, ayranları lütfen ayrı poşete.” Kim için yazıldığını herkes bildi.</t>
        </is>
      </c>
      <c r="L1819" s="6" t="inlineStr"/>
      <c r="M1819" s="5" t="inlineStr"/>
      <c r="N1819" s="5" t="inlineStr"/>
      <c r="O1819" s="6" t="inlineStr"/>
      <c r="P1819" s="6" t="inlineStr"/>
      <c r="Q1819" s="5" t="inlineStr"/>
      <c r="R1819" s="5" t="inlineStr"/>
      <c r="S1819" s="5" t="inlineStr"/>
      <c r="T1819" s="5" t="inlineStr"/>
      <c r="U1819" s="5" t="inlineStr"/>
      <c r="V1819" s="5" t="inlineStr"/>
      <c r="W1819" s="5" t="inlineStr"/>
      <c r="X1819" s="5" t="inlineStr"/>
      <c r="Y1819" s="5" t="inlineStr"/>
      <c r="Z1819" s="6" t="inlineStr"/>
      <c r="AA1819" s="5" t="inlineStr"/>
      <c r="AB1819" s="5" t="inlineStr"/>
      <c r="AC1819" s="5" t="inlineStr"/>
      <c r="AD1819" s="5" t="inlineStr"/>
      <c r="AE1819" s="5" t="inlineStr"/>
      <c r="AF1819" s="5" t="inlineStr"/>
      <c r="AG1819" s="5" t="inlineStr"/>
      <c r="AH1819" s="5" t="inlineStr"/>
      <c r="AI1819" s="5" t="inlineStr"/>
      <c r="AJ1819" s="5" t="inlineStr"/>
    </row>
    <row r="1820">
      <c r="A1820" s="5" t="inlineStr">
        <is>
          <t>b7-okulun-ilk-gunu</t>
        </is>
      </c>
      <c r="B1820" s="5" t="n">
        <v>3</v>
      </c>
      <c r="C1820" s="6" t="inlineStr">
        <is>
          <t>Teneffüse kadar bahçe parmaklığında bekle</t>
        </is>
      </c>
      <c r="D1820" s="5" t="inlineStr">
        <is>
          <t>Dayanıklılık</t>
        </is>
      </c>
      <c r="E1820" s="5" t="inlineStr">
        <is>
          <t>Orta</t>
        </is>
      </c>
      <c r="F1820" s="5" t="inlineStr"/>
      <c r="G1820" s="6" t="inlineStr"/>
      <c r="H1820" s="6" t="inlineStr">
        <is>
          <t>İki ders boyunca parmaklıkta durdun. Teneffüste çocuğun seni gördü, gülümsedi ve yanına hiç gelmedi. İkiniz de doğrusunu yaptınız.</t>
        </is>
      </c>
      <c r="I1820" s="6" t="inlineStr">
        <is>
          <t>Teneffüste çocuğun koşarak geldi, parmaklıktan yarım bir kurabiye uzattı, sonra arkadaşlarına döndü. Yarısını sana ayırmıştı.</t>
        </is>
      </c>
      <c r="J1820" s="6" t="inlineStr">
        <is>
          <t>Parmaklıkta yalnız değildin; kırk veli daha vardı. Müdür megafonla çıktı: “Velilerimiz, çocuklar sizi gördükçe ağlıyor, lütfen evinize.” Kırk veli aynı anda, ağlayarak yürüdü.</t>
        </is>
      </c>
      <c r="K1820" s="6" t="inlineStr">
        <is>
          <t>Parmaklıktan adını seslendin. Çocuğun seni görünce ağladı, sonra bütün sınıf ağladı. Öğretmen seni de sınıfa aldı; çocuklar susana kadar birinci sınıftaydın.</t>
        </is>
      </c>
      <c r="L1820" s="6" t="inlineStr"/>
      <c r="M1820" s="5" t="inlineStr"/>
      <c r="N1820" s="5" t="inlineStr"/>
      <c r="O1820" s="6" t="inlineStr"/>
      <c r="P1820" s="6" t="inlineStr"/>
      <c r="Q1820" s="5" t="inlineStr"/>
      <c r="R1820" s="5" t="inlineStr"/>
      <c r="S1820" s="5" t="inlineStr"/>
      <c r="T1820" s="5" t="inlineStr"/>
      <c r="U1820" s="5" t="inlineStr"/>
      <c r="V1820" s="5" t="inlineStr"/>
      <c r="W1820" s="5" t="inlineStr"/>
      <c r="X1820" s="5" t="inlineStr"/>
      <c r="Y1820" s="5" t="inlineStr"/>
      <c r="Z1820" s="6" t="inlineStr"/>
      <c r="AA1820" s="5" t="inlineStr"/>
      <c r="AB1820" s="5" t="inlineStr"/>
      <c r="AC1820" s="5" t="inlineStr"/>
      <c r="AD1820" s="5" t="inlineStr"/>
      <c r="AE1820" s="5" t="inlineStr"/>
      <c r="AF1820" s="5" t="inlineStr"/>
      <c r="AG1820" s="5" t="inlineStr"/>
      <c r="AH1820" s="5" t="inlineStr"/>
      <c r="AI1820" s="5" t="inlineStr"/>
      <c r="AJ1820" s="5" t="inlineStr"/>
    </row>
    <row r="1821">
      <c r="A1821" s="5" t="inlineStr">
        <is>
          <t>b7-okulun-ilk-gunu</t>
        </is>
      </c>
      <c r="B1821" s="5" t="n">
        <v>4</v>
      </c>
      <c r="C1821" s="6" t="inlineStr">
        <is>
          <t>Öğretmenle hemen tanış, çocuğunu anlat</t>
        </is>
      </c>
      <c r="D1821" s="5" t="inlineStr">
        <is>
          <t>Çene</t>
        </is>
      </c>
      <c r="E1821" s="5" t="inlineStr">
        <is>
          <t>Orta</t>
        </is>
      </c>
      <c r="F1821" s="5" t="inlineStr"/>
      <c r="G1821" s="6" t="inlineStr"/>
      <c r="H1821" s="6" t="inlineStr">
        <is>
          <t>Çocuğunun neyi sevip neden korktuğunu üç cümlede anlattın. Öğretmen gülümsedi: “Merak etmeyin, bende otuz tane var.”</t>
        </is>
      </c>
      <c r="I1821" s="6" t="inlineStr">
        <is>
          <t>Öğretmen seni dinledi, not aldı, çocuğunu ön sıraya oturttu. Akşam çocuğun eve girer girmez “Öğretmenim seni sevdi” dedi; kendinden önce.</t>
        </is>
      </c>
      <c r="J1821" s="6" t="inlineStr">
        <is>
          <t>Anlatmaya başladın; arkanda on veli sıraya girdi. Öğretmen “Veli toplantısında konuşalım” dedi. Toplantı ekimde.</t>
        </is>
      </c>
      <c r="K1821" s="6" t="inlineStr">
        <is>
          <t>Anlatırken telefondan fotoğrafını gösterdin; ekranda kuzeninin çocuğu vardı. Öğretmen bir ay boyunca çocuğuna kuzeninin adıyla seslendi.</t>
        </is>
      </c>
      <c r="L1821" s="6" t="inlineStr"/>
      <c r="M1821" s="5" t="inlineStr"/>
      <c r="N1821" s="5" t="inlineStr"/>
      <c r="O1821" s="6" t="inlineStr"/>
      <c r="P1821" s="6" t="inlineStr"/>
      <c r="Q1821" s="5" t="inlineStr"/>
      <c r="R1821" s="5" t="inlineStr"/>
      <c r="S1821" s="5" t="inlineStr"/>
      <c r="T1821" s="5" t="inlineStr"/>
      <c r="U1821" s="5" t="inlineStr"/>
      <c r="V1821" s="5" t="inlineStr"/>
      <c r="W1821" s="5" t="inlineStr"/>
      <c r="X1821" s="5" t="inlineStr"/>
      <c r="Y1821" s="5" t="inlineStr"/>
      <c r="Z1821" s="6" t="inlineStr"/>
      <c r="AA1821" s="5" t="inlineStr"/>
      <c r="AB1821" s="5" t="inlineStr"/>
      <c r="AC1821" s="5" t="inlineStr"/>
      <c r="AD1821" s="5" t="inlineStr"/>
      <c r="AE1821" s="5" t="inlineStr"/>
      <c r="AF1821" s="5" t="inlineStr"/>
      <c r="AG1821" s="5" t="inlineStr"/>
      <c r="AH1821" s="5" t="inlineStr"/>
      <c r="AI1821" s="5" t="inlineStr"/>
      <c r="AJ1821" s="5" t="inlineStr"/>
    </row>
    <row r="1822">
      <c r="A1822" s="5" t="inlineStr">
        <is>
          <t>b8-taki-sirasi</t>
        </is>
      </c>
      <c r="B1822" s="5" t="n">
        <v>1</v>
      </c>
      <c r="C1822" s="6" t="inlineStr">
        <is>
          <t>Çeyreği tak, geç</t>
        </is>
      </c>
      <c r="D1822" s="5" t="inlineStr"/>
      <c r="E1822" s="5" t="inlineStr"/>
      <c r="F1822" s="5" t="inlineStr">
        <is>
          <t>İtibar +1</t>
        </is>
      </c>
      <c r="G1822" s="6" t="inlineStr">
        <is>
          <t>Çeyreği damadın yakasına iğneledin. Amca mikrofona “Bir çeyrek!” dedi; kimse kaşını kaldırmadı. Annen arkadan fısıldadı: “Tamam, yeterli.”</t>
        </is>
      </c>
      <c r="H1822" s="6" t="inlineStr"/>
      <c r="I1822" s="6" t="inlineStr"/>
      <c r="J1822" s="6" t="inlineStr"/>
      <c r="K1822" s="6" t="inlineStr"/>
      <c r="L1822" s="6" t="inlineStr"/>
      <c r="M1822" s="5" t="inlineStr"/>
      <c r="N1822" s="5" t="inlineStr"/>
      <c r="O1822" s="6" t="inlineStr"/>
      <c r="P1822" s="6" t="inlineStr"/>
      <c r="Q1822" s="5" t="inlineStr"/>
      <c r="R1822" s="5" t="inlineStr"/>
      <c r="S1822" s="5" t="inlineStr"/>
      <c r="T1822" s="5" t="inlineStr"/>
      <c r="U1822" s="5" t="inlineStr"/>
      <c r="V1822" s="5" t="inlineStr"/>
      <c r="W1822" s="5" t="inlineStr"/>
      <c r="X1822" s="5" t="inlineStr"/>
      <c r="Y1822" s="5" t="inlineStr"/>
      <c r="Z1822" s="6" t="inlineStr"/>
      <c r="AA1822" s="5" t="inlineStr"/>
      <c r="AB1822" s="5" t="inlineStr"/>
      <c r="AC1822" s="5" t="inlineStr"/>
      <c r="AD1822" s="5" t="inlineStr"/>
      <c r="AE1822" s="5" t="inlineStr"/>
      <c r="AF1822" s="5" t="inlineStr"/>
      <c r="AG1822" s="5" t="inlineStr"/>
      <c r="AH1822" s="5" t="inlineStr"/>
      <c r="AI1822" s="5" t="inlineStr"/>
      <c r="AJ1822" s="5" t="inlineStr"/>
    </row>
    <row r="1823">
      <c r="A1823" s="5" t="inlineStr">
        <is>
          <t>b8-taki-sirasi</t>
        </is>
      </c>
      <c r="B1823" s="5" t="n">
        <v>2</v>
      </c>
      <c r="C1823" s="6" t="inlineStr">
        <is>
          <t>Zarfı ver, anons ettirme</t>
        </is>
      </c>
      <c r="D1823" s="5" t="inlineStr">
        <is>
          <t>Kurnazlık</t>
        </is>
      </c>
      <c r="E1823" s="5" t="inlineStr">
        <is>
          <t>Kolay</t>
        </is>
      </c>
      <c r="F1823" s="5" t="inlineStr"/>
      <c r="G1823" s="6" t="inlineStr"/>
      <c r="H1823" s="6" t="inlineStr">
        <is>
          <t>Zarfı verdin, amcaya göz kırptın; amca “Bir zarf!” deyip geçti. Kimse saymadı, sen de söylemedin.</t>
        </is>
      </c>
      <c r="I1823" s="6" t="inlineStr">
        <is>
          <t>Zarfı damadın cebine sessizce koydun. Amca anons edemedi; bütün salon zarfın kalınlığını konuştu. Düğünün en cömerdi sen oldun, kimse emin olmadan.</t>
        </is>
      </c>
      <c r="J1823" s="6" t="inlineStr">
        <is>
          <t>Zarfı verdin; amca zarfı mikrofona yaklaştırıp “Bir zarf, ince!” dedi. Salon güldü.</t>
        </is>
      </c>
      <c r="K1823" s="6" t="inlineStr">
        <is>
          <t>Zarfı verdin; damadın annesi oracıkta açtı. İçinden düğün davetiyesi çıktı. Paranın olduğu zarf hâlâ ceketinin cebinde.</t>
        </is>
      </c>
      <c r="L1823" s="6" t="inlineStr"/>
      <c r="M1823" s="5" t="inlineStr"/>
      <c r="N1823" s="5" t="inlineStr"/>
      <c r="O1823" s="6" t="inlineStr"/>
      <c r="P1823" s="6" t="inlineStr"/>
      <c r="Q1823" s="5" t="inlineStr"/>
      <c r="R1823" s="5" t="inlineStr"/>
      <c r="S1823" s="5" t="inlineStr"/>
      <c r="T1823" s="5" t="inlineStr"/>
      <c r="U1823" s="5" t="inlineStr"/>
      <c r="V1823" s="5" t="inlineStr"/>
      <c r="W1823" s="5" t="inlineStr"/>
      <c r="X1823" s="5" t="inlineStr"/>
      <c r="Y1823" s="5" t="inlineStr"/>
      <c r="Z1823" s="6" t="inlineStr"/>
      <c r="AA1823" s="5" t="inlineStr"/>
      <c r="AB1823" s="5" t="inlineStr"/>
      <c r="AC1823" s="5" t="inlineStr"/>
      <c r="AD1823" s="5" t="inlineStr"/>
      <c r="AE1823" s="5" t="inlineStr"/>
      <c r="AF1823" s="5" t="inlineStr"/>
      <c r="AG1823" s="5" t="inlineStr"/>
      <c r="AH1823" s="5" t="inlineStr"/>
      <c r="AI1823" s="5" t="inlineStr"/>
      <c r="AJ1823" s="5" t="inlineStr"/>
    </row>
    <row r="1824">
      <c r="A1824" s="5" t="inlineStr">
        <is>
          <t>b8-taki-sirasi</t>
        </is>
      </c>
      <c r="B1824" s="5" t="n">
        <v>3</v>
      </c>
      <c r="C1824" s="6" t="inlineStr">
        <is>
          <t>Mikrofonu al, büyük tak</t>
        </is>
      </c>
      <c r="D1824" s="5" t="inlineStr">
        <is>
          <t>Pişkinlik</t>
        </is>
      </c>
      <c r="E1824" s="5" t="inlineStr">
        <is>
          <t>Orta</t>
        </is>
      </c>
      <c r="F1824" s="5" t="inlineStr"/>
      <c r="G1824" s="6" t="inlineStr"/>
      <c r="H1824" s="6" t="inlineStr">
        <is>
          <t>“Bizden iki bilezik!” dedin, salon alkışladı. Teyzen ertesi gün herkese anlattı; bileziklerin sayısı her anlatışta arttı.</t>
        </is>
      </c>
      <c r="I1824" s="6" t="inlineStr">
        <is>
          <t>Mikrofonu alıp “Bizden de bir tam altın!” dedin. Salon ayağa kalktı, davul iki kez vurdu. Gelin gelip elini öptü.</t>
        </is>
      </c>
      <c r="J1824" s="6" t="inlineStr">
        <is>
          <t>Mikrofonu aldın, cızırdadı. Kimse ne taktığını duymadı; amca “Bir şey!” diye anons etti.</t>
        </is>
      </c>
      <c r="K1824" s="6" t="inlineStr">
        <is>
          <t>Mikrofona “Bizden bir bilezik!” dedin; bileziği evde unutmuşsun. Salon bekledi, davul bekledi. Sonunda kolundaki saati çıkarıp taktın.</t>
        </is>
      </c>
      <c r="L1824" s="6" t="inlineStr"/>
      <c r="M1824" s="5" t="inlineStr"/>
      <c r="N1824" s="5" t="inlineStr"/>
      <c r="O1824" s="6" t="inlineStr"/>
      <c r="P1824" s="6" t="inlineStr"/>
      <c r="Q1824" s="5" t="inlineStr"/>
      <c r="R1824" s="5" t="inlineStr"/>
      <c r="S1824" s="5" t="inlineStr"/>
      <c r="T1824" s="5" t="inlineStr"/>
      <c r="U1824" s="5" t="inlineStr"/>
      <c r="V1824" s="5" t="inlineStr"/>
      <c r="W1824" s="5" t="inlineStr"/>
      <c r="X1824" s="5" t="inlineStr"/>
      <c r="Y1824" s="5" t="inlineStr"/>
      <c r="Z1824" s="6" t="inlineStr"/>
      <c r="AA1824" s="5" t="inlineStr"/>
      <c r="AB1824" s="5" t="inlineStr"/>
      <c r="AC1824" s="5" t="inlineStr">
        <is>
          <t>Rahat</t>
        </is>
      </c>
      <c r="AD1824" s="5" t="inlineStr"/>
      <c r="AE1824" s="5" t="inlineStr"/>
      <c r="AF1824" s="5" t="inlineStr"/>
      <c r="AG1824" s="5" t="inlineStr"/>
      <c r="AH1824" s="5" t="inlineStr"/>
      <c r="AI1824" s="5" t="inlineStr"/>
      <c r="AJ1824" s="5" t="inlineStr"/>
    </row>
    <row r="1825">
      <c r="A1825" s="5" t="inlineStr">
        <is>
          <t>b8-taki-sirasi</t>
        </is>
      </c>
      <c r="B1825" s="5" t="n">
        <v>4</v>
      </c>
      <c r="C1825" s="6" t="inlineStr">
        <is>
          <t>Takı defterini aç, ne geldiyse onu tak</t>
        </is>
      </c>
      <c r="D1825" s="5" t="inlineStr">
        <is>
          <t>Akıl</t>
        </is>
      </c>
      <c r="E1825" s="5" t="inlineStr">
        <is>
          <t>Kolay</t>
        </is>
      </c>
      <c r="F1825" s="5" t="inlineStr"/>
      <c r="G1825" s="6" t="inlineStr"/>
      <c r="H1825" s="6" t="inlineStr">
        <is>
          <t>Defterine baktın: kuzenin senin düğününde bir çeyrek takmış. Bir çeyrek taktın. Hesap kapandı, kimse kırılmadı.</t>
        </is>
      </c>
      <c r="I1825" s="6" t="inlineStr">
        <is>
          <t>Defterde kuzeninin senin düğününe bilezik taktığını gördün; sen de bilezik taktın. Masada “Bunlar hesap biliyor” diye bir saygı oluştu.</t>
        </is>
      </c>
      <c r="J1825" s="6" t="inlineStr">
        <is>
          <t>Defteri evde unuttun, ezbere bir çeyrek taktın. Akşam defteri açtın: kuzenin senin düğününde bilezik takmış. Gece kuzenine “Bir şey unuttuk” diye yazdın; cevap gelmedi, “görüldü” geldi.</t>
        </is>
      </c>
      <c r="K1825" s="6" t="inlineStr">
        <is>
          <t>Defteri düğüne getirip masada açtın. Kuzenin gördü: “Bizi de mi yazdın?” Bütün masa kendi sayfasını sordu.</t>
        </is>
      </c>
      <c r="L1825" s="6" t="inlineStr"/>
      <c r="M1825" s="5" t="inlineStr"/>
      <c r="N1825" s="5" t="inlineStr"/>
      <c r="O1825" s="6" t="inlineStr"/>
      <c r="P1825" s="6" t="inlineStr"/>
      <c r="Q1825" s="5" t="inlineStr"/>
      <c r="R1825" s="5" t="inlineStr">
        <is>
          <t>taki-defteri</t>
        </is>
      </c>
      <c r="S1825" s="5" t="inlineStr"/>
      <c r="T1825" s="5" t="inlineStr"/>
      <c r="U1825" s="5" t="inlineStr"/>
      <c r="V1825" s="5" t="inlineStr"/>
      <c r="W1825" s="5" t="inlineStr"/>
      <c r="X1825" s="5" t="inlineStr"/>
      <c r="Y1825" s="5" t="inlineStr"/>
      <c r="Z1825" s="6" t="inlineStr"/>
      <c r="AA1825" s="5" t="inlineStr"/>
      <c r="AB1825" s="5" t="inlineStr"/>
      <c r="AC1825" s="5" t="inlineStr"/>
      <c r="AD1825" s="5" t="inlineStr"/>
      <c r="AE1825" s="5" t="inlineStr"/>
      <c r="AF1825" s="5" t="inlineStr"/>
      <c r="AG1825" s="5" t="inlineStr"/>
      <c r="AH1825" s="5" t="inlineStr"/>
      <c r="AI1825" s="5" t="inlineStr"/>
      <c r="AJ1825" s="5" t="inlineStr"/>
    </row>
    <row r="1826">
      <c r="A1826" s="5" t="inlineStr">
        <is>
          <t>b8-babanin-evi</t>
        </is>
      </c>
      <c r="B1826" s="5" t="n">
        <v>1</v>
      </c>
      <c r="C1826" s="6" t="inlineStr">
        <is>
          <t>Ceketi al, gerisini kardeşlere bırak</t>
        </is>
      </c>
      <c r="D1826" s="5" t="inlineStr"/>
      <c r="E1826" s="5" t="inlineStr"/>
      <c r="F1826" s="5" t="inlineStr">
        <is>
          <t>Gönül +1, İtibar +1</t>
        </is>
      </c>
      <c r="G1826" s="6" t="inlineStr">
        <is>
          <t>Ceketi giydin; kolları kısa, omuzları geniş. Kardeşin “Tıpkı o” dedi. İkiniz de mutfağa kaçıp ağladınız; annen duymamış gibi yaptı.</t>
        </is>
      </c>
      <c r="H1826" s="6" t="inlineStr"/>
      <c r="I1826" s="6" t="inlineStr"/>
      <c r="J1826" s="6" t="inlineStr"/>
      <c r="K1826" s="6" t="inlineStr"/>
      <c r="L1826" s="6" t="inlineStr"/>
      <c r="M1826" s="5" t="inlineStr"/>
      <c r="N1826" s="5" t="inlineStr"/>
      <c r="O1826" s="6" t="inlineStr"/>
      <c r="P1826" s="6" t="inlineStr"/>
      <c r="Q1826" s="5" t="inlineStr"/>
      <c r="R1826" s="5" t="inlineStr"/>
      <c r="S1826" s="5" t="inlineStr"/>
      <c r="T1826" s="5" t="inlineStr"/>
      <c r="U1826" s="5" t="inlineStr">
        <is>
          <t>babanin-ceketi</t>
        </is>
      </c>
      <c r="V1826" s="5" t="inlineStr"/>
      <c r="W1826" s="5" t="inlineStr"/>
      <c r="X1826" s="5" t="inlineStr"/>
      <c r="Y1826" s="5" t="inlineStr"/>
      <c r="Z1826" s="6" t="inlineStr"/>
      <c r="AA1826" s="5" t="inlineStr"/>
      <c r="AB1826" s="5" t="inlineStr"/>
      <c r="AC1826" s="5" t="inlineStr"/>
      <c r="AD1826" s="5" t="inlineStr"/>
      <c r="AE1826" s="5" t="inlineStr"/>
      <c r="AF1826" s="5" t="inlineStr"/>
      <c r="AG1826" s="5" t="inlineStr"/>
      <c r="AH1826" s="5" t="inlineStr"/>
      <c r="AI1826" s="5" t="inlineStr"/>
      <c r="AJ1826" s="5" t="inlineStr"/>
    </row>
    <row r="1827">
      <c r="A1827" s="5" t="inlineStr">
        <is>
          <t>b8-babanin-evi</t>
        </is>
      </c>
      <c r="B1827" s="5" t="n">
        <v>2</v>
      </c>
      <c r="C1827" s="6" t="inlineStr">
        <is>
          <t>Eşyaları adil paylaştır</t>
        </is>
      </c>
      <c r="D1827" s="5" t="inlineStr">
        <is>
          <t>Sosyal Radar</t>
        </is>
      </c>
      <c r="E1827" s="5" t="inlineStr">
        <is>
          <t>Orta</t>
        </is>
      </c>
      <c r="F1827" s="5" t="inlineStr"/>
      <c r="G1827" s="6" t="inlineStr"/>
      <c r="H1827" s="6" t="inlineStr">
        <is>
          <t>Saat birine, radyo ötekine, ceket sana. Liste uzun sürdü ama bitti; kimse kapıyı çarpıp çıkmadı.</t>
        </is>
      </c>
      <c r="I1827" s="6" t="inlineStr">
        <is>
          <t>Herkes istediğini aldı, kimse kimseye kırılmadı. Akşam boş odada yere oturup babanın sevdiği türküyü açtınız; ilk kez hep birlikte güldünüz.</t>
        </is>
      </c>
      <c r="J1827" s="6" t="inlineStr">
        <is>
          <t>Paylaştırdın; herkes başkasının aldığını istedi. Dolap yine kapandı; kimse dokunmuyor.</t>
        </is>
      </c>
      <c r="K1827" s="6" t="inlineStr">
        <is>
          <t>“Bu da bende kalsın” deyip kristal şekerliği kaldırdın; elinden kaydı, kırıldı. O sırada halan içeri girdi: “O şekerliği baban bana söz vermişti.” Kırk yıllık bir küslük o gün başladı.</t>
        </is>
      </c>
      <c r="L1827" s="6" t="inlineStr"/>
      <c r="M1827" s="5" t="inlineStr"/>
      <c r="N1827" s="5" t="inlineStr"/>
      <c r="O1827" s="6" t="inlineStr"/>
      <c r="P1827" s="6" t="inlineStr"/>
      <c r="Q1827" s="5" t="inlineStr"/>
      <c r="R1827" s="5" t="inlineStr"/>
      <c r="S1827" s="5" t="inlineStr"/>
      <c r="T1827" s="5" t="inlineStr"/>
      <c r="U1827" s="5" t="inlineStr"/>
      <c r="V1827" s="5" t="inlineStr"/>
      <c r="W1827" s="5" t="inlineStr"/>
      <c r="X1827" s="5" t="inlineStr"/>
      <c r="Y1827" s="5" t="inlineStr"/>
      <c r="Z1827" s="6" t="inlineStr"/>
      <c r="AA1827" s="5" t="inlineStr"/>
      <c r="AB1827" s="5" t="inlineStr"/>
      <c r="AC1827" s="5" t="inlineStr"/>
      <c r="AD1827" s="5" t="inlineStr"/>
      <c r="AE1827" s="5" t="inlineStr"/>
      <c r="AF1827" s="5" t="inlineStr"/>
      <c r="AG1827" s="5" t="inlineStr"/>
      <c r="AH1827" s="5" t="inlineStr"/>
      <c r="AI1827" s="5" t="inlineStr"/>
      <c r="AJ1827" s="5" t="inlineStr"/>
    </row>
    <row r="1828">
      <c r="A1828" s="5" t="inlineStr">
        <is>
          <t>b8-babanin-evi</t>
        </is>
      </c>
      <c r="B1828" s="5" t="n">
        <v>3</v>
      </c>
      <c r="C1828" s="6" t="inlineStr">
        <is>
          <t>Telefonundaki sesli mesajları dinle</t>
        </is>
      </c>
      <c r="D1828" s="5" t="inlineStr"/>
      <c r="E1828" s="5" t="inlineStr"/>
      <c r="F1828" s="5" t="inlineStr">
        <is>
          <t>Dayanıklılık +1</t>
        </is>
      </c>
      <c r="G1828" s="6" t="inlineStr">
        <is>
          <t>Telefonunda babandan dört sesli mesaj var; dördünde de “Arayınca açsana” diyor. Hepsini dinledin. Sonuncusunu silemedin.</t>
        </is>
      </c>
      <c r="H1828" s="6" t="inlineStr"/>
      <c r="I1828" s="6" t="inlineStr"/>
      <c r="J1828" s="6" t="inlineStr"/>
      <c r="K1828" s="6" t="inlineStr"/>
      <c r="L1828" s="6" t="inlineStr"/>
      <c r="M1828" s="5" t="inlineStr"/>
      <c r="N1828" s="5" t="inlineStr"/>
      <c r="O1828" s="6" t="inlineStr"/>
      <c r="P1828" s="6" t="inlineStr"/>
      <c r="Q1828" s="5" t="inlineStr"/>
      <c r="R1828" s="5" t="inlineStr"/>
      <c r="S1828" s="5" t="inlineStr"/>
      <c r="T1828" s="5" t="inlineStr"/>
      <c r="U1828" s="5" t="inlineStr"/>
      <c r="V1828" s="5" t="inlineStr"/>
      <c r="W1828" s="5" t="inlineStr"/>
      <c r="X1828" s="5" t="inlineStr"/>
      <c r="Y1828" s="5" t="inlineStr"/>
      <c r="Z1828" s="6" t="inlineStr"/>
      <c r="AA1828" s="5" t="inlineStr"/>
      <c r="AB1828" s="5" t="inlineStr"/>
      <c r="AC1828" s="5" t="inlineStr"/>
      <c r="AD1828" s="5" t="inlineStr"/>
      <c r="AE1828" s="5" t="inlineStr"/>
      <c r="AF1828" s="5" t="inlineStr"/>
      <c r="AG1828" s="5" t="inlineStr"/>
      <c r="AH1828" s="5" t="inlineStr"/>
      <c r="AI1828" s="5" t="inlineStr"/>
      <c r="AJ1828" s="5" t="inlineStr"/>
    </row>
    <row r="1829">
      <c r="A1829" s="5" t="inlineStr">
        <is>
          <t>b8-babanin-evi</t>
        </is>
      </c>
      <c r="B1829" s="5" t="n">
        <v>4</v>
      </c>
      <c r="C1829" s="6" t="inlineStr">
        <is>
          <t>Kardeşlere babanın hikâyelerini anlat</t>
        </is>
      </c>
      <c r="D1829" s="5" t="inlineStr">
        <is>
          <t>Çene</t>
        </is>
      </c>
      <c r="E1829" s="5" t="inlineStr">
        <is>
          <t>Orta</t>
        </is>
      </c>
      <c r="F1829" s="5" t="inlineStr"/>
      <c r="G1829" s="6" t="inlineStr"/>
      <c r="H1829" s="6" t="inlineStr">
        <is>
          <t>Babanın askerde kaybettiği katırın hikâyesini anlattın. Üç kuşak aynı anda güldü; annen salondan seslendi: “Katır değil, eşekti.”</t>
        </is>
      </c>
      <c r="I1829" s="6" t="inlineStr">
        <is>
          <t>Gece yarısına kadar anlattın; yeğenler telefonlarını bıraktı. Ertesi gün en küçükleri elinde defterle geldi: “Dedemin hikâyelerini baştan anlatır mısın? Yazacağım.”</t>
        </is>
      </c>
      <c r="J1829" s="6" t="inlineStr">
        <is>
          <t>Anlatmaya başladın; sonunu hatırlamadın. Annen salondan tamamladı, başka türlü.</t>
        </is>
      </c>
      <c r="K1829" s="6" t="inlineStr">
        <is>
          <t>Babanın “Kimseye söyleme” dediği kısma geldin. Söyledin. Annen o akşam sana çay koymadı.</t>
        </is>
      </c>
      <c r="L1829" s="6" t="inlineStr"/>
      <c r="M1829" s="5" t="inlineStr"/>
      <c r="N1829" s="5" t="inlineStr"/>
      <c r="O1829" s="6" t="inlineStr"/>
      <c r="P1829" s="6" t="inlineStr"/>
      <c r="Q1829" s="5" t="inlineStr"/>
      <c r="R1829" s="5" t="inlineStr"/>
      <c r="S1829" s="5" t="inlineStr"/>
      <c r="T1829" s="5" t="inlineStr"/>
      <c r="U1829" s="5" t="inlineStr"/>
      <c r="V1829" s="5" t="inlineStr"/>
      <c r="W1829" s="5" t="inlineStr"/>
      <c r="X1829" s="5" t="inlineStr"/>
      <c r="Y1829" s="5" t="inlineStr"/>
      <c r="Z1829" s="6" t="inlineStr"/>
      <c r="AA1829" s="5" t="inlineStr"/>
      <c r="AB1829" s="5" t="inlineStr"/>
      <c r="AC1829" s="5" t="inlineStr"/>
      <c r="AD1829" s="5" t="inlineStr"/>
      <c r="AE1829" s="5" t="inlineStr"/>
      <c r="AF1829" s="5" t="inlineStr"/>
      <c r="AG1829" s="5" t="inlineStr"/>
      <c r="AH1829" s="5" t="inlineStr"/>
      <c r="AI1829" s="5" t="inlineStr"/>
      <c r="AJ1829" s="5" t="inlineStr"/>
    </row>
    <row r="1830">
      <c r="A1830" s="5" t="inlineStr">
        <is>
          <t>b9-dunurler</t>
        </is>
      </c>
      <c r="B1830" s="5" t="n">
        <v>1</v>
      </c>
      <c r="C1830" s="6" t="inlineStr">
        <is>
          <t>Lafı dünüre bırak, çayları tazele</t>
        </is>
      </c>
      <c r="D1830" s="5" t="inlineStr"/>
      <c r="E1830" s="5" t="inlineStr"/>
      <c r="F1830" s="5" t="inlineStr">
        <is>
          <t>Sosyal Radar +1</t>
        </is>
      </c>
      <c r="G1830" s="6" t="inlineStr">
        <is>
          <t>Lafı dünürün açtı; sen çayları tazeledin, yedi kez. Kapıda yarım saat vedalaştınız. Dünür elini bırakmadan söyledi: 'Çaylarınız çok güzeldi.' Gecenin tek yorumu buydu; yetti.</t>
        </is>
      </c>
      <c r="H1830" s="6" t="inlineStr"/>
      <c r="I1830" s="6" t="inlineStr"/>
      <c r="J1830" s="6" t="inlineStr"/>
      <c r="K1830" s="6" t="inlineStr"/>
      <c r="L1830" s="6" t="inlineStr"/>
      <c r="M1830" s="5" t="inlineStr"/>
      <c r="N1830" s="5" t="inlineStr"/>
      <c r="O1830" s="6" t="inlineStr"/>
      <c r="P1830" s="6" t="inlineStr"/>
      <c r="Q1830" s="5" t="inlineStr"/>
      <c r="R1830" s="5" t="inlineStr"/>
      <c r="S1830" s="5" t="inlineStr"/>
      <c r="T1830" s="5" t="inlineStr"/>
      <c r="U1830" s="5" t="inlineStr"/>
      <c r="V1830" s="5" t="inlineStr"/>
      <c r="W1830" s="5" t="inlineStr"/>
      <c r="X1830" s="5" t="inlineStr"/>
      <c r="Y1830" s="5" t="inlineStr"/>
      <c r="Z1830" s="6" t="inlineStr"/>
      <c r="AA1830" s="5" t="inlineStr"/>
      <c r="AB1830" s="5" t="inlineStr"/>
      <c r="AC1830" s="5" t="inlineStr"/>
      <c r="AD1830" s="5" t="inlineStr"/>
      <c r="AE1830" s="5" t="inlineStr"/>
      <c r="AF1830" s="5" t="inlineStr"/>
      <c r="AG1830" s="5" t="inlineStr"/>
      <c r="AH1830" s="5" t="inlineStr"/>
      <c r="AI1830" s="5" t="inlineStr"/>
      <c r="AJ1830" s="5" t="inlineStr"/>
    </row>
    <row r="1831">
      <c r="A1831" s="5" t="inlineStr">
        <is>
          <t>b9-dunurler</t>
        </is>
      </c>
      <c r="B1831" s="5" t="n">
        <v>2</v>
      </c>
      <c r="C1831" s="6" t="inlineStr">
        <is>
          <t>İlk lafı sen aç</t>
        </is>
      </c>
      <c r="D1831" s="5" t="inlineStr">
        <is>
          <t>Çene</t>
        </is>
      </c>
      <c r="E1831" s="5" t="inlineStr">
        <is>
          <t>Orta</t>
        </is>
      </c>
      <c r="F1831" s="5" t="inlineStr"/>
      <c r="G1831" s="6" t="inlineStr"/>
      <c r="H1831" s="6" t="inlineStr">
        <is>
          <t>Hava, yol, sonra konu. 'Büyüklerin izniyle' dedin; dünürün başını salladı. Çay ikinci kez demlendi.</t>
        </is>
      </c>
      <c r="I1831" s="6" t="inlineStr">
        <is>
          <t>'Gençler anlaşmış, bize tatlı yemek kalır' dedin. Salon güldü; söz o akşam takıldı, kurdeleyi sen kestin.</t>
        </is>
      </c>
      <c r="J1831" s="6" t="inlineStr">
        <is>
          <t>Lafa hava durumuyla girdin. Yirmi dakika yağmur konuşuldu; asıl konu bir sonraki ziyarete kaldı.</t>
        </is>
      </c>
      <c r="K1831" s="6" t="inlineStr">
        <is>
          <t>Lafı açarken dünürünün adını yanlış söyledin, üç kez. Üçüncüde dünürün adını düzeltmekten vazgeçti. Düğünde de o adla anıldı.</t>
        </is>
      </c>
      <c r="L1831" s="6" t="inlineStr"/>
      <c r="M1831" s="5" t="inlineStr"/>
      <c r="N1831" s="5" t="inlineStr"/>
      <c r="O1831" s="6" t="inlineStr"/>
      <c r="P1831" s="6" t="inlineStr"/>
      <c r="Q1831" s="5" t="inlineStr"/>
      <c r="R1831" s="5" t="inlineStr"/>
      <c r="S1831" s="5" t="inlineStr"/>
      <c r="T1831" s="5" t="inlineStr"/>
      <c r="U1831" s="5" t="inlineStr"/>
      <c r="V1831" s="5" t="inlineStr"/>
      <c r="W1831" s="5" t="inlineStr"/>
      <c r="X1831" s="5" t="inlineStr"/>
      <c r="Y1831" s="5" t="inlineStr"/>
      <c r="Z1831" s="6" t="inlineStr"/>
      <c r="AA1831" s="5" t="inlineStr"/>
      <c r="AB1831" s="5" t="inlineStr"/>
      <c r="AC1831" s="5" t="inlineStr"/>
      <c r="AD1831" s="5" t="inlineStr"/>
      <c r="AE1831" s="5" t="inlineStr"/>
      <c r="AF1831" s="5" t="inlineStr"/>
      <c r="AG1831" s="5" t="inlineStr"/>
      <c r="AH1831" s="5" t="inlineStr"/>
      <c r="AI1831" s="5" t="inlineStr"/>
      <c r="AJ1831" s="5" t="inlineStr"/>
    </row>
    <row r="1832">
      <c r="A1832" s="5" t="inlineStr">
        <is>
          <t>b9-dunurler</t>
        </is>
      </c>
      <c r="B1832" s="5" t="n">
        <v>3</v>
      </c>
      <c r="C1832" s="6" t="inlineStr">
        <is>
          <t>Düğün masrafını ilk akşamdan konuş</t>
        </is>
      </c>
      <c r="D1832" s="5" t="inlineStr">
        <is>
          <t>Kurnazlık</t>
        </is>
      </c>
      <c r="E1832" s="5" t="inlineStr">
        <is>
          <t>Zor</t>
        </is>
      </c>
      <c r="F1832" s="5" t="inlineStr"/>
      <c r="G1832" s="6" t="inlineStr"/>
      <c r="H1832" s="6" t="inlineStr">
        <is>
          <t>Konuyu açtın. İki taraf da 'Biz bir şey istemeyiz' dedi ve üç saat boyunca bir şeyler istedi. Sonunda yarı yarıya anlaştınız.</t>
        </is>
      </c>
      <c r="I1832" s="6" t="inlineStr">
        <is>
          <t>Masrafı ilk akşam paylaştınız: salon sizden, takı onlardan, yemek yarı yarıya. Düğüne kadar tek kavga çıkmadı. Mahallede bir ilk.</t>
        </is>
      </c>
      <c r="J1832" s="6" t="inlineStr">
        <is>
          <t>Masraf lafı açılınca salon serinledi. Kahveler bitti, ikinci kahve gelmedi.</t>
        </is>
      </c>
      <c r="K1832" s="6" t="inlineStr">
        <is>
          <t>'Bizde düğün üç gün olur' dedin. Dünür 'Bizde bir akşam' dedi. Düğün iki akşam olacak; ikisinin de faturası sende.</t>
        </is>
      </c>
      <c r="L1832" s="6" t="inlineStr"/>
      <c r="M1832" s="5" t="inlineStr"/>
      <c r="N1832" s="5" t="inlineStr"/>
      <c r="O1832" s="6" t="inlineStr"/>
      <c r="P1832" s="6" t="inlineStr"/>
      <c r="Q1832" s="5" t="inlineStr"/>
      <c r="R1832" s="5" t="inlineStr"/>
      <c r="S1832" s="5" t="inlineStr"/>
      <c r="T1832" s="5" t="inlineStr"/>
      <c r="U1832" s="5" t="inlineStr"/>
      <c r="V1832" s="5" t="inlineStr"/>
      <c r="W1832" s="5" t="inlineStr"/>
      <c r="X1832" s="5" t="inlineStr"/>
      <c r="Y1832" s="5" t="inlineStr"/>
      <c r="Z1832" s="6" t="inlineStr"/>
      <c r="AA1832" s="5" t="inlineStr"/>
      <c r="AB1832" s="5" t="inlineStr"/>
      <c r="AC1832" s="5" t="inlineStr"/>
      <c r="AD1832" s="5" t="inlineStr"/>
      <c r="AE1832" s="5" t="inlineStr"/>
      <c r="AF1832" s="5" t="inlineStr"/>
      <c r="AG1832" s="5" t="inlineStr"/>
      <c r="AH1832" s="5" t="inlineStr"/>
      <c r="AI1832" s="5" t="inlineStr"/>
      <c r="AJ1832" s="5" t="inlineStr"/>
    </row>
    <row r="1833">
      <c r="A1833" s="5" t="inlineStr">
        <is>
          <t>b9-dunurler</t>
        </is>
      </c>
      <c r="B1833" s="5" t="n">
        <v>4</v>
      </c>
      <c r="C1833" s="6" t="inlineStr">
        <is>
          <t>Dünürün huyunu oku</t>
        </is>
      </c>
      <c r="D1833" s="5" t="inlineStr">
        <is>
          <t>Sosyal Radar</t>
        </is>
      </c>
      <c r="E1833" s="5" t="inlineStr">
        <is>
          <t>Orta</t>
        </is>
      </c>
      <c r="F1833" s="5" t="inlineStr"/>
      <c r="G1833" s="6" t="inlineStr"/>
      <c r="H1833" s="6" t="inlineStr">
        <is>
          <t>Dünür az şekerli içiyor, memleket lafı açılınca yumuşuyor. İkinci çaydan sonra ortak bir tanıdık bulundu; gerisi kendiliğinden geldi.</t>
        </is>
      </c>
      <c r="I1833" s="6" t="inlineStr">
        <is>
          <t>Dünürün kristale düşkün olduğunu vitrine bakışından anladın ve şekerliği hediye ettin. Düğüne kadar bir kez bile tartışmadınız.</t>
        </is>
      </c>
      <c r="J1833" s="6" t="inlineStr">
        <is>
          <t>Sessiz sandın, utangaçmış. Utangaç sandın, yorgunmuş. Akşamın sonunda ne düşündüğünü hâlâ bilmiyorsun.</t>
        </is>
      </c>
      <c r="K1833" s="6" t="inlineStr">
        <is>
          <t>Dünürü sessiz sanıp rahatladın, kendi aileni anlatmaya başladın; halanın boşanmasını bile. Dünür sessiz değilmiş, dinliyormuş.</t>
        </is>
      </c>
      <c r="L1833" s="6" t="inlineStr"/>
      <c r="M1833" s="5" t="inlineStr"/>
      <c r="N1833" s="5" t="inlineStr"/>
      <c r="O1833" s="6" t="inlineStr"/>
      <c r="P1833" s="6" t="inlineStr"/>
      <c r="Q1833" s="5" t="inlineStr"/>
      <c r="R1833" s="5" t="inlineStr"/>
      <c r="S1833" s="5" t="inlineStr"/>
      <c r="T1833" s="5" t="inlineStr"/>
      <c r="U1833" s="5" t="inlineStr"/>
      <c r="V1833" s="5" t="inlineStr"/>
      <c r="W1833" s="5" t="inlineStr"/>
      <c r="X1833" s="5" t="inlineStr"/>
      <c r="Y1833" s="5" t="inlineStr"/>
      <c r="Z1833" s="6" t="inlineStr"/>
      <c r="AA1833" s="5" t="inlineStr"/>
      <c r="AB1833" s="5" t="inlineStr"/>
      <c r="AC1833" s="5" t="inlineStr"/>
      <c r="AD1833" s="5" t="inlineStr"/>
      <c r="AE1833" s="5" t="inlineStr"/>
      <c r="AF1833" s="5" t="inlineStr"/>
      <c r="AG1833" s="5" t="inlineStr"/>
      <c r="AH1833" s="5" t="inlineStr"/>
      <c r="AI1833" s="5" t="inlineStr"/>
      <c r="AJ1833" s="5" t="inlineStr"/>
    </row>
    <row r="1834">
      <c r="A1834" s="5" t="inlineStr">
        <is>
          <t>b10-tek-fincan</t>
        </is>
      </c>
      <c r="B1834" s="5" t="n">
        <v>1</v>
      </c>
      <c r="C1834" s="6" t="inlineStr">
        <is>
          <t>Onun gibi demle</t>
        </is>
      </c>
      <c r="D1834" s="5" t="inlineStr"/>
      <c r="E1834" s="5" t="inlineStr"/>
      <c r="F1834" s="5" t="inlineStr">
        <is>
          <t>Gönül +1</t>
        </is>
      </c>
      <c r="G1834" s="6" t="inlineStr">
        <is>
          <t>Dört kaşık koydun, fazla geldi. Yine de iki fincan doldurdun, birini karşına koydun. Soğuyana kadar kalkmadın.</t>
        </is>
      </c>
      <c r="H1834" s="6" t="inlineStr"/>
      <c r="I1834" s="6" t="inlineStr"/>
      <c r="J1834" s="6" t="inlineStr"/>
      <c r="K1834" s="6" t="inlineStr"/>
      <c r="L1834" s="6" t="inlineStr"/>
      <c r="M1834" s="5" t="inlineStr"/>
      <c r="N1834" s="5" t="inlineStr"/>
      <c r="O1834" s="6" t="inlineStr"/>
      <c r="P1834" s="6" t="inlineStr"/>
      <c r="Q1834" s="5" t="inlineStr"/>
      <c r="R1834" s="5" t="inlineStr"/>
      <c r="S1834" s="5" t="inlineStr"/>
      <c r="T1834" s="5" t="inlineStr"/>
      <c r="U1834" s="5" t="inlineStr">
        <is>
          <t>dul, -evli</t>
        </is>
      </c>
      <c r="V1834" s="5" t="inlineStr"/>
      <c r="W1834" s="5" t="inlineStr"/>
      <c r="X1834" s="5" t="inlineStr"/>
      <c r="Y1834" s="5" t="inlineStr"/>
      <c r="Z1834" s="6" t="inlineStr"/>
      <c r="AA1834" s="5" t="inlineStr"/>
      <c r="AB1834" s="5" t="inlineStr"/>
      <c r="AC1834" s="5" t="inlineStr"/>
      <c r="AD1834" s="5" t="inlineStr"/>
      <c r="AE1834" s="5" t="inlineStr"/>
      <c r="AF1834" s="5" t="inlineStr"/>
      <c r="AG1834" s="5" t="inlineStr"/>
      <c r="AH1834" s="5" t="inlineStr"/>
      <c r="AI1834" s="5" t="inlineStr"/>
      <c r="AJ1834" s="5" t="inlineStr"/>
    </row>
    <row r="1835">
      <c r="A1835" s="5" t="inlineStr">
        <is>
          <t>b10-tek-fincan</t>
        </is>
      </c>
      <c r="B1835" s="5" t="n">
        <v>2</v>
      </c>
      <c r="C1835" s="6" t="inlineStr">
        <is>
          <t>Tabakları komşuya geri götür</t>
        </is>
      </c>
      <c r="D1835" s="5" t="inlineStr">
        <is>
          <t>Sosyal Radar</t>
        </is>
      </c>
      <c r="E1835" s="5" t="inlineStr">
        <is>
          <t>Kolay</t>
        </is>
      </c>
      <c r="F1835" s="5" t="inlineStr"/>
      <c r="G1835" s="6" t="inlineStr"/>
      <c r="H1835" s="6" t="inlineStr">
        <is>
          <t>Kapıda on dakika konuştunuz. Akşam kapında yine bir tabak vardı, yanında bir not: 'Yarın bizde.'</t>
        </is>
      </c>
      <c r="I1835" s="6" t="inlineStr">
        <is>
          <t>Komşu seni içeri aldı, çay koydu. 'Her sabah sen uyurken balkondan bana el sallardı' dedi. İkiniz de güldünüz; üç aydır ilk kez.</t>
        </is>
      </c>
      <c r="J1835" s="6" t="inlineStr">
        <is>
          <t>Kapıya kadar gittin, zile basamadın. Tabakları paspasın üstüne bırakıp döndün.</t>
        </is>
      </c>
      <c r="K1835" s="6" t="inlineStr">
        <is>
          <t>Komşu kapıyı açıp 'Nasılsın?' dedi. 'İyiyim' diyecektin, ağladın. Merdivende yarım saat ağladınız; apartman grubuna 'Üçüncü katta ses var' diye mesaj düştü.</t>
        </is>
      </c>
      <c r="L1835" s="6" t="inlineStr"/>
      <c r="M1835" s="5" t="inlineStr"/>
      <c r="N1835" s="5" t="inlineStr"/>
      <c r="O1835" s="6" t="inlineStr"/>
      <c r="P1835" s="6" t="inlineStr"/>
      <c r="Q1835" s="5" t="inlineStr"/>
      <c r="R1835" s="5" t="inlineStr"/>
      <c r="S1835" s="5" t="inlineStr"/>
      <c r="T1835" s="5" t="inlineStr"/>
      <c r="U1835" s="5" t="inlineStr">
        <is>
          <t>dul, -evli</t>
        </is>
      </c>
      <c r="V1835" s="5" t="inlineStr"/>
      <c r="W1835" s="5" t="inlineStr"/>
      <c r="X1835" s="5" t="inlineStr"/>
      <c r="Y1835" s="5" t="inlineStr"/>
      <c r="Z1835" s="6" t="inlineStr"/>
      <c r="AA1835" s="5" t="inlineStr"/>
      <c r="AB1835" s="5" t="inlineStr"/>
      <c r="AC1835" s="5" t="inlineStr"/>
      <c r="AD1835" s="5" t="inlineStr"/>
      <c r="AE1835" s="5" t="inlineStr"/>
      <c r="AF1835" s="5" t="inlineStr"/>
      <c r="AG1835" s="5" t="inlineStr"/>
      <c r="AH1835" s="5" t="inlineStr"/>
      <c r="AI1835" s="5" t="inlineStr"/>
      <c r="AJ1835" s="5" t="inlineStr"/>
    </row>
    <row r="1836">
      <c r="A1836" s="5" t="inlineStr">
        <is>
          <t>b10-tek-fincan</t>
        </is>
      </c>
      <c r="B1836" s="5" t="n">
        <v>3</v>
      </c>
      <c r="C1836" s="6" t="inlineStr">
        <is>
          <t>Çocuğunun yanına taşın</t>
        </is>
      </c>
      <c r="D1836" s="5" t="inlineStr">
        <is>
          <t>Gönül</t>
        </is>
      </c>
      <c r="E1836" s="5" t="inlineStr">
        <is>
          <t>Orta</t>
        </is>
      </c>
      <c r="F1836" s="5" t="inlineStr"/>
      <c r="G1836" s="6" t="inlineStr"/>
      <c r="H1836" s="6" t="inlineStr">
        <is>
          <t>Valizini çocuğunun evine taşıdın. Sana en güneşli odayı verdiler; kumanda sende değil ama demlik sende.</t>
        </is>
      </c>
      <c r="I1836" s="6" t="inlineStr">
        <is>
          <t>Torununla aynı odayı paylaştın. Bir ayda sen ona tavla, o sana dizi öğretti; çocuğunun eşi aile grubuna 'Ev böyle daha güzel' yazdı.</t>
        </is>
      </c>
      <c r="J1836" s="6" t="inlineStr">
        <is>
          <t>İki hafta kaldın, sonra kendi evine döndün. 'Çiçeklerim susuz kaldı' dedin. Çiçekler plastikti.</t>
        </is>
      </c>
      <c r="K1836" s="6" t="inlineStr">
        <is>
          <t>Taşındığın ilk gece mutfağı kendi düzenine soktun. Sabah kimse çay bardaklarını bulamadı; çocuğunun eşi seni bir hafta komşulara 'misafirimiz' diye tanıttı.</t>
        </is>
      </c>
      <c r="L1836" s="6" t="inlineStr"/>
      <c r="M1836" s="5" t="inlineStr"/>
      <c r="N1836" s="5" t="inlineStr"/>
      <c r="O1836" s="6" t="inlineStr"/>
      <c r="P1836" s="6" t="inlineStr"/>
      <c r="Q1836" s="5" t="inlineStr"/>
      <c r="R1836" s="5" t="inlineStr">
        <is>
          <t>cocuklu</t>
        </is>
      </c>
      <c r="S1836" s="5" t="inlineStr"/>
      <c r="T1836" s="5" t="inlineStr"/>
      <c r="U1836" s="5" t="inlineStr">
        <is>
          <t>dul, -evli</t>
        </is>
      </c>
      <c r="V1836" s="5" t="inlineStr"/>
      <c r="W1836" s="5" t="inlineStr"/>
      <c r="X1836" s="5" t="inlineStr"/>
      <c r="Y1836" s="5" t="inlineStr"/>
      <c r="Z1836" s="6" t="inlineStr"/>
      <c r="AA1836" s="5" t="inlineStr"/>
      <c r="AB1836" s="5" t="inlineStr"/>
      <c r="AC1836" s="5" t="inlineStr"/>
      <c r="AD1836" s="5" t="inlineStr"/>
      <c r="AE1836" s="5" t="inlineStr"/>
      <c r="AF1836" s="5" t="inlineStr"/>
      <c r="AG1836" s="5" t="inlineStr"/>
      <c r="AH1836" s="5" t="inlineStr"/>
      <c r="AI1836" s="5" t="inlineStr"/>
      <c r="AJ1836" s="5" t="inlineStr"/>
    </row>
    <row r="1837">
      <c r="A1837" s="5" t="inlineStr">
        <is>
          <t>b10-tek-fincan</t>
        </is>
      </c>
      <c r="B1837" s="5" t="n">
        <v>4</v>
      </c>
      <c r="C1837" s="6" t="inlineStr">
        <is>
          <t>Eşinin dolabını topla</t>
        </is>
      </c>
      <c r="D1837" s="5" t="inlineStr">
        <is>
          <t>Dayanıklılık</t>
        </is>
      </c>
      <c r="E1837" s="5" t="inlineStr">
        <is>
          <t>Zor</t>
        </is>
      </c>
      <c r="F1837" s="5" t="inlineStr"/>
      <c r="G1837" s="6" t="inlineStr"/>
      <c r="H1837" s="6" t="inlineStr">
        <is>
          <t>Giysileri katlayıp ihtiyacı olanlara gönderdin. Bir hırkayı ayırdın; o dolapta kalacak.</t>
        </is>
      </c>
      <c r="I1837" s="6" t="inlineStr">
        <is>
          <t>Her şeyi tek tek katladın. Ceketinin cebinden kırk yıllık bir not çıktı, senin el yazınla: 'Akşam erken gel.' Notu cüzdanına koydun, kalanını gönül rahatlığıyla verdin.</t>
        </is>
      </c>
      <c r="J1837" s="6" t="inlineStr">
        <is>
          <t>Dolabı açtın, kokusu yüzüne çarptı. Kapağı kapattın. Belki gelecek ay.</t>
        </is>
      </c>
      <c r="K1837" s="6" t="inlineStr">
        <is>
          <t>Her şeyi bir günde koli koli verdin. Akşam onun terliğini aradın; o da gitmişti. Ertesi sabah derneğin kapısında, kolilerin arasında terlik arıyordun.</t>
        </is>
      </c>
      <c r="L1837" s="6" t="inlineStr"/>
      <c r="M1837" s="5" t="inlineStr"/>
      <c r="N1837" s="5" t="inlineStr"/>
      <c r="O1837" s="6" t="inlineStr"/>
      <c r="P1837" s="6" t="inlineStr"/>
      <c r="Q1837" s="5" t="inlineStr"/>
      <c r="R1837" s="5" t="inlineStr"/>
      <c r="S1837" s="5" t="inlineStr"/>
      <c r="T1837" s="5" t="inlineStr"/>
      <c r="U1837" s="5" t="inlineStr">
        <is>
          <t>dul, -evli</t>
        </is>
      </c>
      <c r="V1837" s="5" t="inlineStr"/>
      <c r="W1837" s="5" t="inlineStr"/>
      <c r="X1837" s="5" t="inlineStr"/>
      <c r="Y1837" s="5" t="inlineStr"/>
      <c r="Z1837" s="6" t="inlineStr"/>
      <c r="AA1837" s="5" t="inlineStr"/>
      <c r="AB1837" s="5" t="inlineStr"/>
      <c r="AC1837" s="5" t="inlineStr"/>
      <c r="AD1837" s="5" t="inlineStr"/>
      <c r="AE1837" s="5" t="inlineStr"/>
      <c r="AF1837" s="5" t="inlineStr"/>
      <c r="AG1837" s="5" t="inlineStr"/>
      <c r="AH1837" s="5" t="inlineStr"/>
      <c r="AI1837" s="5" t="inlineStr"/>
      <c r="AJ1837" s="5" t="inlineStr"/>
    </row>
    <row r="1838">
      <c r="A1838" s="5" t="inlineStr">
        <is>
          <t>b7-isteme-kahvesi</t>
        </is>
      </c>
      <c r="B1838" s="5" t="n">
        <v>1</v>
      </c>
      <c r="C1838" s="6" t="inlineStr">
        <is>
          <t>Kahveyi düzgün pişir, sade sun</t>
        </is>
      </c>
      <c r="D1838" s="5" t="inlineStr"/>
      <c r="E1838" s="5" t="inlineStr"/>
      <c r="F1838" s="5" t="inlineStr">
        <is>
          <t>Gönül +1</t>
        </is>
      </c>
      <c r="G1838" s="6" t="inlineStr">
        <is>
          <t>Kahveler köpüklü, fincanlar titremeden geldi. Müstakbel kayınvalide fincanı çevirip dibine baktı: “Eli lezzetli.” Annen mutfağa dönünce sana göz kırptı; tuzluk dolapta kaldı.</t>
        </is>
      </c>
      <c r="H1838" s="6" t="inlineStr"/>
      <c r="I1838" s="6" t="inlineStr"/>
      <c r="J1838" s="6" t="inlineStr"/>
      <c r="K1838" s="6" t="inlineStr"/>
      <c r="L1838" s="6" t="inlineStr"/>
      <c r="M1838" s="5" t="inlineStr"/>
      <c r="N1838" s="5" t="inlineStr"/>
      <c r="O1838" s="6" t="inlineStr"/>
      <c r="P1838" s="6" t="inlineStr"/>
      <c r="Q1838" s="5" t="inlineStr"/>
      <c r="R1838" s="5" t="inlineStr"/>
      <c r="S1838" s="5" t="inlineStr"/>
      <c r="T1838" s="5" t="inlineStr"/>
      <c r="U1838" s="5" t="inlineStr"/>
      <c r="V1838" s="5" t="inlineStr"/>
      <c r="W1838" s="5" t="inlineStr"/>
      <c r="X1838" s="5" t="inlineStr"/>
      <c r="Y1838" s="5" t="inlineStr"/>
      <c r="Z1838" s="6" t="inlineStr"/>
      <c r="AA1838" s="5" t="inlineStr"/>
      <c r="AB1838" s="5" t="inlineStr"/>
      <c r="AC1838" s="5" t="inlineStr"/>
      <c r="AD1838" s="5" t="inlineStr"/>
      <c r="AE1838" s="5" t="inlineStr"/>
      <c r="AF1838" s="5" t="inlineStr"/>
      <c r="AG1838" s="5" t="inlineStr"/>
      <c r="AH1838" s="5" t="inlineStr"/>
      <c r="AI1838" s="5" t="inlineStr"/>
      <c r="AJ1838" s="5" t="inlineStr"/>
    </row>
    <row r="1839">
      <c r="A1839" s="5" t="inlineStr">
        <is>
          <t>b7-isteme-kahvesi</t>
        </is>
      </c>
      <c r="B1839" s="5" t="n">
        <v>2</v>
      </c>
      <c r="C1839" s="6" t="inlineStr">
        <is>
          <t>Damadın kahvesine iki kaşık tuz koy</t>
        </is>
      </c>
      <c r="D1839" s="5" t="inlineStr">
        <is>
          <t>Pişkinlik</t>
        </is>
      </c>
      <c r="E1839" s="5" t="inlineStr">
        <is>
          <t>Orta</t>
        </is>
      </c>
      <c r="F1839" s="5" t="inlineStr"/>
      <c r="G1839" s="6" t="inlineStr"/>
      <c r="H1839" s="6" t="inlineStr">
        <is>
          <t>Damat ilk yudumda durdu, sonra gülümseyip son yudumuna kadar içti. Baban kulağına eğildi: “Bu çocuk dayanır.” Tuzluğu önlüğünün cebine sakladın.</t>
        </is>
      </c>
      <c r="I1839" s="6" t="inlineStr">
        <is>
          <t>Damat kahveyi bitirdi, fincanı uzattı: “Bir tane daha olur mu?” Salon kahkahaya boğuldu; kayınvalide seninle ilk kez aynı anda güldü.</t>
        </is>
      </c>
      <c r="J1839" s="6" t="inlineStr">
        <is>
          <t>Tuz azdı; damat fark etmedi bile. Baban kendi fincanını kaldırıp hayal kırıklığıyla sordu: “Bunun neresi tuzlu?”</t>
        </is>
      </c>
      <c r="K1839" s="6" t="inlineStr">
        <is>
          <t>Fincanları karıştırdın; tuzlu kahve kayınpedere gitti. Bir yudum aldı, gözleri doldu, bıyığını sildi: “Kızım, beni mi istiyorsun?” Salon on dakika kendine gelemedi.</t>
        </is>
      </c>
      <c r="L1839" s="6" t="inlineStr"/>
      <c r="M1839" s="5" t="inlineStr"/>
      <c r="N1839" s="5" t="inlineStr"/>
      <c r="O1839" s="6" t="inlineStr"/>
      <c r="P1839" s="6" t="inlineStr"/>
      <c r="Q1839" s="5" t="inlineStr"/>
      <c r="R1839" s="5" t="inlineStr"/>
      <c r="S1839" s="5" t="inlineStr"/>
      <c r="T1839" s="5" t="inlineStr"/>
      <c r="U1839" s="5" t="inlineStr"/>
      <c r="V1839" s="5" t="inlineStr"/>
      <c r="W1839" s="5" t="inlineStr"/>
      <c r="X1839" s="5" t="inlineStr"/>
      <c r="Y1839" s="5" t="inlineStr"/>
      <c r="Z1839" s="6" t="inlineStr"/>
      <c r="AA1839" s="5" t="inlineStr"/>
      <c r="AB1839" s="5" t="inlineStr"/>
      <c r="AC1839" s="5" t="inlineStr"/>
      <c r="AD1839" s="5" t="inlineStr"/>
      <c r="AE1839" s="5" t="inlineStr"/>
      <c r="AF1839" s="5" t="inlineStr"/>
      <c r="AG1839" s="5" t="inlineStr"/>
      <c r="AH1839" s="5" t="inlineStr"/>
      <c r="AI1839" s="5" t="inlineStr"/>
      <c r="AJ1839" s="5" t="inlineStr"/>
    </row>
    <row r="1840">
      <c r="A1840" s="5" t="inlineStr">
        <is>
          <t>b7-isteme-kahvesi</t>
        </is>
      </c>
      <c r="B1840" s="5" t="n">
        <v>3</v>
      </c>
      <c r="C1840" s="6" t="inlineStr">
        <is>
          <t>Konuşmayı sen yap, babanı kurtar</t>
        </is>
      </c>
      <c r="D1840" s="5" t="inlineStr">
        <is>
          <t>Çene</t>
        </is>
      </c>
      <c r="E1840" s="5" t="inlineStr">
        <is>
          <t>Orta</t>
        </is>
      </c>
      <c r="F1840" s="5" t="inlineStr"/>
      <c r="G1840" s="6" t="inlineStr"/>
      <c r="H1840" s="6" t="inlineStr">
        <is>
          <t>Baban cümleye başlarken tıkandı; tepsiyi bırakıp sen tamamladın. “Verdik” dendi; baban “Ben de onu diyecektim” dedi.</t>
        </is>
      </c>
      <c r="I1840" s="6" t="inlineStr">
        <is>
          <t>Öyle konuştun ki söz kesme oracıkta yapıldı. Yüzükler kayınvalidenin çantasındaymış; kurdeleyi annen dişiyle kesti.</t>
        </is>
      </c>
      <c r="J1840" s="6" t="inlineStr">
        <is>
          <t>Sen konuşmaya başladın, baban da başladı; ikiniz aynı anda sustunuz. Kayınpeder “Biz bir çay daha içelim, siz karar verin” dedi.</t>
        </is>
      </c>
      <c r="K1840" s="6" t="inlineStr">
        <is>
          <t>Heyecandan konuşmayı iş görüşmesine çevirdin: “Beş yıl sonra kendimi bu ailenin içinde görüyorum.” Damat “Ben de!” dedi. Annen tepsiyi mutfağa kaçırdı.</t>
        </is>
      </c>
      <c r="L1840" s="6" t="inlineStr"/>
      <c r="M1840" s="5" t="inlineStr"/>
      <c r="N1840" s="5" t="inlineStr"/>
      <c r="O1840" s="6" t="inlineStr"/>
      <c r="P1840" s="6" t="inlineStr"/>
      <c r="Q1840" s="5" t="inlineStr"/>
      <c r="R1840" s="5" t="inlineStr"/>
      <c r="S1840" s="5" t="inlineStr"/>
      <c r="T1840" s="5" t="inlineStr"/>
      <c r="U1840" s="5" t="inlineStr"/>
      <c r="V1840" s="5" t="inlineStr"/>
      <c r="W1840" s="5" t="inlineStr"/>
      <c r="X1840" s="5" t="inlineStr"/>
      <c r="Y1840" s="5" t="inlineStr"/>
      <c r="Z1840" s="6" t="inlineStr"/>
      <c r="AA1840" s="5" t="inlineStr"/>
      <c r="AB1840" s="5" t="inlineStr"/>
      <c r="AC1840" s="5" t="inlineStr"/>
      <c r="AD1840" s="5" t="inlineStr"/>
      <c r="AE1840" s="5" t="inlineStr"/>
      <c r="AF1840" s="5" t="inlineStr"/>
      <c r="AG1840" s="5" t="inlineStr"/>
      <c r="AH1840" s="5" t="inlineStr"/>
      <c r="AI1840" s="5" t="inlineStr"/>
      <c r="AJ1840" s="5" t="inlineStr"/>
    </row>
  </sheetData>
  <autoFilter ref="A1:AJ1840"/>
  <dataValidations count="4">
    <dataValidation sqref="D2:D2239" showDropDown="0" showInputMessage="0" showErrorMessage="1" allowBlank="1" errorTitle="Geçersiz değer" error="Listeden bir değer seçin." type="list">
      <formula1>"Akıl,Çene,Kurnazlık,Cesaret,Pişkinlik,İtibar,Gönül,Dayanıklılık,Sosyal Radar"</formula1>
    </dataValidation>
    <dataValidation sqref="E2:E2239" showDropDown="0" showInputMessage="0" showErrorMessage="1" allowBlank="1" errorTitle="Geçersiz değer" error="Listeden bir değer seçin." type="list">
      <formula1>"Çok Kolay,Kolay,Orta,Zor,Çok Zor"</formula1>
    </dataValidation>
    <dataValidation sqref="M2:M2239" showDropDown="0" showInputMessage="0" showErrorMessage="1" allowBlank="1" errorTitle="Geçersiz değer" error="Listeden bir değer seçin." type="list">
      <formula1>"timing,hold,collect,race,memory,cups,doors,rhythm,lanes,simon,poker,trace,bargain,swipe,breath,balance"</formula1>
    </dataValidation>
    <dataValidation sqref="S2:S2239" showDropDown="0" showInputMessage="0" showErrorMessage="1" allowBlank="1" errorTitle="Geçersiz değer" error="Listeden bir değer seçin." type="list">
      <formula1>"Akıl,Çene,Kurnazlık,Cesaret,Pişkinlik,İtibar,Gönül,Dayanıklılık,Sosyal Radar"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 customWidth="1" min="2" max="2"/>
    <col width="10" customWidth="1" min="3" max="3"/>
    <col width="70" customWidth="1" min="4" max="4"/>
    <col width="40" customWidth="1" min="5" max="5"/>
    <col width="9" customWidth="1" min="6" max="6"/>
  </cols>
  <sheetData>
    <row r="1" ht="32" customHeight="1">
      <c r="A1" s="4" t="inlineStr">
        <is>
          <t>Olay ID</t>
        </is>
      </c>
      <c r="B1" s="4" t="inlineStr">
        <is>
          <t>Özellik</t>
        </is>
      </c>
      <c r="C1" s="4" t="inlineStr">
        <is>
          <t>Zorluk</t>
        </is>
      </c>
      <c r="D1" s="4" t="inlineStr">
        <is>
          <t>İç ses metni</t>
        </is>
      </c>
      <c r="E1" s="4" t="inlineStr">
        <is>
          <t>Başarısızlık metni</t>
        </is>
      </c>
      <c r="F1" s="4" t="inlineStr">
        <is>
          <t>Seçenek açar</t>
        </is>
      </c>
    </row>
    <row r="2">
      <c r="A2" s="5" t="inlineStr">
        <is>
          <t>dogum</t>
        </is>
      </c>
      <c r="B2" s="5" t="inlineStr">
        <is>
          <t>Sosyal Radar</t>
        </is>
      </c>
      <c r="C2" s="5" t="inlineStr">
        <is>
          <t>Kolay</t>
        </is>
      </c>
      <c r="D2" s="6" t="inlineStr">
        <is>
          <t>Odada altı kişi var. Beşi sana bakıyor. Altıncısı faturaya.</t>
        </is>
      </c>
      <c r="E2" s="6" t="inlineStr"/>
      <c r="F2" s="5" t="inlineStr"/>
    </row>
    <row r="3">
      <c r="A3" s="5" t="inlineStr">
        <is>
          <t>dogum</t>
        </is>
      </c>
      <c r="B3" s="5" t="inlineStr">
        <is>
          <t>Pişkinlik</t>
        </is>
      </c>
      <c r="C3" s="5" t="inlineStr">
        <is>
          <t>Orta</t>
        </is>
      </c>
      <c r="D3" s="6" t="inlineStr">
        <is>
          <t>Sahne senin. Işıklar hazır. Ağlamak, açılış için yeterince güçlü bir numara.</t>
        </is>
      </c>
      <c r="E3" s="6" t="inlineStr"/>
      <c r="F3" s="5" t="inlineStr"/>
    </row>
    <row r="4">
      <c r="A4" s="5" t="inlineStr">
        <is>
          <t>yasak-nesne</t>
        </is>
      </c>
      <c r="B4" s="5" t="inlineStr">
        <is>
          <t>Kurnazlık</t>
        </is>
      </c>
      <c r="C4" s="5" t="inlineStr">
        <is>
          <t>Kolay</t>
        </is>
      </c>
      <c r="D4" s="6" t="inlineStr">
        <is>
          <t>Parlak şeyler pahalıdır. Pahalı şeyler yüksekte durur. Bu sehpada bir hesap hatası var.</t>
        </is>
      </c>
      <c r="E4" s="6" t="inlineStr"/>
      <c r="F4" s="5" t="inlineStr"/>
    </row>
    <row r="5">
      <c r="A5" s="5" t="inlineStr">
        <is>
          <t>yasak-nesne</t>
        </is>
      </c>
      <c r="B5" s="5" t="inlineStr">
        <is>
          <t>İtibar</t>
        </is>
      </c>
      <c r="C5" s="5" t="inlineStr">
        <is>
          <t>Orta</t>
        </is>
      </c>
      <c r="D5" s="6" t="inlineStr">
        <is>
          <t>Bu nesneye dokunursan birileri üzülecek. Muhtemelen sen, biraz sonra.</t>
        </is>
      </c>
      <c r="E5" s="6" t="inlineStr"/>
      <c r="F5" s="5" t="inlineStr"/>
    </row>
    <row r="6">
      <c r="A6" s="5" t="inlineStr">
        <is>
          <t>vazo-kirildi</t>
        </is>
      </c>
      <c r="B6" s="5" t="inlineStr">
        <is>
          <t>Sosyal Radar</t>
        </is>
      </c>
      <c r="C6" s="5" t="inlineStr">
        <is>
          <t>Orta</t>
        </is>
      </c>
      <c r="D6" s="6" t="inlineStr">
        <is>
          <t>Kedi seni izlemiyor. Annenin ayak seslerini izliyor. Dört saniyen var.</t>
        </is>
      </c>
      <c r="E6" s="6" t="inlineStr"/>
      <c r="F6" s="5" t="inlineStr">
        <is>
          <t>E</t>
        </is>
      </c>
    </row>
    <row r="7">
      <c r="A7" s="5" t="inlineStr">
        <is>
          <t>vazo-kirildi</t>
        </is>
      </c>
      <c r="B7" s="5" t="inlineStr">
        <is>
          <t>Pişkinlik</t>
        </is>
      </c>
      <c r="C7" s="5" t="inlineStr">
        <is>
          <t>Zor</t>
        </is>
      </c>
      <c r="D7" s="6" t="inlineStr">
        <is>
          <t>Kedinin avukatı yok. Sadece söylüyorum.</t>
        </is>
      </c>
      <c r="E7" s="6" t="inlineStr"/>
      <c r="F7" s="5" t="inlineStr"/>
    </row>
    <row r="8">
      <c r="A8" s="5" t="inlineStr">
        <is>
          <t>vazo-kirildi</t>
        </is>
      </c>
      <c r="B8" s="5" t="inlineStr">
        <is>
          <t>İtibar</t>
        </is>
      </c>
      <c r="C8" s="5" t="inlineStr">
        <is>
          <t>Kolay</t>
        </is>
      </c>
      <c r="D8" s="6" t="inlineStr">
        <is>
          <t>Bu vazo babaanneden kalmaydı. Babaanne hâlâ hayatta. Bu durumu daha da kötüleştiriyor.</t>
        </is>
      </c>
      <c r="E8" s="6" t="inlineStr">
        <is>
          <t>…İtibarın bu sırada başka bir şeyle meşguldü.</t>
        </is>
      </c>
      <c r="F8" s="5" t="inlineStr"/>
    </row>
    <row r="9">
      <c r="A9" s="5" t="inlineStr">
        <is>
          <t>ilk-harclik</t>
        </is>
      </c>
      <c r="B9" s="5" t="inlineStr">
        <is>
          <t>Kurnazlık</t>
        </is>
      </c>
      <c r="C9" s="5" t="inlineStr">
        <is>
          <t>Orta</t>
        </is>
      </c>
      <c r="D9" s="6" t="inlineStr">
        <is>
          <t>Bu bozukluklar tek başına bir şey değil. Ama dedenin cebi her bayram dolu. Bayram çok.</t>
        </is>
      </c>
      <c r="E9" s="6" t="inlineStr"/>
      <c r="F9" s="5" t="inlineStr"/>
    </row>
    <row r="10">
      <c r="A10" s="5" t="inlineStr">
        <is>
          <t>ilk-harclik</t>
        </is>
      </c>
      <c r="B10" s="5" t="inlineStr">
        <is>
          <t>Çene</t>
        </is>
      </c>
      <c r="C10" s="5" t="inlineStr">
        <is>
          <t>Kolay</t>
        </is>
      </c>
      <c r="D10" s="6" t="inlineStr">
        <is>
          <t>Karşıdaki çocuğun elinde kraker var. Kraker de bir para birimidir.</t>
        </is>
      </c>
      <c r="E10" s="6" t="inlineStr"/>
      <c r="F10" s="5" t="inlineStr"/>
    </row>
    <row r="11">
      <c r="A11" s="5" t="inlineStr">
        <is>
          <t>kim-yapti</t>
        </is>
      </c>
      <c r="B11" s="5" t="inlineStr">
        <is>
          <t>İtibar</t>
        </is>
      </c>
      <c r="C11" s="5" t="inlineStr">
        <is>
          <t>Kolay</t>
        </is>
      </c>
      <c r="D11" s="6" t="inlineStr">
        <is>
          <t>Doğruyu söylersen bugün kötü geçer. Yalan söylersen bu gece kötü geçer.</t>
        </is>
      </c>
      <c r="E11" s="6" t="inlineStr"/>
      <c r="F11" s="5" t="inlineStr"/>
    </row>
    <row r="12">
      <c r="A12" s="5" t="inlineStr">
        <is>
          <t>kim-yapti</t>
        </is>
      </c>
      <c r="B12" s="5" t="inlineStr">
        <is>
          <t>Akıl</t>
        </is>
      </c>
      <c r="C12" s="5" t="inlineStr">
        <is>
          <t>Orta</t>
        </is>
      </c>
      <c r="D12" s="6" t="inlineStr">
        <is>
          <t>Baban kalemin kapağını tutuyor. Kalemin kendisi senin cebinde. Bu bir soruşturma değil, bir sadakat testi.</t>
        </is>
      </c>
      <c r="E12" s="6" t="inlineStr"/>
      <c r="F12" s="5" t="inlineStr">
        <is>
          <t>E</t>
        </is>
      </c>
    </row>
    <row r="13">
      <c r="A13" s="5" t="inlineStr">
        <is>
          <t>ilk-gercek-yalan</t>
        </is>
      </c>
      <c r="B13" s="5" t="inlineStr">
        <is>
          <t>Pişkinlik</t>
        </is>
      </c>
      <c r="C13" s="5" t="inlineStr">
        <is>
          <t>Orta</t>
        </is>
      </c>
      <c r="D13" s="6" t="inlineStr">
        <is>
          <t>Göz teması kur. Gözünü kırpma. Kırpma dedik.</t>
        </is>
      </c>
      <c r="E13" s="6" t="inlineStr"/>
      <c r="F13" s="5" t="inlineStr"/>
    </row>
    <row r="14">
      <c r="A14" s="5" t="inlineStr">
        <is>
          <t>ilk-gercek-yalan</t>
        </is>
      </c>
      <c r="B14" s="5" t="inlineStr">
        <is>
          <t>İtibar</t>
        </is>
      </c>
      <c r="C14" s="5" t="inlineStr">
        <is>
          <t>Kolay</t>
        </is>
      </c>
      <c r="D14" s="6" t="inlineStr">
        <is>
          <t>Annen sana hâlâ “benim akıllım” diyor. Bu cümlenin bugün bir sınavı var.</t>
        </is>
      </c>
      <c r="E14" s="6" t="inlineStr"/>
      <c r="F14" s="5" t="inlineStr"/>
    </row>
    <row r="15">
      <c r="A15" s="5" t="inlineStr">
        <is>
          <t>mahalle-bakkali</t>
        </is>
      </c>
      <c r="B15" s="5" t="inlineStr">
        <is>
          <t>Sosyal Radar</t>
        </is>
      </c>
      <c r="C15" s="5" t="inlineStr">
        <is>
          <t>Orta</t>
        </is>
      </c>
      <c r="D15" s="6" t="inlineStr">
        <is>
          <t>Bakkal mahalledeki herkesin borcunu ezbere biliyor. Seninkini de. Henüz yok ama biliyor.</t>
        </is>
      </c>
      <c r="E15" s="6" t="inlineStr"/>
      <c r="F15" s="5" t="inlineStr"/>
    </row>
    <row r="16">
      <c r="A16" s="5" t="inlineStr">
        <is>
          <t>mahalle-bakkali</t>
        </is>
      </c>
      <c r="B16" s="5" t="inlineStr">
        <is>
          <t>Kurnazlık</t>
        </is>
      </c>
      <c r="C16" s="5" t="inlineStr">
        <is>
          <t>Zor</t>
        </is>
      </c>
      <c r="D16" s="6" t="inlineStr">
        <is>
          <t>Terazinin kefesinin altında bir sakız yapışık. Yıllardır orada. Terazi yıllardır bir sakız ağırlığında yanılıyor.</t>
        </is>
      </c>
      <c r="E16" s="6" t="inlineStr"/>
      <c r="F16" s="5" t="inlineStr"/>
    </row>
    <row r="17">
      <c r="A17" s="5" t="inlineStr">
        <is>
          <t>sana-guluyorlar</t>
        </is>
      </c>
      <c r="B17" s="5" t="inlineStr">
        <is>
          <t>Dayanıklılık</t>
        </is>
      </c>
      <c r="C17" s="5" t="inlineStr">
        <is>
          <t>Kolay</t>
        </is>
      </c>
      <c r="D17" s="6" t="inlineStr">
        <is>
          <t>Bu an geçecek. Otuz yıl sonra bir düğünde biri hatırlatacak. O an da geçecek.</t>
        </is>
      </c>
      <c r="E17" s="6" t="inlineStr"/>
      <c r="F17" s="5" t="inlineStr"/>
    </row>
    <row r="18">
      <c r="A18" s="5" t="inlineStr">
        <is>
          <t>sana-guluyorlar</t>
        </is>
      </c>
      <c r="B18" s="5" t="inlineStr">
        <is>
          <t>Cesaret</t>
        </is>
      </c>
      <c r="C18" s="5" t="inlineStr">
        <is>
          <t>Orta</t>
        </is>
      </c>
      <c r="D18" s="6" t="inlineStr">
        <is>
          <t>Gülen üç kişi. İkisi neye güldüğünü bilmiyor. Üçüncüsü de emin değil.</t>
        </is>
      </c>
      <c r="E18" s="6" t="inlineStr"/>
      <c r="F18" s="5" t="inlineStr"/>
    </row>
    <row r="19">
      <c r="A19" s="5" t="inlineStr">
        <is>
          <t>aileler-kiyasliyor</t>
        </is>
      </c>
      <c r="B19" s="5" t="inlineStr">
        <is>
          <t>Sosyal Radar</t>
        </is>
      </c>
      <c r="C19" s="5" t="inlineStr">
        <is>
          <t>Orta</t>
        </is>
      </c>
      <c r="D19" s="6" t="inlineStr">
        <is>
          <t>Teyzenin ağzı “Ne tatlı” diyor. Gözleri “Ama bizimki kadar değil” diyor.</t>
        </is>
      </c>
      <c r="E19" s="6" t="inlineStr"/>
      <c r="F19" s="5" t="inlineStr"/>
    </row>
    <row r="20">
      <c r="A20" s="5" t="inlineStr">
        <is>
          <t>tepsiyle-kayak</t>
        </is>
      </c>
      <c r="B20" s="5" t="inlineStr">
        <is>
          <t>Akıl</t>
        </is>
      </c>
      <c r="C20" s="5" t="inlineStr">
        <is>
          <t>Orta</t>
        </is>
      </c>
      <c r="D20" s="6" t="inlineStr">
        <is>
          <t>Yokuşun sonunda bir çöp konteyneri var. Tepsinin freni yok. Bu iki bilgiyi aynı cümlede düşün.</t>
        </is>
      </c>
      <c r="E20" s="6" t="inlineStr"/>
      <c r="F20" s="5" t="inlineStr"/>
    </row>
    <row r="21">
      <c r="A21" s="5" t="inlineStr">
        <is>
          <t>tepsiyle-kayak</t>
        </is>
      </c>
      <c r="B21" s="5" t="inlineStr">
        <is>
          <t>Cesaret</t>
        </is>
      </c>
      <c r="C21" s="5" t="inlineStr">
        <is>
          <t>Kolay</t>
        </is>
      </c>
      <c r="D21" s="6" t="inlineStr">
        <is>
          <t>Asker gibi otur, tepsiyi sıkı tut, gözünü kapama. Annen balkonda değilken, marş!</t>
        </is>
      </c>
      <c r="E21" s="6" t="inlineStr"/>
      <c r="F21" s="5" t="inlineStr"/>
    </row>
    <row r="22">
      <c r="A22" s="5" t="inlineStr">
        <is>
          <t>ilkokul-kapisi</t>
        </is>
      </c>
      <c r="B22" s="5" t="inlineStr">
        <is>
          <t>Cesaret</t>
        </is>
      </c>
      <c r="C22" s="5" t="inlineStr">
        <is>
          <t>Kolay</t>
        </is>
      </c>
      <c r="D22" s="6" t="inlineStr">
        <is>
          <t>Bina büyük ama kapı normal boyutta. Başlangıç için yeterli.</t>
        </is>
      </c>
      <c r="E22" s="6" t="inlineStr"/>
      <c r="F22" s="5" t="inlineStr"/>
    </row>
    <row r="23">
      <c r="A23" s="5" t="inlineStr">
        <is>
          <t>ilkokul-kapisi</t>
        </is>
      </c>
      <c r="B23" s="5" t="inlineStr">
        <is>
          <t>Akıl</t>
        </is>
      </c>
      <c r="C23" s="5" t="inlineStr">
        <is>
          <t>Orta</t>
        </is>
      </c>
      <c r="D23" s="6" t="inlineStr">
        <is>
          <t>Koridorda on iki kapı var. Resimli olanlar küçük sınıflar. Sen artık küçük sınıfsın. Bunu kabullen.</t>
        </is>
      </c>
      <c r="E23" s="6" t="inlineStr"/>
      <c r="F23" s="5" t="inlineStr"/>
    </row>
    <row r="24">
      <c r="A24" s="5" t="inlineStr">
        <is>
          <t>sinif-baskani</t>
        </is>
      </c>
      <c r="B24" s="5" t="inlineStr">
        <is>
          <t>Çene</t>
        </is>
      </c>
      <c r="C24" s="5" t="inlineStr">
        <is>
          <t>Orta</t>
        </is>
      </c>
      <c r="D24" s="6" t="inlineStr">
        <is>
          <t>Vaat ne kadar büyükse oy o kadar çok. Uygulama kısmı seçimden sonraki bir sorun.</t>
        </is>
      </c>
      <c r="E24" s="6" t="inlineStr"/>
      <c r="F24" s="5" t="inlineStr"/>
    </row>
    <row r="25">
      <c r="A25" s="5" t="inlineStr">
        <is>
          <t>sinif-baskani</t>
        </is>
      </c>
      <c r="B25" s="5" t="inlineStr">
        <is>
          <t>İtibar</t>
        </is>
      </c>
      <c r="C25" s="5" t="inlineStr">
        <is>
          <t>Orta</t>
        </is>
      </c>
      <c r="D25" s="6" t="inlineStr">
        <is>
          <t>Akvaryum vaat eden aday, balıklara kimin bakacağını söylemedi. Söylese seçilmezdi.</t>
        </is>
      </c>
      <c r="E25" s="6" t="inlineStr"/>
      <c r="F25" s="5" t="inlineStr"/>
    </row>
    <row r="26">
      <c r="A26" s="5" t="inlineStr">
        <is>
          <t>balkondaki-ucurtma</t>
        </is>
      </c>
      <c r="B26" s="5" t="inlineStr">
        <is>
          <t>Cesaret</t>
        </is>
      </c>
      <c r="C26" s="5" t="inlineStr">
        <is>
          <t>Kolay</t>
        </is>
      </c>
      <c r="D26" s="6" t="inlineStr">
        <is>
          <t>Dut dalı sağlamdır evladım, biz de çıkardık. Bir kere ben de düştüm, bayram ziyaretine alçıyla gittim. Güzel günlerdi.</t>
        </is>
      </c>
      <c r="E26" s="6" t="inlineStr"/>
      <c r="F26" s="5" t="inlineStr"/>
    </row>
    <row r="27">
      <c r="A27" s="5" t="inlineStr">
        <is>
          <t>balkondaki-ucurtma</t>
        </is>
      </c>
      <c r="B27" s="5" t="inlineStr">
        <is>
          <t>İtibar</t>
        </is>
      </c>
      <c r="C27" s="5" t="inlineStr">
        <is>
          <t>Orta</t>
        </is>
      </c>
      <c r="D27" s="6" t="inlineStr">
        <is>
          <t>Bu uçurtmayı sana deden aldı. Pazar günü gelip “Uçurtma nerede?” diye soracak.</t>
        </is>
      </c>
      <c r="E27" s="6" t="inlineStr">
        <is>
          <t>…İtibarın sesini rüzgâra kaptırdı.</t>
        </is>
      </c>
      <c r="F27" s="5" t="inlineStr"/>
    </row>
    <row r="28">
      <c r="A28" s="5" t="inlineStr">
        <is>
          <t>veli-toplantisi</t>
        </is>
      </c>
      <c r="B28" s="5" t="inlineStr">
        <is>
          <t>Sosyal Radar</t>
        </is>
      </c>
      <c r="C28" s="5" t="inlineStr">
        <is>
          <t>Zor</t>
        </is>
      </c>
      <c r="D28" s="6" t="inlineStr">
        <is>
          <t>Öğretmenin önündeki defter kalın. İnce defter iyi haberdir. Kalın defterin sonunda annen “Eve gidince konuşuruz” der.</t>
        </is>
      </c>
      <c r="E28" s="6" t="inlineStr"/>
      <c r="F28" s="5" t="inlineStr"/>
    </row>
    <row r="29">
      <c r="A29" s="5" t="inlineStr">
        <is>
          <t>veli-toplantisi</t>
        </is>
      </c>
      <c r="B29" s="5" t="inlineStr">
        <is>
          <t>Dayanıklılık</t>
        </is>
      </c>
      <c r="C29" s="5" t="inlineStr">
        <is>
          <t>Kolay</t>
        </is>
      </c>
      <c r="D29" s="6" t="inlineStr">
        <is>
          <t>Kapının bu tarafında olmak, ömrünün en uzun yirmi dakikası olacak. Şimdilik.</t>
        </is>
      </c>
      <c r="E29" s="6" t="inlineStr"/>
      <c r="F29" s="5" t="inlineStr"/>
    </row>
    <row r="30">
      <c r="A30" s="5" t="inlineStr">
        <is>
          <t>karne-gunu</t>
        </is>
      </c>
      <c r="B30" s="5" t="inlineStr">
        <is>
          <t>Dayanıklılık</t>
        </is>
      </c>
      <c r="C30" s="5" t="inlineStr">
        <is>
          <t>Orta</t>
        </is>
      </c>
      <c r="D30" s="6" t="inlineStr">
        <is>
          <t>Eve 800 metre var. Her adım bir savunma cümlesi. Yeterince yürüdün, yeterince yazdın.</t>
        </is>
      </c>
      <c r="E30" s="6" t="inlineStr"/>
      <c r="F30" s="5" t="inlineStr"/>
    </row>
    <row r="31">
      <c r="A31" s="5" t="inlineStr">
        <is>
          <t>karne-gunu</t>
        </is>
      </c>
      <c r="B31" s="5" t="inlineStr">
        <is>
          <t>Akıl</t>
        </is>
      </c>
      <c r="C31" s="5" t="inlineStr">
        <is>
          <t>Kolay</t>
        </is>
      </c>
      <c r="D31" s="6" t="inlineStr">
        <is>
          <t>Karnedeki notlar değişmeyecek. Değişecek tek şey, onları nasıl sunduğun. Bu da bir tür matematik.</t>
        </is>
      </c>
      <c r="E31" s="6" t="inlineStr"/>
      <c r="F31" s="5" t="inlineStr"/>
    </row>
    <row r="32">
      <c r="A32" s="5" t="inlineStr">
        <is>
          <t>b4-ilk-telefon</t>
        </is>
      </c>
      <c r="B32" s="5" t="inlineStr">
        <is>
          <t>Kurnazlık</t>
        </is>
      </c>
      <c r="C32" s="5" t="inlineStr">
        <is>
          <t>Orta</t>
        </is>
      </c>
      <c r="D32" s="6" t="inlineStr">
        <is>
          <t>Denetim şifresi babanın doğum yılı. Bütün şifreler gibi.</t>
        </is>
      </c>
      <c r="E32" s="6" t="inlineStr"/>
      <c r="F32" s="5" t="inlineStr">
        <is>
          <t>E</t>
        </is>
      </c>
    </row>
    <row r="33">
      <c r="A33" s="5" t="inlineStr">
        <is>
          <t>b4-ilk-telefon</t>
        </is>
      </c>
      <c r="B33" s="5" t="inlineStr">
        <is>
          <t>İtibar</t>
        </is>
      </c>
      <c r="C33" s="5" t="inlineStr">
        <is>
          <t>Kolay</t>
        </is>
      </c>
      <c r="D33" s="6" t="inlineStr">
        <is>
          <t>Bu telefonun faturası annenin adına. Her bildirim bir gün onun ekranına da düşecek.</t>
        </is>
      </c>
      <c r="E33" s="6" t="inlineStr"/>
      <c r="F33" s="5" t="inlineStr"/>
    </row>
    <row r="34">
      <c r="A34" s="5" t="inlineStr">
        <is>
          <t>b4-aile-grubu</t>
        </is>
      </c>
      <c r="B34" s="5" t="inlineStr">
        <is>
          <t>Sosyal Radar</t>
        </is>
      </c>
      <c r="C34" s="5" t="inlineStr">
        <is>
          <t>Orta</t>
        </is>
      </c>
      <c r="D34" s="6" t="inlineStr">
        <is>
          <t>Halanın 'Herkes görüyor ama kimse yazmıyor' mesajı sana. Henüz bilmiyorsun.</t>
        </is>
      </c>
      <c r="E34" s="6" t="inlineStr"/>
      <c r="F34" s="5" t="inlineStr"/>
    </row>
    <row r="35">
      <c r="A35" s="5" t="inlineStr">
        <is>
          <t>b4-aile-grubu</t>
        </is>
      </c>
      <c r="B35" s="5" t="inlineStr">
        <is>
          <t>Pişkinlik</t>
        </is>
      </c>
      <c r="C35" s="5" t="inlineStr">
        <is>
          <t>Zor</t>
        </is>
      </c>
      <c r="D35" s="6" t="inlineStr">
        <is>
          <t>Bu grup bir sahne. Seyirci yaşlı ama sadık.</t>
        </is>
      </c>
      <c r="E35" s="6" t="inlineStr"/>
      <c r="F35" s="5" t="inlineStr"/>
    </row>
    <row r="36">
      <c r="A36" s="5" t="inlineStr">
        <is>
          <t>b4-oyun-faturasi</t>
        </is>
      </c>
      <c r="B36" s="5" t="inlineStr">
        <is>
          <t>Akıl</t>
        </is>
      </c>
      <c r="C36" s="5" t="inlineStr">
        <is>
          <t>Orta</t>
        </is>
      </c>
      <c r="D36" s="6" t="inlineStr">
        <is>
          <t>Bir elmas paketi, bir haftalık market alışverişi. Oyun bunu söylemiyor. Ekstre söyleyecek.</t>
        </is>
      </c>
      <c r="E36" s="6" t="inlineStr"/>
      <c r="F36" s="5" t="inlineStr"/>
    </row>
    <row r="37">
      <c r="A37" s="5" t="inlineStr">
        <is>
          <t>b4-oyun-faturasi</t>
        </is>
      </c>
      <c r="B37" s="5" t="inlineStr">
        <is>
          <t>Kurnazlık</t>
        </is>
      </c>
      <c r="C37" s="5" t="inlineStr">
        <is>
          <t>Zor</t>
        </is>
      </c>
      <c r="D37" s="6" t="inlineStr">
        <is>
          <t>Ödeme, annenin parmak iziyle onaylanıyor. Annen şu an kanepede, akşam dizisinin karşısında uyukluyor.</t>
        </is>
      </c>
      <c r="E37" s="6" t="inlineStr"/>
      <c r="F37" s="5" t="inlineStr">
        <is>
          <t>E</t>
        </is>
      </c>
    </row>
    <row r="38">
      <c r="A38" s="5" t="inlineStr">
        <is>
          <t>b4-flut</t>
        </is>
      </c>
      <c r="B38" s="5" t="inlineStr">
        <is>
          <t>İtibar</t>
        </is>
      </c>
      <c r="C38" s="5" t="inlineStr">
        <is>
          <t>Kolay</t>
        </is>
      </c>
      <c r="D38" s="6" t="inlineStr">
        <is>
          <t>Flüt, bir ailenin sabrını ölçmek için icat edildi. Bu, bilimsel değil ama doğru.</t>
        </is>
      </c>
      <c r="E38" s="6" t="inlineStr"/>
      <c r="F38" s="5" t="inlineStr"/>
    </row>
    <row r="39">
      <c r="A39" s="5" t="inlineStr">
        <is>
          <t>b4-sinif-grubu</t>
        </is>
      </c>
      <c r="B39" s="5" t="inlineStr">
        <is>
          <t>Sosyal Radar</t>
        </is>
      </c>
      <c r="C39" s="5" t="inlineStr">
        <is>
          <t>Orta</t>
        </is>
      </c>
      <c r="D39" s="6" t="inlineStr">
        <is>
          <t>Grupta öğretmenin kızı da var. Kimse bunu hatırlamıyor.</t>
        </is>
      </c>
      <c r="E39" s="6" t="inlineStr"/>
      <c r="F39" s="5" t="inlineStr">
        <is>
          <t>E</t>
        </is>
      </c>
    </row>
    <row r="40">
      <c r="A40" s="5" t="inlineStr">
        <is>
          <t>b4-sinif-grubu</t>
        </is>
      </c>
      <c r="B40" s="5" t="inlineStr">
        <is>
          <t>İtibar</t>
        </is>
      </c>
      <c r="C40" s="5" t="inlineStr">
        <is>
          <t>Kolay</t>
        </is>
      </c>
      <c r="D40" s="6" t="inlineStr">
        <is>
          <t>Yazdığın her şey birinin ekran görüntüsü klasörüne gidecek. Oradan hiçbir şey çıkmaz.</t>
        </is>
      </c>
      <c r="E40" s="6" t="inlineStr"/>
      <c r="F40" s="5" t="inlineStr"/>
    </row>
    <row r="41">
      <c r="A41" s="5" t="inlineStr">
        <is>
          <t>b4-kisa-video</t>
        </is>
      </c>
      <c r="B41" s="5" t="inlineStr">
        <is>
          <t>Pişkinlik</t>
        </is>
      </c>
      <c r="C41" s="5" t="inlineStr">
        <is>
          <t>Orta</t>
        </is>
      </c>
      <c r="D41" s="6" t="inlineStr">
        <is>
          <t>Kamera açılınca utanç kapanır. Bu bir teknik özellik.</t>
        </is>
      </c>
      <c r="E41" s="6" t="inlineStr"/>
      <c r="F41" s="5" t="inlineStr"/>
    </row>
    <row r="42">
      <c r="A42" s="5" t="inlineStr">
        <is>
          <t>b4-kisa-video</t>
        </is>
      </c>
      <c r="B42" s="5" t="inlineStr">
        <is>
          <t>Dayanıklılık</t>
        </is>
      </c>
      <c r="C42" s="5" t="inlineStr">
        <is>
          <t>Kolay</t>
        </is>
      </c>
      <c r="D42" s="6" t="inlineStr">
        <is>
          <t>Aynı dansı kırk kez çekeceksin. Otuz dokuzu yalnızca senin telefonunda kalacak.</t>
        </is>
      </c>
      <c r="E42" s="6" t="inlineStr"/>
      <c r="F42" s="5" t="inlineStr"/>
    </row>
    <row r="43">
      <c r="A43" s="5" t="inlineStr">
        <is>
          <t>b4-kuzen-kiyaslama</t>
        </is>
      </c>
      <c r="B43" s="5" t="inlineStr">
        <is>
          <t>İtibar</t>
        </is>
      </c>
      <c r="C43" s="5" t="inlineStr">
        <is>
          <t>Orta</t>
        </is>
      </c>
      <c r="D43" s="6" t="inlineStr">
        <is>
          <t>Kuzenin de mutlu görünmüyor. Onun annesi de onu bir başkasıyla kıyaslıyor. Zincir uzun.</t>
        </is>
      </c>
      <c r="E43" s="6" t="inlineStr"/>
      <c r="F43" s="5" t="inlineStr"/>
    </row>
    <row r="44">
      <c r="A44" s="5" t="inlineStr">
        <is>
          <t>b4-kuzen-kiyaslama</t>
        </is>
      </c>
      <c r="B44" s="5" t="inlineStr">
        <is>
          <t>Çene</t>
        </is>
      </c>
      <c r="C44" s="5" t="inlineStr">
        <is>
          <t>Kolay</t>
        </is>
      </c>
      <c r="D44" s="6" t="inlineStr">
        <is>
          <t>Her kıyaslamanın bir karşı argümanı vardır. Kuzenin henüz yapmadığı tek şeyi bul.</t>
        </is>
      </c>
      <c r="E44" s="6" t="inlineStr"/>
      <c r="F44" s="5" t="inlineStr"/>
    </row>
    <row r="45">
      <c r="A45" s="5" t="inlineStr">
        <is>
          <t>b4-ekran-suresi</t>
        </is>
      </c>
      <c r="B45" s="5" t="inlineStr">
        <is>
          <t>Kurnazlık</t>
        </is>
      </c>
      <c r="C45" s="5" t="inlineStr">
        <is>
          <t>Orta</t>
        </is>
      </c>
      <c r="D45" s="6" t="inlineStr">
        <is>
          <t>Babanın telefonunda da boş bir hesap makinesi var. İki suçlu, bir suçludan daha az suçludur.</t>
        </is>
      </c>
      <c r="E45" s="6" t="inlineStr"/>
      <c r="F45" s="5" t="inlineStr">
        <is>
          <t>E</t>
        </is>
      </c>
    </row>
    <row r="46">
      <c r="A46" s="5" t="inlineStr">
        <is>
          <t>b4-ekran-suresi</t>
        </is>
      </c>
      <c r="B46" s="5" t="inlineStr">
        <is>
          <t>Çene</t>
        </is>
      </c>
      <c r="C46" s="5" t="inlineStr">
        <is>
          <t>Kolay</t>
        </is>
      </c>
      <c r="D46" s="6" t="inlineStr">
        <is>
          <t>Rakam konuşmaz. Rakamı yorumlayan konuşur. Sen yorumla.</t>
        </is>
      </c>
      <c r="E46" s="6" t="inlineStr"/>
      <c r="F46" s="5" t="inlineStr"/>
    </row>
    <row r="47">
      <c r="A47" s="5" t="inlineStr">
        <is>
          <t>b4-mahalle-haraccilari</t>
        </is>
      </c>
      <c r="B47" s="5" t="inlineStr">
        <is>
          <t>Kurnazlık</t>
        </is>
      </c>
      <c r="C47" s="5" t="inlineStr">
        <is>
          <t>Kolay</t>
        </is>
      </c>
      <c r="D47" s="6" t="inlineStr">
        <is>
          <t>Bakkalın kamerası var. Çalışıp çalışmadığını kimse bilmiyor. Onlar da bilmiyor.</t>
        </is>
      </c>
      <c r="E47" s="6" t="inlineStr"/>
      <c r="F47" s="5" t="inlineStr"/>
    </row>
    <row r="48">
      <c r="A48" s="5" t="inlineStr">
        <is>
          <t>b4-mahalle-haraccilari</t>
        </is>
      </c>
      <c r="B48" s="5" t="inlineStr">
        <is>
          <t>Sosyal Radar</t>
        </is>
      </c>
      <c r="C48" s="5" t="inlineStr">
        <is>
          <t>Zor</t>
        </is>
      </c>
      <c r="D48" s="6" t="inlineStr">
        <is>
          <t>Ortadaki, bakkalın yeğeni. Bakkal da annenin eski sınıf arkadaşı.</t>
        </is>
      </c>
      <c r="E48" s="6" t="inlineStr"/>
      <c r="F48" s="5" t="inlineStr">
        <is>
          <t>E</t>
        </is>
      </c>
    </row>
    <row r="49">
      <c r="A49" s="5" t="inlineStr">
        <is>
          <t>b4-sivilce</t>
        </is>
      </c>
      <c r="B49" s="5" t="inlineStr">
        <is>
          <t>Pişkinlik</t>
        </is>
      </c>
      <c r="C49" s="5" t="inlineStr">
        <is>
          <t>Orta</t>
        </is>
      </c>
      <c r="D49" s="6" t="inlineStr">
        <is>
          <t>O bir sivilce değil, bir karakter unsuru.</t>
        </is>
      </c>
      <c r="E49" s="6" t="inlineStr"/>
      <c r="F49" s="5" t="inlineStr"/>
    </row>
    <row r="50">
      <c r="A50" s="5" t="inlineStr">
        <is>
          <t>b4-sivilce</t>
        </is>
      </c>
      <c r="B50" s="5" t="inlineStr">
        <is>
          <t>Akıl</t>
        </is>
      </c>
      <c r="C50" s="5" t="inlineStr">
        <is>
          <t>Kolay</t>
        </is>
      </c>
      <c r="D50" s="6" t="inlineStr">
        <is>
          <t>Sıkarsan iki katı olur. Bu bir fizik kuralı değil ama öyle işler.</t>
        </is>
      </c>
      <c r="E50" s="6" t="inlineStr"/>
      <c r="F50" s="5" t="inlineStr"/>
    </row>
    <row r="51">
      <c r="A51" s="5" t="inlineStr">
        <is>
          <t>b4-ses-catlamasi</t>
        </is>
      </c>
      <c r="B51" s="5" t="inlineStr">
        <is>
          <t>Dayanıklılık</t>
        </is>
      </c>
      <c r="C51" s="5" t="inlineStr">
        <is>
          <t>Orta</t>
        </is>
      </c>
      <c r="D51" s="6" t="inlineStr">
        <is>
          <t>Ses tellerin şu an bir şantiye. Baret tak, devam et.</t>
        </is>
      </c>
      <c r="E51" s="6" t="inlineStr"/>
      <c r="F51" s="5" t="inlineStr"/>
    </row>
    <row r="52">
      <c r="A52" s="5" t="inlineStr">
        <is>
          <t>b4-ses-catlamasi</t>
        </is>
      </c>
      <c r="B52" s="5" t="inlineStr">
        <is>
          <t>Cesaret</t>
        </is>
      </c>
      <c r="C52" s="5" t="inlineStr">
        <is>
          <t>Kolay</t>
        </is>
      </c>
      <c r="D52" s="6" t="inlineStr">
        <is>
          <t>Herkes bu yoldan geçti. Öğretmen de. Onun sesi de böyle çatladı. Sadece çok eskiden.</t>
        </is>
      </c>
      <c r="E52" s="6" t="inlineStr"/>
      <c r="F52" s="5" t="inlineStr"/>
    </row>
    <row r="53">
      <c r="A53" s="5" t="inlineStr">
        <is>
          <t>b4-ogretmenler-gunu</t>
        </is>
      </c>
      <c r="B53" s="5" t="inlineStr">
        <is>
          <t>Sosyal Radar</t>
        </is>
      </c>
      <c r="C53" s="5" t="inlineStr">
        <is>
          <t>Orta</t>
        </is>
      </c>
      <c r="D53" s="6" t="inlineStr">
        <is>
          <t>Veli grubundaki tartışma hediyeyle ilgili değil. İki anne geçen yılki doğum günü partisinden beri küs.</t>
        </is>
      </c>
      <c r="E53" s="6" t="inlineStr"/>
      <c r="F53" s="5" t="inlineStr"/>
    </row>
    <row r="54">
      <c r="A54" s="5" t="inlineStr">
        <is>
          <t>b4-ogretmenler-gunu</t>
        </is>
      </c>
      <c r="B54" s="5" t="inlineStr">
        <is>
          <t>İtibar</t>
        </is>
      </c>
      <c r="C54" s="5" t="inlineStr">
        <is>
          <t>Kolay</t>
        </is>
      </c>
      <c r="D54" s="6" t="inlineStr">
        <is>
          <t>Öğretmenin evinde yirmi yıldır biriken kupalar var. Bir el yazısı, bir kupadan ağırdır.</t>
        </is>
      </c>
      <c r="E54" s="6" t="inlineStr"/>
      <c r="F54" s="5" t="inlineStr"/>
    </row>
    <row r="55">
      <c r="A55" s="5" t="inlineStr">
        <is>
          <t>b4-ilk-hoslanti</t>
        </is>
      </c>
      <c r="B55" s="5" t="inlineStr">
        <is>
          <t>Sosyal Radar</t>
        </is>
      </c>
      <c r="C55" s="5" t="inlineStr">
        <is>
          <t>Zor</t>
        </is>
      </c>
      <c r="D55" s="6" t="inlineStr">
        <is>
          <t>Hikâyeni beğendi ama iki saniye sonra. Demek ki iki saniye düşündü.</t>
        </is>
      </c>
      <c r="E55" s="6" t="inlineStr"/>
      <c r="F55" s="5" t="inlineStr">
        <is>
          <t>E</t>
        </is>
      </c>
    </row>
    <row r="56">
      <c r="A56" s="5" t="inlineStr">
        <is>
          <t>b4-ilk-hoslanti</t>
        </is>
      </c>
      <c r="B56" s="5" t="inlineStr">
        <is>
          <t>İtibar</t>
        </is>
      </c>
      <c r="C56" s="5" t="inlineStr">
        <is>
          <t>Kolay</t>
        </is>
      </c>
      <c r="D56" s="6" t="inlineStr">
        <is>
          <t>En yakın arkadaşın da ondan hoşlanıyor. Sadece söylüyorum.</t>
        </is>
      </c>
      <c r="E56" s="6" t="inlineStr"/>
      <c r="F56" s="5" t="inlineStr"/>
    </row>
    <row r="57">
      <c r="A57" s="5" t="inlineStr">
        <is>
          <t>b4-grup-odevi</t>
        </is>
      </c>
      <c r="B57" s="5" t="inlineStr">
        <is>
          <t>Sosyal Radar</t>
        </is>
      </c>
      <c r="C57" s="5" t="inlineStr">
        <is>
          <t>Zor</t>
        </is>
      </c>
      <c r="D57" s="6" t="inlineStr">
        <is>
          <t>Grubun en sessizi aslında hepsini yapmak istiyor. Ona fırsat ver.</t>
        </is>
      </c>
      <c r="E57" s="6" t="inlineStr"/>
      <c r="F57" s="5" t="inlineStr">
        <is>
          <t>E</t>
        </is>
      </c>
    </row>
    <row r="58">
      <c r="A58" s="5" t="inlineStr">
        <is>
          <t>b4-grup-odevi</t>
        </is>
      </c>
      <c r="B58" s="5" t="inlineStr">
        <is>
          <t>Kurnazlık</t>
        </is>
      </c>
      <c r="C58" s="5" t="inlineStr">
        <is>
          <t>Orta</t>
        </is>
      </c>
      <c r="D58" s="6" t="inlineStr">
        <is>
          <t>İlk mesajı atan, işi alır. Bekle.</t>
        </is>
      </c>
      <c r="E58" s="6" t="inlineStr"/>
      <c r="F58" s="5" t="inlineStr"/>
    </row>
    <row r="59">
      <c r="A59" s="5" t="inlineStr">
        <is>
          <t>b4-okul-gezisi</t>
        </is>
      </c>
      <c r="B59" s="5" t="inlineStr">
        <is>
          <t>Kurnazlık</t>
        </is>
      </c>
      <c r="C59" s="5" t="inlineStr">
        <is>
          <t>Orta</t>
        </is>
      </c>
      <c r="D59" s="6" t="inlineStr">
        <is>
          <t>Arka koltuk bir statü sembolü. Ön koltuk bir mide önlemi. İkisini de seçemezsin.</t>
        </is>
      </c>
      <c r="E59" s="6" t="inlineStr"/>
      <c r="F59" s="5" t="inlineStr"/>
    </row>
    <row r="60">
      <c r="A60" s="5" t="inlineStr">
        <is>
          <t>b4-okul-gezisi</t>
        </is>
      </c>
      <c r="B60" s="5" t="inlineStr">
        <is>
          <t>Sosyal Radar</t>
        </is>
      </c>
      <c r="C60" s="5" t="inlineStr">
        <is>
          <t>Kolay</t>
        </is>
      </c>
      <c r="D60" s="6" t="inlineStr">
        <is>
          <t>Kiminle oturduğun, pazartesi kiminle konuşacağını belirler.</t>
        </is>
      </c>
      <c r="E60" s="6" t="inlineStr"/>
      <c r="F60" s="5" t="inlineStr"/>
    </row>
    <row r="61">
      <c r="A61" s="5" t="inlineStr">
        <is>
          <t>b4-ayna</t>
        </is>
      </c>
      <c r="B61" s="5" t="inlineStr">
        <is>
          <t>Pişkinlik</t>
        </is>
      </c>
      <c r="C61" s="5" t="inlineStr">
        <is>
          <t>Kolay</t>
        </is>
      </c>
      <c r="D61" s="6" t="inlineStr">
        <is>
          <t>Bu saç ya çok iyi ya çok kötü. Arası yok. Bugün öğreneceğiz.</t>
        </is>
      </c>
      <c r="E61" s="6" t="inlineStr"/>
      <c r="F61" s="5" t="inlineStr"/>
    </row>
    <row r="62">
      <c r="A62" s="5" t="inlineStr">
        <is>
          <t>b4-bilim-fuari</t>
        </is>
      </c>
      <c r="B62" s="5" t="inlineStr">
        <is>
          <t>Akıl</t>
        </is>
      </c>
      <c r="C62" s="5" t="inlineStr">
        <is>
          <t>Orta</t>
        </is>
      </c>
      <c r="D62" s="6" t="inlineStr">
        <is>
          <t>Jürideki fizik öğretmeni yanardağlardan bıkmış. Soru soran bir çocuk arıyor.</t>
        </is>
      </c>
      <c r="E62" s="6" t="inlineStr"/>
      <c r="F62" s="5" t="inlineStr">
        <is>
          <t>E</t>
        </is>
      </c>
    </row>
    <row r="63">
      <c r="A63" s="5" t="inlineStr">
        <is>
          <t>b4-bilim-fuari</t>
        </is>
      </c>
      <c r="B63" s="5" t="inlineStr">
        <is>
          <t>İtibar</t>
        </is>
      </c>
      <c r="C63" s="5" t="inlineStr">
        <is>
          <t>Kolay</t>
        </is>
      </c>
      <c r="D63" s="6" t="inlineStr">
        <is>
          <t>Projeyi annen yaptı, sen yapıştırdın. Bu da bir katkı. Dar anlamda.</t>
        </is>
      </c>
      <c r="E63" s="6" t="inlineStr"/>
      <c r="F63" s="5" t="inlineStr"/>
    </row>
    <row r="64">
      <c r="A64" s="5" t="inlineStr">
        <is>
          <t>b4-kotu-not</t>
        </is>
      </c>
      <c r="B64" s="5" t="inlineStr">
        <is>
          <t>Pişkinlik</t>
        </is>
      </c>
      <c r="C64" s="5" t="inlineStr">
        <is>
          <t>Orta</t>
        </is>
      </c>
      <c r="D64" s="6" t="inlineStr">
        <is>
          <t>Yüz ifadesi bir kapıdır. Kilitle.</t>
        </is>
      </c>
      <c r="E64" s="6" t="inlineStr"/>
      <c r="F64" s="5" t="inlineStr"/>
    </row>
    <row r="65">
      <c r="A65" s="5" t="inlineStr">
        <is>
          <t>b4-kotu-not</t>
        </is>
      </c>
      <c r="B65" s="5" t="inlineStr">
        <is>
          <t>İtibar</t>
        </is>
      </c>
      <c r="C65" s="5" t="inlineStr">
        <is>
          <t>Kolay</t>
        </is>
      </c>
      <c r="D65" s="6" t="inlineStr">
        <is>
          <t>Kâğıt çantada bekledikçe ağırlaşır. Bu bir fizik kuralı. Babaanne fiziği.</t>
        </is>
      </c>
      <c r="E65" s="6" t="inlineStr"/>
      <c r="F65" s="5" t="inlineStr"/>
    </row>
    <row r="66">
      <c r="A66" s="5" t="inlineStr">
        <is>
          <t>b4-kedinin-hesabi</t>
        </is>
      </c>
      <c r="B66" s="5" t="inlineStr">
        <is>
          <t>Sosyal Radar</t>
        </is>
      </c>
      <c r="C66" s="5" t="inlineStr">
        <is>
          <t>Orta</t>
        </is>
      </c>
      <c r="D66" s="6" t="inlineStr">
        <is>
          <t>İnsanlar kediyi değil, kedinin sana bakışını seviyor. O bakışta bir yargı var.</t>
        </is>
      </c>
      <c r="E66" s="6" t="inlineStr"/>
      <c r="F66" s="5" t="inlineStr"/>
    </row>
    <row r="67">
      <c r="A67" s="5" t="inlineStr">
        <is>
          <t>b4-dershane</t>
        </is>
      </c>
      <c r="B67" s="5" t="inlineStr">
        <is>
          <t>Dayanıklılık</t>
        </is>
      </c>
      <c r="C67" s="5" t="inlineStr">
        <is>
          <t>Orta</t>
        </is>
      </c>
      <c r="D67" s="6" t="inlineStr">
        <is>
          <t>Hafta içi okul, hafta sonu dershane. Pazartesiyle pazar arasındaki fark resmen kaldırıldı.</t>
        </is>
      </c>
      <c r="E67" s="6" t="inlineStr"/>
      <c r="F67" s="5" t="inlineStr"/>
    </row>
    <row r="68">
      <c r="A68" s="5" t="inlineStr">
        <is>
          <t>b4-dershane</t>
        </is>
      </c>
      <c r="B68" s="5" t="inlineStr">
        <is>
          <t>Kurnazlık</t>
        </is>
      </c>
      <c r="C68" s="5" t="inlineStr">
        <is>
          <t>Zor</t>
        </is>
      </c>
      <c r="D68" s="6" t="inlineStr">
        <is>
          <t>Deneme dersi ücretsiz. Yeterince pazarlık edersen deneme dersi beş hafta sürer.</t>
        </is>
      </c>
      <c r="E68" s="6" t="inlineStr"/>
      <c r="F68" s="5" t="inlineStr"/>
    </row>
    <row r="69">
      <c r="A69" s="5" t="inlineStr">
        <is>
          <t>b4-yanlis-grup</t>
        </is>
      </c>
      <c r="B69" s="5" t="inlineStr">
        <is>
          <t>Kurnazlık</t>
        </is>
      </c>
      <c r="C69" s="5" t="inlineStr">
        <is>
          <t>Orta</t>
        </is>
      </c>
      <c r="D69" s="6" t="inlineStr">
        <is>
          <t>Annen sebze doğruyor. Telefonu tezgâhta, ekranı ters. Yedi dakikan var.</t>
        </is>
      </c>
      <c r="E69" s="6" t="inlineStr"/>
      <c r="F69" s="5" t="inlineStr">
        <is>
          <t>E</t>
        </is>
      </c>
    </row>
    <row r="70">
      <c r="A70" s="5" t="inlineStr">
        <is>
          <t>b4-yanlis-grup</t>
        </is>
      </c>
      <c r="B70" s="5" t="inlineStr">
        <is>
          <t>Pişkinlik</t>
        </is>
      </c>
      <c r="C70" s="5" t="inlineStr">
        <is>
          <t>Kolay</t>
        </is>
      </c>
      <c r="D70" s="6" t="inlineStr">
        <is>
          <t>Hata değil bu, canlı yayın. Sofrada gülümse, tabağı bitir, bir tabak daha iste.</t>
        </is>
      </c>
      <c r="E70" s="6" t="inlineStr"/>
      <c r="F70" s="5" t="inlineStr"/>
    </row>
    <row r="71">
      <c r="A71" s="5" t="inlineStr">
        <is>
          <t>b4-apartman-toplantisi</t>
        </is>
      </c>
      <c r="B71" s="5" t="inlineStr">
        <is>
          <t>Sosyal Radar</t>
        </is>
      </c>
      <c r="C71" s="5" t="inlineStr">
        <is>
          <t>Orta</t>
        </is>
      </c>
      <c r="D71" s="6" t="inlineStr">
        <is>
          <t>Üçüncü kattaki teyze de artışa karşı. Söylemeye cesareti yok. Ona ses ol.</t>
        </is>
      </c>
      <c r="E71" s="6" t="inlineStr"/>
      <c r="F71" s="5" t="inlineStr">
        <is>
          <t>E</t>
        </is>
      </c>
    </row>
    <row r="72">
      <c r="A72" s="5" t="inlineStr">
        <is>
          <t>b4-apartman-toplantisi</t>
        </is>
      </c>
      <c r="B72" s="5" t="inlineStr">
        <is>
          <t>Akıl</t>
        </is>
      </c>
      <c r="C72" s="5" t="inlineStr">
        <is>
          <t>Zor</t>
        </is>
      </c>
      <c r="D72" s="6" t="inlineStr">
        <is>
          <t>Yönetici kararı kâğıda daha kimse gelmeden yazmış. Sekiz komşu boşuna çay içiyor.</t>
        </is>
      </c>
      <c r="E72" s="6" t="inlineStr"/>
      <c r="F72" s="5" t="inlineStr"/>
    </row>
    <row r="73">
      <c r="A73" s="5" t="inlineStr">
        <is>
          <t>b4-yz-odev</t>
        </is>
      </c>
      <c r="B73" s="5" t="inlineStr">
        <is>
          <t>Akıl</t>
        </is>
      </c>
      <c r="C73" s="5" t="inlineStr">
        <is>
          <t>Orta</t>
        </is>
      </c>
      <c r="D73" s="6" t="inlineStr">
        <is>
          <t>Öğretmen metinlerde 'ayrıca' kelimesini sayıyor. Yapay zekâ 'ayrıca'ya bayılır.</t>
        </is>
      </c>
      <c r="E73" s="6" t="inlineStr"/>
      <c r="F73" s="5" t="inlineStr">
        <is>
          <t>E</t>
        </is>
      </c>
    </row>
    <row r="74">
      <c r="A74" s="5" t="inlineStr">
        <is>
          <t>b4-yz-odev</t>
        </is>
      </c>
      <c r="B74" s="5" t="inlineStr">
        <is>
          <t>İtibar</t>
        </is>
      </c>
      <c r="C74" s="5" t="inlineStr">
        <is>
          <t>Kolay</t>
        </is>
      </c>
      <c r="D74" s="6" t="inlineStr">
        <is>
          <t>Tatilini makineye anlatacak kadar hatırlıyorsan kendin de yazabilirsin. Babaanne böyle derdi. Diyor.</t>
        </is>
      </c>
      <c r="E74" s="6" t="inlineStr"/>
      <c r="F74" s="5" t="inlineStr"/>
    </row>
    <row r="75">
      <c r="A75" s="5" t="inlineStr">
        <is>
          <t>b4-kisisel-oda</t>
        </is>
      </c>
      <c r="B75" s="5" t="inlineStr">
        <is>
          <t>Çene</t>
        </is>
      </c>
      <c r="C75" s="5" t="inlineStr">
        <is>
          <t>Orta</t>
        </is>
      </c>
      <c r="D75" s="6" t="inlineStr">
        <is>
          <t>Koşu bandı iki yıldır askılık. Bunu delil olarak sun.</t>
        </is>
      </c>
      <c r="E75" s="6" t="inlineStr"/>
      <c r="F75" s="5" t="inlineStr">
        <is>
          <t>E</t>
        </is>
      </c>
    </row>
    <row r="76">
      <c r="A76" s="5" t="inlineStr">
        <is>
          <t>b4-kisisel-oda</t>
        </is>
      </c>
      <c r="B76" s="5" t="inlineStr">
        <is>
          <t>Cesaret</t>
        </is>
      </c>
      <c r="C76" s="5" t="inlineStr">
        <is>
          <t>Kolay</t>
        </is>
      </c>
      <c r="D76" s="6" t="inlineStr">
        <is>
          <t>Oda savaşları ailenin en uzun savaşlarıdır. İlk hamle önemli.</t>
        </is>
      </c>
      <c r="E76" s="6" t="inlineStr"/>
      <c r="F76" s="5" t="inlineStr"/>
    </row>
    <row r="77">
      <c r="A77" s="5" t="inlineStr">
        <is>
          <t>b4-fenomen-denemesi</t>
        </is>
      </c>
      <c r="B77" s="5" t="inlineStr">
        <is>
          <t>Pişkinlik</t>
        </is>
      </c>
      <c r="C77" s="5" t="inlineStr">
        <is>
          <t>Orta</t>
        </is>
      </c>
      <c r="D77" s="6" t="inlineStr">
        <is>
          <t>Kamera canlıyken insanlar daha çok affeder. Canlı yayın, affın hızlandırılmış hâlidir.</t>
        </is>
      </c>
      <c r="E77" s="6" t="inlineStr"/>
      <c r="F77" s="5" t="inlineStr">
        <is>
          <t>E</t>
        </is>
      </c>
    </row>
    <row r="78">
      <c r="A78" s="5" t="inlineStr">
        <is>
          <t>b4-fenomen-denemesi</t>
        </is>
      </c>
      <c r="B78" s="5" t="inlineStr">
        <is>
          <t>Akıl</t>
        </is>
      </c>
      <c r="C78" s="5" t="inlineStr">
        <is>
          <t>Kolay</t>
        </is>
      </c>
      <c r="D78" s="6" t="inlineStr">
        <is>
          <t>Takipçi sayısıyla harçlık arasında şu an hiçbir ilişki yok. Şu an.</t>
        </is>
      </c>
      <c r="E78" s="6" t="inlineStr"/>
      <c r="F78" s="5" t="inlineStr"/>
    </row>
    <row r="79">
      <c r="A79" s="5" t="inlineStr">
        <is>
          <t>b4-haracci-rovans</t>
        </is>
      </c>
      <c r="B79" s="5" t="inlineStr">
        <is>
          <t>Cesaret</t>
        </is>
      </c>
      <c r="C79" s="5" t="inlineStr">
        <is>
          <t>Orta</t>
        </is>
      </c>
      <c r="D79" s="6" t="inlineStr">
        <is>
          <t>Artık onlarla neredeyse aynı boydasın. Ayakkabı tabanını da say.</t>
        </is>
      </c>
      <c r="E79" s="6" t="inlineStr"/>
      <c r="F79" s="5" t="inlineStr">
        <is>
          <t>E</t>
        </is>
      </c>
    </row>
    <row r="80">
      <c r="A80" s="5" t="inlineStr">
        <is>
          <t>b4-haracci-rovans</t>
        </is>
      </c>
      <c r="B80" s="5" t="inlineStr">
        <is>
          <t>Kurnazlık</t>
        </is>
      </c>
      <c r="C80" s="5" t="inlineStr">
        <is>
          <t>Kolay</t>
        </is>
      </c>
      <c r="D80" s="6" t="inlineStr">
        <is>
          <t>Ellerinde top var. Top, eli meşgul eder.</t>
        </is>
      </c>
      <c r="E80" s="6" t="inlineStr"/>
      <c r="F80" s="5" t="inlineStr"/>
    </row>
    <row r="81">
      <c r="A81" s="5" t="inlineStr">
        <is>
          <t>b4-kantin-ekonomisi</t>
        </is>
      </c>
      <c r="B81" s="5" t="inlineStr">
        <is>
          <t>Kurnazlık</t>
        </is>
      </c>
      <c r="C81" s="5" t="inlineStr">
        <is>
          <t>Orta</t>
        </is>
      </c>
      <c r="D81" s="6" t="inlineStr">
        <is>
          <t>Kuyruğun önündekinden al, arkadakine sat. Buna aracılık denir. Büyüyünce de denecek.</t>
        </is>
      </c>
      <c r="E81" s="6" t="inlineStr"/>
      <c r="F81" s="5" t="inlineStr"/>
    </row>
    <row r="82">
      <c r="A82" s="5" t="inlineStr">
        <is>
          <t>b4-kantin-ekonomisi</t>
        </is>
      </c>
      <c r="B82" s="5" t="inlineStr">
        <is>
          <t>Çene</t>
        </is>
      </c>
      <c r="C82" s="5" t="inlineStr">
        <is>
          <t>Kolay</t>
        </is>
      </c>
      <c r="D82" s="6" t="inlineStr">
        <is>
          <t>Kantinci sabah erken gelir, akşam geç çıkar. İnsan gibi selam veren tek müşteriyi unutmaz.</t>
        </is>
      </c>
      <c r="E82" s="6" t="inlineStr"/>
      <c r="F82" s="5" t="inlineStr"/>
    </row>
    <row r="83">
      <c r="A83" s="5" t="inlineStr">
        <is>
          <t>b4-bayram-yatirim</t>
        </is>
      </c>
      <c r="B83" s="5" t="inlineStr">
        <is>
          <t>Akıl</t>
        </is>
      </c>
      <c r="C83" s="5" t="inlineStr">
        <is>
          <t>Orta</t>
        </is>
      </c>
      <c r="D83" s="6" t="inlineStr">
        <is>
          <t>Kumbara yüzde sıfır getiri. Enflasyon yüzde bilmemkaç. Matematik ağlıyor.</t>
        </is>
      </c>
      <c r="E83" s="6" t="inlineStr"/>
      <c r="F83" s="5" t="inlineStr"/>
    </row>
    <row r="84">
      <c r="A84" s="5" t="inlineStr">
        <is>
          <t>b4-bayram-yatirim</t>
        </is>
      </c>
      <c r="B84" s="5" t="inlineStr">
        <is>
          <t>Kurnazlık</t>
        </is>
      </c>
      <c r="C84" s="5" t="inlineStr">
        <is>
          <t>Zor</t>
        </is>
      </c>
      <c r="D84" s="6" t="inlineStr">
        <is>
          <t>Arkadaşının abisi “Kesin kazanç” dedi. Bu lafı ilk duyduğumda ben de senin yaşındaydım. Bisikletimi hâlâ geri alamadım.</t>
        </is>
      </c>
      <c r="E84" s="6" t="inlineStr"/>
      <c r="F84" s="5" t="inlineStr"/>
    </row>
    <row r="85">
      <c r="A85" s="5" t="inlineStr">
        <is>
          <t>b4-ilk-bulusma</t>
        </is>
      </c>
      <c r="B85" s="5" t="inlineStr">
        <is>
          <t>Cesaret</t>
        </is>
      </c>
      <c r="C85" s="5" t="inlineStr">
        <is>
          <t>Orta</t>
        </is>
      </c>
      <c r="D85" s="6" t="inlineStr">
        <is>
          <t>Dondurma soğuk, eller terli. Kimse kusursuz değil. Git.</t>
        </is>
      </c>
      <c r="E85" s="6" t="inlineStr"/>
      <c r="F85" s="5" t="inlineStr"/>
    </row>
    <row r="86">
      <c r="A86" s="5" t="inlineStr">
        <is>
          <t>b4-ilk-bulusma</t>
        </is>
      </c>
      <c r="B86" s="5" t="inlineStr">
        <is>
          <t>Sosyal Radar</t>
        </is>
      </c>
      <c r="C86" s="5" t="inlineStr">
        <is>
          <t>Kolay</t>
        </is>
      </c>
      <c r="D86" s="6" t="inlineStr">
        <is>
          <t>Yanında arkadaş götürürsen o ikisi anlaşır. Tarih bu örneklerle dolu.</t>
        </is>
      </c>
      <c r="E86" s="6" t="inlineStr"/>
      <c r="F86" s="5" t="inlineStr"/>
    </row>
    <row r="87">
      <c r="A87" s="5" t="inlineStr">
        <is>
          <t>b4-spor-secmeleri</t>
        </is>
      </c>
      <c r="B87" s="5" t="inlineStr">
        <is>
          <t>Dayanıklılık</t>
        </is>
      </c>
      <c r="C87" s="5" t="inlineStr">
        <is>
          <t>Orta</t>
        </is>
      </c>
      <c r="D87" s="6" t="inlineStr">
        <is>
          <t>Isınma üç tur. Sen iki buçuk tura hazırsın. Yarım turu inançla koşacaksın.</t>
        </is>
      </c>
      <c r="E87" s="6" t="inlineStr"/>
      <c r="F87" s="5" t="inlineStr"/>
    </row>
    <row r="88">
      <c r="A88" s="5" t="inlineStr">
        <is>
          <t>b4-spor-secmeleri</t>
        </is>
      </c>
      <c r="B88" s="5" t="inlineStr">
        <is>
          <t>Cesaret</t>
        </is>
      </c>
      <c r="C88" s="5" t="inlineStr">
        <is>
          <t>Kolay</t>
        </is>
      </c>
      <c r="D88" s="6" t="inlineStr">
        <is>
          <t>Yeğen de insan. Topu da senin kadar görüyor. Belki daha az.</t>
        </is>
      </c>
      <c r="E88" s="6" t="inlineStr"/>
      <c r="F88" s="5" t="inlineStr"/>
    </row>
    <row r="89">
      <c r="A89" s="5" t="inlineStr">
        <is>
          <t>b4-eski-telefon</t>
        </is>
      </c>
      <c r="B89" s="5" t="inlineStr">
        <is>
          <t>Kurnazlık</t>
        </is>
      </c>
      <c r="C89" s="5" t="inlineStr">
        <is>
          <t>Orta</t>
        </is>
      </c>
      <c r="D89" s="6" t="inlineStr">
        <is>
          <t>'Son fiyat' diyen, fiyatı zaten biliyordur. Bekle.</t>
        </is>
      </c>
      <c r="E89" s="6" t="inlineStr"/>
      <c r="F89" s="5" t="inlineStr"/>
    </row>
    <row r="90">
      <c r="A90" s="5" t="inlineStr">
        <is>
          <t>b4-yaz-tatili</t>
        </is>
      </c>
      <c r="B90" s="5" t="inlineStr">
        <is>
          <t>Dayanıklılık</t>
        </is>
      </c>
      <c r="C90" s="5" t="inlineStr">
        <is>
          <t>Orta</t>
        </is>
      </c>
      <c r="D90" s="6" t="inlineStr">
        <is>
          <t>Tek ayak üstünde bir mesaj, iki mesaj... Denge çalışması, sosyal medya bahanesiyle.</t>
        </is>
      </c>
      <c r="E90" s="6" t="inlineStr"/>
      <c r="F90" s="5" t="inlineStr"/>
    </row>
    <row r="91">
      <c r="A91" s="5" t="inlineStr">
        <is>
          <t>b4-yaz-tatili</t>
        </is>
      </c>
      <c r="B91" s="5" t="inlineStr">
        <is>
          <t>Sosyal Radar</t>
        </is>
      </c>
      <c r="C91" s="5" t="inlineStr">
        <is>
          <t>Zor</t>
        </is>
      </c>
      <c r="D91" s="6" t="inlineStr">
        <is>
          <t>Yan yazlıktaki çocuklar da balkonda tek ayak üstünde. Göz göze geldiniz.</t>
        </is>
      </c>
      <c r="E91" s="6" t="inlineStr"/>
      <c r="F91" s="5" t="inlineStr">
        <is>
          <t>E</t>
        </is>
      </c>
    </row>
    <row r="92">
      <c r="A92" s="5" t="inlineStr">
        <is>
          <t>b4-dershane-denemesi</t>
        </is>
      </c>
      <c r="B92" s="5" t="inlineStr">
        <is>
          <t>Sosyal Radar</t>
        </is>
      </c>
      <c r="C92" s="5" t="inlineStr">
        <is>
          <t>Orta</t>
        </is>
      </c>
      <c r="D92" s="6" t="inlineStr">
        <is>
          <t>Listenin üst sırasındakiler de mutlu değil. Onların ailesi bir üst sırayı istiyor.</t>
        </is>
      </c>
      <c r="E92" s="6" t="inlineStr"/>
      <c r="F92" s="5" t="inlineStr"/>
    </row>
    <row r="93">
      <c r="A93" s="5" t="inlineStr">
        <is>
          <t>b4-lise-sinavi</t>
        </is>
      </c>
      <c r="B93" s="5" t="inlineStr">
        <is>
          <t>Akıl</t>
        </is>
      </c>
      <c r="C93" s="5" t="inlineStr">
        <is>
          <t>Orta</t>
        </is>
      </c>
      <c r="D93" s="6" t="inlineStr">
        <is>
          <t>Sorular zor değil. Kitapçık kalın. Bunlar farklı şeyler.</t>
        </is>
      </c>
      <c r="E93" s="6" t="inlineStr"/>
      <c r="F93" s="5" t="inlineStr"/>
    </row>
    <row r="94">
      <c r="A94" s="5" t="inlineStr">
        <is>
          <t>b4-lise-sinavi</t>
        </is>
      </c>
      <c r="B94" s="5" t="inlineStr">
        <is>
          <t>Dayanıklılık</t>
        </is>
      </c>
      <c r="C94" s="5" t="inlineStr">
        <is>
          <t>Kolay</t>
        </is>
      </c>
      <c r="D94" s="6" t="inlineStr">
        <is>
          <t>Üç saat. Maraton değil. Ama maratondan sonra eve yürümek gibi.</t>
        </is>
      </c>
      <c r="E94" s="6" t="inlineStr"/>
      <c r="F94" s="5" t="inlineStr"/>
    </row>
    <row r="95">
      <c r="A95" s="5" t="inlineStr">
        <is>
          <t>b5-lise-ilk-gun</t>
        </is>
      </c>
      <c r="B95" s="5" t="inlineStr">
        <is>
          <t>Sosyal Radar</t>
        </is>
      </c>
      <c r="C95" s="5" t="inlineStr">
        <is>
          <t>Orta</t>
        </is>
      </c>
      <c r="D95" s="6" t="inlineStr">
        <is>
          <t>İlk hafta yanına oturduğun kişi dört yıl sıra arkadaşın olur. Sıra arkadaşı kardeşten sonra gelir; benden söylemesi.</t>
        </is>
      </c>
      <c r="E95" s="6" t="inlineStr"/>
      <c r="F95" s="5" t="inlineStr">
        <is>
          <t>E</t>
        </is>
      </c>
    </row>
    <row r="96">
      <c r="A96" s="5" t="inlineStr">
        <is>
          <t>b5-lise-ilk-gun</t>
        </is>
      </c>
      <c r="B96" s="5" t="inlineStr">
        <is>
          <t>Akıl</t>
        </is>
      </c>
      <c r="C96" s="5" t="inlineStr">
        <is>
          <t>Kolay</t>
        </is>
      </c>
      <c r="D96" s="6" t="inlineStr">
        <is>
          <t>Bu binada seni kimse tanımıyor. İlkokuldaki bütün rezaletlerin geride kaldı. Şimdilik.</t>
        </is>
      </c>
      <c r="E96" s="6" t="inlineStr"/>
      <c r="F96" s="5" t="inlineStr"/>
    </row>
    <row r="97">
      <c r="A97" s="5" t="inlineStr">
        <is>
          <t>b5-sac-devrimi</t>
        </is>
      </c>
      <c r="B97" s="5" t="inlineStr">
        <is>
          <t>Pişkinlik</t>
        </is>
      </c>
      <c r="C97" s="5" t="inlineStr">
        <is>
          <t>Orta</t>
        </is>
      </c>
      <c r="D97" s="6" t="inlineStr">
        <is>
          <t>Yeni saç, yeni kişilik. Kimse eskisini hatırlamayacak. Okul fotoğrafları hariç.</t>
        </is>
      </c>
      <c r="E97" s="6" t="inlineStr"/>
      <c r="F97" s="5" t="inlineStr"/>
    </row>
    <row r="98">
      <c r="A98" s="5" t="inlineStr">
        <is>
          <t>b5-sac-devrimi</t>
        </is>
      </c>
      <c r="B98" s="5" t="inlineStr">
        <is>
          <t>İtibar</t>
        </is>
      </c>
      <c r="C98" s="5" t="inlineStr">
        <is>
          <t>Kolay</t>
        </is>
      </c>
      <c r="D98" s="6" t="inlineStr">
        <is>
          <t>Annen bu saçı görünce bir şey demeyecek. Bu çok daha kötü.</t>
        </is>
      </c>
      <c r="E98" s="6" t="inlineStr"/>
      <c r="F98" s="5" t="inlineStr"/>
    </row>
    <row r="99">
      <c r="A99" s="5" t="inlineStr">
        <is>
          <t>b5-kulup-secimi</t>
        </is>
      </c>
      <c r="B99" s="5" t="inlineStr">
        <is>
          <t>Kurnazlık</t>
        </is>
      </c>
      <c r="C99" s="5" t="inlineStr">
        <is>
          <t>Orta</t>
        </is>
      </c>
      <c r="D99" s="6" t="inlineStr">
        <is>
          <t>Satranç kulübü haftada bir toplanıyor ve kimse yoklama almıyor. Bu bir kulüp değil, bir boşluk.</t>
        </is>
      </c>
      <c r="E99" s="6" t="inlineStr"/>
      <c r="F99" s="5" t="inlineStr"/>
    </row>
    <row r="100">
      <c r="A100" s="5" t="inlineStr">
        <is>
          <t>b5-kulup-secimi</t>
        </is>
      </c>
      <c r="B100" s="5" t="inlineStr">
        <is>
          <t>Sosyal Radar</t>
        </is>
      </c>
      <c r="C100" s="5" t="inlineStr">
        <is>
          <t>Zor</t>
        </is>
      </c>
      <c r="D100" s="6" t="inlineStr">
        <is>
          <t>Münazaraya sınıfın en iddialıları gidiyor. Evde sözü kesilenlerin kulübü.</t>
        </is>
      </c>
      <c r="E100" s="6" t="inlineStr"/>
      <c r="F100" s="5" t="inlineStr"/>
    </row>
    <row r="101">
      <c r="A101" s="5" t="inlineStr">
        <is>
          <t>b5-dershane-kaydi</t>
        </is>
      </c>
      <c r="B101" s="5" t="inlineStr">
        <is>
          <t>Kurnazlık</t>
        </is>
      </c>
      <c r="C101" s="5" t="inlineStr">
        <is>
          <t>Kolay</t>
        </is>
      </c>
      <c r="D101" s="6" t="inlineStr">
        <is>
          <t>'Erken kayıt indirimi' ile 'son kontenjan' aynı broşürde yazıyor. İkisinden biri doğru değil.</t>
        </is>
      </c>
      <c r="E101" s="6" t="inlineStr"/>
      <c r="F101" s="5" t="inlineStr"/>
    </row>
    <row r="102">
      <c r="A102" s="5" t="inlineStr">
        <is>
          <t>b5-dershane-kaydi</t>
        </is>
      </c>
      <c r="B102" s="5" t="inlineStr">
        <is>
          <t>İtibar</t>
        </is>
      </c>
      <c r="C102" s="5" t="inlineStr">
        <is>
          <t>Orta</t>
        </is>
      </c>
      <c r="D102" s="6" t="inlineStr">
        <is>
          <t>Bu kayıt ücreti, babanın arabayı bir yıl daha değiştirmeme kararının ta kendisi.</t>
        </is>
      </c>
      <c r="E102" s="6" t="inlineStr"/>
      <c r="F102" s="5" t="inlineStr"/>
    </row>
    <row r="103">
      <c r="A103" s="5" t="inlineStr">
        <is>
          <t>b5-sigara-teklifi</t>
        </is>
      </c>
      <c r="B103" s="5" t="inlineStr">
        <is>
          <t>Sosyal Radar</t>
        </is>
      </c>
      <c r="C103" s="5" t="inlineStr">
        <is>
          <t>Kolay</t>
        </is>
      </c>
      <c r="D103" s="6" t="inlineStr">
        <is>
          <t>Kimse gerçekten keyif almıyor. Hepsi sadece burada durmak için burada duruyor.</t>
        </is>
      </c>
      <c r="E103" s="6" t="inlineStr"/>
      <c r="F103" s="5" t="inlineStr">
        <is>
          <t>E</t>
        </is>
      </c>
    </row>
    <row r="104">
      <c r="A104" s="5" t="inlineStr">
        <is>
          <t>b5-sigara-teklifi</t>
        </is>
      </c>
      <c r="B104" s="5" t="inlineStr">
        <is>
          <t>Dayanıklılık</t>
        </is>
      </c>
      <c r="C104" s="5" t="inlineStr">
        <is>
          <t>Orta</t>
        </is>
      </c>
      <c r="D104" s="6" t="inlineStr">
        <is>
          <t>Bu duvarın dibindekilerin hiçbiri merdiven çıkarken konuşamıyor. Not al.</t>
        </is>
      </c>
      <c r="E104" s="6" t="inlineStr"/>
      <c r="F104" s="5" t="inlineStr"/>
    </row>
    <row r="105">
      <c r="A105" s="5" t="inlineStr">
        <is>
          <t>b5-mesaj-grubu</t>
        </is>
      </c>
      <c r="B105" s="5" t="inlineStr">
        <is>
          <t>Sosyal Radar</t>
        </is>
      </c>
      <c r="C105" s="5" t="inlineStr">
        <is>
          <t>Orta</t>
        </is>
      </c>
      <c r="D105" s="6" t="inlineStr">
        <is>
          <t>Asıl grubun da bir asıl grubu var. Piramidin tepesinde üç kişi ve bir kedi fotoğrafı duruyor.</t>
        </is>
      </c>
      <c r="E105" s="6" t="inlineStr"/>
      <c r="F105" s="5" t="inlineStr"/>
    </row>
    <row r="106">
      <c r="A106" s="5" t="inlineStr">
        <is>
          <t>b5-mesaj-grubu</t>
        </is>
      </c>
      <c r="B106" s="5" t="inlineStr">
        <is>
          <t>Pişkinlik</t>
        </is>
      </c>
      <c r="C106" s="5" t="inlineStr">
        <is>
          <t>Zor</t>
        </is>
      </c>
      <c r="D106" s="6" t="inlineStr">
        <is>
          <t>Davet beklemek amatörlüktür. Kapıyı çal, gir, çay iste.</t>
        </is>
      </c>
      <c r="E106" s="6" t="inlineStr"/>
      <c r="F106" s="5" t="inlineStr">
        <is>
          <t>E</t>
        </is>
      </c>
    </row>
    <row r="107">
      <c r="A107" s="5" t="inlineStr">
        <is>
          <t>b5-kantin-vergisi</t>
        </is>
      </c>
      <c r="B107" s="5" t="inlineStr">
        <is>
          <t>Kurnazlık</t>
        </is>
      </c>
      <c r="C107" s="5" t="inlineStr">
        <is>
          <t>Orta</t>
        </is>
      </c>
      <c r="D107" s="6" t="inlineStr">
        <is>
          <t>Bunlar mahallenin eski haraççılarının küçük kardeşleri. Sektör aile şirketi.</t>
        </is>
      </c>
      <c r="E107" s="6" t="inlineStr"/>
      <c r="F107" s="5" t="inlineStr"/>
    </row>
    <row r="108">
      <c r="A108" s="5" t="inlineStr">
        <is>
          <t>b5-kantin-vergisi</t>
        </is>
      </c>
      <c r="B108" s="5" t="inlineStr">
        <is>
          <t>Cesaret</t>
        </is>
      </c>
      <c r="C108" s="5" t="inlineStr">
        <is>
          <t>Zor</t>
        </is>
      </c>
      <c r="D108" s="6" t="inlineStr">
        <is>
          <t>Karşında üç kişi var. Üçü de akşam yemeğine kadar evde olmak zorunda.</t>
        </is>
      </c>
      <c r="E108" s="6" t="inlineStr"/>
      <c r="F108" s="5" t="inlineStr"/>
    </row>
    <row r="109">
      <c r="A109" s="5" t="inlineStr">
        <is>
          <t>b5-ilk-sevgili</t>
        </is>
      </c>
      <c r="B109" s="5" t="inlineStr">
        <is>
          <t>Cesaret</t>
        </is>
      </c>
      <c r="C109" s="5" t="inlineStr">
        <is>
          <t>Orta</t>
        </is>
      </c>
      <c r="D109" s="6" t="inlineStr">
        <is>
          <t>Bir karış, bir asker için hiçbir şeydir. Uzan, elini tut.</t>
        </is>
      </c>
      <c r="E109" s="6" t="inlineStr"/>
      <c r="F109" s="5" t="inlineStr"/>
    </row>
    <row r="110">
      <c r="A110" s="5" t="inlineStr">
        <is>
          <t>b5-ilk-sevgili</t>
        </is>
      </c>
      <c r="B110" s="5" t="inlineStr">
        <is>
          <t>Sosyal Radar</t>
        </is>
      </c>
      <c r="C110" s="5" t="inlineStr">
        <is>
          <t>Zor</t>
        </is>
      </c>
      <c r="D110" s="6" t="inlineStr">
        <is>
          <t>Karşındaki telefonunu üç kez kontrol etti. O da heyecanlı. Ya da annesi arıyor.</t>
        </is>
      </c>
      <c r="E110" s="6" t="inlineStr"/>
      <c r="F110" s="5" t="inlineStr">
        <is>
          <t>E</t>
        </is>
      </c>
    </row>
    <row r="111">
      <c r="A111" s="5" t="inlineStr">
        <is>
          <t>b5-veli-bilgilendirme</t>
        </is>
      </c>
      <c r="B111" s="5" t="inlineStr">
        <is>
          <t>Kurnazlık</t>
        </is>
      </c>
      <c r="C111" s="5" t="inlineStr">
        <is>
          <t>Zor</t>
        </is>
      </c>
      <c r="D111" s="6" t="inlineStr">
        <is>
          <t>Bildirimlerin gideceği numara bir forma yazılıyordu. O form hâlâ senin çantanda.</t>
        </is>
      </c>
      <c r="E111" s="6" t="inlineStr"/>
      <c r="F111" s="5" t="inlineStr">
        <is>
          <t>E</t>
        </is>
      </c>
    </row>
    <row r="112">
      <c r="A112" s="5" t="inlineStr">
        <is>
          <t>b5-veli-bilgilendirme</t>
        </is>
      </c>
      <c r="B112" s="5" t="inlineStr">
        <is>
          <t>Akıl</t>
        </is>
      </c>
      <c r="C112" s="5" t="inlineStr">
        <is>
          <t>Kolay</t>
        </is>
      </c>
      <c r="D112" s="6" t="inlineStr">
        <is>
          <t>Düşük not kötüdür. Ailenin bunu senden önce öğrenmesi daha kötüdür.</t>
        </is>
      </c>
      <c r="E112" s="6" t="inlineStr"/>
      <c r="F112" s="5" t="inlineStr"/>
    </row>
    <row r="113">
      <c r="A113" s="5" t="inlineStr">
        <is>
          <t>b5-okul-temsilcisi</t>
        </is>
      </c>
      <c r="B113" s="5" t="inlineStr">
        <is>
          <t>Çene</t>
        </is>
      </c>
      <c r="C113" s="5" t="inlineStr">
        <is>
          <t>Orta</t>
        </is>
      </c>
      <c r="D113" s="6" t="inlineStr">
        <is>
          <t>Bu vaatleri kimse yerine getiremez. Tam da bu yüzden inandırıcılar.</t>
        </is>
      </c>
      <c r="E113" s="6" t="inlineStr"/>
      <c r="F113" s="5" t="inlineStr"/>
    </row>
    <row r="114">
      <c r="A114" s="5" t="inlineStr">
        <is>
          <t>b5-okul-temsilcisi</t>
        </is>
      </c>
      <c r="B114" s="5" t="inlineStr">
        <is>
          <t>İtibar</t>
        </is>
      </c>
      <c r="C114" s="5" t="inlineStr">
        <is>
          <t>Kolay</t>
        </is>
      </c>
      <c r="D114" s="6" t="inlineStr">
        <is>
          <t>İkinci tost makinesi, bu binada herkesin üzerinde uzlaştığı tek konu.</t>
        </is>
      </c>
      <c r="E114" s="6" t="inlineStr"/>
      <c r="F114" s="5" t="inlineStr"/>
    </row>
    <row r="115">
      <c r="A115" s="5" t="inlineStr">
        <is>
          <t>b5-yapay-zeka-odev</t>
        </is>
      </c>
      <c r="B115" s="5" t="inlineStr">
        <is>
          <t>Akıl</t>
        </is>
      </c>
      <c r="C115" s="5" t="inlineStr">
        <is>
          <t>Orta</t>
        </is>
      </c>
      <c r="D115" s="6" t="inlineStr">
        <is>
          <t>Öğretmen de aynı asistanı kullanıyor. Kendi cümlelerini tanıyacaktır.</t>
        </is>
      </c>
      <c r="E115" s="6" t="inlineStr"/>
      <c r="F115" s="5" t="inlineStr"/>
    </row>
    <row r="116">
      <c r="A116" s="5" t="inlineStr">
        <is>
          <t>b5-yapay-zeka-odev</t>
        </is>
      </c>
      <c r="B116" s="5" t="inlineStr">
        <is>
          <t>İtibar</t>
        </is>
      </c>
      <c r="C116" s="5" t="inlineStr">
        <is>
          <t>Kolay</t>
        </is>
      </c>
      <c r="D116" s="6" t="inlineStr">
        <is>
          <t>Baban bu ödevi ansiklopediden, el yazısıyla kopyalardı. O da kopyaydı ama en azından eli ağrırdı.</t>
        </is>
      </c>
      <c r="E116" s="6" t="inlineStr"/>
      <c r="F116" s="5" t="inlineStr"/>
    </row>
    <row r="117">
      <c r="A117" s="5" t="inlineStr">
        <is>
          <t>b5-akraba-sorgusu</t>
        </is>
      </c>
      <c r="B117" s="5" t="inlineStr">
        <is>
          <t>Sosyal Radar</t>
        </is>
      </c>
      <c r="C117" s="5" t="inlineStr">
        <is>
          <t>Kolay</t>
        </is>
      </c>
      <c r="D117" s="6" t="inlineStr">
        <is>
          <t>Teyzenin kızı tıp kazandı. Bu sorunun cevabı bu salonda çoktan yazılmış.</t>
        </is>
      </c>
      <c r="E117" s="6" t="inlineStr"/>
      <c r="F117" s="5" t="inlineStr"/>
    </row>
    <row r="118">
      <c r="A118" s="5" t="inlineStr">
        <is>
          <t>b5-akraba-sorgusu</t>
        </is>
      </c>
      <c r="B118" s="5" t="inlineStr">
        <is>
          <t>Çene</t>
        </is>
      </c>
      <c r="C118" s="5" t="inlineStr">
        <is>
          <t>Orta</t>
        </is>
      </c>
      <c r="D118" s="6" t="inlineStr">
        <is>
          <t>Cevap verme, soruyu geri at. On bir kişi yarım saat kendi arasında tartışır.</t>
        </is>
      </c>
      <c r="E118" s="6" t="inlineStr"/>
      <c r="F118" s="5" t="inlineStr">
        <is>
          <t>E</t>
        </is>
      </c>
    </row>
    <row r="119">
      <c r="A119" s="5" t="inlineStr">
        <is>
          <t>b5-okul-gezisi</t>
        </is>
      </c>
      <c r="B119" s="5" t="inlineStr">
        <is>
          <t>Sosyal Radar</t>
        </is>
      </c>
      <c r="C119" s="5" t="inlineStr">
        <is>
          <t>Orta</t>
        </is>
      </c>
      <c r="D119" s="6" t="inlineStr">
        <is>
          <t>Arkadakiler müziği açacak, öndekiler öğretmeni idare edecek. Ortadakiler midelerini idare edecek.</t>
        </is>
      </c>
      <c r="E119" s="6" t="inlineStr"/>
      <c r="F119" s="5" t="inlineStr"/>
    </row>
    <row r="120">
      <c r="A120" s="5" t="inlineStr">
        <is>
          <t>b5-okul-gezisi</t>
        </is>
      </c>
      <c r="B120" s="5" t="inlineStr">
        <is>
          <t>Dayanıklılık</t>
        </is>
      </c>
      <c r="C120" s="5" t="inlineStr">
        <is>
          <t>Kolay</t>
        </is>
      </c>
      <c r="D120" s="6" t="inlineStr">
        <is>
          <t>Yol dört saat. Mola bir tane. Su içme.</t>
        </is>
      </c>
      <c r="E120" s="6" t="inlineStr"/>
      <c r="F120" s="5" t="inlineStr"/>
    </row>
    <row r="121">
      <c r="A121" s="5" t="inlineStr">
        <is>
          <t>b5-fenomen-video</t>
        </is>
      </c>
      <c r="B121" s="5" t="inlineStr">
        <is>
          <t>Pişkinlik</t>
        </is>
      </c>
      <c r="C121" s="5" t="inlineStr">
        <is>
          <t>Orta</t>
        </is>
      </c>
      <c r="D121" s="6" t="inlineStr">
        <is>
          <t>İnternetin hafızası bir akvaryum balığınınki kadar. İkinci videoyu hemen çek.</t>
        </is>
      </c>
      <c r="E121" s="6" t="inlineStr"/>
      <c r="F121" s="5" t="inlineStr"/>
    </row>
    <row r="122">
      <c r="A122" s="5" t="inlineStr">
        <is>
          <t>b5-fenomen-video</t>
        </is>
      </c>
      <c r="B122" s="5" t="inlineStr">
        <is>
          <t>İtibar</t>
        </is>
      </c>
      <c r="C122" s="5" t="inlineStr">
        <is>
          <t>Zor</t>
        </is>
      </c>
      <c r="D122" s="6" t="inlineStr">
        <is>
          <t>Videonun arka planında annen görünüyor. Bornozla.</t>
        </is>
      </c>
      <c r="E122" s="6" t="inlineStr"/>
      <c r="F122" s="5" t="inlineStr"/>
    </row>
    <row r="123">
      <c r="A123" s="5" t="inlineStr">
        <is>
          <t>b5-yaz-isi-garson</t>
        </is>
      </c>
      <c r="B123" s="5" t="inlineStr">
        <is>
          <t>Dayanıklılık</t>
        </is>
      </c>
      <c r="C123" s="5" t="inlineStr">
        <is>
          <t>Orta</t>
        </is>
      </c>
      <c r="D123" s="6" t="inlineStr">
        <is>
          <t>Tepsi koldan değil, dizden taşınır. Dizlerini kır, bileğini gevşet.</t>
        </is>
      </c>
      <c r="E123" s="6" t="inlineStr"/>
      <c r="F123" s="5" t="inlineStr"/>
    </row>
    <row r="124">
      <c r="A124" s="5" t="inlineStr">
        <is>
          <t>b5-yaz-isi-garson</t>
        </is>
      </c>
      <c r="B124" s="5" t="inlineStr">
        <is>
          <t>Kurnazlık</t>
        </is>
      </c>
      <c r="C124" s="5" t="inlineStr">
        <is>
          <t>Kolay</t>
        </is>
      </c>
      <c r="D124" s="6" t="inlineStr">
        <is>
          <t>Bahşiş, çayı getirene değil, müşterinin adını hatırlayana gider.</t>
        </is>
      </c>
      <c r="E124" s="6" t="inlineStr"/>
      <c r="F124" s="5" t="inlineStr"/>
    </row>
    <row r="125">
      <c r="A125" s="5" t="inlineStr">
        <is>
          <t>b5-ilk-maas</t>
        </is>
      </c>
      <c r="B125" s="5" t="inlineStr">
        <is>
          <t>İtibar</t>
        </is>
      </c>
      <c r="C125" s="5" t="inlineStr">
        <is>
          <t>Orta</t>
        </is>
      </c>
      <c r="D125" s="6" t="inlineStr">
        <is>
          <t>Annene bir hediye al. Beğenmeyecek ama saklayacak.</t>
        </is>
      </c>
      <c r="E125" s="6" t="inlineStr"/>
      <c r="F125" s="5" t="inlineStr"/>
    </row>
    <row r="126">
      <c r="A126" s="5" t="inlineStr">
        <is>
          <t>b5-ilk-maas</t>
        </is>
      </c>
      <c r="B126" s="5" t="inlineStr">
        <is>
          <t>Kurnazlık</t>
        </is>
      </c>
      <c r="C126" s="5" t="inlineStr">
        <is>
          <t>Zor</t>
        </is>
      </c>
      <c r="D126" s="6" t="inlineStr">
        <is>
          <t>Bu zarf her gün biraz inceliyor. Bekleyen kaybeder; dayına sor, o hep bekledi.</t>
        </is>
      </c>
      <c r="E126" s="6" t="inlineStr"/>
      <c r="F126" s="5" t="inlineStr">
        <is>
          <t>E</t>
        </is>
      </c>
    </row>
    <row r="127">
      <c r="A127" s="5" t="inlineStr">
        <is>
          <t>b5-ayrilik</t>
        </is>
      </c>
      <c r="B127" s="5" t="inlineStr">
        <is>
          <t>Sosyal Radar</t>
        </is>
      </c>
      <c r="C127" s="5" t="inlineStr">
        <is>
          <t>Kolay</t>
        </is>
      </c>
      <c r="D127" s="6" t="inlineStr">
        <is>
          <t>İki haftadır mesajların sonundaki gülen yüzler azalıyordu, kalpler ondan da önce gitmişti. Ben söylemiştim.</t>
        </is>
      </c>
      <c r="E127" s="6" t="inlineStr"/>
      <c r="F127" s="5" t="inlineStr"/>
    </row>
    <row r="128">
      <c r="A128" s="5" t="inlineStr">
        <is>
          <t>b5-ayrilik</t>
        </is>
      </c>
      <c r="B128" s="5" t="inlineStr">
        <is>
          <t>Dayanıklılık</t>
        </is>
      </c>
      <c r="C128" s="5" t="inlineStr">
        <is>
          <t>Orta</t>
        </is>
      </c>
      <c r="D128" s="6" t="inlineStr">
        <is>
          <t>İlk ayrılık, bir maratonun ilk kilometresidir. Canın yanar ama daha çok yol var.</t>
        </is>
      </c>
      <c r="E128" s="6" t="inlineStr"/>
      <c r="F128" s="5" t="inlineStr"/>
    </row>
    <row r="129">
      <c r="A129" s="5" t="inlineStr">
        <is>
          <t>b5-beden-dersi</t>
        </is>
      </c>
      <c r="B129" s="5" t="inlineStr">
        <is>
          <t>Dayanıklılık</t>
        </is>
      </c>
      <c r="C129" s="5" t="inlineStr">
        <is>
          <t>Orta</t>
        </is>
      </c>
      <c r="D129" s="6" t="inlineStr">
        <is>
          <t>Top sana geldiğinde düşünme. Düşünenlerin hepsi topu yüzüyle karşıladı.</t>
        </is>
      </c>
      <c r="E129" s="6" t="inlineStr"/>
      <c r="F129" s="5" t="inlineStr"/>
    </row>
    <row r="130">
      <c r="A130" s="5" t="inlineStr">
        <is>
          <t>b5-beden-dersi</t>
        </is>
      </c>
      <c r="B130" s="5" t="inlineStr">
        <is>
          <t>Kurnazlık</t>
        </is>
      </c>
      <c r="C130" s="5" t="inlineStr">
        <is>
          <t>Kolay</t>
        </is>
      </c>
      <c r="D130" s="6" t="inlineStr">
        <is>
          <t>Raporu olanlar kenarda oturup puan tutuyor. Sahadaki en iyi pozisyon, saha dışı.</t>
        </is>
      </c>
      <c r="E130" s="6" t="inlineStr"/>
      <c r="F130" s="5" t="inlineStr"/>
    </row>
    <row r="131">
      <c r="A131" s="5" t="inlineStr">
        <is>
          <t>b5-kafede-ders</t>
        </is>
      </c>
      <c r="B131" s="5" t="inlineStr">
        <is>
          <t>Akıl</t>
        </is>
      </c>
      <c r="C131" s="5" t="inlineStr">
        <is>
          <t>Orta</t>
        </is>
      </c>
      <c r="D131" s="6" t="inlineStr">
        <is>
          <t>Burada çalışılacak tek konu, garsonun sabrının sınırlarıdır.</t>
        </is>
      </c>
      <c r="E131" s="6" t="inlineStr"/>
      <c r="F131" s="5" t="inlineStr"/>
    </row>
    <row r="132">
      <c r="A132" s="5" t="inlineStr">
        <is>
          <t>b5-kafede-ders</t>
        </is>
      </c>
      <c r="B132" s="5" t="inlineStr">
        <is>
          <t>Sosyal Radar</t>
        </is>
      </c>
      <c r="C132" s="5" t="inlineStr">
        <is>
          <t>Kolay</t>
        </is>
      </c>
      <c r="D132" s="6" t="inlineStr">
        <is>
          <t>Garson üçüncü kez masaya baktı. Dördüncüde hesabı getirecek.</t>
        </is>
      </c>
      <c r="E132" s="6" t="inlineStr"/>
      <c r="F132" s="5" t="inlineStr"/>
    </row>
    <row r="133">
      <c r="A133" s="5" t="inlineStr">
        <is>
          <t>b5-deneme-sinavi</t>
        </is>
      </c>
      <c r="B133" s="5" t="inlineStr">
        <is>
          <t>Akıl</t>
        </is>
      </c>
      <c r="C133" s="5" t="inlineStr">
        <is>
          <t>Orta</t>
        </is>
      </c>
      <c r="D133" s="6" t="inlineStr">
        <is>
          <t>Önce bildiklerini çöz. Bilmediklerini sonra da bilmeyeceksin zaten.</t>
        </is>
      </c>
      <c r="E133" s="6" t="inlineStr"/>
      <c r="F133" s="5" t="inlineStr"/>
    </row>
    <row r="134">
      <c r="A134" s="5" t="inlineStr">
        <is>
          <t>b5-deneme-sinavi</t>
        </is>
      </c>
      <c r="B134" s="5" t="inlineStr">
        <is>
          <t>Dayanıklılık</t>
        </is>
      </c>
      <c r="C134" s="5" t="inlineStr">
        <is>
          <t>Kolay</t>
        </is>
      </c>
      <c r="D134" s="6" t="inlineStr">
        <is>
          <t>Nefesin hızlanırsa sorular da hızlanır. Onlara yetişemezsin.</t>
        </is>
      </c>
      <c r="E134" s="6" t="inlineStr"/>
      <c r="F134" s="5" t="inlineStr"/>
    </row>
    <row r="135">
      <c r="A135" s="5" t="inlineStr">
        <is>
          <t>b5-doktor-ol</t>
        </is>
      </c>
      <c r="B135" s="5" t="inlineStr">
        <is>
          <t>İtibar</t>
        </is>
      </c>
      <c r="C135" s="5" t="inlineStr">
        <is>
          <t>Orta</t>
        </is>
      </c>
      <c r="D135" s="6" t="inlineStr">
        <is>
          <t>Ailen yıllardır 'Bizim çocuk doktor' cümlesini kuracağı günü bekliyor. Cümle hazır; sen eksiksin.</t>
        </is>
      </c>
      <c r="E135" s="6" t="inlineStr"/>
      <c r="F135" s="5" t="inlineStr"/>
    </row>
    <row r="136">
      <c r="A136" s="5" t="inlineStr">
        <is>
          <t>b5-doktor-ol</t>
        </is>
      </c>
      <c r="B136" s="5" t="inlineStr">
        <is>
          <t>Çene</t>
        </is>
      </c>
      <c r="C136" s="5" t="inlineStr">
        <is>
          <t>Zor</t>
        </is>
      </c>
      <c r="D136" s="6" t="inlineStr">
        <is>
          <t>Babana doğrudan hayır deme. Önce anneni al, sonra babaanneni. Pazarda da en zor müşteriye en son gidilir.</t>
        </is>
      </c>
      <c r="E136" s="6" t="inlineStr"/>
      <c r="F136" s="5" t="inlineStr">
        <is>
          <t>E</t>
        </is>
      </c>
    </row>
    <row r="137">
      <c r="A137" s="5" t="inlineStr">
        <is>
          <t>b5-yurt-disi</t>
        </is>
      </c>
      <c r="B137" s="5" t="inlineStr">
        <is>
          <t>Akıl</t>
        </is>
      </c>
      <c r="C137" s="5" t="inlineStr">
        <is>
          <t>Orta</t>
        </is>
      </c>
      <c r="D137" s="6" t="inlineStr">
        <is>
          <t>Başvuru için dil belgesi, bir niyet mektubu ve üç referans gerekiyor. Çimler ayrıca ücretli.</t>
        </is>
      </c>
      <c r="E137" s="6" t="inlineStr"/>
      <c r="F137" s="5" t="inlineStr"/>
    </row>
    <row r="138">
      <c r="A138" s="5" t="inlineStr">
        <is>
          <t>b5-yurt-disi</t>
        </is>
      </c>
      <c r="B138" s="5" t="inlineStr">
        <is>
          <t>Kurnazlık</t>
        </is>
      </c>
      <c r="C138" s="5" t="inlineStr">
        <is>
          <t>Zor</t>
        </is>
      </c>
      <c r="D138" s="6" t="inlineStr">
        <is>
          <t>Videoda gülen öğrencilerin hepsi mankenmiş. Çimler de sentetik.</t>
        </is>
      </c>
      <c r="E138" s="6" t="inlineStr"/>
      <c r="F138" s="5" t="inlineStr"/>
    </row>
    <row r="139">
      <c r="A139" s="5" t="inlineStr">
        <is>
          <t>b5-ilk-konser</t>
        </is>
      </c>
      <c r="B139" s="5" t="inlineStr">
        <is>
          <t>Dayanıklılık</t>
        </is>
      </c>
      <c r="C139" s="5" t="inlineStr">
        <is>
          <t>Orta</t>
        </is>
      </c>
      <c r="D139" s="6" t="inlineStr">
        <is>
          <t>Su almadın, tuvalete gitmedin, yerini koruyorsun. Bu bir konser değil, bir kuşatma.</t>
        </is>
      </c>
      <c r="E139" s="6" t="inlineStr"/>
      <c r="F139" s="5" t="inlineStr"/>
    </row>
    <row r="140">
      <c r="A140" s="5" t="inlineStr">
        <is>
          <t>b5-ilk-konser</t>
        </is>
      </c>
      <c r="B140" s="5" t="inlineStr">
        <is>
          <t>Sosyal Radar</t>
        </is>
      </c>
      <c r="C140" s="5" t="inlineStr">
        <is>
          <t>Kolay</t>
        </is>
      </c>
      <c r="D140" s="6" t="inlineStr">
        <is>
          <t>Etrafındaki herkes şarkıların tamamını biliyor. Sen iki nakarat biliyorsun. İkisini de yanlış.</t>
        </is>
      </c>
      <c r="E140" s="6" t="inlineStr"/>
      <c r="F140" s="5" t="inlineStr"/>
    </row>
    <row r="141">
      <c r="A141" s="5" t="inlineStr">
        <is>
          <t>b5-ev-partisi</t>
        </is>
      </c>
      <c r="B141" s="5" t="inlineStr">
        <is>
          <t>Sosyal Radar</t>
        </is>
      </c>
      <c r="C141" s="5" t="inlineStr">
        <is>
          <t>Orta</t>
        </is>
      </c>
      <c r="D141" s="6" t="inlineStr">
        <is>
          <t>Mutfaktaki şişeleri biri sayıyor. Pazartesi o sayı bir aileye ulaşacak.</t>
        </is>
      </c>
      <c r="E141" s="6" t="inlineStr"/>
      <c r="F141" s="5" t="inlineStr"/>
    </row>
    <row r="142">
      <c r="A142" s="5" t="inlineStr">
        <is>
          <t>b5-ev-partisi</t>
        </is>
      </c>
      <c r="B142" s="5" t="inlineStr">
        <is>
          <t>İtibar</t>
        </is>
      </c>
      <c r="C142" s="5" t="inlineStr">
        <is>
          <t>Kolay</t>
        </is>
      </c>
      <c r="D142" s="6" t="inlineStr">
        <is>
          <t>Komşular gürültü için ayrı bir mesaj grubu kurmuş. Onlar da organize.</t>
        </is>
      </c>
      <c r="E142" s="6" t="inlineStr"/>
      <c r="F142" s="5" t="inlineStr"/>
    </row>
    <row r="143">
      <c r="A143" s="5" t="inlineStr">
        <is>
          <t>b5-kurye-isi</t>
        </is>
      </c>
      <c r="B143" s="5" t="inlineStr">
        <is>
          <t>Kurnazlık</t>
        </is>
      </c>
      <c r="C143" s="5" t="inlineStr">
        <is>
          <t>Orta</t>
        </is>
      </c>
      <c r="D143" s="6" t="inlineStr">
        <is>
          <t>Otoparkın içinden geçersen üç dakika kazanırsın. Görevli kulübesinde uyuyor.</t>
        </is>
      </c>
      <c r="E143" s="6" t="inlineStr"/>
      <c r="F143" s="5" t="inlineStr"/>
    </row>
    <row r="144">
      <c r="A144" s="5" t="inlineStr">
        <is>
          <t>b5-kurye-isi</t>
        </is>
      </c>
      <c r="B144" s="5" t="inlineStr">
        <is>
          <t>Dayanıklılık</t>
        </is>
      </c>
      <c r="C144" s="5" t="inlineStr">
        <is>
          <t>Kolay</t>
        </is>
      </c>
      <c r="D144" s="6" t="inlineStr">
        <is>
          <t>Yokuşa girmeden vites düşür. Dizlerin sana ömür boyu teşekkür edecek.</t>
        </is>
      </c>
      <c r="E144" s="6" t="inlineStr"/>
      <c r="F144" s="5" t="inlineStr"/>
    </row>
    <row r="145">
      <c r="A145" s="5" t="inlineStr">
        <is>
          <t>b5-ozel-ders</t>
        </is>
      </c>
      <c r="B145" s="5" t="inlineStr">
        <is>
          <t>Akıl</t>
        </is>
      </c>
      <c r="C145" s="5" t="inlineStr">
        <is>
          <t>Kolay</t>
        </is>
      </c>
      <c r="D145" s="6" t="inlineStr">
        <is>
          <t>Ders başlamadan dakika maliyetini hesapladın. Öğretmene belki gerek yoktur.</t>
        </is>
      </c>
      <c r="E145" s="6" t="inlineStr"/>
      <c r="F145" s="5" t="inlineStr"/>
    </row>
    <row r="146">
      <c r="A146" s="5" t="inlineStr">
        <is>
          <t>b5-ozel-ders</t>
        </is>
      </c>
      <c r="B146" s="5" t="inlineStr">
        <is>
          <t>İtibar</t>
        </is>
      </c>
      <c r="C146" s="5" t="inlineStr">
        <is>
          <t>Orta</t>
        </is>
      </c>
      <c r="D146" s="6" t="inlineStr">
        <is>
          <t>Annen bu dersler için yeni kışlık montunu almadı. Bunu söylemedi. Eski mont söyledi.</t>
        </is>
      </c>
      <c r="E146" s="6" t="inlineStr"/>
      <c r="F146" s="5" t="inlineStr"/>
    </row>
    <row r="147">
      <c r="A147" s="5" t="inlineStr">
        <is>
          <t>b5-rehberlik</t>
        </is>
      </c>
      <c r="B147" s="5" t="inlineStr">
        <is>
          <t>Akıl</t>
        </is>
      </c>
      <c r="C147" s="5" t="inlineStr">
        <is>
          <t>Orta</t>
        </is>
      </c>
      <c r="D147" s="6" t="inlineStr">
        <is>
          <t>Test yetmiş soruydu. Otuzuncudan sonra hep 'C' işaretledin. Fener bekçiliği bir C mesleği.</t>
        </is>
      </c>
      <c r="E147" s="6" t="inlineStr"/>
      <c r="F147" s="5" t="inlineStr"/>
    </row>
    <row r="148">
      <c r="A148" s="5" t="inlineStr">
        <is>
          <t>b5-rehberlik</t>
        </is>
      </c>
      <c r="B148" s="5" t="inlineStr">
        <is>
          <t>Pişkinlik</t>
        </is>
      </c>
      <c r="C148" s="5" t="inlineStr">
        <is>
          <t>Kolay</t>
        </is>
      </c>
      <c r="D148" s="6" t="inlineStr">
        <is>
          <t>Sonucu kimseye söyleme. Ya da herkese söyle. Ortası yok.</t>
        </is>
      </c>
      <c r="E148" s="6" t="inlineStr"/>
      <c r="F148" s="5" t="inlineStr"/>
    </row>
    <row r="149">
      <c r="A149" s="5" t="inlineStr">
        <is>
          <t>b5-telefon-detoksu</t>
        </is>
      </c>
      <c r="B149" s="5" t="inlineStr">
        <is>
          <t>Kurnazlık</t>
        </is>
      </c>
      <c r="C149" s="5" t="inlineStr">
        <is>
          <t>Zor</t>
        </is>
      </c>
      <c r="D149" s="6" t="inlineStr">
        <is>
          <t>Emanet çekmecesinin anahtarı babanın anahtarlığında değil. Ekmek dolabında.</t>
        </is>
      </c>
      <c r="E149" s="6" t="inlineStr"/>
      <c r="F149" s="5" t="inlineStr">
        <is>
          <t>E</t>
        </is>
      </c>
    </row>
    <row r="150">
      <c r="A150" s="5" t="inlineStr">
        <is>
          <t>b5-telefon-detoksu</t>
        </is>
      </c>
      <c r="B150" s="5" t="inlineStr">
        <is>
          <t>Dayanıklılık</t>
        </is>
      </c>
      <c r="C150" s="5" t="inlineStr">
        <is>
          <t>Orta</t>
        </is>
      </c>
      <c r="D150" s="6" t="inlineStr">
        <is>
          <t>İlk üç gün cebini yoklayacaksın. Dördüncü gün kitap okuyacaksın. Beşinci gün kitaba bildirim gelmiyor diye şaşıracaksın.</t>
        </is>
      </c>
      <c r="E150" s="6" t="inlineStr"/>
      <c r="F150" s="5" t="inlineStr"/>
    </row>
    <row r="151">
      <c r="A151" s="5" t="inlineStr">
        <is>
          <t>b5-universite-sinavi</t>
        </is>
      </c>
      <c r="B151" s="5" t="inlineStr">
        <is>
          <t>Akıl</t>
        </is>
      </c>
      <c r="C151" s="5" t="inlineStr">
        <is>
          <t>Orta</t>
        </is>
      </c>
      <c r="D151" s="6" t="inlineStr">
        <is>
          <t>Kitapçıktaki ilk soru hep kolaydır. Moral bozulmasın diye. Hesap sonra sorulur.</t>
        </is>
      </c>
      <c r="E151" s="6" t="inlineStr"/>
      <c r="F151" s="5" t="inlineStr"/>
    </row>
    <row r="152">
      <c r="A152" s="5" t="inlineStr">
        <is>
          <t>b5-universite-sinavi</t>
        </is>
      </c>
      <c r="B152" s="5" t="inlineStr">
        <is>
          <t>Dayanıklılık</t>
        </is>
      </c>
      <c r="C152" s="5" t="inlineStr">
        <is>
          <t>Kolay</t>
        </is>
      </c>
      <c r="D152" s="6" t="inlineStr">
        <is>
          <t>Maratonun son kilometresi. Buraya kadar koştun. Şimdi yürü ama durma.</t>
        </is>
      </c>
      <c r="E152" s="6" t="inlineStr"/>
      <c r="F152" s="5" t="inlineStr"/>
    </row>
    <row r="153">
      <c r="A153" s="5" t="inlineStr">
        <is>
          <t>b5-mezuniyet-balosu</t>
        </is>
      </c>
      <c r="B153" s="5" t="inlineStr">
        <is>
          <t>Sosyal Radar</t>
        </is>
      </c>
      <c r="C153" s="5" t="inlineStr">
        <is>
          <t>Orta</t>
        </is>
      </c>
      <c r="D153" s="6" t="inlineStr">
        <is>
          <t>Pistin kenarındaki herkes birinin başlamasını bekliyor. İlk çıkan ya efsane olur ya fotoğraf.</t>
        </is>
      </c>
      <c r="E153" s="6" t="inlineStr"/>
      <c r="F153" s="5" t="inlineStr"/>
    </row>
    <row r="154">
      <c r="A154" s="5" t="inlineStr">
        <is>
          <t>b5-mezuniyet-balosu</t>
        </is>
      </c>
      <c r="B154" s="5" t="inlineStr">
        <is>
          <t>Pişkinlik</t>
        </is>
      </c>
      <c r="C154" s="5" t="inlineStr">
        <is>
          <t>Zor</t>
        </is>
      </c>
      <c r="D154" s="6" t="inlineStr">
        <is>
          <t>Mikrofon masada sahipsiz duruyor. Dört yılın son sözünü kim söyleyecek?</t>
        </is>
      </c>
      <c r="E154" s="6" t="inlineStr"/>
      <c r="F154" s="5" t="inlineStr">
        <is>
          <t>E</t>
        </is>
      </c>
    </row>
    <row r="155">
      <c r="A155" s="5" t="inlineStr">
        <is>
          <t>b5-tercih-listesi</t>
        </is>
      </c>
      <c r="B155" s="5" t="inlineStr">
        <is>
          <t>Akıl</t>
        </is>
      </c>
      <c r="C155" s="5" t="inlineStr">
        <is>
          <t>Orta</t>
        </is>
      </c>
      <c r="D155" s="6" t="inlineStr">
        <is>
          <t>Puanın bazı kapıları açıyor, bazılarını kibarca kapatıyor. Liste gerçekçi olmalı.</t>
        </is>
      </c>
      <c r="E155" s="6" t="inlineStr"/>
      <c r="F155" s="5" t="inlineStr"/>
    </row>
    <row r="156">
      <c r="A156" s="5" t="inlineStr">
        <is>
          <t>b5-tercih-listesi</t>
        </is>
      </c>
      <c r="B156" s="5" t="inlineStr">
        <is>
          <t>İtibar</t>
        </is>
      </c>
      <c r="C156" s="5" t="inlineStr">
        <is>
          <t>Zor</t>
        </is>
      </c>
      <c r="D156" s="6" t="inlineStr">
        <is>
          <t>Babaannen 'Yakın olsun' diyor. Babaannenin tek kriteri bu. Ama çok güçlü bir kriter.</t>
        </is>
      </c>
      <c r="E156" s="6" t="inlineStr"/>
      <c r="F156" s="5" t="inlineStr"/>
    </row>
    <row r="157">
      <c r="A157" s="5" t="inlineStr">
        <is>
          <t>b5-mezuniyet</t>
        </is>
      </c>
      <c r="B157" s="5" t="inlineStr">
        <is>
          <t>İtibar</t>
        </is>
      </c>
      <c r="C157" s="5" t="inlineStr">
        <is>
          <t>Kolay</t>
        </is>
      </c>
      <c r="D157" s="6" t="inlineStr">
        <is>
          <t>Arka sırada bir öğretmen gözlerini siliyor. Sen onun adını hiç öğrenmedin. O seninkini biliyor.</t>
        </is>
      </c>
      <c r="E157" s="6" t="inlineStr"/>
      <c r="F157" s="5" t="inlineStr"/>
    </row>
    <row r="158">
      <c r="A158" s="5" t="inlineStr">
        <is>
          <t>b5-mezuniyet</t>
        </is>
      </c>
      <c r="B158" s="5" t="inlineStr">
        <is>
          <t>Sosyal Radar</t>
        </is>
      </c>
      <c r="C158" s="5" t="inlineStr">
        <is>
          <t>Orta</t>
        </is>
      </c>
      <c r="D158" s="6" t="inlineStr">
        <is>
          <t>Bugün herkes “Görüşürüz” diyecek. İlk görüşeceğiniz yer birinin düğünü olacak; yarısının adını hatırlamayacaksın.</t>
        </is>
      </c>
      <c r="E158" s="6" t="inlineStr"/>
      <c r="F158" s="5" t="inlineStr"/>
    </row>
    <row r="159">
      <c r="A159" s="5" t="inlineStr">
        <is>
          <t>b5-ehliyet-kursu</t>
        </is>
      </c>
      <c r="B159" s="5" t="inlineStr">
        <is>
          <t>Dayanıklılık</t>
        </is>
      </c>
      <c r="C159" s="5" t="inlineStr">
        <is>
          <t>Orta</t>
        </is>
      </c>
      <c r="D159" s="6" t="inlineStr">
        <is>
          <t>Aynayı ayarla, koltuğu ayarla, sonra yine aynayı. Sınav ayarlamada kazanılır.</t>
        </is>
      </c>
      <c r="E159" s="6" t="inlineStr"/>
      <c r="F159" s="5" t="inlineStr"/>
    </row>
    <row r="160">
      <c r="A160" s="5" t="inlineStr">
        <is>
          <t>b5-ehliyet-kursu</t>
        </is>
      </c>
      <c r="B160" s="5" t="inlineStr">
        <is>
          <t>Cesaret</t>
        </is>
      </c>
      <c r="C160" s="5" t="inlineStr">
        <is>
          <t>Kolay</t>
        </is>
      </c>
      <c r="D160" s="6" t="inlineStr">
        <is>
          <t>Yokuş sadece bir yokuş. Arkandaki kamyon sadece bir kamyon. Korkulacak bir şey yok. Pek yok.</t>
        </is>
      </c>
      <c r="E160" s="6" t="inlineStr"/>
      <c r="F160" s="5" t="inlineStr"/>
    </row>
    <row r="161">
      <c r="A161" s="5" t="inlineStr">
        <is>
          <t>b5-tek-basina-tatil</t>
        </is>
      </c>
      <c r="B161" s="5" t="inlineStr">
        <is>
          <t>Kurnazlık</t>
        </is>
      </c>
      <c r="C161" s="5" t="inlineStr">
        <is>
          <t>Orta</t>
        </is>
      </c>
      <c r="D161" s="6" t="inlineStr">
        <is>
          <t>Pansiyon sahibi 'deniz manzaralı' dedi. Manzara bir ayna aracılığıyla sağlanıyor.</t>
        </is>
      </c>
      <c r="E161" s="6" t="inlineStr"/>
      <c r="F161" s="5" t="inlineStr"/>
    </row>
    <row r="162">
      <c r="A162" s="5" t="inlineStr">
        <is>
          <t>b5-tek-basina-tatil</t>
        </is>
      </c>
      <c r="B162" s="5" t="inlineStr">
        <is>
          <t>Sosyal Radar</t>
        </is>
      </c>
      <c r="C162" s="5" t="inlineStr">
        <is>
          <t>Kolay</t>
        </is>
      </c>
      <c r="D162" s="6" t="inlineStr">
        <is>
          <t>Grupta biri bütçeyi tutacak, biri planı yapacak, biri hiçbir şeyi. Hiçbir şeyi yapan en çok eğlenecek.</t>
        </is>
      </c>
      <c r="E162" s="6" t="inlineStr"/>
      <c r="F162" s="5" t="inlineStr"/>
    </row>
    <row r="163">
      <c r="A163" s="5" t="inlineStr">
        <is>
          <t>b6-yurt-odasi</t>
        </is>
      </c>
      <c r="B163" s="5" t="inlineStr">
        <is>
          <t>Sosyal Radar</t>
        </is>
      </c>
      <c r="C163" s="5" t="inlineStr">
        <is>
          <t>Orta</t>
        </is>
      </c>
      <c r="D163" s="6" t="inlineStr">
        <is>
          <t>Üst ranzadaki üç gündür aynı tişörtle. Annesi kargoyla yenisini yollamadan değiştirmeyecek.</t>
        </is>
      </c>
      <c r="E163" s="6" t="inlineStr"/>
      <c r="F163" s="5" t="inlineStr"/>
    </row>
    <row r="164">
      <c r="A164" s="5" t="inlineStr">
        <is>
          <t>b6-yurt-odasi</t>
        </is>
      </c>
      <c r="B164" s="5" t="inlineStr">
        <is>
          <t>Kurnazlık</t>
        </is>
      </c>
      <c r="C164" s="5" t="inlineStr">
        <is>
          <t>Kolay</t>
        </is>
      </c>
      <c r="D164" s="6" t="inlineStr">
        <is>
          <t>Prizin yanındaki yatak, bu odanın başkentidir.</t>
        </is>
      </c>
      <c r="E164" s="6" t="inlineStr"/>
      <c r="F164" s="5" t="inlineStr">
        <is>
          <t>E</t>
        </is>
      </c>
    </row>
    <row r="165">
      <c r="A165" s="5" t="inlineStr">
        <is>
          <t>b6-ilk-tam-zamanli-is</t>
        </is>
      </c>
      <c r="B165" s="5" t="inlineStr">
        <is>
          <t>Çene</t>
        </is>
      </c>
      <c r="C165" s="5" t="inlineStr">
        <is>
          <t>Orta</t>
        </is>
      </c>
      <c r="D165" s="6" t="inlineStr">
        <is>
          <t>Müşteri 'Şundan var mı?' diyor ve hiçbir şey göstermiyor. Satış burada başlar.</t>
        </is>
      </c>
      <c r="E165" s="6" t="inlineStr"/>
      <c r="F165" s="5" t="inlineStr"/>
    </row>
    <row r="166">
      <c r="A166" s="5" t="inlineStr">
        <is>
          <t>b6-ilk-tam-zamanli-is</t>
        </is>
      </c>
      <c r="B166" s="5" t="inlineStr">
        <is>
          <t>Dayanıklılık</t>
        </is>
      </c>
      <c r="C166" s="5" t="inlineStr">
        <is>
          <t>Kolay</t>
        </is>
      </c>
      <c r="D166" s="6" t="inlineStr">
        <is>
          <t>On iki saat ayakta. Akşam annen “Otur biraz” diyecek. Oturursan kalkamazsın.</t>
        </is>
      </c>
      <c r="E166" s="6" t="inlineStr"/>
      <c r="F166" s="5" t="inlineStr"/>
    </row>
    <row r="167">
      <c r="A167" s="5" t="inlineStr">
        <is>
          <t>b6-ehliyet</t>
        </is>
      </c>
      <c r="B167" s="5" t="inlineStr">
        <is>
          <t>Cesaret</t>
        </is>
      </c>
      <c r="C167" s="5" t="inlineStr">
        <is>
          <t>Orta</t>
        </is>
      </c>
      <c r="D167" s="6" t="inlineStr">
        <is>
          <t>Evlat, yokuş seni korkutuyorsa sen de yokuşu korkut.</t>
        </is>
      </c>
      <c r="E167" s="6" t="inlineStr"/>
      <c r="F167" s="5" t="inlineStr"/>
    </row>
    <row r="168">
      <c r="A168" s="5" t="inlineStr">
        <is>
          <t>b6-ehliyet</t>
        </is>
      </c>
      <c r="B168" s="5" t="inlineStr">
        <is>
          <t>Akıl</t>
        </is>
      </c>
      <c r="C168" s="5" t="inlineStr">
        <is>
          <t>Kolay</t>
        </is>
      </c>
      <c r="D168" s="6" t="inlineStr">
        <is>
          <t>Debriyaj, gaz, el freni. Bu sırayla. Panik bu listede yok.</t>
        </is>
      </c>
      <c r="E168" s="6" t="inlineStr"/>
      <c r="F168" s="5" t="inlineStr"/>
    </row>
    <row r="169">
      <c r="A169" s="5" t="inlineStr">
        <is>
          <t>b6-ilk-maas</t>
        </is>
      </c>
      <c r="B169" s="5" t="inlineStr">
        <is>
          <t>Kurnazlık</t>
        </is>
      </c>
      <c r="C169" s="5" t="inlineStr">
        <is>
          <t>Kolay</t>
        </is>
      </c>
      <c r="D169" s="6" t="inlineStr">
        <is>
          <t>Üçte biri eve, üçte biri telefon taksitine, üçte biri… Bir dakika. Üçte bir kalmadı.</t>
        </is>
      </c>
      <c r="E169" s="6" t="inlineStr"/>
      <c r="F169" s="5" t="inlineStr"/>
    </row>
    <row r="170">
      <c r="A170" s="5" t="inlineStr">
        <is>
          <t>b6-ilk-maas</t>
        </is>
      </c>
      <c r="B170" s="5" t="inlineStr">
        <is>
          <t>İtibar</t>
        </is>
      </c>
      <c r="C170" s="5" t="inlineStr">
        <is>
          <t>Orta</t>
        </is>
      </c>
      <c r="D170" s="6" t="inlineStr">
        <is>
          <t>Annene bir şey al. Küçük olsun. Komşulara gösterecek kadar büyük.</t>
        </is>
      </c>
      <c r="E170" s="6" t="inlineStr"/>
      <c r="F170" s="5" t="inlineStr"/>
    </row>
    <row r="171">
      <c r="A171" s="5" t="inlineStr">
        <is>
          <t>b6-usta-cirak</t>
        </is>
      </c>
      <c r="B171" s="5" t="inlineStr">
        <is>
          <t>Kurnazlık</t>
        </is>
      </c>
      <c r="C171" s="5" t="inlineStr">
        <is>
          <t>Orta</t>
        </is>
      </c>
      <c r="D171" s="6" t="inlineStr">
        <is>
          <t>Usta iki şeyi asla anlatmaz: kaça iş aldığını ve o özel vidayı nereye sakladığını.</t>
        </is>
      </c>
      <c r="E171" s="6" t="inlineStr"/>
      <c r="F171" s="5" t="inlineStr">
        <is>
          <t>E</t>
        </is>
      </c>
    </row>
    <row r="172">
      <c r="A172" s="5" t="inlineStr">
        <is>
          <t>b6-usta-cirak</t>
        </is>
      </c>
      <c r="B172" s="5" t="inlineStr">
        <is>
          <t>İtibar</t>
        </is>
      </c>
      <c r="C172" s="5" t="inlineStr">
        <is>
          <t>Kolay</t>
        </is>
      </c>
      <c r="D172" s="6" t="inlineStr">
        <is>
          <t>Usta sert ama doğru. Babaanne de böyleydi.</t>
        </is>
      </c>
      <c r="E172" s="6" t="inlineStr"/>
      <c r="F172" s="5" t="inlineStr"/>
    </row>
    <row r="173">
      <c r="A173" s="5" t="inlineStr">
        <is>
          <t>b6-final-haftasi</t>
        </is>
      </c>
      <c r="B173" s="5" t="inlineStr">
        <is>
          <t>Akıl</t>
        </is>
      </c>
      <c r="C173" s="5" t="inlineStr">
        <is>
          <t>Orta</t>
        </is>
      </c>
      <c r="D173" s="6" t="inlineStr">
        <is>
          <t>Bu hoca on yıldır aynı soruları soruyor. Geçen yılın kâğıtları bir yerlerde, bir fotokopicide.</t>
        </is>
      </c>
      <c r="E173" s="6" t="inlineStr"/>
      <c r="F173" s="5" t="inlineStr">
        <is>
          <t>E</t>
        </is>
      </c>
    </row>
    <row r="174">
      <c r="A174" s="5" t="inlineStr">
        <is>
          <t>b6-final-haftasi</t>
        </is>
      </c>
      <c r="B174" s="5" t="inlineStr">
        <is>
          <t>Dayanıklılık</t>
        </is>
      </c>
      <c r="C174" s="5" t="inlineStr">
        <is>
          <t>Kolay</t>
        </is>
      </c>
      <c r="D174" s="6" t="inlineStr">
        <is>
          <t>Üç gün uykusuzluk mümkün. Dördüncü gün dersin adını unutursun.</t>
        </is>
      </c>
      <c r="E174" s="6" t="inlineStr"/>
      <c r="F174" s="5" t="inlineStr"/>
    </row>
    <row r="175">
      <c r="A175" s="5" t="inlineStr">
        <is>
          <t>b6-kredi-karti</t>
        </is>
      </c>
      <c r="B175" s="5" t="inlineStr">
        <is>
          <t>Kurnazlık</t>
        </is>
      </c>
      <c r="C175" s="5" t="inlineStr">
        <is>
          <t>Orta</t>
        </is>
      </c>
      <c r="D175" s="6" t="inlineStr">
        <is>
          <t>Asgari ödeme bir tuzaktır. İçi sıcak ve rahat bir tuzak.</t>
        </is>
      </c>
      <c r="E175" s="6" t="inlineStr"/>
      <c r="F175" s="5" t="inlineStr"/>
    </row>
    <row r="176">
      <c r="A176" s="5" t="inlineStr">
        <is>
          <t>b6-kredi-karti</t>
        </is>
      </c>
      <c r="B176" s="5" t="inlineStr">
        <is>
          <t>Pişkinlik</t>
        </is>
      </c>
      <c r="C176" s="5" t="inlineStr">
        <is>
          <t>Kolay</t>
        </is>
      </c>
      <c r="D176" s="6" t="inlineStr">
        <is>
          <t>Limit dediğin bir öneridir. Önerileri dinlemek zorunda değilsin.</t>
        </is>
      </c>
      <c r="E176" s="6" t="inlineStr"/>
      <c r="F176" s="5" t="inlineStr"/>
    </row>
    <row r="177">
      <c r="A177" s="5" t="inlineStr">
        <is>
          <t>b6-ogrenci-kulubu</t>
        </is>
      </c>
      <c r="B177" s="5" t="inlineStr">
        <is>
          <t>Sosyal Radar</t>
        </is>
      </c>
      <c r="C177" s="5" t="inlineStr">
        <is>
          <t>Kolay</t>
        </is>
      </c>
      <c r="D177" s="6" t="inlineStr">
        <is>
          <t>Girişimcilik kulübünün yarısı özgeçmişine yazmak için orada. Diğer yarısı da.</t>
        </is>
      </c>
      <c r="E177" s="6" t="inlineStr"/>
      <c r="F177" s="5" t="inlineStr"/>
    </row>
    <row r="178">
      <c r="A178" s="5" t="inlineStr">
        <is>
          <t>b6-ogrenci-kulubu</t>
        </is>
      </c>
      <c r="B178" s="5" t="inlineStr">
        <is>
          <t>Pişkinlik</t>
        </is>
      </c>
      <c r="C178" s="5" t="inlineStr">
        <is>
          <t>Orta</t>
        </is>
      </c>
      <c r="D178" s="6" t="inlineStr">
        <is>
          <t>Üyelik özgeçmişte bir satırdır. Başkanlık iki satır.</t>
        </is>
      </c>
      <c r="E178" s="6" t="inlineStr"/>
      <c r="F178" s="5" t="inlineStr"/>
    </row>
    <row r="179">
      <c r="A179" s="5" t="inlineStr">
        <is>
          <t>b6-gece-motor</t>
        </is>
      </c>
      <c r="B179" s="5" t="inlineStr">
        <is>
          <t>Cesaret</t>
        </is>
      </c>
      <c r="C179" s="5" t="inlineStr">
        <is>
          <t>Zor</t>
        </is>
      </c>
      <c r="D179" s="6" t="inlineStr">
        <is>
          <t>Evlat, cesaret her şeyi yapmak değildir. Bazen kaskı takmaktır.</t>
        </is>
      </c>
      <c r="E179" s="6" t="inlineStr"/>
      <c r="F179" s="5" t="inlineStr"/>
    </row>
    <row r="180">
      <c r="A180" s="5" t="inlineStr">
        <is>
          <t>b6-gece-motor</t>
        </is>
      </c>
      <c r="B180" s="5" t="inlineStr">
        <is>
          <t>Dayanıklılık</t>
        </is>
      </c>
      <c r="C180" s="5" t="inlineStr">
        <is>
          <t>Orta</t>
        </is>
      </c>
      <c r="D180" s="6" t="inlineStr">
        <is>
          <t>Sabah işe gideceksin. Bu yarış, işe gitmeme ihtimali taşıyor.</t>
        </is>
      </c>
      <c r="E180" s="6" t="inlineStr"/>
      <c r="F180" s="5" t="inlineStr"/>
    </row>
    <row r="181">
      <c r="A181" s="5" t="inlineStr">
        <is>
          <t>b6-gece-vardiyasi</t>
        </is>
      </c>
      <c r="B181" s="5" t="inlineStr">
        <is>
          <t>Dayanıklılık</t>
        </is>
      </c>
      <c r="C181" s="5" t="inlineStr">
        <is>
          <t>Orta</t>
        </is>
      </c>
      <c r="D181" s="6" t="inlineStr">
        <is>
          <t>Saat dörtte bir duvar gelir. Duvarı geçersen altıda ikinci bir nefes var.</t>
        </is>
      </c>
      <c r="E181" s="6" t="inlineStr"/>
      <c r="F181" s="5" t="inlineStr">
        <is>
          <t>E</t>
        </is>
      </c>
    </row>
    <row r="182">
      <c r="A182" s="5" t="inlineStr">
        <is>
          <t>b6-gece-vardiyasi</t>
        </is>
      </c>
      <c r="B182" s="5" t="inlineStr">
        <is>
          <t>Sosyal Radar</t>
        </is>
      </c>
      <c r="C182" s="5" t="inlineStr">
        <is>
          <t>Kolay</t>
        </is>
      </c>
      <c r="D182" s="6" t="inlineStr">
        <is>
          <t>Her gece gelen o müşteri yine sakız alacak. Sakız değil aslında, sohbet.</t>
        </is>
      </c>
      <c r="E182" s="6" t="inlineStr"/>
      <c r="F182" s="5" t="inlineStr"/>
    </row>
    <row r="183">
      <c r="A183" s="5" t="inlineStr">
        <is>
          <t>b6-kiralik-ev</t>
        </is>
      </c>
      <c r="B183" s="5" t="inlineStr">
        <is>
          <t>Çene</t>
        </is>
      </c>
      <c r="C183" s="5" t="inlineStr">
        <is>
          <t>Orta</t>
        </is>
      </c>
      <c r="D183" s="6" t="inlineStr">
        <is>
          <t>'Bu fiyat son' diyor. Son fiyat, pazarlığın ilk cümlesidir.</t>
        </is>
      </c>
      <c r="E183" s="6" t="inlineStr"/>
      <c r="F183" s="5" t="inlineStr"/>
    </row>
    <row r="184">
      <c r="A184" s="5" t="inlineStr">
        <is>
          <t>b6-kiralik-ev</t>
        </is>
      </c>
      <c r="B184" s="5" t="inlineStr">
        <is>
          <t>Sosyal Radar</t>
        </is>
      </c>
      <c r="C184" s="5" t="inlineStr">
        <is>
          <t>Zor</t>
        </is>
      </c>
      <c r="D184" s="6" t="inlineStr">
        <is>
          <t>Zilin yanında hâlâ önceki kiracının adı yazılı. Bir yıl bile kalmamış. Neden?</t>
        </is>
      </c>
      <c r="E184" s="6" t="inlineStr"/>
      <c r="F184" s="5" t="inlineStr"/>
    </row>
    <row r="185">
      <c r="A185" s="5" t="inlineStr">
        <is>
          <t>b6-tasinma</t>
        </is>
      </c>
      <c r="B185" s="5" t="inlineStr">
        <is>
          <t>Dayanıklılık</t>
        </is>
      </c>
      <c r="C185" s="5" t="inlineStr">
        <is>
          <t>Orta</t>
        </is>
      </c>
      <c r="D185" s="6" t="inlineStr">
        <is>
          <t>Merdiven bir maratondur. Buzdolabıyla koşulan bir maraton.</t>
        </is>
      </c>
      <c r="E185" s="6" t="inlineStr"/>
      <c r="F185" s="5" t="inlineStr"/>
    </row>
    <row r="186">
      <c r="A186" s="5" t="inlineStr">
        <is>
          <t>b6-tasinma</t>
        </is>
      </c>
      <c r="B186" s="5" t="inlineStr">
        <is>
          <t>Akıl</t>
        </is>
      </c>
      <c r="C186" s="5" t="inlineStr">
        <is>
          <t>Kolay</t>
        </is>
      </c>
      <c r="D186" s="6" t="inlineStr">
        <is>
          <t>Kolilere etiket yaz. 'Mutfak' yazan kolide mutfak olsun. Geçen sefer çoraplar vardı.</t>
        </is>
      </c>
      <c r="E186" s="6" t="inlineStr"/>
      <c r="F186" s="5" t="inlineStr"/>
    </row>
    <row r="187">
      <c r="A187" s="5" t="inlineStr">
        <is>
          <t>b6-ev-arkadasi</t>
        </is>
      </c>
      <c r="B187" s="5" t="inlineStr">
        <is>
          <t>İtibar</t>
        </is>
      </c>
      <c r="C187" s="5" t="inlineStr">
        <is>
          <t>Orta</t>
        </is>
      </c>
      <c r="D187" s="6" t="inlineStr">
        <is>
          <t>Söylemezsen bulaşık da söylemez. Ama koku söyler.</t>
        </is>
      </c>
      <c r="E187" s="6" t="inlineStr"/>
      <c r="F187" s="5" t="inlineStr"/>
    </row>
    <row r="188">
      <c r="A188" s="5" t="inlineStr">
        <is>
          <t>b6-ev-arkadasi</t>
        </is>
      </c>
      <c r="B188" s="5" t="inlineStr">
        <is>
          <t>Sosyal Radar</t>
        </is>
      </c>
      <c r="C188" s="5" t="inlineStr">
        <is>
          <t>Kolay</t>
        </is>
      </c>
      <c r="D188" s="6" t="inlineStr">
        <is>
          <t>Ev arkadaşın bulaşığı yıkamıyor, çünkü sen yıkıyorsun. Annen de babana yıllarca böyle yıkadı.</t>
        </is>
      </c>
      <c r="E188" s="6" t="inlineStr"/>
      <c r="F188" s="5" t="inlineStr">
        <is>
          <t>E</t>
        </is>
      </c>
    </row>
    <row r="189">
      <c r="A189" s="5" t="inlineStr">
        <is>
          <t>b6-staj</t>
        </is>
      </c>
      <c r="B189" s="5" t="inlineStr">
        <is>
          <t>Sosyal Radar</t>
        </is>
      </c>
      <c r="C189" s="5" t="inlineStr">
        <is>
          <t>Orta</t>
        </is>
      </c>
      <c r="D189" s="6" t="inlineStr">
        <is>
          <t>Kahve makinesinin başındaki adam şirketin yarısını yönetiyor. Diğer yarısı onun ne diyeceğini bekliyor.</t>
        </is>
      </c>
      <c r="E189" s="6" t="inlineStr"/>
      <c r="F189" s="5" t="inlineStr">
        <is>
          <t>E</t>
        </is>
      </c>
    </row>
    <row r="190">
      <c r="A190" s="5" t="inlineStr">
        <is>
          <t>b6-staj</t>
        </is>
      </c>
      <c r="B190" s="5" t="inlineStr">
        <is>
          <t>İtibar</t>
        </is>
      </c>
      <c r="C190" s="5" t="inlineStr">
        <is>
          <t>Kolay</t>
        </is>
      </c>
      <c r="D190" s="6" t="inlineStr">
        <is>
          <t>Maaş yok ama yol parası var. Yol parası da yok. Ama tecrübe var.</t>
        </is>
      </c>
      <c r="E190" s="6" t="inlineStr"/>
      <c r="F190" s="5" t="inlineStr"/>
    </row>
    <row r="191">
      <c r="A191" s="5" t="inlineStr">
        <is>
          <t>b6-spor-salonu</t>
        </is>
      </c>
      <c r="B191" s="5" t="inlineStr">
        <is>
          <t>Dayanıklılık</t>
        </is>
      </c>
      <c r="C191" s="5" t="inlineStr">
        <is>
          <t>Kolay</t>
        </is>
      </c>
      <c r="D191" s="6" t="inlineStr">
        <is>
          <t>Başlamak zor değil. Üçüncü hafta zor. Ben kendimle üçüncü haftada tanıştım.</t>
        </is>
      </c>
      <c r="E191" s="6" t="inlineStr"/>
      <c r="F191" s="5" t="inlineStr"/>
    </row>
    <row r="192">
      <c r="A192" s="5" t="inlineStr">
        <is>
          <t>b6-spor-salonu</t>
        </is>
      </c>
      <c r="B192" s="5" t="inlineStr">
        <is>
          <t>Pişkinlik</t>
        </is>
      </c>
      <c r="C192" s="5" t="inlineStr">
        <is>
          <t>Orta</t>
        </is>
      </c>
      <c r="D192" s="6" t="inlineStr">
        <is>
          <t>Aynada fotoğraf çekmek de bir antrenmandır. Başparmak kası için.</t>
        </is>
      </c>
      <c r="E192" s="6" t="inlineStr"/>
      <c r="F192" s="5" t="inlineStr"/>
    </row>
    <row r="193">
      <c r="A193" s="5" t="inlineStr">
        <is>
          <t>b6-degisim-programi</t>
        </is>
      </c>
      <c r="B193" s="5" t="inlineStr">
        <is>
          <t>Cesaret</t>
        </is>
      </c>
      <c r="C193" s="5" t="inlineStr">
        <is>
          <t>Orta</t>
        </is>
      </c>
      <c r="D193" s="6" t="inlineStr">
        <is>
          <t>Evlat, dünya büyük, mahalle küçük. Bavulu hazırla.</t>
        </is>
      </c>
      <c r="E193" s="6" t="inlineStr"/>
      <c r="F193" s="5" t="inlineStr"/>
    </row>
    <row r="194">
      <c r="A194" s="5" t="inlineStr">
        <is>
          <t>b6-degisim-programi</t>
        </is>
      </c>
      <c r="B194" s="5" t="inlineStr">
        <is>
          <t>Kurnazlık</t>
        </is>
      </c>
      <c r="C194" s="5" t="inlineStr">
        <is>
          <t>Zor</t>
        </is>
      </c>
      <c r="D194" s="6" t="inlineStr">
        <is>
          <t>Burs kiranın yarısı. Öbür yarısı ya babandan çıkacak ya mutfaktan. Babandan çıkarsa nasihatli gelir.</t>
        </is>
      </c>
      <c r="E194" s="6" t="inlineStr"/>
      <c r="F194" s="5" t="inlineStr"/>
    </row>
    <row r="195">
      <c r="A195" s="5" t="inlineStr">
        <is>
          <t>b6-askerlik</t>
        </is>
      </c>
      <c r="B195" s="5" t="inlineStr">
        <is>
          <t>İtibar</t>
        </is>
      </c>
      <c r="C195" s="5" t="inlineStr">
        <is>
          <t>Orta</t>
        </is>
      </c>
      <c r="D195" s="6" t="inlineStr">
        <is>
          <t>Mahallenin bütün abileri 'Askerlik adam eder' der. Hiçbiri nasıl ettiğini anlatmaz.</t>
        </is>
      </c>
      <c r="E195" s="6" t="inlineStr"/>
      <c r="F195" s="5" t="inlineStr"/>
    </row>
    <row r="196">
      <c r="A196" s="5" t="inlineStr">
        <is>
          <t>b6-askerlik</t>
        </is>
      </c>
      <c r="B196" s="5" t="inlineStr">
        <is>
          <t>Kurnazlık</t>
        </is>
      </c>
      <c r="C196" s="5" t="inlineStr">
        <is>
          <t>Zor</t>
        </is>
      </c>
      <c r="D196" s="6" t="inlineStr">
        <is>
          <t>Heyette en çok kim konuşursa o kışlaya gider. Az konuşan, çok topallar.</t>
        </is>
      </c>
      <c r="E196" s="6" t="inlineStr"/>
      <c r="F196" s="5" t="inlineStr"/>
    </row>
    <row r="197">
      <c r="A197" s="5" t="inlineStr">
        <is>
          <t>b6-okusaydin</t>
        </is>
      </c>
      <c r="B197" s="5" t="inlineStr">
        <is>
          <t>Sosyal Radar</t>
        </is>
      </c>
      <c r="C197" s="5" t="inlineStr">
        <is>
          <t>Orta</t>
        </is>
      </c>
      <c r="D197" s="6" t="inlineStr">
        <is>
          <t>Bunu en çok söyleyen teyzenin oğlu üç yıldır son sınıfta.</t>
        </is>
      </c>
      <c r="E197" s="6" t="inlineStr"/>
      <c r="F197" s="5" t="inlineStr">
        <is>
          <t>E</t>
        </is>
      </c>
    </row>
    <row r="198">
      <c r="A198" s="5" t="inlineStr">
        <is>
          <t>b6-okusaydin</t>
        </is>
      </c>
      <c r="B198" s="5" t="inlineStr">
        <is>
          <t>İtibar</t>
        </is>
      </c>
      <c r="C198" s="5" t="inlineStr">
        <is>
          <t>Kolay</t>
        </is>
      </c>
      <c r="D198" s="6" t="inlineStr">
        <is>
          <t>Seni sevdikleri için söylüyorlar. Sevgi bazen insanı yoruyor.</t>
        </is>
      </c>
      <c r="E198" s="6" t="inlineStr"/>
      <c r="F198" s="5" t="inlineStr"/>
    </row>
    <row r="199">
      <c r="A199" s="5" t="inlineStr">
        <is>
          <t>b6-mezuniyet</t>
        </is>
      </c>
      <c r="B199" s="5" t="inlineStr">
        <is>
          <t>Pişkinlik</t>
        </is>
      </c>
      <c r="C199" s="5" t="inlineStr">
        <is>
          <t>Kolay</t>
        </is>
      </c>
      <c r="D199" s="6" t="inlineStr">
        <is>
          <t>Herkes aynı fotoğrafı çekiyor. Farkı, kimin kepi geri bulduğu belirliyor.</t>
        </is>
      </c>
      <c r="E199" s="6" t="inlineStr"/>
      <c r="F199" s="5" t="inlineStr"/>
    </row>
    <row r="200">
      <c r="A200" s="5" t="inlineStr">
        <is>
          <t>b6-mezuniyet</t>
        </is>
      </c>
      <c r="B200" s="5" t="inlineStr">
        <is>
          <t>İtibar</t>
        </is>
      </c>
      <c r="C200" s="5" t="inlineStr">
        <is>
          <t>Orta</t>
        </is>
      </c>
      <c r="D200" s="6" t="inlineStr">
        <is>
          <t>Ailen ön sırada. Baban kamerayı ters tutuyor. Bu fotoğraf da bu aileye ait.</t>
        </is>
      </c>
      <c r="E200" s="6" t="inlineStr"/>
      <c r="F200" s="5" t="inlineStr"/>
    </row>
    <row r="201">
      <c r="A201" s="5" t="inlineStr">
        <is>
          <t>b6-meslek-secimi</t>
        </is>
      </c>
      <c r="B201" s="5" t="inlineStr">
        <is>
          <t>İtibar</t>
        </is>
      </c>
      <c r="C201" s="5" t="inlineStr">
        <is>
          <t>Orta</t>
        </is>
      </c>
      <c r="D201" s="6" t="inlineStr">
        <is>
          <t>Baban 'Devlet kapısı' diyor, annen 'Kendi işin' diyor. İkisi de aslında 'Yanımızda kal' diyor.</t>
        </is>
      </c>
      <c r="E201" s="6" t="inlineStr"/>
      <c r="F201" s="5" t="inlineStr"/>
    </row>
    <row r="202">
      <c r="A202" s="5" t="inlineStr">
        <is>
          <t>b6-meslek-secimi</t>
        </is>
      </c>
      <c r="B202" s="5" t="inlineStr">
        <is>
          <t>Akıl</t>
        </is>
      </c>
      <c r="C202" s="5" t="inlineStr">
        <is>
          <t>Zor</t>
        </is>
      </c>
      <c r="D202" s="6" t="inlineStr">
        <is>
          <t>'Garanti' kelimesi en çok garantisi olmayan yerlerde kullanılır.</t>
        </is>
      </c>
      <c r="E202" s="6" t="inlineStr"/>
      <c r="F202" s="5" t="inlineStr"/>
    </row>
    <row r="203">
      <c r="A203" s="5" t="inlineStr">
        <is>
          <t>b6-meslek-secimi</t>
        </is>
      </c>
      <c r="B203" s="5" t="inlineStr">
        <is>
          <t>Kurnazlık</t>
        </is>
      </c>
      <c r="C203" s="5" t="inlineStr">
        <is>
          <t>Kolay</t>
        </is>
      </c>
      <c r="D203" s="6" t="inlineStr">
        <is>
          <t>Hangi yolu seçersen seç, ilk yıl çayı sen koyacaksın.</t>
        </is>
      </c>
      <c r="E203" s="6" t="inlineStr"/>
      <c r="F203" s="5" t="inlineStr"/>
    </row>
    <row r="204">
      <c r="A204" s="5" t="inlineStr">
        <is>
          <t>b6-flort-uygulamasi</t>
        </is>
      </c>
      <c r="B204" s="5" t="inlineStr">
        <is>
          <t>Pişkinlik</t>
        </is>
      </c>
      <c r="C204" s="5" t="inlineStr">
        <is>
          <t>Orta</t>
        </is>
      </c>
      <c r="D204" s="6" t="inlineStr">
        <is>
          <t>Hakkında kısmına 'Seyahat, kahve, derin sohbetler' yaz. Herkes yazıyor. Kimse yapmıyor.</t>
        </is>
      </c>
      <c r="E204" s="6" t="inlineStr"/>
      <c r="F204" s="5" t="inlineStr"/>
    </row>
    <row r="205">
      <c r="A205" s="5" t="inlineStr">
        <is>
          <t>b6-flort-uygulamasi</t>
        </is>
      </c>
      <c r="B205" s="5" t="inlineStr">
        <is>
          <t>Sosyal Radar</t>
        </is>
      </c>
      <c r="C205" s="5" t="inlineStr">
        <is>
          <t>Kolay</t>
        </is>
      </c>
      <c r="D205" s="6" t="inlineStr">
        <is>
          <t>Eşleştiğin kişinin bütün fotoğrafları aynı açıdan. Teyzen görse “Öbür yanağını niye göstermiyor?” derdi.</t>
        </is>
      </c>
      <c r="E205" s="6" t="inlineStr"/>
      <c r="F205" s="5" t="inlineStr"/>
    </row>
    <row r="206">
      <c r="A206" s="5" t="inlineStr">
        <is>
          <t>b6-kamp-atesi</t>
        </is>
      </c>
      <c r="B206" s="5" t="inlineStr">
        <is>
          <t>Akıl</t>
        </is>
      </c>
      <c r="C206" s="5" t="inlineStr">
        <is>
          <t>Orta</t>
        </is>
      </c>
      <c r="D206" s="6" t="inlineStr">
        <is>
          <t>Kuru ot, rüzgâr ve bir kutu çakmak gazı. Bu bir kimya dersi, ama hatalı yazılmış.</t>
        </is>
      </c>
      <c r="E206" s="6" t="inlineStr"/>
      <c r="F206" s="5" t="inlineStr"/>
    </row>
    <row r="207">
      <c r="A207" s="5" t="inlineStr">
        <is>
          <t>b6-kamp-atesi</t>
        </is>
      </c>
      <c r="B207" s="5" t="inlineStr">
        <is>
          <t>Cesaret</t>
        </is>
      </c>
      <c r="C207" s="5" t="inlineStr">
        <is>
          <t>Kolay</t>
        </is>
      </c>
      <c r="D207" s="6" t="inlineStr">
        <is>
          <t>Evlat, ateşin başında soğukkanlılık. Bir de kova su.</t>
        </is>
      </c>
      <c r="E207" s="6" t="inlineStr"/>
      <c r="F207" s="5" t="inlineStr"/>
    </row>
    <row r="208">
      <c r="A208" s="5" t="inlineStr">
        <is>
          <t>mb-ilk-gun-karti</t>
        </is>
      </c>
      <c r="B208" s="5" t="inlineStr">
        <is>
          <t>Kurnazlık</t>
        </is>
      </c>
      <c r="C208" s="5" t="inlineStr">
        <is>
          <t>Orta</t>
        </is>
      </c>
      <c r="D208" s="6" t="inlineStr">
        <is>
          <t>Arkadan gelen kurye her gün bu turnikeden geçiyor. Kartı yok. Özgüveni var.</t>
        </is>
      </c>
      <c r="E208" s="6" t="inlineStr"/>
      <c r="F208" s="5" t="inlineStr">
        <is>
          <t>E</t>
        </is>
      </c>
    </row>
    <row r="209">
      <c r="A209" s="5" t="inlineStr">
        <is>
          <t>mb-ilk-gun-karti</t>
        </is>
      </c>
      <c r="B209" s="5" t="inlineStr">
        <is>
          <t>Sosyal Radar</t>
        </is>
      </c>
      <c r="C209" s="5" t="inlineStr">
        <is>
          <t>Kolay</t>
        </is>
      </c>
      <c r="D209" s="6" t="inlineStr">
        <is>
          <t>Resepsiyondaki kişi herkese 'Hoş geldiniz' diyor. Sana dedi mi? Emin değilsin.</t>
        </is>
      </c>
      <c r="E209" s="6" t="inlineStr"/>
      <c r="F209" s="5" t="inlineStr"/>
    </row>
    <row r="210">
      <c r="A210" s="5" t="inlineStr">
        <is>
          <t>me-dukkan-acilisi</t>
        </is>
      </c>
      <c r="B210" s="5" t="inlineStr">
        <is>
          <t>Çene</t>
        </is>
      </c>
      <c r="C210" s="5" t="inlineStr">
        <is>
          <t>Orta</t>
        </is>
      </c>
      <c r="D210" s="6" t="inlineStr">
        <is>
          <t>Kapıya çık, seslen. Esnaflık yarı mal, yarı ses teli.</t>
        </is>
      </c>
      <c r="E210" s="6" t="inlineStr"/>
      <c r="F210" s="5" t="inlineStr"/>
    </row>
    <row r="211">
      <c r="A211" s="5" t="inlineStr">
        <is>
          <t>me-dukkan-acilisi</t>
        </is>
      </c>
      <c r="B211" s="5" t="inlineStr">
        <is>
          <t>Kurnazlık</t>
        </is>
      </c>
      <c r="C211" s="5" t="inlineStr">
        <is>
          <t>Zor</t>
        </is>
      </c>
      <c r="D211" s="6" t="inlineStr">
        <is>
          <t>Karşı kaldırımdaki esnaflar seni izliyor. Kaç ay dayanacağını aralarında tahmin ediyorlar.</t>
        </is>
      </c>
      <c r="E211" s="6" t="inlineStr"/>
      <c r="F211" s="5" t="inlineStr"/>
    </row>
    <row r="212">
      <c r="A212" s="5" t="inlineStr">
        <is>
          <t>mm-ilk-atama</t>
        </is>
      </c>
      <c r="B212" s="5" t="inlineStr">
        <is>
          <t>Dayanıklılık</t>
        </is>
      </c>
      <c r="C212" s="5" t="inlineStr">
        <is>
          <t>Kolay</t>
        </is>
      </c>
      <c r="D212" s="6" t="inlineStr">
        <is>
          <t>İki yıl mecburi hizmet. Maraton da böyle başlar; kimse ilk kilometreyi anlatmaz.</t>
        </is>
      </c>
      <c r="E212" s="6" t="inlineStr"/>
      <c r="F212" s="5" t="inlineStr"/>
    </row>
    <row r="213">
      <c r="A213" s="5" t="inlineStr">
        <is>
          <t>mm-ilk-atama</t>
        </is>
      </c>
      <c r="B213" s="5" t="inlineStr">
        <is>
          <t>Kurnazlık</t>
        </is>
      </c>
      <c r="C213" s="5" t="inlineStr">
        <is>
          <t>Orta</t>
        </is>
      </c>
      <c r="D213" s="6" t="inlineStr">
        <is>
          <t>Kasabada tek fırın, tek çay bahçesi, tek müdürlük var. Fırıncıyla dost olan müdürlükte rahat eder.</t>
        </is>
      </c>
      <c r="E213" s="6" t="inlineStr"/>
      <c r="F213" s="5" t="inlineStr">
        <is>
          <t>E</t>
        </is>
      </c>
    </row>
    <row r="214">
      <c r="A214" s="5" t="inlineStr">
        <is>
          <t>ms-ilk-musteri</t>
        </is>
      </c>
      <c r="B214" s="5" t="inlineStr">
        <is>
          <t>Kurnazlık</t>
        </is>
      </c>
      <c r="C214" s="5" t="inlineStr">
        <is>
          <t>Orta</t>
        </is>
      </c>
      <c r="D214" s="6" t="inlineStr">
        <is>
          <t>Müşterinin telefonunda başka bir serbest çalışanın teklifi açık. Rakamı görünüyor.</t>
        </is>
      </c>
      <c r="E214" s="6" t="inlineStr"/>
      <c r="F214" s="5" t="inlineStr">
        <is>
          <t>E</t>
        </is>
      </c>
    </row>
    <row r="215">
      <c r="A215" s="5" t="inlineStr">
        <is>
          <t>ms-ilk-musteri</t>
        </is>
      </c>
      <c r="B215" s="5" t="inlineStr">
        <is>
          <t>Çene</t>
        </is>
      </c>
      <c r="C215" s="5" t="inlineStr">
        <is>
          <t>Kolay</t>
        </is>
      </c>
      <c r="D215" s="6" t="inlineStr">
        <is>
          <t>İlk rakamı söyleyen kaybeder. Ya da kazanır. Pazarda ikisi de söylenir, domates yine satılır.</t>
        </is>
      </c>
      <c r="E215" s="6" t="inlineStr"/>
      <c r="F215" s="5" t="inlineStr"/>
    </row>
    <row r="216">
      <c r="A216" s="5" t="inlineStr">
        <is>
          <t>b6-is-gorusmesi</t>
        </is>
      </c>
      <c r="B216" s="5" t="inlineStr">
        <is>
          <t>Pişkinlik</t>
        </is>
      </c>
      <c r="C216" s="5" t="inlineStr">
        <is>
          <t>Kolay</t>
        </is>
      </c>
      <c r="D216" s="6" t="inlineStr">
        <is>
          <t>Zayıf yönünü soracaklar. 'Mükemmeliyetçiyim' deme. Herkes diyor. Sen de diyeceksin.</t>
        </is>
      </c>
      <c r="E216" s="6" t="inlineStr"/>
      <c r="F216" s="5" t="inlineStr"/>
    </row>
    <row r="217">
      <c r="A217" s="5" t="inlineStr">
        <is>
          <t>b6-is-gorusmesi</t>
        </is>
      </c>
      <c r="B217" s="5" t="inlineStr">
        <is>
          <t>Sosyal Radar</t>
        </is>
      </c>
      <c r="C217" s="5" t="inlineStr">
        <is>
          <t>Orta</t>
        </is>
      </c>
      <c r="D217" s="6" t="inlineStr">
        <is>
          <t>Ortadaki sadece not alıyor ama kararı o verecek. Onun kalemine bak.</t>
        </is>
      </c>
      <c r="E217" s="6" t="inlineStr"/>
      <c r="F217" s="5" t="inlineStr">
        <is>
          <t>E</t>
        </is>
      </c>
    </row>
    <row r="218">
      <c r="A218" s="5" t="inlineStr">
        <is>
          <t>b6-is-gorusmesi</t>
        </is>
      </c>
      <c r="B218" s="5" t="inlineStr">
        <is>
          <t>Akıl</t>
        </is>
      </c>
      <c r="C218" s="5" t="inlineStr">
        <is>
          <t>Zor</t>
        </is>
      </c>
      <c r="D218" s="6" t="inlineStr">
        <is>
          <t>Maaş rakamını ilk söyleyen kaybeder. Bu bir oyun teorisi. Bir de pazar geleneği.</t>
        </is>
      </c>
      <c r="E218" s="6" t="inlineStr"/>
      <c r="F218" s="5" t="inlineStr"/>
    </row>
    <row r="219">
      <c r="A219" s="5" t="inlineStr">
        <is>
          <t>mb-acik-ofis</t>
        </is>
      </c>
      <c r="B219" s="5" t="inlineStr">
        <is>
          <t>Sosyal Radar</t>
        </is>
      </c>
      <c r="C219" s="5" t="inlineStr">
        <is>
          <t>Orta</t>
        </is>
      </c>
      <c r="D219" s="6" t="inlineStr">
        <is>
          <t>Soldaki telefonda ayrılıyor. Sağdaki kredi hesaplıyor. Arkadaki seni dinliyor.</t>
        </is>
      </c>
      <c r="E219" s="6" t="inlineStr"/>
      <c r="F219" s="5" t="inlineStr"/>
    </row>
    <row r="220">
      <c r="A220" s="5" t="inlineStr">
        <is>
          <t>b6-dugun-yagmuru</t>
        </is>
      </c>
      <c r="B220" s="5" t="inlineStr">
        <is>
          <t>Sosyal Radar</t>
        </is>
      </c>
      <c r="C220" s="5" t="inlineStr">
        <is>
          <t>Orta</t>
        </is>
      </c>
      <c r="D220" s="6" t="inlineStr">
        <is>
          <t>Arka masadaki üç teyze sana bakıp fısıldaşıyor. Üçünün de telefonunda “tam sana göre” bir yeğen fotoğrafı var.</t>
        </is>
      </c>
      <c r="E220" s="6" t="inlineStr"/>
      <c r="F220" s="5" t="inlineStr"/>
    </row>
    <row r="221">
      <c r="A221" s="5" t="inlineStr">
        <is>
          <t>b6-dugun-yagmuru</t>
        </is>
      </c>
      <c r="B221" s="5" t="inlineStr">
        <is>
          <t>Dayanıklılık</t>
        </is>
      </c>
      <c r="C221" s="5" t="inlineStr">
        <is>
          <t>Kolay</t>
        </is>
      </c>
      <c r="D221" s="6" t="inlineStr">
        <is>
          <t>Halay kırk dakika sürecek. Dizlerin yirmi dakikalık.</t>
        </is>
      </c>
      <c r="E221" s="6" t="inlineStr"/>
      <c r="F221" s="5" t="inlineStr"/>
    </row>
    <row r="222">
      <c r="A222" s="5" t="inlineStr">
        <is>
          <t>b6-dukkan-anahtari</t>
        </is>
      </c>
      <c r="B222" s="5" t="inlineStr">
        <is>
          <t>Cesaret</t>
        </is>
      </c>
      <c r="C222" s="5" t="inlineStr">
        <is>
          <t>Orta</t>
        </is>
      </c>
      <c r="D222" s="6" t="inlineStr">
        <is>
          <t>Bir hafta patron sensin. Patron gibi dur, çırak gibi çalış.</t>
        </is>
      </c>
      <c r="E222" s="6" t="inlineStr"/>
      <c r="F222" s="5" t="inlineStr"/>
    </row>
    <row r="223">
      <c r="A223" s="5" t="inlineStr">
        <is>
          <t>b6-dukkan-anahtari</t>
        </is>
      </c>
      <c r="B223" s="5" t="inlineStr">
        <is>
          <t>Kurnazlık</t>
        </is>
      </c>
      <c r="C223" s="5" t="inlineStr">
        <is>
          <t>Kolay</t>
        </is>
      </c>
      <c r="D223" s="6" t="inlineStr">
        <is>
          <t>Kasaya dokunma dedi. Fiyatlara dokunma demedi.</t>
        </is>
      </c>
      <c r="E223" s="6" t="inlineStr"/>
      <c r="F223" s="5" t="inlineStr"/>
    </row>
    <row r="224">
      <c r="A224" s="5" t="inlineStr">
        <is>
          <t>me-veresiye-defteri</t>
        </is>
      </c>
      <c r="B224" s="5" t="inlineStr">
        <is>
          <t>İtibar</t>
        </is>
      </c>
      <c r="C224" s="5" t="inlineStr">
        <is>
          <t>Kolay</t>
        </is>
      </c>
      <c r="D224" s="6" t="inlineStr">
        <is>
          <t>Bu ay çocuğunun servis parası da çıkmış. Yaz evladım, dünya yuvarlak.</t>
        </is>
      </c>
      <c r="E224" s="6" t="inlineStr"/>
      <c r="F224" s="5" t="inlineStr"/>
    </row>
    <row r="225">
      <c r="A225" s="5" t="inlineStr">
        <is>
          <t>me-veresiye-defteri</t>
        </is>
      </c>
      <c r="B225" s="5" t="inlineStr">
        <is>
          <t>Sosyal Radar</t>
        </is>
      </c>
      <c r="C225" s="5" t="inlineStr">
        <is>
          <t>Orta</t>
        </is>
      </c>
      <c r="D225" s="6" t="inlineStr">
        <is>
          <t>Geçen hafta köşedeki dükkânın defterine de yazdırmış. Mahallede üç defterde birden adı var.</t>
        </is>
      </c>
      <c r="E225" s="6" t="inlineStr"/>
      <c r="F225" s="5" t="inlineStr">
        <is>
          <t>E</t>
        </is>
      </c>
    </row>
    <row r="226">
      <c r="A226" s="5" t="inlineStr">
        <is>
          <t>mm-islak-imza</t>
        </is>
      </c>
      <c r="B226" s="5" t="inlineStr">
        <is>
          <t>Akıl</t>
        </is>
      </c>
      <c r="C226" s="5" t="inlineStr">
        <is>
          <t>Orta</t>
        </is>
      </c>
      <c r="D226" s="6" t="inlineStr">
        <is>
          <t>Kural basit: eksik fotokopi iade, eksik mühür iade, fazla samimiyet de iade.</t>
        </is>
      </c>
      <c r="E226" s="6" t="inlineStr"/>
      <c r="F226" s="5" t="inlineStr"/>
    </row>
    <row r="227">
      <c r="A227" s="5" t="inlineStr">
        <is>
          <t>mm-islak-imza</t>
        </is>
      </c>
      <c r="B227" s="5" t="inlineStr">
        <is>
          <t>İtibar</t>
        </is>
      </c>
      <c r="C227" s="5" t="inlineStr">
        <is>
          <t>Zor</t>
        </is>
      </c>
      <c r="D227" s="6" t="inlineStr">
        <is>
          <t>İade ettiğin her dilekçe, birinin yeniden izin alıp gelmesi demek.</t>
        </is>
      </c>
      <c r="E227" s="6" t="inlineStr"/>
      <c r="F227" s="5" t="inlineStr"/>
    </row>
    <row r="228">
      <c r="A228" s="5" t="inlineStr">
        <is>
          <t>ms-gorunurluk-teklifi</t>
        </is>
      </c>
      <c r="B228" s="5" t="inlineStr">
        <is>
          <t>Pişkinlik</t>
        </is>
      </c>
      <c r="C228" s="5" t="inlineStr">
        <is>
          <t>Kolay</t>
        </is>
      </c>
      <c r="D228" s="6" t="inlineStr">
        <is>
          <t>Görünürlükle kira ödenmiyor. Denendi. Ev sahibi kabul etmedi.</t>
        </is>
      </c>
      <c r="E228" s="6" t="inlineStr"/>
      <c r="F228" s="5" t="inlineStr"/>
    </row>
    <row r="229">
      <c r="A229" s="5" t="inlineStr">
        <is>
          <t>ms-gorunurluk-teklifi</t>
        </is>
      </c>
      <c r="B229" s="5" t="inlineStr">
        <is>
          <t>İtibar</t>
        </is>
      </c>
      <c r="C229" s="5" t="inlineStr">
        <is>
          <t>Orta</t>
        </is>
      </c>
      <c r="D229" s="6" t="inlineStr">
        <is>
          <t>Hayır demek de bir iş. O da ücretsiz.</t>
        </is>
      </c>
      <c r="E229" s="6" t="inlineStr"/>
      <c r="F229" s="5" t="inlineStr"/>
    </row>
    <row r="230">
      <c r="A230" s="5" t="inlineStr">
        <is>
          <t>b6-taki-butcesi</t>
        </is>
      </c>
      <c r="B230" s="5" t="inlineStr">
        <is>
          <t>Kurnazlık</t>
        </is>
      </c>
      <c r="C230" s="5" t="inlineStr">
        <is>
          <t>Orta</t>
        </is>
      </c>
      <c r="D230" s="6" t="inlineStr">
        <is>
          <t>Zarfın kalınlığı içindekiyle ilgili değildir. Kâğıtla ilgilidir.</t>
        </is>
      </c>
      <c r="E230" s="6" t="inlineStr"/>
      <c r="F230" s="5" t="inlineStr"/>
    </row>
    <row r="231">
      <c r="A231" s="5" t="inlineStr">
        <is>
          <t>b6-taki-butcesi</t>
        </is>
      </c>
      <c r="B231" s="5" t="inlineStr">
        <is>
          <t>İtibar</t>
        </is>
      </c>
      <c r="C231" s="5" t="inlineStr">
        <is>
          <t>Kolay</t>
        </is>
      </c>
      <c r="D231" s="6" t="inlineStr">
        <is>
          <t>Onlar senin düğününe geldiğinde ne takacak? Bu hesap uzun vadeli.</t>
        </is>
      </c>
      <c r="E231" s="6" t="inlineStr"/>
      <c r="F231" s="5" t="inlineStr"/>
    </row>
    <row r="232">
      <c r="A232" s="5" t="inlineStr">
        <is>
          <t>b6-ilk-araba</t>
        </is>
      </c>
      <c r="B232" s="5" t="inlineStr">
        <is>
          <t>Kurnazlık</t>
        </is>
      </c>
      <c r="C232" s="5" t="inlineStr">
        <is>
          <t>Orta</t>
        </is>
      </c>
      <c r="D232" s="6" t="inlineStr">
        <is>
          <t>'Hiç boya yok' yazan ilanda boya ölçülür. Her zaman.</t>
        </is>
      </c>
      <c r="E232" s="6" t="inlineStr"/>
      <c r="F232" s="5" t="inlineStr">
        <is>
          <t>E</t>
        </is>
      </c>
    </row>
    <row r="233">
      <c r="A233" s="5" t="inlineStr">
        <is>
          <t>b6-ilk-araba</t>
        </is>
      </c>
      <c r="B233" s="5" t="inlineStr">
        <is>
          <t>Cesaret</t>
        </is>
      </c>
      <c r="C233" s="5" t="inlineStr">
        <is>
          <t>Kolay</t>
        </is>
      </c>
      <c r="D233" s="6" t="inlineStr">
        <is>
          <t>Evlat, test sürüşünde yokuş seç. Arabanın karakteri yokuşta belli olur.</t>
        </is>
      </c>
      <c r="E233" s="6" t="inlineStr"/>
      <c r="F233" s="5" t="inlineStr"/>
    </row>
    <row r="234">
      <c r="A234" s="5" t="inlineStr">
        <is>
          <t>b6-uzaktan-calisma</t>
        </is>
      </c>
      <c r="B234" s="5" t="inlineStr">
        <is>
          <t>Pişkinlik</t>
        </is>
      </c>
      <c r="C234" s="5" t="inlineStr">
        <is>
          <t>Orta</t>
        </is>
      </c>
      <c r="D234" s="6" t="inlineStr">
        <is>
          <t>Kamera belden yukarısını görür. Belden aşağısı senin özel alanın.</t>
        </is>
      </c>
      <c r="E234" s="6" t="inlineStr"/>
      <c r="F234" s="5" t="inlineStr"/>
    </row>
    <row r="235">
      <c r="A235" s="5" t="inlineStr">
        <is>
          <t>b6-uzaktan-calisma</t>
        </is>
      </c>
      <c r="B235" s="5" t="inlineStr">
        <is>
          <t>Dayanıklılık</t>
        </is>
      </c>
      <c r="C235" s="5" t="inlineStr">
        <is>
          <t>Kolay</t>
        </is>
      </c>
      <c r="D235" s="6" t="inlineStr">
        <is>
          <t>Yataktan masaya dört adım. Yine de geç kalacaksın.</t>
        </is>
      </c>
      <c r="E235" s="6" t="inlineStr"/>
      <c r="F235" s="5" t="inlineStr"/>
    </row>
    <row r="236">
      <c r="A236" s="5" t="inlineStr">
        <is>
          <t>b6-uzaktan-calisma</t>
        </is>
      </c>
      <c r="B236" s="5" t="inlineStr">
        <is>
          <t>Sosyal Radar</t>
        </is>
      </c>
      <c r="C236" s="5" t="inlineStr">
        <is>
          <t>Zor</t>
        </is>
      </c>
      <c r="D236" s="6" t="inlineStr">
        <is>
          <t>Kamerasını kapatan herkes aynı dakikada 'bağlantı sorunu' yaşıyor. Tesadüf değil.</t>
        </is>
      </c>
      <c r="E236" s="6" t="inlineStr"/>
      <c r="F236" s="5" t="inlineStr"/>
    </row>
    <row r="237">
      <c r="A237" s="5" t="inlineStr">
        <is>
          <t>mb-kamera-kapali</t>
        </is>
      </c>
      <c r="B237" s="5" t="inlineStr">
        <is>
          <t>Pişkinlik</t>
        </is>
      </c>
      <c r="C237" s="5" t="inlineStr">
        <is>
          <t>Orta</t>
        </is>
      </c>
      <c r="D237" s="6" t="inlineStr">
        <is>
          <t>Bağlantı sorunu diye bir şey var. Kimse aksini kanıtlayamaz.</t>
        </is>
      </c>
      <c r="E237" s="6" t="inlineStr"/>
      <c r="F237" s="5" t="inlineStr">
        <is>
          <t>E</t>
        </is>
      </c>
    </row>
    <row r="238">
      <c r="A238" s="5" t="inlineStr">
        <is>
          <t>mb-kamera-kapali</t>
        </is>
      </c>
      <c r="B238" s="5" t="inlineStr">
        <is>
          <t>Dayanıklılık</t>
        </is>
      </c>
      <c r="C238" s="5" t="inlineStr">
        <is>
          <t>Kolay</t>
        </is>
      </c>
      <c r="D238" s="6" t="inlineStr">
        <is>
          <t>Toplantı ellinci dakikasında. Gündemi hatırlayan kimse kalmadı.</t>
        </is>
      </c>
      <c r="E238" s="6" t="inlineStr"/>
      <c r="F238" s="5" t="inlineStr"/>
    </row>
    <row r="239">
      <c r="A239" s="5" t="inlineStr">
        <is>
          <t>me-karsi-dukkan</t>
        </is>
      </c>
      <c r="B239" s="5" t="inlineStr">
        <is>
          <t>Cesaret</t>
        </is>
      </c>
      <c r="C239" s="5" t="inlineStr">
        <is>
          <t>Orta</t>
        </is>
      </c>
      <c r="D239" s="6" t="inlineStr">
        <is>
          <t>Karşı cepheye laf gönderilmez, fiyat gönderilir. Toptancıya git.</t>
        </is>
      </c>
      <c r="E239" s="6" t="inlineStr"/>
      <c r="F239" s="5" t="inlineStr"/>
    </row>
    <row r="240">
      <c r="A240" s="5" t="inlineStr">
        <is>
          <t>me-karsi-dukkan</t>
        </is>
      </c>
      <c r="B240" s="5" t="inlineStr">
        <is>
          <t>Kurnazlık</t>
        </is>
      </c>
      <c r="C240" s="5" t="inlineStr">
        <is>
          <t>Zor</t>
        </is>
      </c>
      <c r="D240" s="6" t="inlineStr">
        <is>
          <t>Balonlar kiralık, yarın sönecekler. Dükkânın kaç ay dayanacağı da benzer bir soru.</t>
        </is>
      </c>
      <c r="E240" s="6" t="inlineStr"/>
      <c r="F240" s="5" t="inlineStr"/>
    </row>
    <row r="241">
      <c r="A241" s="5" t="inlineStr">
        <is>
          <t>mm-saat-1658</t>
        </is>
      </c>
      <c r="B241" s="5" t="inlineStr">
        <is>
          <t>Sosyal Radar</t>
        </is>
      </c>
      <c r="C241" s="5" t="inlineStr">
        <is>
          <t>Orta</t>
        </is>
      </c>
      <c r="D241" s="6" t="inlineStr">
        <is>
          <t>“Bir imza sadece” dedi. Bu cümlenin arkasından en az yedi imza, iki fotokopi ve bir amir çıkar. Benden duymuş olma.</t>
        </is>
      </c>
      <c r="E241" s="6" t="inlineStr"/>
      <c r="F241" s="5" t="inlineStr">
        <is>
          <t>E</t>
        </is>
      </c>
    </row>
    <row r="242">
      <c r="A242" s="5" t="inlineStr">
        <is>
          <t>mm-saat-1658</t>
        </is>
      </c>
      <c r="B242" s="5" t="inlineStr">
        <is>
          <t>İtibar</t>
        </is>
      </c>
      <c r="C242" s="5" t="inlineStr">
        <is>
          <t>Kolay</t>
        </is>
      </c>
      <c r="D242" s="6" t="inlineStr">
        <is>
          <t>Şehrin öbür ucundan iki otobüs değiştirerek gelmiş. Ayakkabılarına bak.</t>
        </is>
      </c>
      <c r="E242" s="6" t="inlineStr"/>
      <c r="F242" s="5" t="inlineStr"/>
    </row>
    <row r="243">
      <c r="A243" s="5" t="inlineStr">
        <is>
          <t>b6-ev-sahibi-kavgasi</t>
        </is>
      </c>
      <c r="B243" s="5" t="inlineStr">
        <is>
          <t>Sosyal Radar</t>
        </is>
      </c>
      <c r="C243" s="5" t="inlineStr">
        <is>
          <t>Orta</t>
        </is>
      </c>
      <c r="D243" s="6" t="inlineStr">
        <is>
          <t>'Yeğenim taşınacak' diyor. Geçen yıl da demişti. Yeğen hâlâ ortada yok.</t>
        </is>
      </c>
      <c r="E243" s="6" t="inlineStr"/>
      <c r="F243" s="5" t="inlineStr">
        <is>
          <t>E</t>
        </is>
      </c>
    </row>
    <row r="244">
      <c r="A244" s="5" t="inlineStr">
        <is>
          <t>b6-ev-sahibi-kavgasi</t>
        </is>
      </c>
      <c r="B244" s="5" t="inlineStr">
        <is>
          <t>İtibar</t>
        </is>
      </c>
      <c r="C244" s="5" t="inlineStr">
        <is>
          <t>Zor</t>
        </is>
      </c>
      <c r="D244" s="6" t="inlineStr">
        <is>
          <t>Ev sahibinin de bir hayatı var. Senin de bir kiran var.</t>
        </is>
      </c>
      <c r="E244" s="6" t="inlineStr"/>
      <c r="F244" s="5" t="inlineStr"/>
    </row>
    <row r="245">
      <c r="A245" s="5" t="inlineStr">
        <is>
          <t>b6-kargo-takibi</t>
        </is>
      </c>
      <c r="B245" s="5" t="inlineStr">
        <is>
          <t>Kurnazlık</t>
        </is>
      </c>
      <c r="C245" s="5" t="inlineStr">
        <is>
          <t>Orta</t>
        </is>
      </c>
      <c r="D245" s="6" t="inlineStr">
        <is>
          <t>Kurye bu sokağa hiç girmiyor. Paketler köşedeki büfeye bırakılıyor. Büfeci her şeyi bilir.</t>
        </is>
      </c>
      <c r="E245" s="6" t="inlineStr"/>
      <c r="F245" s="5" t="inlineStr">
        <is>
          <t>E</t>
        </is>
      </c>
    </row>
    <row r="246">
      <c r="A246" s="5" t="inlineStr">
        <is>
          <t>b6-kargo-takibi</t>
        </is>
      </c>
      <c r="B246" s="5" t="inlineStr">
        <is>
          <t>Dayanıklılık</t>
        </is>
      </c>
      <c r="C246" s="5" t="inlineStr">
        <is>
          <t>Kolay</t>
        </is>
      </c>
      <c r="D246" s="6" t="inlineStr">
        <is>
          <t>Müşteri hizmetleri seni bekletecek. Sen de onları. Bu bir sabır savaşı.</t>
        </is>
      </c>
      <c r="E246" s="6" t="inlineStr"/>
      <c r="F246" s="5" t="inlineStr"/>
    </row>
    <row r="247">
      <c r="A247" s="5" t="inlineStr">
        <is>
          <t>ms-pijama-ekonomisi</t>
        </is>
      </c>
      <c r="B247" s="5" t="inlineStr">
        <is>
          <t>Dayanıklılık</t>
        </is>
      </c>
      <c r="C247" s="5" t="inlineStr">
        <is>
          <t>Orta</t>
        </is>
      </c>
      <c r="D247" s="6" t="inlineStr">
        <is>
          <t>Pijamayla çalışmak özgürlük. Pijamayla yaşamak başka bir şey.</t>
        </is>
      </c>
      <c r="E247" s="6" t="inlineStr"/>
      <c r="F247" s="5" t="inlineStr"/>
    </row>
    <row r="248">
      <c r="A248" s="5" t="inlineStr">
        <is>
          <t>ms-pijama-ekonomisi</t>
        </is>
      </c>
      <c r="B248" s="5" t="inlineStr">
        <is>
          <t>Akıl</t>
        </is>
      </c>
      <c r="C248" s="5" t="inlineStr">
        <is>
          <t>Kolay</t>
        </is>
      </c>
      <c r="D248" s="6" t="inlineStr">
        <is>
          <t>Üç teslim, bir gün, tek beyin. Matematik sana karşı.</t>
        </is>
      </c>
      <c r="E248" s="6" t="inlineStr"/>
      <c r="F248" s="5" t="inlineStr"/>
    </row>
    <row r="249">
      <c r="A249" s="5" t="inlineStr">
        <is>
          <t>b6-ilk-vergi</t>
        </is>
      </c>
      <c r="B249" s="5" t="inlineStr">
        <is>
          <t>Akıl</t>
        </is>
      </c>
      <c r="C249" s="5" t="inlineStr">
        <is>
          <t>Zor</t>
        </is>
      </c>
      <c r="D249" s="6" t="inlineStr">
        <is>
          <t>Formda iki kutu var: 'Beyan' ve 'Beyan (Diğer)'. Aradaki fark kimsenin bilmediği bir sır.</t>
        </is>
      </c>
      <c r="E249" s="6" t="inlineStr"/>
      <c r="F249" s="5" t="inlineStr"/>
    </row>
    <row r="250">
      <c r="A250" s="5" t="inlineStr">
        <is>
          <t>b6-ilk-vergi</t>
        </is>
      </c>
      <c r="B250" s="5" t="inlineStr">
        <is>
          <t>İtibar</t>
        </is>
      </c>
      <c r="C250" s="5" t="inlineStr">
        <is>
          <t>Kolay</t>
        </is>
      </c>
      <c r="D250" s="6" t="inlineStr">
        <is>
          <t>Vergi vermek de bir tür yetişkinlik. Gecikme faiziyle.</t>
        </is>
      </c>
      <c r="E250" s="6" t="inlineStr"/>
      <c r="F250" s="5" t="inlineStr"/>
    </row>
    <row r="251">
      <c r="A251" s="5" t="inlineStr">
        <is>
          <t>b6-kombi</t>
        </is>
      </c>
      <c r="B251" s="5" t="inlineStr">
        <is>
          <t>Akıl</t>
        </is>
      </c>
      <c r="C251" s="5" t="inlineStr">
        <is>
          <t>Orta</t>
        </is>
      </c>
      <c r="D251" s="6" t="inlineStr">
        <is>
          <t>Videoyu çeken on yıllık tamirci. Sen dün vidanın hangi yöne döndüğünü karıştırdın.</t>
        </is>
      </c>
      <c r="E251" s="6" t="inlineStr"/>
      <c r="F251" s="5" t="inlineStr"/>
    </row>
    <row r="252">
      <c r="A252" s="5" t="inlineStr">
        <is>
          <t>b6-kombi</t>
        </is>
      </c>
      <c r="B252" s="5" t="inlineStr">
        <is>
          <t>Dayanıklılık</t>
        </is>
      </c>
      <c r="C252" s="5" t="inlineStr">
        <is>
          <t>Kolay</t>
        </is>
      </c>
      <c r="D252" s="6" t="inlineStr">
        <is>
          <t>Üç gün battaniye, çay, iki kat çorap. İnsanlık daha zorlarını atlattı.</t>
        </is>
      </c>
      <c r="E252" s="6" t="inlineStr"/>
      <c r="F252" s="5" t="inlineStr"/>
    </row>
    <row r="253">
      <c r="A253" s="5" t="inlineStr">
        <is>
          <t>b6-kombi</t>
        </is>
      </c>
      <c r="B253" s="5" t="inlineStr">
        <is>
          <t>Kurnazlık</t>
        </is>
      </c>
      <c r="C253" s="5" t="inlineStr">
        <is>
          <t>Zor</t>
        </is>
      </c>
      <c r="D253" s="6" t="inlineStr">
        <is>
          <t>Alt kattaki komşunun oğlu kombici. Geçen ay otoparkta yer kavgası ettiniz.</t>
        </is>
      </c>
      <c r="E253" s="6" t="inlineStr"/>
      <c r="F253" s="5" t="inlineStr">
        <is>
          <t>E</t>
        </is>
      </c>
    </row>
    <row r="254">
      <c r="A254" s="5" t="inlineStr">
        <is>
          <t>b7-kira-artisi</t>
        </is>
      </c>
      <c r="B254" s="5" t="inlineStr">
        <is>
          <t>Sosyal Radar</t>
        </is>
      </c>
      <c r="C254" s="5" t="inlineStr">
        <is>
          <t>Orta</t>
        </is>
      </c>
      <c r="D254" s="6" t="inlineStr">
        <is>
          <t>Ev sahibinin kızı Öte Diyar'dan dönüyor. Bu ev, onun evi.</t>
        </is>
      </c>
      <c r="E254" s="6" t="inlineStr"/>
      <c r="F254" s="5" t="inlineStr">
        <is>
          <t>E</t>
        </is>
      </c>
    </row>
    <row r="255">
      <c r="A255" s="5" t="inlineStr">
        <is>
          <t>b7-kira-artisi</t>
        </is>
      </c>
      <c r="B255" s="5" t="inlineStr">
        <is>
          <t>Kurnazlık</t>
        </is>
      </c>
      <c r="C255" s="5" t="inlineStr">
        <is>
          <t>Kolay</t>
        </is>
      </c>
      <c r="D255" s="6" t="inlineStr">
        <is>
          <t>Önce 'piyasa' kelimesini kullanan kaybeder. Bekle.</t>
        </is>
      </c>
      <c r="E255" s="6" t="inlineStr"/>
      <c r="F255" s="5" t="inlineStr"/>
    </row>
    <row r="256">
      <c r="A256" s="5" t="inlineStr">
        <is>
          <t>b7-eski-sinif-arkadasi</t>
        </is>
      </c>
      <c r="B256" s="5" t="inlineStr">
        <is>
          <t>Sosyal Radar</t>
        </is>
      </c>
      <c r="C256" s="5" t="inlineStr">
        <is>
          <t>Kolay</t>
        </is>
      </c>
      <c r="D256" s="6" t="inlineStr">
        <is>
          <t>Tebriklerin yarısı hiç konuşmadığı insanlardan. Diğer yarısı hiç sevmediklerinden.</t>
        </is>
      </c>
      <c r="E256" s="6" t="inlineStr"/>
      <c r="F256" s="5" t="inlineStr"/>
    </row>
    <row r="257">
      <c r="A257" s="5" t="inlineStr">
        <is>
          <t>b7-eski-sinif-arkadasi</t>
        </is>
      </c>
      <c r="B257" s="5" t="inlineStr">
        <is>
          <t>İtibar</t>
        </is>
      </c>
      <c r="C257" s="5" t="inlineStr">
        <is>
          <t>Orta</t>
        </is>
      </c>
      <c r="D257" s="6" t="inlineStr">
        <is>
          <t>Kıskançlık da bir tür ilgi, evladım. Ama ona yorum yazdırma.</t>
        </is>
      </c>
      <c r="E257" s="6" t="inlineStr"/>
      <c r="F257" s="5" t="inlineStr"/>
    </row>
    <row r="258">
      <c r="A258" s="5" t="inlineStr">
        <is>
          <t>mb-eposta-yagmuru</t>
        </is>
      </c>
      <c r="B258" s="5" t="inlineStr">
        <is>
          <t>Akıl</t>
        </is>
      </c>
      <c r="C258" s="5" t="inlineStr">
        <is>
          <t>Orta</t>
        </is>
      </c>
      <c r="D258" s="6" t="inlineStr">
        <is>
          <t>İstatistiksel olarak bunların yüzde doksanı sen yokken kendi kendine çözüldü.</t>
        </is>
      </c>
      <c r="E258" s="6" t="inlineStr"/>
      <c r="F258" s="5" t="inlineStr"/>
    </row>
    <row r="259">
      <c r="A259" s="5" t="inlineStr">
        <is>
          <t>mb-eposta-yagmuru</t>
        </is>
      </c>
      <c r="B259" s="5" t="inlineStr">
        <is>
          <t>Dayanıklılık</t>
        </is>
      </c>
      <c r="C259" s="5" t="inlineStr">
        <is>
          <t>Kolay</t>
        </is>
      </c>
      <c r="D259" s="6" t="inlineStr">
        <is>
          <t>Bin dört yüz. Maraton da kırk iki kilometre. Adım adım.</t>
        </is>
      </c>
      <c r="E259" s="6" t="inlineStr"/>
      <c r="F259" s="5" t="inlineStr"/>
    </row>
    <row r="260">
      <c r="A260" s="5" t="inlineStr">
        <is>
          <t>me-kira-artisi</t>
        </is>
      </c>
      <c r="B260" s="5" t="inlineStr">
        <is>
          <t>Sosyal Radar</t>
        </is>
      </c>
      <c r="C260" s="5" t="inlineStr">
        <is>
          <t>Orta</t>
        </is>
      </c>
      <c r="D260" s="6" t="inlineStr">
        <is>
          <t>Dükkân sahibinin oğlu Öte Diyar'a yerleşmiş, babasını yanına çağırıyor. Bu adam kira artırmaya değil, alıcı yoklamaya gelmiş.</t>
        </is>
      </c>
      <c r="E260" s="6" t="inlineStr"/>
      <c r="F260" s="5" t="inlineStr">
        <is>
          <t>E</t>
        </is>
      </c>
    </row>
    <row r="261">
      <c r="A261" s="5" t="inlineStr">
        <is>
          <t>me-kira-artisi</t>
        </is>
      </c>
      <c r="B261" s="5" t="inlineStr">
        <is>
          <t>Dayanıklılık</t>
        </is>
      </c>
      <c r="C261" s="5" t="inlineStr">
        <is>
          <t>Kolay</t>
        </is>
      </c>
      <c r="D261" s="6" t="inlineStr">
        <is>
          <t>Ben her sabah bu çarşının önünden koşarım. Kepenk değişir, tabela değişir; yerinde kalanlar hep aynı adamlar.</t>
        </is>
      </c>
      <c r="E261" s="6" t="inlineStr"/>
      <c r="F261" s="5" t="inlineStr"/>
    </row>
    <row r="262">
      <c r="A262" s="5" t="inlineStr">
        <is>
          <t>mm-yeni-mudur</t>
        </is>
      </c>
      <c r="B262" s="5" t="inlineStr">
        <is>
          <t>Sosyal Radar</t>
        </is>
      </c>
      <c r="C262" s="5" t="inlineStr">
        <is>
          <t>Kolay</t>
        </is>
      </c>
      <c r="D262" s="6" t="inlineStr">
        <is>
          <t>Yeni müdür herkese 'Eski müdür nasıl biriydi?' diye soruyor. Doğru cevap yok. Sadece kayda geçen cevap var.</t>
        </is>
      </c>
      <c r="E262" s="6" t="inlineStr"/>
      <c r="F262" s="5" t="inlineStr"/>
    </row>
    <row r="263">
      <c r="A263" s="5" t="inlineStr">
        <is>
          <t>mm-yeni-mudur</t>
        </is>
      </c>
      <c r="B263" s="5" t="inlineStr">
        <is>
          <t>Pişkinlik</t>
        </is>
      </c>
      <c r="C263" s="5" t="inlineStr">
        <is>
          <t>Zor</t>
        </is>
      </c>
      <c r="D263" s="6" t="inlineStr">
        <is>
          <t>Kahve makinesini eski yerine koy. Yarın ya sana “cesur” derler ya da tayin listesinde adını okursun.</t>
        </is>
      </c>
      <c r="E263" s="6" t="inlineStr"/>
      <c r="F263" s="5" t="inlineStr"/>
    </row>
    <row r="264">
      <c r="A264" s="5" t="inlineStr">
        <is>
          <t>b7-trafik-cezasi</t>
        </is>
      </c>
      <c r="B264" s="5" t="inlineStr">
        <is>
          <t>Kurnazlık</t>
        </is>
      </c>
      <c r="C264" s="5" t="inlineStr">
        <is>
          <t>Orta</t>
        </is>
      </c>
      <c r="D264" s="6" t="inlineStr">
        <is>
          <t>O kavşaktaki ışık dört saniye sarı yanıyor. Mahalle bunu bilir, kamera bilmez.</t>
        </is>
      </c>
      <c r="E264" s="6" t="inlineStr"/>
      <c r="F264" s="5" t="inlineStr"/>
    </row>
    <row r="265">
      <c r="A265" s="5" t="inlineStr">
        <is>
          <t>ms-fatura-kovalamaca</t>
        </is>
      </c>
      <c r="B265" s="5" t="inlineStr">
        <is>
          <t>Çene</t>
        </is>
      </c>
      <c r="C265" s="5" t="inlineStr">
        <is>
          <t>Orta</t>
        </is>
      </c>
      <c r="D265" s="6" t="inlineStr">
        <is>
          <t>Muhasebeden sorumlu kişinin doğum günü yarın. Kutlama mesajı atan kişinin telefonu açılır.</t>
        </is>
      </c>
      <c r="E265" s="6" t="inlineStr"/>
      <c r="F265" s="5" t="inlineStr">
        <is>
          <t>E</t>
        </is>
      </c>
    </row>
    <row r="266">
      <c r="A266" s="5" t="inlineStr">
        <is>
          <t>ms-fatura-kovalamaca</t>
        </is>
      </c>
      <c r="B266" s="5" t="inlineStr">
        <is>
          <t>Dayanıklılık</t>
        </is>
      </c>
      <c r="C266" s="5" t="inlineStr">
        <is>
          <t>Kolay</t>
        </is>
      </c>
      <c r="D266" s="6" t="inlineStr">
        <is>
          <t>Otuz yıldır koşarım, evladım. Hiçbir yarış bir ödeme onayından uzun sürmedi.</t>
        </is>
      </c>
      <c r="E266" s="6" t="inlineStr"/>
      <c r="F266" s="5" t="inlineStr"/>
    </row>
    <row r="267">
      <c r="A267" s="5" t="inlineStr">
        <is>
          <t>b7-araba-alma</t>
        </is>
      </c>
      <c r="B267" s="5" t="inlineStr">
        <is>
          <t>Kurnazlık</t>
        </is>
      </c>
      <c r="C267" s="5" t="inlineStr">
        <is>
          <t>Orta</t>
        </is>
      </c>
      <c r="D267" s="6" t="inlineStr">
        <is>
          <t>'Garaj arabası' diyor. Garajı görmek iste. Garaj yoksa, araba da tam olarak yok.</t>
        </is>
      </c>
      <c r="E267" s="6" t="inlineStr"/>
      <c r="F267" s="5" t="inlineStr"/>
    </row>
    <row r="268">
      <c r="A268" s="5" t="inlineStr">
        <is>
          <t>b7-araba-alma</t>
        </is>
      </c>
      <c r="B268" s="5" t="inlineStr">
        <is>
          <t>Cesaret</t>
        </is>
      </c>
      <c r="C268" s="5" t="inlineStr">
        <is>
          <t>Kolay</t>
        </is>
      </c>
      <c r="D268" s="6" t="inlineStr">
        <is>
          <t>Aracın da insanın da ne olduğu yokuşta anlaşılır, evlat.</t>
        </is>
      </c>
      <c r="E268" s="6" t="inlineStr"/>
      <c r="F268" s="5" t="inlineStr"/>
    </row>
    <row r="269">
      <c r="A269" s="5" t="inlineStr">
        <is>
          <t>b7-ne-zaman-evleneceksin</t>
        </is>
      </c>
      <c r="B269" s="5" t="inlineStr">
        <is>
          <t>Sosyal Radar</t>
        </is>
      </c>
      <c r="C269" s="5" t="inlineStr">
        <is>
          <t>Kolay</t>
        </is>
      </c>
      <c r="D269" s="6" t="inlineStr">
        <is>
          <t>Altı teyze, iki amca, bir de fotoğrafçı. Fotoğrafçı da soracak, hissediyorum.</t>
        </is>
      </c>
      <c r="E269" s="6" t="inlineStr"/>
      <c r="F269" s="5" t="inlineStr"/>
    </row>
    <row r="270">
      <c r="A270" s="5" t="inlineStr">
        <is>
          <t>b7-ne-zaman-evleneceksin</t>
        </is>
      </c>
      <c r="B270" s="5" t="inlineStr">
        <is>
          <t>İtibar</t>
        </is>
      </c>
      <c r="C270" s="5" t="inlineStr">
        <is>
          <t>Orta</t>
        </is>
      </c>
      <c r="D270" s="6" t="inlineStr">
        <is>
          <t>Onlar da seni sevdiklerinden soruyor, evladım. Çok sevdiklerinden. Fazla sevdiklerinden.</t>
        </is>
      </c>
      <c r="E270" s="6" t="inlineStr"/>
      <c r="F270" s="5" t="inlineStr"/>
    </row>
    <row r="271">
      <c r="A271" s="5" t="inlineStr">
        <is>
          <t>b7-flort-uygulamasi</t>
        </is>
      </c>
      <c r="B271" s="5" t="inlineStr">
        <is>
          <t>Sosyal Radar</t>
        </is>
      </c>
      <c r="C271" s="5" t="inlineStr">
        <is>
          <t>Orta</t>
        </is>
      </c>
      <c r="D271" s="6" t="inlineStr">
        <is>
          <t>Üç profil aynı dağın tepesinde çekilmiş fotoğraf koymuş. O dağ çok kalabalık olmalı.</t>
        </is>
      </c>
      <c r="E271" s="6" t="inlineStr"/>
      <c r="F271" s="5" t="inlineStr"/>
    </row>
    <row r="272">
      <c r="A272" s="5" t="inlineStr">
        <is>
          <t>b7-flort-uygulamasi</t>
        </is>
      </c>
      <c r="B272" s="5" t="inlineStr">
        <is>
          <t>Dayanıklılık</t>
        </is>
      </c>
      <c r="C272" s="5" t="inlineStr">
        <is>
          <t>Kolay</t>
        </is>
      </c>
      <c r="D272" s="6" t="inlineStr">
        <is>
          <t>Komşu olarak söylüyorum: ben eşimi otobüs durağında buldum, kırk dakikalık rötar sayesinde. Sen de bekle, evladım. Uygulama değil, durak.</t>
        </is>
      </c>
      <c r="E272" s="6" t="inlineStr"/>
      <c r="F272" s="5" t="inlineStr"/>
    </row>
    <row r="273">
      <c r="A273" s="5" t="inlineStr">
        <is>
          <t>b7-evlilik-karari</t>
        </is>
      </c>
      <c r="B273" s="5" t="inlineStr">
        <is>
          <t>Sosyal Radar</t>
        </is>
      </c>
      <c r="C273" s="5" t="inlineStr">
        <is>
          <t>Orta</t>
        </is>
      </c>
      <c r="D273" s="6" t="inlineStr">
        <is>
          <t>Teyzenin çantasında bir fotoğraf var. Fotoğraftaki kişi de muhtemelen şu an bir sofrada “Eee?” sorusunu dinliyor.</t>
        </is>
      </c>
      <c r="E273" s="6" t="inlineStr"/>
      <c r="F273" s="5" t="inlineStr"/>
    </row>
    <row r="274">
      <c r="A274" s="5" t="inlineStr">
        <is>
          <t>b7-evlilik-karari</t>
        </is>
      </c>
      <c r="B274" s="5" t="inlineStr">
        <is>
          <t>İtibar</t>
        </is>
      </c>
      <c r="C274" s="5" t="inlineStr">
        <is>
          <t>Kolay</t>
        </is>
      </c>
      <c r="D274" s="6" t="inlineStr">
        <is>
          <t>Soruyu soran teyze değil aslında. Soruyu soran sofradaki boş sandalye.</t>
        </is>
      </c>
      <c r="E274" s="6" t="inlineStr"/>
      <c r="F274" s="5" t="inlineStr"/>
    </row>
    <row r="275">
      <c r="A275" s="5" t="inlineStr">
        <is>
          <t>mb-performans-karti</t>
        </is>
      </c>
      <c r="B275" s="5" t="inlineStr">
        <is>
          <t>Sosyal Radar</t>
        </is>
      </c>
      <c r="C275" s="5" t="inlineStr">
        <is>
          <t>Orta</t>
        </is>
      </c>
      <c r="D275" s="6" t="inlineStr">
        <is>
          <t>Yöneticinin ekranında puanlar çoktan girilmiş. Bu görüşme bir onay ekranı.</t>
        </is>
      </c>
      <c r="E275" s="6" t="inlineStr"/>
      <c r="F275" s="5" t="inlineStr">
        <is>
          <t>E</t>
        </is>
      </c>
    </row>
    <row r="276">
      <c r="A276" s="5" t="inlineStr">
        <is>
          <t>mb-performans-karti</t>
        </is>
      </c>
      <c r="B276" s="5" t="inlineStr">
        <is>
          <t>Akıl</t>
        </is>
      </c>
      <c r="C276" s="5" t="inlineStr">
        <is>
          <t>Zor</t>
        </is>
      </c>
      <c r="D276" s="6" t="inlineStr">
        <is>
          <t>'Çeviklik' kelimesi bu belgede on dört kez geçiyor. Belge üç yıldır aynı.</t>
        </is>
      </c>
      <c r="E276" s="6" t="inlineStr"/>
      <c r="F276" s="5" t="inlineStr"/>
    </row>
    <row r="277">
      <c r="A277" s="5" t="inlineStr">
        <is>
          <t>me-zabita-denetimi</t>
        </is>
      </c>
      <c r="B277" s="5" t="inlineStr">
        <is>
          <t>Kurnazlık</t>
        </is>
      </c>
      <c r="C277" s="5" t="inlineStr">
        <is>
          <t>Orta</t>
        </is>
      </c>
      <c r="D277" s="6" t="inlineStr">
        <is>
          <t>Denetim sokağın başından başladı. Kasaları içeri almak için dört dükkânlık vaktin var.</t>
        </is>
      </c>
      <c r="E277" s="6" t="inlineStr"/>
      <c r="F277" s="5" t="inlineStr"/>
    </row>
    <row r="278">
      <c r="A278" s="5" t="inlineStr">
        <is>
          <t>me-zabita-denetimi</t>
        </is>
      </c>
      <c r="B278" s="5" t="inlineStr">
        <is>
          <t>İtibar</t>
        </is>
      </c>
      <c r="C278" s="5" t="inlineStr">
        <is>
          <t>Kolay</t>
        </is>
      </c>
      <c r="D278" s="6" t="inlineStr">
        <is>
          <t>Tabelan gerçekten yola taşıyor. Geçen hafta bir bisikletli sana selam verdi; kafasıyla.</t>
        </is>
      </c>
      <c r="E278" s="6" t="inlineStr"/>
      <c r="F278" s="5" t="inlineStr"/>
    </row>
    <row r="279">
      <c r="A279" s="5" t="inlineStr">
        <is>
          <t>b7-dugun-takilari</t>
        </is>
      </c>
      <c r="B279" s="5" t="inlineStr">
        <is>
          <t>Sosyal Radar</t>
        </is>
      </c>
      <c r="C279" s="5" t="inlineStr">
        <is>
          <t>Orta</t>
        </is>
      </c>
      <c r="D279" s="6" t="inlineStr">
        <is>
          <t>Üçüncü sıradaki teyze, oğlunun düğününde ona yarım taktığınız hâlde çeyrek getirmiş. Annen fark etti. Yarın herkes bunu konuşacak.</t>
        </is>
      </c>
      <c r="E279" s="6" t="inlineStr"/>
      <c r="F279" s="5" t="inlineStr"/>
    </row>
    <row r="280">
      <c r="A280" s="5" t="inlineStr">
        <is>
          <t>b7-dugun-takilari</t>
        </is>
      </c>
      <c r="B280" s="5" t="inlineStr">
        <is>
          <t>Kurnazlık</t>
        </is>
      </c>
      <c r="C280" s="5" t="inlineStr">
        <is>
          <t>Kolay</t>
        </is>
      </c>
      <c r="D280" s="6" t="inlineStr">
        <is>
          <t>Takıyı iğneyle değil, hızlı elle al. Bu merasimde yavaş olan kaybeder.</t>
        </is>
      </c>
      <c r="E280" s="6" t="inlineStr"/>
      <c r="F280" s="5" t="inlineStr"/>
    </row>
    <row r="281">
      <c r="A281" s="5" t="inlineStr">
        <is>
          <t>b7-balayi</t>
        </is>
      </c>
      <c r="B281" s="5" t="inlineStr">
        <is>
          <t>Pişkinlik</t>
        </is>
      </c>
      <c r="C281" s="5" t="inlineStr">
        <is>
          <t>Kolay</t>
        </is>
      </c>
      <c r="D281" s="6" t="inlineStr">
        <is>
          <t>Balayındasın! Herkese söyle. Resepsiyona söyle. Garsona söyle. Bedava tatlı söylenmeden gelmez.</t>
        </is>
      </c>
      <c r="E281" s="6" t="inlineStr"/>
      <c r="F281" s="5" t="inlineStr"/>
    </row>
    <row r="282">
      <c r="A282" s="5" t="inlineStr">
        <is>
          <t>b7-balayi</t>
        </is>
      </c>
      <c r="B282" s="5" t="inlineStr">
        <is>
          <t>Akıl</t>
        </is>
      </c>
      <c r="C282" s="5" t="inlineStr">
        <is>
          <t>Orta</t>
        </is>
      </c>
      <c r="D282" s="6" t="inlineStr">
        <is>
          <t>Her şey dahil ifadesinin kapsamı, içecek menüsünün küçük harflerinde tanımlanmıştır.</t>
        </is>
      </c>
      <c r="E282" s="6" t="inlineStr"/>
      <c r="F282" s="5" t="inlineStr"/>
    </row>
    <row r="283">
      <c r="A283" s="5" t="inlineStr">
        <is>
          <t>ms-acilis-gecesi</t>
        </is>
      </c>
      <c r="B283" s="5" t="inlineStr">
        <is>
          <t>Sosyal Radar</t>
        </is>
      </c>
      <c r="C283" s="5" t="inlineStr">
        <is>
          <t>Kolay</t>
        </is>
      </c>
      <c r="D283" s="6" t="inlineStr">
        <is>
          <t>Kurye paketi kime bırakacağını soruyor. Ona eser sat.</t>
        </is>
      </c>
      <c r="E283" s="6" t="inlineStr"/>
      <c r="F283" s="5" t="inlineStr"/>
    </row>
    <row r="284">
      <c r="A284" s="5" t="inlineStr">
        <is>
          <t>ms-acilis-gecesi</t>
        </is>
      </c>
      <c r="B284" s="5" t="inlineStr">
        <is>
          <t>Cesaret</t>
        </is>
      </c>
      <c r="C284" s="5" t="inlineStr">
        <is>
          <t>Orta</t>
        </is>
      </c>
      <c r="D284" s="6" t="inlineStr">
        <is>
          <t>Sahne boş değil. Üç kişi var. Birinin elinde kargo var ama olsun.</t>
        </is>
      </c>
      <c r="E284" s="6" t="inlineStr"/>
      <c r="F284" s="5" t="inlineStr"/>
    </row>
    <row r="285">
      <c r="A285" s="5" t="inlineStr">
        <is>
          <t>b7-bulasik-makinesi</t>
        </is>
      </c>
      <c r="B285" s="5" t="inlineStr">
        <is>
          <t>Akıl</t>
        </is>
      </c>
      <c r="C285" s="5" t="inlineStr">
        <is>
          <t>Orta</t>
        </is>
      </c>
      <c r="D285" s="6" t="inlineStr">
        <is>
          <t>Bu kavga bulaşıkla ilgili değil. Kontrol duygusuyla ilgili. Ama tencereyi yine de alta koyarız.</t>
        </is>
      </c>
      <c r="E285" s="6" t="inlineStr"/>
      <c r="F285" s="5" t="inlineStr">
        <is>
          <t>E</t>
        </is>
      </c>
    </row>
    <row r="286">
      <c r="A286" s="5" t="inlineStr">
        <is>
          <t>b7-bulasik-makinesi</t>
        </is>
      </c>
      <c r="B286" s="5" t="inlineStr">
        <is>
          <t>İtibar</t>
        </is>
      </c>
      <c r="C286" s="5" t="inlineStr">
        <is>
          <t>Kolay</t>
        </is>
      </c>
      <c r="D286" s="6" t="inlineStr">
        <is>
          <t>Kırk yıl birlikte yaşayanlara sor, evladım. Hepsi hâlâ bu konuda küs.</t>
        </is>
      </c>
      <c r="E286" s="6" t="inlineStr"/>
      <c r="F286" s="5" t="inlineStr"/>
    </row>
    <row r="287">
      <c r="A287" s="5" t="inlineStr">
        <is>
          <t>mm-sistem-coktu</t>
        </is>
      </c>
      <c r="B287" s="5" t="inlineStr">
        <is>
          <t>Akıl</t>
        </is>
      </c>
      <c r="C287" s="5" t="inlineStr">
        <is>
          <t>Orta</t>
        </is>
      </c>
      <c r="D287" s="6" t="inlineStr">
        <is>
          <t>Sistem çöktüğünde her şey kâğıda döner. Kâğıt çökmez. Sadece kaybolur.</t>
        </is>
      </c>
      <c r="E287" s="6" t="inlineStr"/>
      <c r="F287" s="5" t="inlineStr"/>
    </row>
    <row r="288">
      <c r="A288" s="5" t="inlineStr">
        <is>
          <t>b7-kayinvalide</t>
        </is>
      </c>
      <c r="B288" s="5" t="inlineStr">
        <is>
          <t>Sosyal Radar</t>
        </is>
      </c>
      <c r="C288" s="5" t="inlineStr">
        <is>
          <t>Orta</t>
        </is>
      </c>
      <c r="D288" s="6" t="inlineStr">
        <is>
          <t>Hmm tuzla ilgili değil. Menemeni kendi çocuğu değil, sen yaptın; mesele bu.</t>
        </is>
      </c>
      <c r="E288" s="6" t="inlineStr"/>
      <c r="F288" s="5" t="inlineStr">
        <is>
          <t>E</t>
        </is>
      </c>
    </row>
    <row r="289">
      <c r="A289" s="5" t="inlineStr">
        <is>
          <t>b7-kayinvalide</t>
        </is>
      </c>
      <c r="B289" s="5" t="inlineStr">
        <is>
          <t>Dayanıklılık</t>
        </is>
      </c>
      <c r="C289" s="5" t="inlineStr">
        <is>
          <t>Kolay</t>
        </is>
      </c>
      <c r="D289" s="6" t="inlineStr">
        <is>
          <t>Kahvaltı dört saat sürecek. Tempo koru, ikinci çayda çökme.</t>
        </is>
      </c>
      <c r="E289" s="6" t="inlineStr"/>
      <c r="F289" s="5" t="inlineStr"/>
    </row>
    <row r="290">
      <c r="A290" s="5" t="inlineStr">
        <is>
          <t>b7-akraba-tanisma</t>
        </is>
      </c>
      <c r="B290" s="5" t="inlineStr">
        <is>
          <t>Sosyal Radar</t>
        </is>
      </c>
      <c r="C290" s="5" t="inlineStr">
        <is>
          <t>Orta</t>
        </is>
      </c>
      <c r="D290" s="6" t="inlineStr">
        <is>
          <t>Karşındaki de bu masaya zorla getirilmiş. Sağ ayağı kapıya dönük.</t>
        </is>
      </c>
      <c r="E290" s="6" t="inlineStr"/>
      <c r="F290" s="5" t="inlineStr">
        <is>
          <t>E</t>
        </is>
      </c>
    </row>
    <row r="291">
      <c r="A291" s="5" t="inlineStr">
        <is>
          <t>b7-akraba-tanisma</t>
        </is>
      </c>
      <c r="B291" s="5" t="inlineStr">
        <is>
          <t>Pişkinlik</t>
        </is>
      </c>
      <c r="C291" s="5" t="inlineStr">
        <is>
          <t>Kolay</t>
        </is>
      </c>
      <c r="D291" s="6" t="inlineStr">
        <is>
          <t>Bir daha davet edilmemek de bir kazançtır. Bugün biraz sıkıcı ol; teyzen bir yıl rahat bırakır.</t>
        </is>
      </c>
      <c r="E291" s="6" t="inlineStr"/>
      <c r="F291" s="5" t="inlineStr"/>
    </row>
    <row r="292">
      <c r="A292" s="5" t="inlineStr">
        <is>
          <t>b7-ortak-hesap</t>
        </is>
      </c>
      <c r="B292" s="5" t="inlineStr">
        <is>
          <t>Kurnazlık</t>
        </is>
      </c>
      <c r="C292" s="5" t="inlineStr">
        <is>
          <t>Orta</t>
        </is>
      </c>
      <c r="D292" s="6" t="inlineStr">
        <is>
          <t>Her ortak hesabın bir de 'ortak olmayan' kuzeni vardır, evlat.</t>
        </is>
      </c>
      <c r="E292" s="6" t="inlineStr"/>
      <c r="F292" s="5" t="inlineStr"/>
    </row>
    <row r="293">
      <c r="A293" s="5" t="inlineStr">
        <is>
          <t>b7-ortak-hesap</t>
        </is>
      </c>
      <c r="B293" s="5" t="inlineStr">
        <is>
          <t>Akıl</t>
        </is>
      </c>
      <c r="C293" s="5" t="inlineStr">
        <is>
          <t>Kolay</t>
        </is>
      </c>
      <c r="D293" s="6" t="inlineStr">
        <is>
          <t>İstatistiksel olarak evliliklerdeki kavgaların çoğu parayla başlar. Geri kalanı bulaşıkla.</t>
        </is>
      </c>
      <c r="E293" s="6" t="inlineStr"/>
      <c r="F293" s="5" t="inlineStr"/>
    </row>
    <row r="294">
      <c r="A294" s="5" t="inlineStr">
        <is>
          <t>b7-spor-salonu</t>
        </is>
      </c>
      <c r="B294" s="5" t="inlineStr">
        <is>
          <t>Dayanıklılık</t>
        </is>
      </c>
      <c r="C294" s="5" t="inlineStr">
        <is>
          <t>Orta</t>
        </is>
      </c>
      <c r="D294" s="6" t="inlineStr">
        <is>
          <t>Komşu olarak söylüyorum: yıllık üyeliği alan değil, şubatta giden kazanır.</t>
        </is>
      </c>
      <c r="E294" s="6" t="inlineStr"/>
      <c r="F294" s="5" t="inlineStr"/>
    </row>
    <row r="295">
      <c r="A295" s="5" t="inlineStr">
        <is>
          <t>b7-spor-salonu</t>
        </is>
      </c>
      <c r="B295" s="5" t="inlineStr">
        <is>
          <t>Akıl</t>
        </is>
      </c>
      <c r="C295" s="5" t="inlineStr">
        <is>
          <t>Kolay</t>
        </is>
      </c>
      <c r="D295" s="6" t="inlineStr">
        <is>
          <t>Salonlar, parayı verip hiç gelmeyen üyeler sayesinde ayakta durur. Sınıfın en çalışkanı olmayacaksan, bari en cömerdi olma.</t>
        </is>
      </c>
      <c r="E295" s="6" t="inlineStr"/>
      <c r="F295" s="5" t="inlineStr"/>
    </row>
    <row r="296">
      <c r="A296" s="5" t="inlineStr">
        <is>
          <t>ms-viral</t>
        </is>
      </c>
      <c r="B296" s="5" t="inlineStr">
        <is>
          <t>Sosyal Radar</t>
        </is>
      </c>
      <c r="C296" s="5" t="inlineStr">
        <is>
          <t>Orta</t>
        </is>
      </c>
      <c r="D296" s="6" t="inlineStr">
        <is>
          <t>İlk yorumu yapanların yarısı kuzenin. Diğer yarısı kuzeninin ikinci hesabı.</t>
        </is>
      </c>
      <c r="E296" s="6" t="inlineStr"/>
      <c r="F296" s="5" t="inlineStr"/>
    </row>
    <row r="297">
      <c r="A297" s="5" t="inlineStr">
        <is>
          <t>ms-viral</t>
        </is>
      </c>
      <c r="B297" s="5" t="inlineStr">
        <is>
          <t>Pişkinlik</t>
        </is>
      </c>
      <c r="C297" s="5" t="inlineStr">
        <is>
          <t>Kolay</t>
        </is>
      </c>
      <c r="D297" s="6" t="inlineStr">
        <is>
          <t>İki milyon kişi seni izledi. İkisi para verir mi, bilinmez.</t>
        </is>
      </c>
      <c r="E297" s="6" t="inlineStr"/>
      <c r="F297" s="5" t="inlineStr"/>
    </row>
    <row r="298">
      <c r="A298" s="5" t="inlineStr">
        <is>
          <t>b7-cocuk-karari</t>
        </is>
      </c>
      <c r="B298" s="5" t="inlineStr">
        <is>
          <t>Gönül</t>
        </is>
      </c>
      <c r="C298" s="5" t="inlineStr">
        <is>
          <t>Orta</t>
        </is>
      </c>
      <c r="D298" s="6" t="inlineStr">
        <is>
          <t>Kimse hazır olmaz. Ama eşinin gözüne bak; o çoktan hazır.</t>
        </is>
      </c>
      <c r="E298" s="6" t="inlineStr"/>
      <c r="F298" s="5" t="inlineStr"/>
    </row>
    <row r="299">
      <c r="A299" s="5" t="inlineStr">
        <is>
          <t>b7-cocuk-karari</t>
        </is>
      </c>
      <c r="B299" s="5" t="inlineStr">
        <is>
          <t>Akıl</t>
        </is>
      </c>
      <c r="C299" s="5" t="inlineStr">
        <is>
          <t>Kolay</t>
        </is>
      </c>
      <c r="D299" s="6" t="inlineStr">
        <is>
          <t>Bez, mama, kreş, okul, üniversite. Bir de 'harçlık' diye adı konmamış bir kalem var.</t>
        </is>
      </c>
      <c r="E299" s="6" t="inlineStr"/>
      <c r="F299" s="5" t="inlineStr"/>
    </row>
    <row r="300">
      <c r="A300" s="5" t="inlineStr">
        <is>
          <t>me-kasa-ve-pos</t>
        </is>
      </c>
      <c r="B300" s="5" t="inlineStr">
        <is>
          <t>Akıl</t>
        </is>
      </c>
      <c r="C300" s="5" t="inlineStr">
        <is>
          <t>Zor</t>
        </is>
      </c>
      <c r="D300" s="6" t="inlineStr">
        <is>
          <t>Nakit kasaya gider, kart hesaba gider, bozukluk ise buzdolabının altına.</t>
        </is>
      </c>
      <c r="E300" s="6" t="inlineStr"/>
      <c r="F300" s="5" t="inlineStr"/>
    </row>
    <row r="301">
      <c r="A301" s="5" t="inlineStr">
        <is>
          <t>me-kasa-ve-pos</t>
        </is>
      </c>
      <c r="B301" s="5" t="inlineStr">
        <is>
          <t>Pişkinlik</t>
        </is>
      </c>
      <c r="C301" s="5" t="inlineStr">
        <is>
          <t>Orta</t>
        </is>
      </c>
      <c r="D301" s="6" t="inlineStr">
        <is>
          <t>Esnaf yerde para toplarken bile gülümser. Kameraya değil, müşteriye.</t>
        </is>
      </c>
      <c r="E301" s="6" t="inlineStr"/>
      <c r="F301" s="5" t="inlineStr"/>
    </row>
    <row r="302">
      <c r="A302" s="5" t="inlineStr">
        <is>
          <t>b7-tek-kisilik-tatil</t>
        </is>
      </c>
      <c r="B302" s="5" t="inlineStr">
        <is>
          <t>Cesaret</t>
        </is>
      </c>
      <c r="C302" s="5" t="inlineStr">
        <is>
          <t>Kolay</t>
        </is>
      </c>
      <c r="D302" s="6" t="inlineStr">
        <is>
          <t>Tek başına yola çıkan, kimseyi beklemek zorunda kalmaz, evlat.</t>
        </is>
      </c>
      <c r="E302" s="6" t="inlineStr"/>
      <c r="F302" s="5" t="inlineStr"/>
    </row>
    <row r="303">
      <c r="A303" s="5" t="inlineStr">
        <is>
          <t>b7-tek-kisilik-tatil</t>
        </is>
      </c>
      <c r="B303" s="5" t="inlineStr">
        <is>
          <t>Sosyal Radar</t>
        </is>
      </c>
      <c r="C303" s="5" t="inlineStr">
        <is>
          <t>Orta</t>
        </is>
      </c>
      <c r="D303" s="6" t="inlineStr">
        <is>
          <t>Arkadaki çift de az önce tartıştı. Kaç kişi olduğun onları senden daha çok düşündürüyor.</t>
        </is>
      </c>
      <c r="E303" s="6" t="inlineStr"/>
      <c r="F303" s="5" t="inlineStr"/>
    </row>
    <row r="304">
      <c r="A304" s="5" t="inlineStr">
        <is>
          <t>mb-terfi-yarisi</t>
        </is>
      </c>
      <c r="B304" s="5" t="inlineStr">
        <is>
          <t>Cesaret</t>
        </is>
      </c>
      <c r="C304" s="5" t="inlineStr">
        <is>
          <t>Orta</t>
        </is>
      </c>
      <c r="D304" s="6" t="inlineStr">
        <is>
          <t>Slaytlar hazır. Ellerin terliyorsa kumandayı sıkı tut.</t>
        </is>
      </c>
      <c r="E304" s="6" t="inlineStr"/>
      <c r="F304" s="5" t="inlineStr"/>
    </row>
    <row r="305">
      <c r="A305" s="5" t="inlineStr">
        <is>
          <t>mb-terfi-yarisi</t>
        </is>
      </c>
      <c r="B305" s="5" t="inlineStr">
        <is>
          <t>İtibar</t>
        </is>
      </c>
      <c r="C305" s="5" t="inlineStr">
        <is>
          <t>Kolay</t>
        </is>
      </c>
      <c r="D305" s="6" t="inlineStr">
        <is>
          <t>Rakibinin masasında iki çocuk fotoğrafı var. Seninkinde bir bitki. O da kurudu.</t>
        </is>
      </c>
      <c r="E305" s="6" t="inlineStr"/>
      <c r="F305" s="5" t="inlineStr"/>
    </row>
    <row r="306">
      <c r="A306" s="5" t="inlineStr">
        <is>
          <t>mm-lojman-kurasi</t>
        </is>
      </c>
      <c r="B306" s="5" t="inlineStr">
        <is>
          <t>Kurnazlık</t>
        </is>
      </c>
      <c r="C306" s="5" t="inlineStr">
        <is>
          <t>Orta</t>
        </is>
      </c>
      <c r="D306" s="6" t="inlineStr">
        <is>
          <t>Müdürün alt katı kaloriferli ama bedava değil. Bedeli sessizlik.</t>
        </is>
      </c>
      <c r="E306" s="6" t="inlineStr"/>
      <c r="F306" s="5" t="inlineStr"/>
    </row>
    <row r="307">
      <c r="A307" s="5" t="inlineStr">
        <is>
          <t>mm-lojman-kurasi</t>
        </is>
      </c>
      <c r="B307" s="5" t="inlineStr">
        <is>
          <t>Sosyal Radar</t>
        </is>
      </c>
      <c r="C307" s="5" t="inlineStr">
        <is>
          <t>Zor</t>
        </is>
      </c>
      <c r="D307" s="6" t="inlineStr">
        <is>
          <t>Kura torbası müdürün sekreterinde. Sekreterin kızı da lojman istiyor.</t>
        </is>
      </c>
      <c r="E307" s="6" t="inlineStr"/>
      <c r="F307" s="5" t="inlineStr"/>
    </row>
    <row r="308">
      <c r="A308" s="5" t="inlineStr">
        <is>
          <t>b7-bayram-rotasi</t>
        </is>
      </c>
      <c r="B308" s="5" t="inlineStr">
        <is>
          <t>Sosyal Radar</t>
        </is>
      </c>
      <c r="C308" s="5" t="inlineStr">
        <is>
          <t>Orta</t>
        </is>
      </c>
      <c r="D308" s="6" t="inlineStr">
        <is>
          <t>Geçen bayram eşinin ailesindeydiniz. Annen bunu 'şaka yollu' dört kez hatırlattı.</t>
        </is>
      </c>
      <c r="E308" s="6" t="inlineStr"/>
      <c r="F308" s="5" t="inlineStr"/>
    </row>
    <row r="309">
      <c r="A309" s="5" t="inlineStr">
        <is>
          <t>b7-bayram-rotasi</t>
        </is>
      </c>
      <c r="B309" s="5" t="inlineStr">
        <is>
          <t>Akıl</t>
        </is>
      </c>
      <c r="C309" s="5" t="inlineStr">
        <is>
          <t>Kolay</t>
        </is>
      </c>
      <c r="D309" s="6" t="inlineStr">
        <is>
          <t>Dört gün, iki şehir, iki anne. Hesap basit: hangisinde az kalırsan o hatırlar. Kazanan tek taraf yol üstündeki köfteci.</t>
        </is>
      </c>
      <c r="E309" s="6" t="inlineStr"/>
      <c r="F309" s="5" t="inlineStr"/>
    </row>
    <row r="310">
      <c r="A310" s="5" t="inlineStr">
        <is>
          <t>b7-uykusuz-geceler</t>
        </is>
      </c>
      <c r="B310" s="5" t="inlineStr">
        <is>
          <t>Dayanıklılık</t>
        </is>
      </c>
      <c r="C310" s="5" t="inlineStr">
        <is>
          <t>Orta</t>
        </is>
      </c>
      <c r="D310" s="6" t="inlineStr">
        <is>
          <t>İlk üç ay en zoru. Sonra ikinci üç ay gelir. Sonra... koşmaya devam.</t>
        </is>
      </c>
      <c r="E310" s="6" t="inlineStr"/>
      <c r="F310" s="5" t="inlineStr"/>
    </row>
    <row r="311">
      <c r="A311" s="5" t="inlineStr">
        <is>
          <t>b7-uykusuz-geceler</t>
        </is>
      </c>
      <c r="B311" s="5" t="inlineStr">
        <is>
          <t>Gönül</t>
        </is>
      </c>
      <c r="C311" s="5" t="inlineStr">
        <is>
          <t>Kolay</t>
        </is>
      </c>
      <c r="D311" s="6" t="inlineStr">
        <is>
          <t>Şu küçük yumruğa bak. Hayatında ilk kez birine bu kadar uykusuz âşıksın.</t>
        </is>
      </c>
      <c r="E311" s="6" t="inlineStr"/>
      <c r="F311" s="5" t="inlineStr"/>
    </row>
    <row r="312">
      <c r="A312" s="5" t="inlineStr">
        <is>
          <t>b7-site-toplantisi</t>
        </is>
      </c>
      <c r="B312" s="5" t="inlineStr">
        <is>
          <t>Sosyal Radar</t>
        </is>
      </c>
      <c r="C312" s="5" t="inlineStr">
        <is>
          <t>Orta</t>
        </is>
      </c>
      <c r="D312" s="6" t="inlineStr">
        <is>
          <t>Yönetici ile 2 numara arasında eski bir otopark davası var. Bütün toplantı aslında o.</t>
        </is>
      </c>
      <c r="E312" s="6" t="inlineStr"/>
      <c r="F312" s="5" t="inlineStr"/>
    </row>
    <row r="313">
      <c r="A313" s="5" t="inlineStr">
        <is>
          <t>b7-site-toplantisi</t>
        </is>
      </c>
      <c r="B313" s="5" t="inlineStr">
        <is>
          <t>Dayanıklılık</t>
        </is>
      </c>
      <c r="C313" s="5" t="inlineStr">
        <is>
          <t>Kolay</t>
        </is>
      </c>
      <c r="D313" s="6" t="inlineStr">
        <is>
          <t>Su şişeni al, minderini de. Ben bu toplantılardan on beş tane gördüm; üçüncü saatte kimse oturmaz, herkes ayakta bağırır.</t>
        </is>
      </c>
      <c r="E313" s="6" t="inlineStr"/>
      <c r="F313" s="5" t="inlineStr"/>
    </row>
    <row r="314">
      <c r="A314" s="5" t="inlineStr">
        <is>
          <t>ms-yapay-zeka-rakip</t>
        </is>
      </c>
      <c r="B314" s="5" t="inlineStr">
        <is>
          <t>Akıl</t>
        </is>
      </c>
      <c r="C314" s="5" t="inlineStr">
        <is>
          <t>Orta</t>
        </is>
      </c>
      <c r="D314" s="6" t="inlineStr">
        <is>
          <t>Yapay zekânın çizdiği logoda şirketin adı üç farklı biçimde yazılmış.</t>
        </is>
      </c>
      <c r="E314" s="6" t="inlineStr"/>
      <c r="F314" s="5" t="inlineStr">
        <is>
          <t>E</t>
        </is>
      </c>
    </row>
    <row r="315">
      <c r="A315" s="5" t="inlineStr">
        <is>
          <t>ms-yapay-zeka-rakip</t>
        </is>
      </c>
      <c r="B315" s="5" t="inlineStr">
        <is>
          <t>İtibar</t>
        </is>
      </c>
      <c r="C315" s="5" t="inlineStr">
        <is>
          <t>Kolay</t>
        </is>
      </c>
      <c r="D315" s="6" t="inlineStr">
        <is>
          <t>O el kimin eli, bilinmez. Ama senin elin beş parmaklı ve kira ödüyor.</t>
        </is>
      </c>
      <c r="E315" s="6" t="inlineStr"/>
      <c r="F315" s="5" t="inlineStr"/>
    </row>
    <row r="316">
      <c r="A316" s="5" t="inlineStr">
        <is>
          <t>b7-ilk-kelime</t>
        </is>
      </c>
      <c r="B316" s="5" t="inlineStr">
        <is>
          <t>Sosyal Radar</t>
        </is>
      </c>
      <c r="C316" s="5" t="inlineStr">
        <is>
          <t>Kolay</t>
        </is>
      </c>
      <c r="D316" s="6" t="inlineStr">
        <is>
          <t>Biri “anneanne”, öbürü “babaanne” bekliyor. Kazanan bunu bayrama kadar anlatacak, kaybeden de.</t>
        </is>
      </c>
      <c r="E316" s="6" t="inlineStr"/>
      <c r="F316" s="5" t="inlineStr"/>
    </row>
    <row r="317">
      <c r="A317" s="5" t="inlineStr">
        <is>
          <t>b7-ilk-kelime</t>
        </is>
      </c>
      <c r="B317" s="5" t="inlineStr">
        <is>
          <t>Pişkinlik</t>
        </is>
      </c>
      <c r="C317" s="5" t="inlineStr">
        <is>
          <t>Orta</t>
        </is>
      </c>
      <c r="D317" s="6" t="inlineStr">
        <is>
          <t>İlk kelime ne olursa olsun, videoda en çok sen görüneceksin. Saçını düzelt.</t>
        </is>
      </c>
      <c r="E317" s="6" t="inlineStr"/>
      <c r="F317" s="5" t="inlineStr"/>
    </row>
    <row r="318">
      <c r="A318" s="5" t="inlineStr">
        <is>
          <t>b7-cocuklu-dogum-gunu</t>
        </is>
      </c>
      <c r="B318" s="5" t="inlineStr">
        <is>
          <t>Sosyal Radar</t>
        </is>
      </c>
      <c r="C318" s="5" t="inlineStr">
        <is>
          <t>Orta</t>
        </is>
      </c>
      <c r="D318" s="6" t="inlineStr">
        <is>
          <t>Palyaço da bekâr. Göz göze geldiniz. Bir dayanışma hissettin.</t>
        </is>
      </c>
      <c r="E318" s="6" t="inlineStr"/>
      <c r="F318" s="5" t="inlineStr"/>
    </row>
    <row r="319">
      <c r="A319" s="5" t="inlineStr">
        <is>
          <t>b7-cocuklu-dogum-gunu</t>
        </is>
      </c>
      <c r="B319" s="5" t="inlineStr">
        <is>
          <t>İtibar</t>
        </is>
      </c>
      <c r="C319" s="5" t="inlineStr">
        <is>
          <t>Kolay</t>
        </is>
      </c>
      <c r="D319" s="6" t="inlineStr">
        <is>
          <t>Hediye paketini kendin sar, evladım. Hazır poşet belli oluyor.</t>
        </is>
      </c>
      <c r="E319" s="6" t="inlineStr"/>
      <c r="F319" s="5" t="inlineStr"/>
    </row>
    <row r="320">
      <c r="A320" s="5" t="inlineStr">
        <is>
          <t>b7-ev-esyasi</t>
        </is>
      </c>
      <c r="B320" s="5" t="inlineStr">
        <is>
          <t>Sosyal Radar</t>
        </is>
      </c>
      <c r="C320" s="5" t="inlineStr">
        <is>
          <t>Kolay</t>
        </is>
      </c>
      <c r="D320" s="6" t="inlineStr">
        <is>
          <t>Bu koltuk kavgası değil. Kimin evinin bu olduğu kavgası.</t>
        </is>
      </c>
      <c r="E320" s="6" t="inlineStr"/>
      <c r="F320" s="5" t="inlineStr"/>
    </row>
    <row r="321">
      <c r="A321" s="5" t="inlineStr">
        <is>
          <t>b7-ev-esyasi</t>
        </is>
      </c>
      <c r="B321" s="5" t="inlineStr">
        <is>
          <t>Akıl</t>
        </is>
      </c>
      <c r="C321" s="5" t="inlineStr">
        <is>
          <t>Orta</t>
        </is>
      </c>
      <c r="D321" s="6" t="inlineStr">
        <is>
          <t>Koltuk, bir evin en uzun süre değiştirilmeyen eşyasıdır. Bir evlilikten uzun sürdüğü de görülmüştür.</t>
        </is>
      </c>
      <c r="E321" s="6" t="inlineStr"/>
      <c r="F321" s="5" t="inlineStr"/>
    </row>
    <row r="322">
      <c r="A322" s="5" t="inlineStr">
        <is>
          <t>mb-yillik-izin</t>
        </is>
      </c>
      <c r="B322" s="5" t="inlineStr">
        <is>
          <t>Sosyal Radar</t>
        </is>
      </c>
      <c r="C322" s="5" t="inlineStr">
        <is>
          <t>Orta</t>
        </is>
      </c>
      <c r="D322" s="6" t="inlineStr">
        <is>
          <t>Yöneticinin kendi izni daha girilmemiş. Önce onun tarihini öğren.</t>
        </is>
      </c>
      <c r="E322" s="6" t="inlineStr"/>
      <c r="F322" s="5" t="inlineStr">
        <is>
          <t>E</t>
        </is>
      </c>
    </row>
    <row r="323">
      <c r="A323" s="5" t="inlineStr">
        <is>
          <t>me-cirak</t>
        </is>
      </c>
      <c r="B323" s="5" t="inlineStr">
        <is>
          <t>İtibar</t>
        </is>
      </c>
      <c r="C323" s="5" t="inlineStr">
        <is>
          <t>Kolay</t>
        </is>
      </c>
      <c r="D323" s="6" t="inlineStr">
        <is>
          <t>Sen de bir zamanlar birinin kapısında durdun. O kapı açılmasaydı bu tezgâh olmazdı.</t>
        </is>
      </c>
      <c r="E323" s="6" t="inlineStr"/>
      <c r="F323" s="5" t="inlineStr"/>
    </row>
    <row r="324">
      <c r="A324" s="5" t="inlineStr">
        <is>
          <t>me-cirak</t>
        </is>
      </c>
      <c r="B324" s="5" t="inlineStr">
        <is>
          <t>Sosyal Radar</t>
        </is>
      </c>
      <c r="C324" s="5" t="inlineStr">
        <is>
          <t>Zor</t>
        </is>
      </c>
      <c r="D324" s="6" t="inlineStr">
        <is>
          <t>Telefonu hep elinde ama girer girmez vitrindeki üç yanlış etiketi gördü.</t>
        </is>
      </c>
      <c r="E324" s="6" t="inlineStr"/>
      <c r="F324" s="5" t="inlineStr">
        <is>
          <t>E</t>
        </is>
      </c>
    </row>
    <row r="325">
      <c r="A325" s="5" t="inlineStr">
        <is>
          <t>b7-ev-kredisi</t>
        </is>
      </c>
      <c r="B325" s="5" t="inlineStr">
        <is>
          <t>Kurnazlık</t>
        </is>
      </c>
      <c r="C325" s="5" t="inlineStr">
        <is>
          <t>Orta</t>
        </is>
      </c>
      <c r="D325" s="6" t="inlineStr">
        <is>
          <t>Bu temsilcinin aylık hedefi var ve ayın 28'i. Sıkıştırırsan esner.</t>
        </is>
      </c>
      <c r="E325" s="6" t="inlineStr"/>
      <c r="F325" s="5" t="inlineStr">
        <is>
          <t>E</t>
        </is>
      </c>
    </row>
    <row r="326">
      <c r="A326" s="5" t="inlineStr">
        <is>
          <t>b7-ev-kredisi</t>
        </is>
      </c>
      <c r="B326" s="5" t="inlineStr">
        <is>
          <t>Akıl</t>
        </is>
      </c>
      <c r="C326" s="5" t="inlineStr">
        <is>
          <t>Kolay</t>
        </is>
      </c>
      <c r="D326" s="6" t="inlineStr">
        <is>
          <t>Yirmi yıl boyunca bu evin bir odası bankanın. Hangi oda olduğunu söylemiyorlar.</t>
        </is>
      </c>
      <c r="E326" s="6" t="inlineStr"/>
      <c r="F326" s="5" t="inlineStr"/>
    </row>
    <row r="327">
      <c r="A327" s="5" t="inlineStr">
        <is>
          <t>b7-kres-kaydi</t>
        </is>
      </c>
      <c r="B327" s="5" t="inlineStr">
        <is>
          <t>Sosyal Radar</t>
        </is>
      </c>
      <c r="C327" s="5" t="inlineStr">
        <is>
          <t>Orta</t>
        </is>
      </c>
      <c r="D327" s="6" t="inlineStr">
        <is>
          <t>Müdür her velinin ayakkabısına bakıyor. Bu kreşte çocuktan önce veli seçiliyor.</t>
        </is>
      </c>
      <c r="E327" s="6" t="inlineStr"/>
      <c r="F327" s="5" t="inlineStr"/>
    </row>
    <row r="328">
      <c r="A328" s="5" t="inlineStr">
        <is>
          <t>b7-kres-kaydi</t>
        </is>
      </c>
      <c r="B328" s="5" t="inlineStr">
        <is>
          <t>İtibar</t>
        </is>
      </c>
      <c r="C328" s="5" t="inlineStr">
        <is>
          <t>Kolay</t>
        </is>
      </c>
      <c r="D328" s="6" t="inlineStr">
        <is>
          <t>İlk gün ağlayacak, evladım. Sen de ağlayacaksın. Kapıdan çıkınca ağla.</t>
        </is>
      </c>
      <c r="E328" s="6" t="inlineStr"/>
      <c r="F328" s="5" t="inlineStr"/>
    </row>
    <row r="329">
      <c r="A329" s="5" t="inlineStr">
        <is>
          <t>mm-kayip-dosya</t>
        </is>
      </c>
      <c r="B329" s="5" t="inlineStr">
        <is>
          <t>Akıl</t>
        </is>
      </c>
      <c r="C329" s="5" t="inlineStr">
        <is>
          <t>Zor</t>
        </is>
      </c>
      <c r="D329" s="6" t="inlineStr">
        <is>
          <t>Dosyalar kaybolmaz, yanlış yere gider. Yanlış yer genelde bir önceki yerdir.</t>
        </is>
      </c>
      <c r="E329" s="6" t="inlineStr"/>
      <c r="F329" s="5" t="inlineStr"/>
    </row>
    <row r="330">
      <c r="A330" s="5" t="inlineStr">
        <is>
          <t>mm-kayip-dosya</t>
        </is>
      </c>
      <c r="B330" s="5" t="inlineStr">
        <is>
          <t>İtibar</t>
        </is>
      </c>
      <c r="C330" s="5" t="inlineStr">
        <is>
          <t>Orta</t>
        </is>
      </c>
      <c r="D330" s="6" t="inlineStr">
        <is>
          <t>Dosyanın sahibi dört yıldır her salı aynı saatte gelip aynı sandalyeye oturuyor.</t>
        </is>
      </c>
      <c r="E330" s="6" t="inlineStr"/>
      <c r="F330" s="5" t="inlineStr">
        <is>
          <t>E</t>
        </is>
      </c>
    </row>
    <row r="331">
      <c r="A331" s="5" t="inlineStr">
        <is>
          <t>b7-saglik-kontrolu</t>
        </is>
      </c>
      <c r="B331" s="5" t="inlineStr">
        <is>
          <t>Dayanıklılık</t>
        </is>
      </c>
      <c r="C331" s="5" t="inlineStr">
        <is>
          <t>Orta</t>
        </is>
      </c>
      <c r="D331" s="6" t="inlineStr">
        <is>
          <t>Merdivenleri çıkarken nefes nefese kaldın. Doktor bunu tahlilden önce gördü.</t>
        </is>
      </c>
      <c r="E331" s="6" t="inlineStr"/>
      <c r="F331" s="5" t="inlineStr"/>
    </row>
    <row r="332">
      <c r="A332" s="5" t="inlineStr">
        <is>
          <t>b7-saglik-kontrolu</t>
        </is>
      </c>
      <c r="B332" s="5" t="inlineStr">
        <is>
          <t>İtibar</t>
        </is>
      </c>
      <c r="C332" s="5" t="inlineStr">
        <is>
          <t>Kolay</t>
        </is>
      </c>
      <c r="D332" s="6" t="inlineStr">
        <is>
          <t>Kendine iyi bak, evladım. Kimse senin yerine bakmayacak.</t>
        </is>
      </c>
      <c r="E332" s="6" t="inlineStr"/>
      <c r="F332" s="5" t="inlineStr"/>
    </row>
    <row r="333">
      <c r="A333" s="5" t="inlineStr">
        <is>
          <t>b7-bekar-evi</t>
        </is>
      </c>
      <c r="B333" s="5" t="inlineStr">
        <is>
          <t>Akıl</t>
        </is>
      </c>
      <c r="C333" s="5" t="inlineStr">
        <is>
          <t>Orta</t>
        </is>
      </c>
      <c r="D333" s="6" t="inlineStr">
        <is>
          <t>Bu ay yemek siparişine harcadığın para, bir mutfak robotunun fiyatını geçti. Robotu da sipariş edebilirsin.</t>
        </is>
      </c>
      <c r="E333" s="6" t="inlineStr"/>
      <c r="F333" s="5" t="inlineStr"/>
    </row>
    <row r="334">
      <c r="A334" s="5" t="inlineStr">
        <is>
          <t>b7-bekar-evi</t>
        </is>
      </c>
      <c r="B334" s="5" t="inlineStr">
        <is>
          <t>Dayanıklılık</t>
        </is>
      </c>
      <c r="C334" s="5" t="inlineStr">
        <is>
          <t>Kolay</t>
        </is>
      </c>
      <c r="D334" s="6" t="inlineStr">
        <is>
          <t>Bir yumurta bile bir öğündür, komşu. Yeter ki inanasın.</t>
        </is>
      </c>
      <c r="E334" s="6" t="inlineStr"/>
      <c r="F334" s="5" t="inlineStr"/>
    </row>
    <row r="335">
      <c r="A335" s="5" t="inlineStr">
        <is>
          <t>b7-hastane-gecesi</t>
        </is>
      </c>
      <c r="B335" s="5" t="inlineStr">
        <is>
          <t>İtibar</t>
        </is>
      </c>
      <c r="C335" s="5" t="inlineStr">
        <is>
          <t>Kolay</t>
        </is>
      </c>
      <c r="D335" s="6" t="inlineStr">
        <is>
          <t>Korkma, evladım. Çocuk ateşi çabuk çıkar, çabuk iner. Seninki sabaha iner.</t>
        </is>
      </c>
      <c r="E335" s="6" t="inlineStr"/>
      <c r="F335" s="5" t="inlineStr"/>
    </row>
    <row r="336">
      <c r="A336" s="5" t="inlineStr">
        <is>
          <t>b7-hastane-gecesi</t>
        </is>
      </c>
      <c r="B336" s="5" t="inlineStr">
        <is>
          <t>Dayanıklılık</t>
        </is>
      </c>
      <c r="C336" s="5" t="inlineStr">
        <is>
          <t>Orta</t>
        </is>
      </c>
      <c r="D336" s="6" t="inlineStr">
        <is>
          <t>Sabah işe gideceksin, biliyorum. Bu gece uyku yok; nefesini ona göre ayarla, komşu.</t>
        </is>
      </c>
      <c r="E336" s="6" t="inlineStr"/>
      <c r="F336" s="5" t="inlineStr"/>
    </row>
    <row r="337">
      <c r="A337" s="5" t="inlineStr">
        <is>
          <t>ms-gercek-is</t>
        </is>
      </c>
      <c r="B337" s="5" t="inlineStr">
        <is>
          <t>Sosyal Radar</t>
        </is>
      </c>
      <c r="C337" s="5" t="inlineStr">
        <is>
          <t>Orta</t>
        </is>
      </c>
      <c r="D337" s="6" t="inlineStr">
        <is>
          <t>Masadaki kuzen de serbest çalışıyor ama herkese 'danışmanım' diyor.</t>
        </is>
      </c>
      <c r="E337" s="6" t="inlineStr"/>
      <c r="F337" s="5" t="inlineStr">
        <is>
          <t>E</t>
        </is>
      </c>
    </row>
    <row r="338">
      <c r="A338" s="5" t="inlineStr">
        <is>
          <t>ms-gercek-is</t>
        </is>
      </c>
      <c r="B338" s="5" t="inlineStr">
        <is>
          <t>Çene</t>
        </is>
      </c>
      <c r="C338" s="5" t="inlineStr">
        <is>
          <t>Kolay</t>
        </is>
      </c>
      <c r="D338" s="6" t="inlineStr">
        <is>
          <t>Teyzenin sorusu soru değil. Açılış konuşması.</t>
        </is>
      </c>
      <c r="E338" s="6" t="inlineStr"/>
      <c r="F338" s="5" t="inlineStr"/>
    </row>
    <row r="339">
      <c r="A339" s="5" t="inlineStr">
        <is>
          <t>b7-mutfak-tadilati</t>
        </is>
      </c>
      <c r="B339" s="5" t="inlineStr">
        <is>
          <t>Sosyal Radar</t>
        </is>
      </c>
      <c r="C339" s="5" t="inlineStr">
        <is>
          <t>Orta</t>
        </is>
      </c>
      <c r="D339" s="6" t="inlineStr">
        <is>
          <t>Usta bu tartışmayı yüz kez gördü. Çayını yavaş içmesinin sebebi bu.</t>
        </is>
      </c>
      <c r="E339" s="6" t="inlineStr"/>
      <c r="F339" s="5" t="inlineStr"/>
    </row>
    <row r="340">
      <c r="A340" s="5" t="inlineStr">
        <is>
          <t>b7-mutfak-tadilati</t>
        </is>
      </c>
      <c r="B340" s="5" t="inlineStr">
        <is>
          <t>İtibar</t>
        </is>
      </c>
      <c r="C340" s="5" t="inlineStr">
        <is>
          <t>Zor</t>
        </is>
      </c>
      <c r="D340" s="6" t="inlineStr">
        <is>
          <t>Dolap rengi yüzünden ayrılan çok çift gördüm, evladım. Asıl sebep hiçbir zaman dolap değildi.</t>
        </is>
      </c>
      <c r="E340" s="6" t="inlineStr"/>
      <c r="F340" s="5" t="inlineStr"/>
    </row>
    <row r="341">
      <c r="A341" s="5" t="inlineStr">
        <is>
          <t>b7-ebeveyn-grubu</t>
        </is>
      </c>
      <c r="B341" s="5" t="inlineStr">
        <is>
          <t>Sosyal Radar</t>
        </is>
      </c>
      <c r="C341" s="5" t="inlineStr">
        <is>
          <t>Kolay</t>
        </is>
      </c>
      <c r="D341" s="6" t="inlineStr">
        <is>
          <t>Grubun yöneticisi sabah altıda mesaj atan biri. Ona karşı gelme.</t>
        </is>
      </c>
      <c r="E341" s="6" t="inlineStr"/>
      <c r="F341" s="5" t="inlineStr"/>
    </row>
    <row r="342">
      <c r="A342" s="5" t="inlineStr">
        <is>
          <t>b7-ebeveyn-grubu</t>
        </is>
      </c>
      <c r="B342" s="5" t="inlineStr">
        <is>
          <t>Pişkinlik</t>
        </is>
      </c>
      <c r="C342" s="5" t="inlineStr">
        <is>
          <t>Orta</t>
        </is>
      </c>
      <c r="D342" s="6" t="inlineStr">
        <is>
          <t>Bir çiçek at, yeter. Hem “buradayım” der, hem “bana iş verme.”</t>
        </is>
      </c>
      <c r="E342" s="6" t="inlineStr"/>
      <c r="F342" s="5" t="inlineStr"/>
    </row>
    <row r="343">
      <c r="A343" s="5" t="inlineStr">
        <is>
          <t>mb-takim-ruhu</t>
        </is>
      </c>
      <c r="B343" s="5" t="inlineStr">
        <is>
          <t>Dayanıklılık</t>
        </is>
      </c>
      <c r="C343" s="5" t="inlineStr">
        <is>
          <t>Kolay</t>
        </is>
      </c>
      <c r="D343" s="6" t="inlineStr">
        <is>
          <t>Halat çekme yok, değil mi? Var. Muhasebeyle karşı karşıyasınız.</t>
        </is>
      </c>
      <c r="E343" s="6" t="inlineStr"/>
      <c r="F343" s="5" t="inlineStr"/>
    </row>
    <row r="344">
      <c r="A344" s="5" t="inlineStr">
        <is>
          <t>mb-takim-ruhu</t>
        </is>
      </c>
      <c r="B344" s="5" t="inlineStr">
        <is>
          <t>Cesaret</t>
        </is>
      </c>
      <c r="C344" s="5" t="inlineStr">
        <is>
          <t>Orta</t>
        </is>
      </c>
      <c r="D344" s="6" t="inlineStr">
        <is>
          <t>Arkana düşeceksin, önündekiler seni tutacak. Önündekiler dün senin raporunu reddetti.</t>
        </is>
      </c>
      <c r="E344" s="6" t="inlineStr"/>
      <c r="F344" s="5" t="inlineStr"/>
    </row>
    <row r="345">
      <c r="A345" s="5" t="inlineStr">
        <is>
          <t>me-indirim-sezonu</t>
        </is>
      </c>
      <c r="B345" s="5" t="inlineStr">
        <is>
          <t>Çene</t>
        </is>
      </c>
      <c r="C345" s="5" t="inlineStr">
        <is>
          <t>Kolay</t>
        </is>
      </c>
      <c r="D345" s="6" t="inlineStr">
        <is>
          <t>İndirim bir sayı değil, bir hikâyedir. 'Size özel' demeyi unutma.</t>
        </is>
      </c>
      <c r="E345" s="6" t="inlineStr"/>
      <c r="F345" s="5" t="inlineStr"/>
    </row>
    <row r="346">
      <c r="A346" s="5" t="inlineStr">
        <is>
          <t>me-indirim-sezonu</t>
        </is>
      </c>
      <c r="B346" s="5" t="inlineStr">
        <is>
          <t>Dayanıklılık</t>
        </is>
      </c>
      <c r="C346" s="5" t="inlineStr">
        <is>
          <t>Orta</t>
        </is>
      </c>
      <c r="D346" s="6" t="inlineStr">
        <is>
          <t>Gün on dört saat, merdiven altı basamak. Önce ısın.</t>
        </is>
      </c>
      <c r="E346" s="6" t="inlineStr"/>
      <c r="F346" s="5" t="inlineStr"/>
    </row>
    <row r="347">
      <c r="A347" s="5" t="inlineStr">
        <is>
          <t>b7-borc-batagi</t>
        </is>
      </c>
      <c r="B347" s="5" t="inlineStr">
        <is>
          <t>Akıl</t>
        </is>
      </c>
      <c r="C347" s="5" t="inlineStr">
        <is>
          <t>Orta</t>
        </is>
      </c>
      <c r="D347" s="6" t="inlineStr">
        <is>
          <t>Asgari ödemenin matematiği: sonsuza kadar ödersin, borç sonsuza kadar kalır.</t>
        </is>
      </c>
      <c r="E347" s="6" t="inlineStr"/>
      <c r="F347" s="5" t="inlineStr"/>
    </row>
    <row r="348">
      <c r="A348" s="5" t="inlineStr">
        <is>
          <t>b7-borc-batagi</t>
        </is>
      </c>
      <c r="B348" s="5" t="inlineStr">
        <is>
          <t>Kurnazlık</t>
        </is>
      </c>
      <c r="C348" s="5" t="inlineStr">
        <is>
          <t>Kolay</t>
        </is>
      </c>
      <c r="D348" s="6" t="inlineStr">
        <is>
          <t>Kartla kartı ödemek bir sanat, evlat. Ama sanat da her zaman kazanmaz.</t>
        </is>
      </c>
      <c r="E348" s="6" t="inlineStr"/>
      <c r="F348" s="5" t="inlineStr"/>
    </row>
    <row r="349">
      <c r="A349" s="5" t="inlineStr">
        <is>
          <t>b7-dogum-gunu-partisi</t>
        </is>
      </c>
      <c r="B349" s="5" t="inlineStr">
        <is>
          <t>Sosyal Radar</t>
        </is>
      </c>
      <c r="C349" s="5" t="inlineStr">
        <is>
          <t>Orta</t>
        </is>
      </c>
      <c r="D349" s="6" t="inlineStr">
        <is>
          <t>Veli grubundaki en rekabetçi aile de davetli. Fotoğrafları her açıdan çekecek.</t>
        </is>
      </c>
      <c r="E349" s="6" t="inlineStr"/>
      <c r="F349" s="5" t="inlineStr"/>
    </row>
    <row r="350">
      <c r="A350" s="5" t="inlineStr">
        <is>
          <t>b7-dogum-gunu-partisi</t>
        </is>
      </c>
      <c r="B350" s="5" t="inlineStr">
        <is>
          <t>Pişkinlik</t>
        </is>
      </c>
      <c r="C350" s="5" t="inlineStr">
        <is>
          <t>Kolay</t>
        </is>
      </c>
      <c r="D350" s="6" t="inlineStr">
        <is>
          <t>Tema uzay ama sen kendini parti sunucusu say. Mikrofonu al.</t>
        </is>
      </c>
      <c r="E350" s="6" t="inlineStr"/>
      <c r="F350" s="5" t="inlineStr"/>
    </row>
    <row r="351">
      <c r="A351" s="5" t="inlineStr">
        <is>
          <t>mm-kurum-piknigi</t>
        </is>
      </c>
      <c r="B351" s="5" t="inlineStr">
        <is>
          <t>Cesaret</t>
        </is>
      </c>
      <c r="C351" s="5" t="inlineStr">
        <is>
          <t>Orta</t>
        </is>
      </c>
      <c r="D351" s="6" t="inlineStr">
        <is>
          <t>Ayaklarını çime göm. Rütbeyi değil, halatı tut.</t>
        </is>
      </c>
      <c r="E351" s="6" t="inlineStr"/>
      <c r="F351" s="5" t="inlineStr"/>
    </row>
    <row r="352">
      <c r="A352" s="5" t="inlineStr">
        <is>
          <t>mm-kurum-piknigi</t>
        </is>
      </c>
      <c r="B352" s="5" t="inlineStr">
        <is>
          <t>Sosyal Radar</t>
        </is>
      </c>
      <c r="C352" s="5" t="inlineStr">
        <is>
          <t>Kolay</t>
        </is>
      </c>
      <c r="D352" s="6" t="inlineStr">
        <is>
          <t>Mangaldaki şef köfteleri rütbe sırasıyla dağıtıyor. Sıra sende değil.</t>
        </is>
      </c>
      <c r="E352" s="6" t="inlineStr"/>
      <c r="F352" s="5" t="inlineStr"/>
    </row>
    <row r="353">
      <c r="A353" s="5" t="inlineStr">
        <is>
          <t>b7-yil-donumu</t>
        </is>
      </c>
      <c r="B353" s="5" t="inlineStr">
        <is>
          <t>Gönül</t>
        </is>
      </c>
      <c r="C353" s="5" t="inlineStr">
        <is>
          <t>Orta</t>
        </is>
      </c>
      <c r="D353" s="6" t="inlineStr">
        <is>
          <t>Bugünü unuttun, olur. Bu akşamı unutturma.</t>
        </is>
      </c>
      <c r="E353" s="6" t="inlineStr"/>
      <c r="F353" s="5" t="inlineStr"/>
    </row>
    <row r="354">
      <c r="A354" s="5" t="inlineStr">
        <is>
          <t>b7-yil-donumu</t>
        </is>
      </c>
      <c r="B354" s="5" t="inlineStr">
        <is>
          <t>Sosyal Radar</t>
        </is>
      </c>
      <c r="C354" s="5" t="inlineStr">
        <is>
          <t>Kolay</t>
        </is>
      </c>
      <c r="D354" s="6" t="inlineStr">
        <is>
          <t>Eşin bu tarihi senden önce biliyordu. Bekliyor. Ne kadar beklediğini göstermiyor.</t>
        </is>
      </c>
      <c r="E354" s="6" t="inlineStr"/>
      <c r="F354" s="5" t="inlineStr"/>
    </row>
    <row r="355">
      <c r="A355" s="5" t="inlineStr">
        <is>
          <t>b8-kirk-yas</t>
        </is>
      </c>
      <c r="B355" s="5" t="inlineStr">
        <is>
          <t>Dayanıklılık</t>
        </is>
      </c>
      <c r="C355" s="5" t="inlineStr">
        <is>
          <t>Orta</t>
        </is>
      </c>
      <c r="D355" s="6" t="inlineStr">
        <is>
          <t>Merdivende dizlerin selam verdi, duydum. Yarın sabah altıda parkta ol, ısınırız.</t>
        </is>
      </c>
      <c r="E355" s="6" t="inlineStr"/>
      <c r="F355" s="5" t="inlineStr"/>
    </row>
    <row r="356">
      <c r="A356" s="5" t="inlineStr">
        <is>
          <t>b8-kirk-yas</t>
        </is>
      </c>
      <c r="B356" s="5" t="inlineStr">
        <is>
          <t>Akıl</t>
        </is>
      </c>
      <c r="C356" s="5" t="inlineStr">
        <is>
          <t>Zor</t>
        </is>
      </c>
      <c r="D356" s="6" t="inlineStr">
        <is>
          <t>Hesapladım: ortalama ömür seksen bir, kırk tam ortası. Bundan sonrası iniş; ama inişte manzara daha güzel olur.</t>
        </is>
      </c>
      <c r="E356" s="6" t="inlineStr"/>
      <c r="F356" s="5" t="inlineStr">
        <is>
          <t>E</t>
        </is>
      </c>
    </row>
    <row r="357">
      <c r="A357" s="5" t="inlineStr">
        <is>
          <t>b8-motosiklet</t>
        </is>
      </c>
      <c r="B357" s="5" t="inlineStr">
        <is>
          <t>Cesaret</t>
        </is>
      </c>
      <c r="C357" s="5" t="inlineStr">
        <is>
          <t>Kolay</t>
        </is>
      </c>
      <c r="D357" s="6" t="inlineStr">
        <is>
          <t>İki teker, bir kask! Biz gençken bundan azıyla dağ aştık. Bin, gerisini yolda düşünürsün.</t>
        </is>
      </c>
      <c r="E357" s="6" t="inlineStr"/>
      <c r="F357" s="5" t="inlineStr"/>
    </row>
    <row r="358">
      <c r="A358" s="5" t="inlineStr">
        <is>
          <t>b8-motosiklet</t>
        </is>
      </c>
      <c r="B358" s="5" t="inlineStr">
        <is>
          <t>İtibar</t>
        </is>
      </c>
      <c r="C358" s="5" t="inlineStr">
        <is>
          <t>Orta</t>
        </is>
      </c>
      <c r="D358" s="6" t="inlineStr">
        <is>
          <t>Evde biri bu haberi akşam yemeğinde, çorbanın ortasında öğrenecek. Onu da düşün.</t>
        </is>
      </c>
      <c r="E358" s="6" t="inlineStr"/>
      <c r="F358" s="5" t="inlineStr"/>
    </row>
    <row r="359">
      <c r="A359" s="5" t="inlineStr">
        <is>
          <t>b8-sac-meselesi</t>
        </is>
      </c>
      <c r="B359" s="5" t="inlineStr">
        <is>
          <t>Sosyal Radar</t>
        </is>
      </c>
      <c r="C359" s="5" t="inlineStr">
        <is>
          <t>Orta</t>
        </is>
      </c>
      <c r="D359" s="6" t="inlineStr">
        <is>
          <t>Kuaför üç kez “Hiç önemli değil” dedi. Önemli olmasa bir kez derdi. Arkadaki koltuktaki teyze de gördü; akşama apartman bilir.</t>
        </is>
      </c>
      <c r="E359" s="6" t="inlineStr"/>
      <c r="F359" s="5" t="inlineStr"/>
    </row>
    <row r="360">
      <c r="A360" s="5" t="inlineStr">
        <is>
          <t>b8-sac-meselesi</t>
        </is>
      </c>
      <c r="B360" s="5" t="inlineStr">
        <is>
          <t>Pişkinlik</t>
        </is>
      </c>
      <c r="C360" s="5" t="inlineStr">
        <is>
          <t>Kolay</t>
        </is>
      </c>
      <c r="D360" s="6" t="inlineStr">
        <is>
          <t>Parlayan her şey kötü değildir. Kupa da parlar.</t>
        </is>
      </c>
      <c r="E360" s="6" t="inlineStr"/>
      <c r="F360" s="5" t="inlineStr"/>
    </row>
    <row r="361">
      <c r="A361" s="5" t="inlineStr">
        <is>
          <t>ms-sigortasiz-hayat</t>
        </is>
      </c>
      <c r="B361" s="5" t="inlineStr">
        <is>
          <t>Akıl</t>
        </is>
      </c>
      <c r="C361" s="5" t="inlineStr">
        <is>
          <t>Kolay</t>
        </is>
      </c>
      <c r="D361" s="6" t="inlineStr">
        <is>
          <t>Serbest çalışmanın matematiği: Hafta sonu yok, tatil yok, emeklilik de yok. Tutarlı.</t>
        </is>
      </c>
      <c r="E361" s="6" t="inlineStr"/>
      <c r="F361" s="5" t="inlineStr"/>
    </row>
    <row r="362">
      <c r="A362" s="5" t="inlineStr">
        <is>
          <t>ms-sigortasiz-hayat</t>
        </is>
      </c>
      <c r="B362" s="5" t="inlineStr">
        <is>
          <t>İtibar</t>
        </is>
      </c>
      <c r="C362" s="5" t="inlineStr">
        <is>
          <t>Orta</t>
        </is>
      </c>
      <c r="D362" s="6" t="inlineStr">
        <is>
          <t>Annen yıllardır 'Sigortan var mı?' diye soruyordu. Yok.</t>
        </is>
      </c>
      <c r="E362" s="6" t="inlineStr"/>
      <c r="F362" s="5" t="inlineStr"/>
    </row>
    <row r="363">
      <c r="A363" s="5" t="inlineStr">
        <is>
          <t>b8-ergen-telefon</t>
        </is>
      </c>
      <c r="B363" s="5" t="inlineStr">
        <is>
          <t>Gönül</t>
        </is>
      </c>
      <c r="C363" s="5" t="inlineStr">
        <is>
          <t>Orta</t>
        </is>
      </c>
      <c r="D363" s="6" t="inlineStr">
        <is>
          <t>Onun da bir iç dünyası var. Senin de onun yaşındayken vardı. Hatırla; ne kalabalıktı.</t>
        </is>
      </c>
      <c r="E363" s="6" t="inlineStr"/>
      <c r="F363" s="5" t="inlineStr">
        <is>
          <t>E</t>
        </is>
      </c>
    </row>
    <row r="364">
      <c r="A364" s="5" t="inlineStr">
        <is>
          <t>b8-ergen-telefon</t>
        </is>
      </c>
      <c r="B364" s="5" t="inlineStr">
        <is>
          <t>Kurnazlık</t>
        </is>
      </c>
      <c r="C364" s="5" t="inlineStr">
        <is>
          <t>Orta</t>
        </is>
      </c>
      <c r="D364" s="6" t="inlineStr">
        <is>
          <t>Şifre doğum tarihi değil. En sevdiği şarkıcının doğum tarihi.</t>
        </is>
      </c>
      <c r="E364" s="6" t="inlineStr"/>
      <c r="F364" s="5" t="inlineStr"/>
    </row>
    <row r="365">
      <c r="A365" s="5" t="inlineStr">
        <is>
          <t>b8-metabolizma</t>
        </is>
      </c>
      <c r="B365" s="5" t="inlineStr">
        <is>
          <t>Dayanıklılık</t>
        </is>
      </c>
      <c r="C365" s="5" t="inlineStr">
        <is>
          <t>Orta</t>
        </is>
      </c>
      <c r="D365" s="6" t="inlineStr">
        <is>
          <t>Yirmilerinde bir lahmacun bir gecede yanardı. Şimdi bir lahmacun, bir mevsim kalıyor.</t>
        </is>
      </c>
      <c r="E365" s="6" t="inlineStr"/>
      <c r="F365" s="5" t="inlineStr"/>
    </row>
    <row r="366">
      <c r="A366" s="5" t="inlineStr">
        <is>
          <t>b8-metabolizma</t>
        </is>
      </c>
      <c r="B366" s="5" t="inlineStr">
        <is>
          <t>Kurnazlık</t>
        </is>
      </c>
      <c r="C366" s="5" t="inlineStr">
        <is>
          <t>Kolay</t>
        </is>
      </c>
      <c r="D366" s="6" t="inlineStr">
        <is>
          <t>Tartıyı halının üstüne koy. Halı her şeyi yumuşatır.</t>
        </is>
      </c>
      <c r="E366" s="6" t="inlineStr"/>
      <c r="F366" s="5" t="inlineStr"/>
    </row>
    <row r="367">
      <c r="A367" s="5" t="inlineStr">
        <is>
          <t>mb-yapay-zeka</t>
        </is>
      </c>
      <c r="B367" s="5" t="inlineStr">
        <is>
          <t>Akıl</t>
        </is>
      </c>
      <c r="C367" s="5" t="inlineStr">
        <is>
          <t>Orta</t>
        </is>
      </c>
      <c r="D367" s="6" t="inlineStr">
        <is>
          <t>Aracın zayıf noktası: bağlam. Toplantılarda kimin kime kırgın olduğunu bilmiyor.</t>
        </is>
      </c>
      <c r="E367" s="6" t="inlineStr"/>
      <c r="F367" s="5" t="inlineStr">
        <is>
          <t>E</t>
        </is>
      </c>
    </row>
    <row r="368">
      <c r="A368" s="5" t="inlineStr">
        <is>
          <t>mb-yapay-zeka</t>
        </is>
      </c>
      <c r="B368" s="5" t="inlineStr">
        <is>
          <t>İtibar</t>
        </is>
      </c>
      <c r="C368" s="5" t="inlineStr">
        <is>
          <t>Kolay</t>
        </is>
      </c>
      <c r="D368" s="6" t="inlineStr">
        <is>
          <t>Aracı eğiteceksin, araç seni gereksiz kılacak. Babaannen buna 'besle kargayı' derdi.</t>
        </is>
      </c>
      <c r="E368" s="6" t="inlineStr"/>
      <c r="F368" s="5" t="inlineStr"/>
    </row>
    <row r="369">
      <c r="A369" s="5" t="inlineStr">
        <is>
          <t>me-haber-merkezi</t>
        </is>
      </c>
      <c r="B369" s="5" t="inlineStr">
        <is>
          <t>Sosyal Radar</t>
        </is>
      </c>
      <c r="C369" s="5" t="inlineStr">
        <is>
          <t>Kolay</t>
        </is>
      </c>
      <c r="D369" s="6" t="inlineStr">
        <is>
          <t>Apartman yöneticisi bu akşam aidat artışını duyuracak. Şu an bilen tek kişi sensin; bir de yöneticinin eşi.</t>
        </is>
      </c>
      <c r="E369" s="6" t="inlineStr"/>
      <c r="F369" s="5" t="inlineStr">
        <is>
          <t>E</t>
        </is>
      </c>
    </row>
    <row r="370">
      <c r="A370" s="5" t="inlineStr">
        <is>
          <t>me-haber-merkezi</t>
        </is>
      </c>
      <c r="B370" s="5" t="inlineStr">
        <is>
          <t>İtibar</t>
        </is>
      </c>
      <c r="C370" s="5" t="inlineStr">
        <is>
          <t>Orta</t>
        </is>
      </c>
      <c r="D370" s="6" t="inlineStr">
        <is>
          <t>Her duyduğun haber bir emanet. Emanetin de rafı yok.</t>
        </is>
      </c>
      <c r="E370" s="6" t="inlineStr"/>
      <c r="F370" s="5" t="inlineStr"/>
    </row>
    <row r="371">
      <c r="A371" s="5" t="inlineStr">
        <is>
          <t>mm-performans-formu</t>
        </is>
      </c>
      <c r="B371" s="5" t="inlineStr">
        <is>
          <t>Pişkinlik</t>
        </is>
      </c>
      <c r="C371" s="5" t="inlineStr">
        <is>
          <t>Orta</t>
        </is>
      </c>
      <c r="D371" s="6" t="inlineStr">
        <is>
          <t>Her maddeye 'mükemmel' yazma. Birine 'geliştirilebilir' yaz. İnandırıcılık.</t>
        </is>
      </c>
      <c r="E371" s="6" t="inlineStr"/>
      <c r="F371" s="5" t="inlineStr"/>
    </row>
    <row r="372">
      <c r="A372" s="5" t="inlineStr">
        <is>
          <t>mm-performans-formu</t>
        </is>
      </c>
      <c r="B372" s="5" t="inlineStr">
        <is>
          <t>Akıl</t>
        </is>
      </c>
      <c r="C372" s="5" t="inlineStr">
        <is>
          <t>Kolay</t>
        </is>
      </c>
      <c r="D372" s="6" t="inlineStr">
        <is>
          <t>Bu form bir ölçüm aracı değil, arşiv malzemesi. Kimse okumayacak ama herkes imzalayacak.</t>
        </is>
      </c>
      <c r="E372" s="6" t="inlineStr"/>
      <c r="F372" s="5" t="inlineStr"/>
    </row>
    <row r="373">
      <c r="A373" s="5" t="inlineStr">
        <is>
          <t>b8-gozluk</t>
        </is>
      </c>
      <c r="B373" s="5" t="inlineStr">
        <is>
          <t>Akıl</t>
        </is>
      </c>
      <c r="C373" s="5" t="inlineStr">
        <is>
          <t>Kolay</t>
        </is>
      </c>
      <c r="D373" s="6" t="inlineStr">
        <is>
          <t>Göz merceği esnekliğini kaybediyor. Sen de kaybediyorsun; o daha dürüst.</t>
        </is>
      </c>
      <c r="E373" s="6" t="inlineStr"/>
      <c r="F373" s="5" t="inlineStr"/>
    </row>
    <row r="374">
      <c r="A374" s="5" t="inlineStr">
        <is>
          <t>b8-gozluk</t>
        </is>
      </c>
      <c r="B374" s="5" t="inlineStr">
        <is>
          <t>Pişkinlik</t>
        </is>
      </c>
      <c r="C374" s="5" t="inlineStr">
        <is>
          <t>Orta</t>
        </is>
      </c>
      <c r="D374" s="6" t="inlineStr">
        <is>
          <t>Gözlüğü burnunun ucuna indirip üstünden bakmak, yaşlanmak değil; otorite kurmaktır.</t>
        </is>
      </c>
      <c r="E374" s="6" t="inlineStr"/>
      <c r="F374" s="5" t="inlineStr">
        <is>
          <t>E</t>
        </is>
      </c>
    </row>
    <row r="375">
      <c r="A375" s="5" t="inlineStr">
        <is>
          <t>b8-bayram-sofrasi</t>
        </is>
      </c>
      <c r="B375" s="5" t="inlineStr">
        <is>
          <t>Sosyal Radar</t>
        </is>
      </c>
      <c r="C375" s="5" t="inlineStr">
        <is>
          <t>Orta</t>
        </is>
      </c>
      <c r="D375" s="6" t="inlineStr">
        <is>
          <t>Halan üç yıldır bu anı bekliyor. Sofrayı o kurdu, oturma düzenini de.</t>
        </is>
      </c>
      <c r="E375" s="6" t="inlineStr"/>
      <c r="F375" s="5" t="inlineStr"/>
    </row>
    <row r="376">
      <c r="A376" s="5" t="inlineStr">
        <is>
          <t>b8-bayram-sofrasi</t>
        </is>
      </c>
      <c r="B376" s="5" t="inlineStr">
        <is>
          <t>Kurnazlık</t>
        </is>
      </c>
      <c r="C376" s="5" t="inlineStr">
        <is>
          <t>Zor</t>
        </is>
      </c>
      <c r="D376" s="6" t="inlineStr">
        <is>
          <t>Tarla dediği, yeni yolun geçeceği söylenen tarla. Söylenen.</t>
        </is>
      </c>
      <c r="E376" s="6" t="inlineStr"/>
      <c r="F376" s="5" t="inlineStr"/>
    </row>
    <row r="377">
      <c r="A377" s="5" t="inlineStr">
        <is>
          <t>b8-hastane-otoparki</t>
        </is>
      </c>
      <c r="B377" s="5" t="inlineStr">
        <is>
          <t>Kurnazlık</t>
        </is>
      </c>
      <c r="C377" s="5" t="inlineStr">
        <is>
          <t>Orta</t>
        </is>
      </c>
      <c r="D377" s="6" t="inlineStr">
        <is>
          <t>Başhekim bugün izinde. Bunu otopark görevlisinin rahat çay içişinden anlıyorsun.</t>
        </is>
      </c>
      <c r="E377" s="6" t="inlineStr"/>
      <c r="F377" s="5" t="inlineStr">
        <is>
          <t>E</t>
        </is>
      </c>
    </row>
    <row r="378">
      <c r="A378" s="5" t="inlineStr">
        <is>
          <t>b8-hastane-otoparki</t>
        </is>
      </c>
      <c r="B378" s="5" t="inlineStr">
        <is>
          <t>Dayanıklılık</t>
        </is>
      </c>
      <c r="C378" s="5" t="inlineStr">
        <is>
          <t>Kolay</t>
        </is>
      </c>
      <c r="D378" s="6" t="inlineStr">
        <is>
          <t>Otoparkta dört tur daha atarsan günlük adım hedefin tamamlanır.</t>
        </is>
      </c>
      <c r="E378" s="6" t="inlineStr"/>
      <c r="F378" s="5" t="inlineStr"/>
    </row>
    <row r="379">
      <c r="A379" s="5" t="inlineStr">
        <is>
          <t>b8-bekar-orta-yas</t>
        </is>
      </c>
      <c r="B379" s="5" t="inlineStr">
        <is>
          <t>Pişkinlik</t>
        </is>
      </c>
      <c r="C379" s="5" t="inlineStr">
        <is>
          <t>Orta</t>
        </is>
      </c>
      <c r="D379" s="6" t="inlineStr">
        <is>
          <t>Tek kişilik ev, tek kişilik koltuk, tek sahipli kumanda. Buna krallık denir.</t>
        </is>
      </c>
      <c r="E379" s="6" t="inlineStr"/>
      <c r="F379" s="5" t="inlineStr"/>
    </row>
    <row r="380">
      <c r="A380" s="5" t="inlineStr">
        <is>
          <t>b8-bekar-orta-yas</t>
        </is>
      </c>
      <c r="B380" s="5" t="inlineStr">
        <is>
          <t>İtibar</t>
        </is>
      </c>
      <c r="C380" s="5" t="inlineStr">
        <is>
          <t>Orta</t>
        </is>
      </c>
      <c r="D380" s="6" t="inlineStr">
        <is>
          <t>Yalnızlık ile bağımsızlık arasındaki fark pazar akşamı saat altıda anlaşılır.</t>
        </is>
      </c>
      <c r="E380" s="6" t="inlineStr"/>
      <c r="F380" s="5" t="inlineStr"/>
    </row>
    <row r="381">
      <c r="A381" s="5" t="inlineStr">
        <is>
          <t>ms-fon-basvurusu</t>
        </is>
      </c>
      <c r="B381" s="5" t="inlineStr">
        <is>
          <t>Kurnazlık</t>
        </is>
      </c>
      <c r="C381" s="5" t="inlineStr">
        <is>
          <t>Orta</t>
        </is>
      </c>
      <c r="D381" s="6" t="inlineStr">
        <is>
          <t>Geçen yıl fon alan projelerin hepsinin adında 'hafıza' geçiyor.</t>
        </is>
      </c>
      <c r="E381" s="6" t="inlineStr"/>
      <c r="F381" s="5" t="inlineStr">
        <is>
          <t>E</t>
        </is>
      </c>
    </row>
    <row r="382">
      <c r="A382" s="5" t="inlineStr">
        <is>
          <t>ms-fon-basvurusu</t>
        </is>
      </c>
      <c r="B382" s="5" t="inlineStr">
        <is>
          <t>Akıl</t>
        </is>
      </c>
      <c r="C382" s="5" t="inlineStr">
        <is>
          <t>Kolay</t>
        </is>
      </c>
      <c r="D382" s="6" t="inlineStr">
        <is>
          <t>Değerlendirme ölçütlerinin yarısı 'sürdürülebilirlik'. Kelimeyi en az on bir kez kullan.</t>
        </is>
      </c>
      <c r="E382" s="6" t="inlineStr"/>
      <c r="F382" s="5" t="inlineStr"/>
    </row>
    <row r="383">
      <c r="A383" s="5" t="inlineStr">
        <is>
          <t>b8-doktor-stres</t>
        </is>
      </c>
      <c r="B383" s="5" t="inlineStr">
        <is>
          <t>Akıl</t>
        </is>
      </c>
      <c r="C383" s="5" t="inlineStr">
        <is>
          <t>Orta</t>
        </is>
      </c>
      <c r="D383" s="6" t="inlineStr">
        <is>
          <t>Stres kaynakları listelendi: kira, iş, aile, bir de 'stres yapmayın' tavsiyesi.</t>
        </is>
      </c>
      <c r="E383" s="6" t="inlineStr"/>
      <c r="F383" s="5" t="inlineStr"/>
    </row>
    <row r="384">
      <c r="A384" s="5" t="inlineStr">
        <is>
          <t>b8-doktor-stres</t>
        </is>
      </c>
      <c r="B384" s="5" t="inlineStr">
        <is>
          <t>Dayanıklılık</t>
        </is>
      </c>
      <c r="C384" s="5" t="inlineStr">
        <is>
          <t>Orta</t>
        </is>
      </c>
      <c r="D384" s="6" t="inlineStr">
        <is>
          <t>Yürüyüş. Günde otuz dakika. Doktor da bunu diyecekti, ama kapıda sıra var.</t>
        </is>
      </c>
      <c r="E384" s="6" t="inlineStr"/>
      <c r="F384" s="5" t="inlineStr">
        <is>
          <t>E</t>
        </is>
      </c>
    </row>
    <row r="385">
      <c r="A385" s="5" t="inlineStr">
        <is>
          <t>b8-cocuk-sinav</t>
        </is>
      </c>
      <c r="B385" s="5" t="inlineStr">
        <is>
          <t>Sosyal Radar</t>
        </is>
      </c>
      <c r="C385" s="5" t="inlineStr">
        <is>
          <t>Orta</t>
        </is>
      </c>
      <c r="D385" s="6" t="inlineStr">
        <is>
          <t>Veli grubunda üç veli deneme sonucunu paylaştı. Hepsi yukarı yuvarlanmış.</t>
        </is>
      </c>
      <c r="E385" s="6" t="inlineStr"/>
      <c r="F385" s="5" t="inlineStr"/>
    </row>
    <row r="386">
      <c r="A386" s="5" t="inlineStr">
        <is>
          <t>b8-cocuk-sinav</t>
        </is>
      </c>
      <c r="B386" s="5" t="inlineStr">
        <is>
          <t>İtibar</t>
        </is>
      </c>
      <c r="C386" s="5" t="inlineStr">
        <is>
          <t>Orta</t>
        </is>
      </c>
      <c r="D386" s="6" t="inlineStr">
        <is>
          <t>Sınav bir kapı. Tek kapı değil. Bunu ona sen söylemezsen kimse söylemeyecek.</t>
        </is>
      </c>
      <c r="E386" s="6" t="inlineStr"/>
      <c r="F386" s="5" t="inlineStr">
        <is>
          <t>E</t>
        </is>
      </c>
    </row>
    <row r="387">
      <c r="A387" s="5" t="inlineStr">
        <is>
          <t>mb-kisa-gorusme</t>
        </is>
      </c>
      <c r="B387" s="5" t="inlineStr">
        <is>
          <t>Sosyal Radar</t>
        </is>
      </c>
      <c r="C387" s="5" t="inlineStr">
        <is>
          <t>Orta</t>
        </is>
      </c>
      <c r="D387" s="6" t="inlineStr">
        <is>
          <t>İnsan kaynaklarından gelen kişi mavi bir dosya tutuyor. Mavi dosyalar kalıyor diyorlar.</t>
        </is>
      </c>
      <c r="E387" s="6" t="inlineStr"/>
      <c r="F387" s="5" t="inlineStr"/>
    </row>
    <row r="388">
      <c r="A388" s="5" t="inlineStr">
        <is>
          <t>mb-kisa-gorusme</t>
        </is>
      </c>
      <c r="B388" s="5" t="inlineStr">
        <is>
          <t>Kurnazlık</t>
        </is>
      </c>
      <c r="C388" s="5" t="inlineStr">
        <is>
          <t>Zor</t>
        </is>
      </c>
      <c r="D388" s="6" t="inlineStr">
        <is>
          <t>Odada su şişesi var. Kötü haber verilecek odalara hep su konur.</t>
        </is>
      </c>
      <c r="E388" s="6" t="inlineStr"/>
      <c r="F388" s="5" t="inlineStr"/>
    </row>
    <row r="389">
      <c r="A389" s="5" t="inlineStr">
        <is>
          <t>me-internet-satis</t>
        </is>
      </c>
      <c r="B389" s="5" t="inlineStr">
        <is>
          <t>Akıl</t>
        </is>
      </c>
      <c r="C389" s="5" t="inlineStr">
        <is>
          <t>Orta</t>
        </is>
      </c>
      <c r="D389" s="6" t="inlineStr">
        <is>
          <t>İnternetten satış bir vitrin değil; bir depo, bir kargo ve bir yıldız sistemidir. Yıldızlar acımasızdır.</t>
        </is>
      </c>
      <c r="E389" s="6" t="inlineStr"/>
      <c r="F389" s="5" t="inlineStr"/>
    </row>
    <row r="390">
      <c r="A390" s="5" t="inlineStr">
        <is>
          <t>mm-terfi-sinavi</t>
        </is>
      </c>
      <c r="B390" s="5" t="inlineStr">
        <is>
          <t>Akıl</t>
        </is>
      </c>
      <c r="C390" s="5" t="inlineStr">
        <is>
          <t>Orta</t>
        </is>
      </c>
      <c r="D390" s="6" t="inlineStr">
        <is>
          <t>Sorular yıllardır aynı kitaptan çıkıyor. Son baskıda tek bir madde değişmiş. Sorular o maddeden gelir.</t>
        </is>
      </c>
      <c r="E390" s="6" t="inlineStr"/>
      <c r="F390" s="5" t="inlineStr">
        <is>
          <t>E</t>
        </is>
      </c>
    </row>
    <row r="391">
      <c r="A391" s="5" t="inlineStr">
        <is>
          <t>mm-terfi-sinavi</t>
        </is>
      </c>
      <c r="B391" s="5" t="inlineStr">
        <is>
          <t>Dayanıklılık</t>
        </is>
      </c>
      <c r="C391" s="5" t="inlineStr">
        <is>
          <t>Kolay</t>
        </is>
      </c>
      <c r="D391" s="6" t="inlineStr">
        <is>
          <t>Bu yaşta sınava çalışmak, dizlerle maraton koşmak gibi. Yine de koşulur.</t>
        </is>
      </c>
      <c r="E391" s="6" t="inlineStr"/>
      <c r="F391" s="5" t="inlineStr"/>
    </row>
    <row r="392">
      <c r="A392" s="5" t="inlineStr">
        <is>
          <t>b8-dijital-para</t>
        </is>
      </c>
      <c r="B392" s="5" t="inlineStr">
        <is>
          <t>Kurnazlık</t>
        </is>
      </c>
      <c r="C392" s="5" t="inlineStr">
        <is>
          <t>Orta</t>
        </is>
      </c>
      <c r="D392" s="6" t="inlineStr">
        <is>
          <t>'Hâlâ erken' diyen herkes aslında geç kalmıştır. Seni de yanına çağırıyor.</t>
        </is>
      </c>
      <c r="E392" s="6" t="inlineStr"/>
      <c r="F392" s="5" t="inlineStr"/>
    </row>
    <row r="393">
      <c r="A393" s="5" t="inlineStr">
        <is>
          <t>b8-dijital-para</t>
        </is>
      </c>
      <c r="B393" s="5" t="inlineStr">
        <is>
          <t>Akıl</t>
        </is>
      </c>
      <c r="C393" s="5" t="inlineStr">
        <is>
          <t>Zor</t>
        </is>
      </c>
      <c r="D393" s="6" t="inlineStr">
        <is>
          <t>Borçla alınan varlığın grafiği ne olursa olsun, borcun grafiği hep yukarı bakar.</t>
        </is>
      </c>
      <c r="E393" s="6" t="inlineStr"/>
      <c r="F393" s="5" t="inlineStr">
        <is>
          <t>E</t>
        </is>
      </c>
    </row>
    <row r="394">
      <c r="A394" s="5" t="inlineStr">
        <is>
          <t>b8-o-cumle</t>
        </is>
      </c>
      <c r="B394" s="5" t="inlineStr">
        <is>
          <t>İtibar</t>
        </is>
      </c>
      <c r="C394" s="5" t="inlineStr">
        <is>
          <t>Orta</t>
        </is>
      </c>
      <c r="D394" s="6" t="inlineStr">
        <is>
          <t>Kurma. Otuz yıl önce o cümleyi duyduğunda ne hissettiğini hatırla.</t>
        </is>
      </c>
      <c r="E394" s="6" t="inlineStr"/>
      <c r="F394" s="5" t="inlineStr"/>
    </row>
    <row r="395">
      <c r="A395" s="5" t="inlineStr">
        <is>
          <t>b8-o-cumle</t>
        </is>
      </c>
      <c r="B395" s="5" t="inlineStr">
        <is>
          <t>Pişkinlik</t>
        </is>
      </c>
      <c r="C395" s="5" t="inlineStr">
        <is>
          <t>Kolay</t>
        </is>
      </c>
      <c r="D395" s="6" t="inlineStr">
        <is>
          <t>Kur. Her kuşağın bir kez söyleme hakkı vardır. Bu senin hakkın.</t>
        </is>
      </c>
      <c r="E395" s="6" t="inlineStr"/>
      <c r="F395" s="5" t="inlineStr"/>
    </row>
    <row r="396">
      <c r="A396" s="5" t="inlineStr">
        <is>
          <t>b8-evli-rutin</t>
        </is>
      </c>
      <c r="B396" s="5" t="inlineStr">
        <is>
          <t>Sosyal Radar</t>
        </is>
      </c>
      <c r="C396" s="5" t="inlineStr">
        <is>
          <t>Kolay</t>
        </is>
      </c>
      <c r="D396" s="6" t="inlineStr">
        <is>
          <t>Bunca yıllık evlilikte en romantik cümle: “Senin için de koydum.”</t>
        </is>
      </c>
      <c r="E396" s="6" t="inlineStr"/>
      <c r="F396" s="5" t="inlineStr"/>
    </row>
    <row r="397">
      <c r="A397" s="5" t="inlineStr">
        <is>
          <t>b8-evli-rutin</t>
        </is>
      </c>
      <c r="B397" s="5" t="inlineStr">
        <is>
          <t>Gönül</t>
        </is>
      </c>
      <c r="C397" s="5" t="inlineStr">
        <is>
          <t>Orta</t>
        </is>
      </c>
      <c r="D397" s="6" t="inlineStr">
        <is>
          <t>En son ne zaman 'Nasılsın?' diye sordun? Cevabı dinlemek için?</t>
        </is>
      </c>
      <c r="E397" s="6" t="inlineStr"/>
      <c r="F397" s="5" t="inlineStr">
        <is>
          <t>E</t>
        </is>
      </c>
    </row>
    <row r="398">
      <c r="A398" s="5" t="inlineStr">
        <is>
          <t>b8-cocuk-odasi</t>
        </is>
      </c>
      <c r="B398" s="5" t="inlineStr">
        <is>
          <t>Sosyal Radar</t>
        </is>
      </c>
      <c r="C398" s="5" t="inlineStr">
        <is>
          <t>Kolay</t>
        </is>
      </c>
      <c r="D398" s="6" t="inlineStr">
        <is>
          <t>Kapıdaki 'Girmeyin' yazısı dekoratif değil. Ama sen de dekoratif değilsin.</t>
        </is>
      </c>
      <c r="E398" s="6" t="inlineStr"/>
      <c r="F398" s="5" t="inlineStr"/>
    </row>
    <row r="399">
      <c r="A399" s="5" t="inlineStr">
        <is>
          <t>b8-cocuk-odasi</t>
        </is>
      </c>
      <c r="B399" s="5" t="inlineStr">
        <is>
          <t>Dayanıklılık</t>
        </is>
      </c>
      <c r="C399" s="5" t="inlineStr">
        <is>
          <t>Orta</t>
        </is>
      </c>
      <c r="D399" s="6" t="inlineStr">
        <is>
          <t>Bu bir oda değil, kazı alanı. Katmanlar dönemleri gösteriyor.</t>
        </is>
      </c>
      <c r="E399" s="6" t="inlineStr"/>
      <c r="F399" s="5" t="inlineStr"/>
    </row>
    <row r="400">
      <c r="A400" s="5" t="inlineStr">
        <is>
          <t>ms-eski-musteri</t>
        </is>
      </c>
      <c r="B400" s="5" t="inlineStr">
        <is>
          <t>Kurnazlık</t>
        </is>
      </c>
      <c r="C400" s="5" t="inlineStr">
        <is>
          <t>Orta</t>
        </is>
      </c>
      <c r="D400" s="6" t="inlineStr">
        <is>
          <t>'Sizi özledik' cümlesi finans dilinde 'bütçemiz yok' demektir.</t>
        </is>
      </c>
      <c r="E400" s="6" t="inlineStr"/>
      <c r="F400" s="5" t="inlineStr"/>
    </row>
    <row r="401">
      <c r="A401" s="5" t="inlineStr">
        <is>
          <t>ms-eski-musteri</t>
        </is>
      </c>
      <c r="B401" s="5" t="inlineStr">
        <is>
          <t>Sosyal Radar</t>
        </is>
      </c>
      <c r="C401" s="5" t="inlineStr">
        <is>
          <t>Kolay</t>
        </is>
      </c>
      <c r="D401" s="6" t="inlineStr">
        <is>
          <t>Mesajı yazan kişi yeni. Eski muhasebeci çoktan ayrılmış. Borç ise kalmış.</t>
        </is>
      </c>
      <c r="E401" s="6" t="inlineStr"/>
      <c r="F401" s="5" t="inlineStr"/>
    </row>
    <row r="402">
      <c r="A402" s="5" t="inlineStr">
        <is>
          <t>b8-lise-bulusmasi</t>
        </is>
      </c>
      <c r="B402" s="5" t="inlineStr">
        <is>
          <t>Sosyal Radar</t>
        </is>
      </c>
      <c r="C402" s="5" t="inlineStr">
        <is>
          <t>Orta</t>
        </is>
      </c>
      <c r="D402" s="6" t="inlineStr">
        <is>
          <t>Salonda üç boşanma, iki Öte Diyar'a giden, bir de hâlâ aynı sevgiliyle olan var. Tahmin et hangisi hangisi.</t>
        </is>
      </c>
      <c r="E402" s="6" t="inlineStr"/>
      <c r="F402" s="5" t="inlineStr">
        <is>
          <t>E</t>
        </is>
      </c>
    </row>
    <row r="403">
      <c r="A403" s="5" t="inlineStr">
        <is>
          <t>b8-lise-bulusmasi</t>
        </is>
      </c>
      <c r="B403" s="5" t="inlineStr">
        <is>
          <t>Pişkinlik</t>
        </is>
      </c>
      <c r="C403" s="5" t="inlineStr">
        <is>
          <t>Kolay</t>
        </is>
      </c>
      <c r="D403" s="6" t="inlineStr">
        <is>
          <t>Unvanını söylerken sesini bir ton kalınlaştır. Kimse kontrol etmez.</t>
        </is>
      </c>
      <c r="E403" s="6" t="inlineStr"/>
      <c r="F403" s="5" t="inlineStr"/>
    </row>
    <row r="404">
      <c r="A404" s="5" t="inlineStr">
        <is>
          <t>b8-sahte-haber</t>
        </is>
      </c>
      <c r="B404" s="5" t="inlineStr">
        <is>
          <t>Sosyal Radar</t>
        </is>
      </c>
      <c r="C404" s="5" t="inlineStr">
        <is>
          <t>Orta</t>
        </is>
      </c>
      <c r="D404" s="6" t="inlineStr">
        <is>
          <t>Amca aslında haber değil, ilgi paylaşıyor. Son mesajına kimse cevap yazmamıştı.</t>
        </is>
      </c>
      <c r="E404" s="6" t="inlineStr"/>
      <c r="F404" s="5" t="inlineStr"/>
    </row>
    <row r="405">
      <c r="A405" s="5" t="inlineStr">
        <is>
          <t>b8-sahte-haber</t>
        </is>
      </c>
      <c r="B405" s="5" t="inlineStr">
        <is>
          <t>Akıl</t>
        </is>
      </c>
      <c r="C405" s="5" t="inlineStr">
        <is>
          <t>Kolay</t>
        </is>
      </c>
      <c r="D405" s="6" t="inlineStr">
        <is>
          <t>Kaynak: 'Bir tanıdığın tanıdığı mühendis.' Mühendisin uzmanlık alanı: tanıdık olmak.</t>
        </is>
      </c>
      <c r="E405" s="6" t="inlineStr"/>
      <c r="F405" s="5" t="inlineStr"/>
    </row>
    <row r="406">
      <c r="A406" s="5" t="inlineStr">
        <is>
          <t>mb-asansorde-genel-mudur</t>
        </is>
      </c>
      <c r="B406" s="5" t="inlineStr">
        <is>
          <t>Sosyal Radar</t>
        </is>
      </c>
      <c r="C406" s="5" t="inlineStr">
        <is>
          <t>Orta</t>
        </is>
      </c>
      <c r="D406" s="6" t="inlineStr">
        <is>
          <t>Genel müdürün çantasından bir balık yemi paketi görünüyor. Hafta sonları gölde.</t>
        </is>
      </c>
      <c r="E406" s="6" t="inlineStr"/>
      <c r="F406" s="5" t="inlineStr">
        <is>
          <t>E</t>
        </is>
      </c>
    </row>
    <row r="407">
      <c r="A407" s="5" t="inlineStr">
        <is>
          <t>mb-asansorde-genel-mudur</t>
        </is>
      </c>
      <c r="B407" s="5" t="inlineStr">
        <is>
          <t>Pişkinlik</t>
        </is>
      </c>
      <c r="C407" s="5" t="inlineStr">
        <is>
          <t>Kolay</t>
        </is>
      </c>
      <c r="D407" s="6" t="inlineStr">
        <is>
          <t>Kırk dakika. Bu, kariyerinin en uzun birebir görüşmesi.</t>
        </is>
      </c>
      <c r="E407" s="6" t="inlineStr"/>
      <c r="F407" s="5" t="inlineStr"/>
    </row>
    <row r="408">
      <c r="A408" s="5" t="inlineStr">
        <is>
          <t>mm-vatandasla-diyalog</t>
        </is>
      </c>
      <c r="B408" s="5" t="inlineStr">
        <is>
          <t>Sosyal Radar</t>
        </is>
      </c>
      <c r="C408" s="5" t="inlineStr">
        <is>
          <t>Orta</t>
        </is>
      </c>
      <c r="D408" s="6" t="inlineStr">
        <is>
          <t>Kendisi de emin değil. Telefonundan bir numara arıyor; açılmıyor.</t>
        </is>
      </c>
      <c r="E408" s="6" t="inlineStr"/>
      <c r="F408" s="5" t="inlineStr"/>
    </row>
    <row r="409">
      <c r="A409" s="5" t="inlineStr">
        <is>
          <t>mm-vatandasla-diyalog</t>
        </is>
      </c>
      <c r="B409" s="5" t="inlineStr">
        <is>
          <t>Pişkinlik</t>
        </is>
      </c>
      <c r="C409" s="5" t="inlineStr">
        <is>
          <t>Zor</t>
        </is>
      </c>
      <c r="D409" s="6" t="inlineStr">
        <is>
          <t>Cevabın hazır: 'Siz de benim kim olduğumu bilmiyorsunuz. Ben masayım.'</t>
        </is>
      </c>
      <c r="E409" s="6" t="inlineStr"/>
      <c r="F409" s="5" t="inlineStr">
        <is>
          <t>E</t>
        </is>
      </c>
    </row>
    <row r="410">
      <c r="A410" s="5" t="inlineStr">
        <is>
          <t>b8-yeni-hobi</t>
        </is>
      </c>
      <c r="B410" s="5" t="inlineStr">
        <is>
          <t>Akıl</t>
        </is>
      </c>
      <c r="C410" s="5" t="inlineStr">
        <is>
          <t>Orta</t>
        </is>
      </c>
      <c r="D410" s="6" t="inlineStr">
        <is>
          <t>Hobi, para verip yorulduğun iştir. Malzeme peşin, keyif taksitle.</t>
        </is>
      </c>
      <c r="E410" s="6" t="inlineStr"/>
      <c r="F410" s="5" t="inlineStr"/>
    </row>
    <row r="411">
      <c r="A411" s="5" t="inlineStr">
        <is>
          <t>b8-yeni-hobi</t>
        </is>
      </c>
      <c r="B411" s="5" t="inlineStr">
        <is>
          <t>Cesaret</t>
        </is>
      </c>
      <c r="C411" s="5" t="inlineStr">
        <is>
          <t>Kolay</t>
        </is>
      </c>
      <c r="D411" s="6" t="inlineStr">
        <is>
          <t>Paraşüt. Kararı gökyüzü versin.</t>
        </is>
      </c>
      <c r="E411" s="6" t="inlineStr"/>
      <c r="F411" s="5" t="inlineStr"/>
    </row>
    <row r="412">
      <c r="A412" s="5" t="inlineStr">
        <is>
          <t>b8-maraton</t>
        </is>
      </c>
      <c r="B412" s="5" t="inlineStr">
        <is>
          <t>Dayanıklılık</t>
        </is>
      </c>
      <c r="C412" s="5" t="inlineStr">
        <is>
          <t>Orta</t>
        </is>
      </c>
      <c r="D412" s="6" t="inlineStr">
        <is>
          <t>Otuz beşinci kilometrede bir duvara çarpacaksın. Duvar görünmez, ama çok sağlam.</t>
        </is>
      </c>
      <c r="E412" s="6" t="inlineStr"/>
      <c r="F412" s="5" t="inlineStr"/>
    </row>
    <row r="413">
      <c r="A413" s="5" t="inlineStr">
        <is>
          <t>b8-maraton</t>
        </is>
      </c>
      <c r="B413" s="5" t="inlineStr">
        <is>
          <t>Kurnazlık</t>
        </is>
      </c>
      <c r="C413" s="5" t="inlineStr">
        <is>
          <t>Kolay</t>
        </is>
      </c>
      <c r="D413" s="6" t="inlineStr">
        <is>
          <t>Son kilometrede sponsor standında bedava içecek var. Bedava ama finişten iki dakika uzakta.</t>
        </is>
      </c>
      <c r="E413" s="6" t="inlineStr"/>
      <c r="F413" s="5" t="inlineStr"/>
    </row>
    <row r="414">
      <c r="A414" s="5" t="inlineStr">
        <is>
          <t>b8-yeniden-egitim</t>
        </is>
      </c>
      <c r="B414" s="5" t="inlineStr">
        <is>
          <t>Akıl</t>
        </is>
      </c>
      <c r="C414" s="5" t="inlineStr">
        <is>
          <t>Orta</t>
        </is>
      </c>
      <c r="D414" s="6" t="inlineStr">
        <is>
          <t>Bu yaşta öğrenmek daha yavaş değildir. Sadece daha çok itiraz edersin.</t>
        </is>
      </c>
      <c r="E414" s="6" t="inlineStr"/>
      <c r="F414" s="5" t="inlineStr"/>
    </row>
    <row r="415">
      <c r="A415" s="5" t="inlineStr">
        <is>
          <t>b8-yeniden-egitim</t>
        </is>
      </c>
      <c r="B415" s="5" t="inlineStr">
        <is>
          <t>Cesaret</t>
        </is>
      </c>
      <c r="C415" s="5" t="inlineStr">
        <is>
          <t>Zor</t>
        </is>
      </c>
      <c r="D415" s="6" t="inlineStr">
        <is>
          <t>Sınıftaki yirmi yaşındakiler sana 'hocam' diyecek. Hoca değilsin. Düzeltme; tadını çıkar.</t>
        </is>
      </c>
      <c r="E415" s="6" t="inlineStr"/>
      <c r="F415" s="5" t="inlineStr">
        <is>
          <t>E</t>
        </is>
      </c>
    </row>
    <row r="416">
      <c r="A416" s="5" t="inlineStr">
        <is>
          <t>b8-yazlik</t>
        </is>
      </c>
      <c r="B416" s="5" t="inlineStr">
        <is>
          <t>Kurnazlık</t>
        </is>
      </c>
      <c r="C416" s="5" t="inlineStr">
        <is>
          <t>Orta</t>
        </is>
      </c>
      <c r="D416" s="6" t="inlineStr">
        <is>
          <t>Emlakçı 'Bu fiyata bir daha bulamazsınız' dedi. Bulamayacaksın, çünkü kimse aramayacak.</t>
        </is>
      </c>
      <c r="E416" s="6" t="inlineStr"/>
      <c r="F416" s="5" t="inlineStr"/>
    </row>
    <row r="417">
      <c r="A417" s="5" t="inlineStr">
        <is>
          <t>b8-yazlik</t>
        </is>
      </c>
      <c r="B417" s="5" t="inlineStr">
        <is>
          <t>Akıl</t>
        </is>
      </c>
      <c r="C417" s="5" t="inlineStr">
        <is>
          <t>Kolay</t>
        </is>
      </c>
      <c r="D417" s="6" t="inlineStr">
        <is>
          <t>Yılda üç hafta kullanılacak bir ev için on iki ay aidat. Hesap kendini yapıyor.</t>
        </is>
      </c>
      <c r="E417" s="6" t="inlineStr"/>
      <c r="F417" s="5" t="inlineStr"/>
    </row>
    <row r="418">
      <c r="A418" s="5" t="inlineStr">
        <is>
          <t>b8-ilac-kutusu</t>
        </is>
      </c>
      <c r="B418" s="5" t="inlineStr">
        <is>
          <t>Akıl</t>
        </is>
      </c>
      <c r="C418" s="5" t="inlineStr">
        <is>
          <t>Orta</t>
        </is>
      </c>
      <c r="D418" s="6" t="inlineStr">
        <is>
          <t>Sabah, öğle, akşam; aç, tok. Bir de en önemlisi: baban “Ben onu bıraktım” dediğinde inanma.</t>
        </is>
      </c>
      <c r="E418" s="6" t="inlineStr"/>
      <c r="F418" s="5" t="inlineStr"/>
    </row>
    <row r="419">
      <c r="A419" s="5" t="inlineStr">
        <is>
          <t>b8-ilac-kutusu</t>
        </is>
      </c>
      <c r="B419" s="5" t="inlineStr">
        <is>
          <t>İtibar</t>
        </is>
      </c>
      <c r="C419" s="5" t="inlineStr">
        <is>
          <t>Kolay</t>
        </is>
      </c>
      <c r="D419" s="6" t="inlineStr">
        <is>
          <t>Onlar da seni böyle beslemişti: saatinde, gözünü ayırmadan.</t>
        </is>
      </c>
      <c r="E419" s="6" t="inlineStr"/>
      <c r="F419" s="5" t="inlineStr"/>
    </row>
    <row r="420">
      <c r="A420" s="5" t="inlineStr">
        <is>
          <t>b8-site-yoneticisi</t>
        </is>
      </c>
      <c r="B420" s="5" t="inlineStr">
        <is>
          <t>Sosyal Radar</t>
        </is>
      </c>
      <c r="C420" s="5" t="inlineStr">
        <is>
          <t>Orta</t>
        </is>
      </c>
      <c r="D420" s="6" t="inlineStr">
        <is>
          <t>Üçüncü kattaki komşu yöneticilik için dosya hazırlamış ama aday olmuyor. Dosya çantasında.</t>
        </is>
      </c>
      <c r="E420" s="6" t="inlineStr"/>
      <c r="F420" s="5" t="inlineStr"/>
    </row>
    <row r="421">
      <c r="A421" s="5" t="inlineStr">
        <is>
          <t>b8-site-yoneticisi</t>
        </is>
      </c>
      <c r="B421" s="5" t="inlineStr">
        <is>
          <t>İtibar</t>
        </is>
      </c>
      <c r="C421" s="5" t="inlineStr">
        <is>
          <t>Kolay</t>
        </is>
      </c>
      <c r="D421" s="6" t="inlineStr">
        <is>
          <t>Birinin kedilere mama koyması gerekiyor. Birinin de bu toplantıyı bitirmesi.</t>
        </is>
      </c>
      <c r="E421" s="6" t="inlineStr"/>
      <c r="F421" s="5" t="inlineStr"/>
    </row>
    <row r="422">
      <c r="A422" s="5" t="inlineStr">
        <is>
          <t>mb-genc-yonetici</t>
        </is>
      </c>
      <c r="B422" s="5" t="inlineStr">
        <is>
          <t>Dayanıklılık</t>
        </is>
      </c>
      <c r="C422" s="5" t="inlineStr">
        <is>
          <t>Orta</t>
        </is>
      </c>
      <c r="D422" s="6" t="inlineStr">
        <is>
          <t>Bu şirketten dört yeniden yapılanma, üç logo ve iki bina geçti. Sen hâlâ buradasın.</t>
        </is>
      </c>
      <c r="E422" s="6" t="inlineStr"/>
      <c r="F422" s="5" t="inlineStr"/>
    </row>
    <row r="423">
      <c r="A423" s="5" t="inlineStr">
        <is>
          <t>ms-atolye-kirasi</t>
        </is>
      </c>
      <c r="B423" s="5" t="inlineStr">
        <is>
          <t>İtibar</t>
        </is>
      </c>
      <c r="C423" s="5" t="inlineStr">
        <is>
          <t>Orta</t>
        </is>
      </c>
      <c r="D423" s="6" t="inlineStr">
        <is>
          <t>Mahallenin ilk duvar resmi seninkiydi. Şimdi o duvarın önünde bir emlak ilanı duruyor.</t>
        </is>
      </c>
      <c r="E423" s="6" t="inlineStr"/>
      <c r="F423" s="5" t="inlineStr"/>
    </row>
    <row r="424">
      <c r="A424" s="5" t="inlineStr">
        <is>
          <t>ms-atolye-kirasi</t>
        </is>
      </c>
      <c r="B424" s="5" t="inlineStr">
        <is>
          <t>Kurnazlık</t>
        </is>
      </c>
      <c r="C424" s="5" t="inlineStr">
        <is>
          <t>Kolay</t>
        </is>
      </c>
      <c r="D424" s="6" t="inlineStr">
        <is>
          <t>Ev sahibi sanattan değil, kiradan anlıyor. Ama duvara kendi portresi asılsın ister.</t>
        </is>
      </c>
      <c r="E424" s="6" t="inlineStr"/>
      <c r="F424" s="5" t="inlineStr"/>
    </row>
    <row r="425">
      <c r="A425" s="5" t="inlineStr">
        <is>
          <t>b8-bakim-evraki</t>
        </is>
      </c>
      <c r="B425" s="5" t="inlineStr">
        <is>
          <t>Kurnazlık</t>
        </is>
      </c>
      <c r="C425" s="5" t="inlineStr">
        <is>
          <t>Orta</t>
        </is>
      </c>
      <c r="D425" s="6" t="inlineStr">
        <is>
          <t>Üç numaralı pencere eksik evrak diye geri gönderdiklerinin yarısını yediye yolluyor. Yedi numara boş.</t>
        </is>
      </c>
      <c r="E425" s="6" t="inlineStr"/>
      <c r="F425" s="5" t="inlineStr">
        <is>
          <t>E</t>
        </is>
      </c>
    </row>
    <row r="426">
      <c r="A426" s="5" t="inlineStr">
        <is>
          <t>b8-bakim-evraki</t>
        </is>
      </c>
      <c r="B426" s="5" t="inlineStr">
        <is>
          <t>Dayanıklılık</t>
        </is>
      </c>
      <c r="C426" s="5" t="inlineStr">
        <is>
          <t>Kolay</t>
        </is>
      </c>
      <c r="D426" s="6" t="inlineStr">
        <is>
          <t>Termosa çay koymuştun. İyi etmişsin.</t>
        </is>
      </c>
      <c r="E426" s="6" t="inlineStr"/>
      <c r="F426" s="5" t="inlineStr"/>
    </row>
    <row r="427">
      <c r="A427" s="5" t="inlineStr">
        <is>
          <t>b8-ikinci-bahar</t>
        </is>
      </c>
      <c r="B427" s="5" t="inlineStr">
        <is>
          <t>Cesaret</t>
        </is>
      </c>
      <c r="C427" s="5" t="inlineStr">
        <is>
          <t>Orta</t>
        </is>
      </c>
      <c r="D427" s="6" t="inlineStr">
        <is>
          <t>Bu kez kimseye bir şey kanıtlamak zorunda değilsin. Gel, kahveni iç.</t>
        </is>
      </c>
      <c r="E427" s="6" t="inlineStr"/>
      <c r="F427" s="5" t="inlineStr"/>
    </row>
    <row r="428">
      <c r="A428" s="5" t="inlineStr">
        <is>
          <t>b8-ikinci-bahar</t>
        </is>
      </c>
      <c r="B428" s="5" t="inlineStr">
        <is>
          <t>Sosyal Radar</t>
        </is>
      </c>
      <c r="C428" s="5" t="inlineStr">
        <is>
          <t>Zor</t>
        </is>
      </c>
      <c r="D428" s="6" t="inlineStr">
        <is>
          <t>Karşındaki de en az senin kadar gergin. Menüyü üç kez okudu ve yine de çay istedi.</t>
        </is>
      </c>
      <c r="E428" s="6" t="inlineStr"/>
      <c r="F428" s="5" t="inlineStr">
        <is>
          <t>E</t>
        </is>
      </c>
    </row>
    <row r="429">
      <c r="A429" s="5" t="inlineStr">
        <is>
          <t>me-dernek-secimi</t>
        </is>
      </c>
      <c r="B429" s="5" t="inlineStr">
        <is>
          <t>Çene</t>
        </is>
      </c>
      <c r="C429" s="5" t="inlineStr">
        <is>
          <t>Orta</t>
        </is>
      </c>
      <c r="D429" s="6" t="inlineStr">
        <is>
          <t>Çarşıda seçim çay ocağında kazanılır. Kaç bardak ısmarlarsan o kadar oy.</t>
        </is>
      </c>
      <c r="E429" s="6" t="inlineStr"/>
      <c r="F429" s="5" t="inlineStr"/>
    </row>
    <row r="430">
      <c r="A430" s="5" t="inlineStr">
        <is>
          <t>me-dernek-secimi</t>
        </is>
      </c>
      <c r="B430" s="5" t="inlineStr">
        <is>
          <t>Kurnazlık</t>
        </is>
      </c>
      <c r="C430" s="5" t="inlineStr">
        <is>
          <t>Zor</t>
        </is>
      </c>
      <c r="D430" s="6" t="inlineStr">
        <is>
          <t>Başkanın listesi uzun ama her ismin yanında bir kırgınlık var. Kırgınları topla.</t>
        </is>
      </c>
      <c r="E430" s="6" t="inlineStr"/>
      <c r="F430" s="5" t="inlineStr"/>
    </row>
    <row r="431">
      <c r="A431" s="5" t="inlineStr">
        <is>
          <t>mm-ikinci-is-hayali</t>
        </is>
      </c>
      <c r="B431" s="5" t="inlineStr">
        <is>
          <t>Kurnazlık</t>
        </is>
      </c>
      <c r="C431" s="5" t="inlineStr">
        <is>
          <t>Orta</t>
        </is>
      </c>
      <c r="D431" s="6" t="inlineStr">
        <is>
          <t>Kafe açan her memur ikinci ayında 'Keşke masamda kalsaydım' der. Kaynağım: kafe açan memurlar.</t>
        </is>
      </c>
      <c r="E431" s="6" t="inlineStr"/>
      <c r="F431" s="5" t="inlineStr"/>
    </row>
    <row r="432">
      <c r="A432" s="5" t="inlineStr">
        <is>
          <t>mm-ikinci-is-hayali</t>
        </is>
      </c>
      <c r="B432" s="5" t="inlineStr">
        <is>
          <t>İtibar</t>
        </is>
      </c>
      <c r="C432" s="5" t="inlineStr">
        <is>
          <t>Kolay</t>
        </is>
      </c>
      <c r="D432" s="6" t="inlineStr">
        <is>
          <t>Hayal kurmak bedava. Kafede çay bedava değil.</t>
        </is>
      </c>
      <c r="E432" s="6" t="inlineStr"/>
      <c r="F432" s="5" t="inlineStr"/>
    </row>
    <row r="433">
      <c r="A433" s="5" t="inlineStr">
        <is>
          <t>b8-cocuk-fenomen</t>
        </is>
      </c>
      <c r="B433" s="5" t="inlineStr">
        <is>
          <t>Pişkinlik</t>
        </is>
      </c>
      <c r="C433" s="5" t="inlineStr">
        <is>
          <t>Orta</t>
        </is>
      </c>
      <c r="D433" s="6" t="inlineStr">
        <is>
          <t>Milyon izlenme. Hayatında hiçbir işle milyon kişiye ulaşmadın. Şimdi ulaştın; yüzünle, ama olsun.</t>
        </is>
      </c>
      <c r="E433" s="6" t="inlineStr"/>
      <c r="F433" s="5" t="inlineStr"/>
    </row>
    <row r="434">
      <c r="A434" s="5" t="inlineStr">
        <is>
          <t>b8-cocuk-fenomen</t>
        </is>
      </c>
      <c r="B434" s="5" t="inlineStr">
        <is>
          <t>Sosyal Radar</t>
        </is>
      </c>
      <c r="C434" s="5" t="inlineStr">
        <is>
          <t>Kolay</t>
        </is>
      </c>
      <c r="D434" s="6" t="inlineStr">
        <is>
          <t>Yorumlar okunmaz. Ama biri yazmış: “Bu bizim evdekinin aynısı.” Altında dört bin beğeni.</t>
        </is>
      </c>
      <c r="E434" s="6" t="inlineStr"/>
      <c r="F434" s="5" t="inlineStr"/>
    </row>
    <row r="435">
      <c r="A435" s="5" t="inlineStr">
        <is>
          <t>b8-yapay-zeka-egitimi</t>
        </is>
      </c>
      <c r="B435" s="5" t="inlineStr">
        <is>
          <t>Pişkinlik</t>
        </is>
      </c>
      <c r="C435" s="5" t="inlineStr">
        <is>
          <t>Kolay</t>
        </is>
      </c>
      <c r="D435" s="6" t="inlineStr">
        <is>
          <t>Sen bu şirkette faksın ne olduğunu bilen son kişisin. Bu da bir tür uzmanlık.</t>
        </is>
      </c>
      <c r="E435" s="6" t="inlineStr"/>
      <c r="F435" s="5" t="inlineStr"/>
    </row>
    <row r="436">
      <c r="A436" s="5" t="inlineStr">
        <is>
          <t>b8-yapay-zeka-egitimi</t>
        </is>
      </c>
      <c r="B436" s="5" t="inlineStr">
        <is>
          <t>Akıl</t>
        </is>
      </c>
      <c r="C436" s="5" t="inlineStr">
        <is>
          <t>Orta</t>
        </is>
      </c>
      <c r="D436" s="6" t="inlineStr">
        <is>
          <t>Yapay zekâ bir asistan. Sen yirmi yıldır bir asistanın asistanısın. Sonunda altına biri geldi.</t>
        </is>
      </c>
      <c r="E436" s="6" t="inlineStr"/>
      <c r="F436" s="5" t="inlineStr"/>
    </row>
    <row r="437">
      <c r="A437" s="5" t="inlineStr">
        <is>
          <t>b8-emeklilik-hesabi</t>
        </is>
      </c>
      <c r="B437" s="5" t="inlineStr">
        <is>
          <t>Akıl</t>
        </is>
      </c>
      <c r="C437" s="5" t="inlineStr">
        <is>
          <t>Zor</t>
        </is>
      </c>
      <c r="D437" s="6" t="inlineStr">
        <is>
          <t>Prim günü, yaş şartı, bir de her yıl değişen kural. Hesap, hareketli bir hedefe nişan alıyor.</t>
        </is>
      </c>
      <c r="E437" s="6" t="inlineStr"/>
      <c r="F437" s="5" t="inlineStr"/>
    </row>
    <row r="438">
      <c r="A438" s="5" t="inlineStr">
        <is>
          <t>b8-emeklilik-hesabi</t>
        </is>
      </c>
      <c r="B438" s="5" t="inlineStr">
        <is>
          <t>Kurnazlık</t>
        </is>
      </c>
      <c r="C438" s="5" t="inlineStr">
        <is>
          <t>Orta</t>
        </is>
      </c>
      <c r="D438" s="6" t="inlineStr">
        <is>
          <t>Eksik günleri borçlanarak satın alabilirsin. Zaman satın almak hiç bu kadar bürokratik olmamıştı.</t>
        </is>
      </c>
      <c r="E438" s="6" t="inlineStr"/>
      <c r="F438" s="5" t="inlineStr"/>
    </row>
    <row r="439">
      <c r="A439" s="5" t="inlineStr">
        <is>
          <t>b8-bos-yuva</t>
        </is>
      </c>
      <c r="B439" s="5" t="inlineStr">
        <is>
          <t>Gönül</t>
        </is>
      </c>
      <c r="C439" s="5" t="inlineStr">
        <is>
          <t>Orta</t>
        </is>
      </c>
      <c r="D439" s="6" t="inlineStr">
        <is>
          <t>Yıllarca 'Şu odayı topla' dedin. Toplandı. Şimdi ne diyeceksin?</t>
        </is>
      </c>
      <c r="E439" s="6" t="inlineStr"/>
      <c r="F439" s="5" t="inlineStr"/>
    </row>
    <row r="440">
      <c r="A440" s="5" t="inlineStr">
        <is>
          <t>b8-bos-yuva</t>
        </is>
      </c>
      <c r="B440" s="5" t="inlineStr">
        <is>
          <t>Pişkinlik</t>
        </is>
      </c>
      <c r="C440" s="5" t="inlineStr">
        <is>
          <t>Kolay</t>
        </is>
      </c>
      <c r="D440" s="6" t="inlineStr">
        <is>
          <t>Bu oda artık bir çalışma odası, bir spor odası ya da bir ütü odası olabilir. Kararı hızlı ver, çocuk dönmeden.</t>
        </is>
      </c>
      <c r="E440" s="6" t="inlineStr"/>
      <c r="F440" s="5" t="inlineStr"/>
    </row>
    <row r="441">
      <c r="A441" s="5" t="inlineStr">
        <is>
          <t>b8-son-taksit</t>
        </is>
      </c>
      <c r="B441" s="5" t="inlineStr">
        <is>
          <t>Kurnazlık</t>
        </is>
      </c>
      <c r="C441" s="5" t="inlineStr">
        <is>
          <t>Orta</t>
        </is>
      </c>
      <c r="D441" s="6" t="inlineStr">
        <is>
          <t>Bankanın tebrik mesajı ile kredi teklifi arasında kırk saniye var. Duygusal bir kırk saniye.</t>
        </is>
      </c>
      <c r="E441" s="6" t="inlineStr"/>
      <c r="F441" s="5" t="inlineStr"/>
    </row>
    <row r="442">
      <c r="A442" s="5" t="inlineStr">
        <is>
          <t>b8-son-taksit</t>
        </is>
      </c>
      <c r="B442" s="5" t="inlineStr">
        <is>
          <t>İtibar</t>
        </is>
      </c>
      <c r="C442" s="5" t="inlineStr">
        <is>
          <t>Kolay</t>
        </is>
      </c>
      <c r="D442" s="6" t="inlineStr">
        <is>
          <t>Evin artık tamamen senin. Duvardaki çatlak da. Onu kimse ödemedi.</t>
        </is>
      </c>
      <c r="E442" s="6" t="inlineStr"/>
      <c r="F442" s="5" t="inlineStr"/>
    </row>
    <row r="443">
      <c r="A443" s="5" t="inlineStr">
        <is>
          <t>b9-yazi-boyutu</t>
        </is>
      </c>
      <c r="B443" s="5" t="inlineStr">
        <is>
          <t>Akıl</t>
        </is>
      </c>
      <c r="C443" s="5" t="inlineStr">
        <is>
          <t>Kolay</t>
        </is>
      </c>
      <c r="D443" s="6" t="inlineStr">
        <is>
          <t>Ayarlar menüsünde 'Erişilebilirlik' diye bir bölüm var. Adı seni kırmasın; herkes orada.</t>
        </is>
      </c>
      <c r="E443" s="6" t="inlineStr"/>
      <c r="F443" s="5" t="inlineStr"/>
    </row>
    <row r="444">
      <c r="A444" s="5" t="inlineStr">
        <is>
          <t>b9-yazi-boyutu</t>
        </is>
      </c>
      <c r="B444" s="5" t="inlineStr">
        <is>
          <t>Pişkinlik</t>
        </is>
      </c>
      <c r="C444" s="5" t="inlineStr">
        <is>
          <t>Orta</t>
        </is>
      </c>
      <c r="D444" s="6" t="inlineStr">
        <is>
          <t>Telefonu uzaktan tutmak bir karizma biçimidir. Kimse gözünün bozulduğunu anlamaz. Herkes anlar.</t>
        </is>
      </c>
      <c r="E444" s="6" t="inlineStr"/>
      <c r="F444" s="5" t="inlineStr"/>
    </row>
    <row r="445">
      <c r="A445" s="5" t="inlineStr">
        <is>
          <t>b9-gunaydin-gorselleri</t>
        </is>
      </c>
      <c r="B445" s="5" t="inlineStr">
        <is>
          <t>Sosyal Radar</t>
        </is>
      </c>
      <c r="C445" s="5" t="inlineStr">
        <is>
          <t>Orta</t>
        </is>
      </c>
      <c r="D445" s="6" t="inlineStr">
        <is>
          <t>Gençler grubu sessize almış. Ama ayrı bir grupta senin güllerini paylaşıp gülüyorlar. En çok beğenilen: geçen salı yanlışlıkla iki kez attığın.</t>
        </is>
      </c>
      <c r="E445" s="6" t="inlineStr"/>
      <c r="F445" s="5" t="inlineStr">
        <is>
          <t>E</t>
        </is>
      </c>
    </row>
    <row r="446">
      <c r="A446" s="5" t="inlineStr">
        <is>
          <t>b9-gunaydin-gorselleri</t>
        </is>
      </c>
      <c r="B446" s="5" t="inlineStr">
        <is>
          <t>İtibar</t>
        </is>
      </c>
      <c r="C446" s="5" t="inlineStr">
        <is>
          <t>Kolay</t>
        </is>
      </c>
      <c r="D446" s="6" t="inlineStr">
        <is>
          <t>Bir gül görseli, 'hâlâ buradayım, siz de orada mısınız' demenin en kısa yolu.</t>
        </is>
      </c>
      <c r="E446" s="6" t="inlineStr"/>
      <c r="F446" s="5" t="inlineStr"/>
    </row>
    <row r="447">
      <c r="A447" s="5" t="inlineStr">
        <is>
          <t>b9-sabah-yuruyusu</t>
        </is>
      </c>
      <c r="B447" s="5" t="inlineStr">
        <is>
          <t>Dayanıklılık</t>
        </is>
      </c>
      <c r="C447" s="5" t="inlineStr">
        <is>
          <t>Orta</t>
        </is>
      </c>
      <c r="D447" s="6" t="inlineStr">
        <is>
          <t>Tempo dakikada yüz yirmi adım. Kollar doksan derece. Konuşmak serbest ama nefesini sen öde.</t>
        </is>
      </c>
      <c r="E447" s="6" t="inlineStr"/>
      <c r="F447" s="5" t="inlineStr"/>
    </row>
    <row r="448">
      <c r="A448" s="5" t="inlineStr">
        <is>
          <t>b9-sabah-yuruyusu</t>
        </is>
      </c>
      <c r="B448" s="5" t="inlineStr">
        <is>
          <t>Sosyal Radar</t>
        </is>
      </c>
      <c r="C448" s="5" t="inlineStr">
        <is>
          <t>Kolay</t>
        </is>
      </c>
      <c r="D448" s="6" t="inlineStr">
        <is>
          <t>Grup aslında yürümüyor. Kimin oğlu boşanıyor, kimin gelini hamile, hepsi bu turda konuşuluyor. Geç katılırsan konu sen olursun.</t>
        </is>
      </c>
      <c r="E448" s="6" t="inlineStr"/>
      <c r="F448" s="5" t="inlineStr"/>
    </row>
    <row r="449">
      <c r="A449" s="5" t="inlineStr">
        <is>
          <t>mb-emeklilik-hesabi</t>
        </is>
      </c>
      <c r="B449" s="5" t="inlineStr">
        <is>
          <t>Akıl</t>
        </is>
      </c>
      <c r="C449" s="5" t="inlineStr">
        <is>
          <t>Orta</t>
        </is>
      </c>
      <c r="D449" s="6" t="inlineStr">
        <is>
          <t>Prim gün sayın doğru ama işe giriş tarihin bir yıl kaymış. Staj yılı yok.</t>
        </is>
      </c>
      <c r="E449" s="6" t="inlineStr"/>
      <c r="F449" s="5" t="inlineStr">
        <is>
          <t>E</t>
        </is>
      </c>
    </row>
    <row r="450">
      <c r="A450" s="5" t="inlineStr">
        <is>
          <t>mm-gun-sayaci</t>
        </is>
      </c>
      <c r="B450" s="5" t="inlineStr">
        <is>
          <t>Dayanıklılık</t>
        </is>
      </c>
      <c r="C450" s="5" t="inlineStr">
        <is>
          <t>Orta</t>
        </is>
      </c>
      <c r="D450" s="6" t="inlineStr">
        <is>
          <t>Maratonun son dört kilometresi. Burada hızlanan da kaybeder, yavaşlayan da.</t>
        </is>
      </c>
      <c r="E450" s="6" t="inlineStr"/>
      <c r="F450" s="5" t="inlineStr"/>
    </row>
    <row r="451">
      <c r="A451" s="5" t="inlineStr">
        <is>
          <t>mm-gun-sayaci</t>
        </is>
      </c>
      <c r="B451" s="5" t="inlineStr">
        <is>
          <t>Sosyal Radar</t>
        </is>
      </c>
      <c r="C451" s="5" t="inlineStr">
        <is>
          <t>Kolay</t>
        </is>
      </c>
      <c r="D451" s="6" t="inlineStr">
        <is>
          <t>Yan masa da sayaç tutuyor. Seninkinden üç yüz gün az. Her sabah seninkine bakıp gülümsüyor.</t>
        </is>
      </c>
      <c r="E451" s="6" t="inlineStr"/>
      <c r="F451" s="5" t="inlineStr">
        <is>
          <t>E</t>
        </is>
      </c>
    </row>
    <row r="452">
      <c r="A452" s="5" t="inlineStr">
        <is>
          <t>b9-doktor-randevusu</t>
        </is>
      </c>
      <c r="B452" s="5" t="inlineStr">
        <is>
          <t>Akıl</t>
        </is>
      </c>
      <c r="C452" s="5" t="inlineStr">
        <is>
          <t>Orta</t>
        </is>
      </c>
      <c r="D452" s="6" t="inlineStr">
        <is>
          <t>Birileri randevusunu iptal ediyor. İptaller genelde gece yarısından sonra düşüyor. Uyanık kalmak bir stratejidir.</t>
        </is>
      </c>
      <c r="E452" s="6" t="inlineStr"/>
      <c r="F452" s="5" t="inlineStr"/>
    </row>
    <row r="453">
      <c r="A453" s="5" t="inlineStr">
        <is>
          <t>b9-doktor-randevusu</t>
        </is>
      </c>
      <c r="B453" s="5" t="inlineStr">
        <is>
          <t>Dayanıklılık</t>
        </is>
      </c>
      <c r="C453" s="5" t="inlineStr">
        <is>
          <t>Kolay</t>
        </is>
      </c>
      <c r="D453" s="6" t="inlineStr">
        <is>
          <t>Sırada beklemek bir spor. Madalyası yok ama katılımcısı çok.</t>
        </is>
      </c>
      <c r="E453" s="6" t="inlineStr"/>
      <c r="F453" s="5" t="inlineStr"/>
    </row>
    <row r="454">
      <c r="A454" s="5" t="inlineStr">
        <is>
          <t>b9-ilk-torun</t>
        </is>
      </c>
      <c r="B454" s="5" t="inlineStr">
        <is>
          <t>Gönül</t>
        </is>
      </c>
      <c r="C454" s="5" t="inlineStr">
        <is>
          <t>Kolay</t>
        </is>
      </c>
      <c r="D454" s="6" t="inlineStr">
        <is>
          <t>Bu bebek senin çocuğunun çocuğu. Çocuğun seni hiç böyle bakarken görmedi. Belki şimdi anlar.</t>
        </is>
      </c>
      <c r="E454" s="6" t="inlineStr"/>
      <c r="F454" s="5" t="inlineStr"/>
    </row>
    <row r="455">
      <c r="A455" s="5" t="inlineStr">
        <is>
          <t>b9-ilk-torun</t>
        </is>
      </c>
      <c r="B455" s="5" t="inlineStr">
        <is>
          <t>Çene</t>
        </is>
      </c>
      <c r="C455" s="5" t="inlineStr">
        <is>
          <t>Orta</t>
        </is>
      </c>
      <c r="D455" s="6" t="inlineStr">
        <is>
          <t>İsim konusunda bir önerin var. Kimse sormadı. Sormayacaklar.</t>
        </is>
      </c>
      <c r="E455" s="6" t="inlineStr"/>
      <c r="F455" s="5" t="inlineStr"/>
    </row>
    <row r="456">
      <c r="A456" s="5" t="inlineStr">
        <is>
          <t>ms-emeklilik-yok</t>
        </is>
      </c>
      <c r="B456" s="5" t="inlineStr">
        <is>
          <t>Akıl</t>
        </is>
      </c>
      <c r="C456" s="5" t="inlineStr">
        <is>
          <t>Orta</t>
        </is>
      </c>
      <c r="D456" s="6" t="inlineStr">
        <is>
          <t>Yaşıtların 'emeklilik ikramiyesi' diyor. Senin sözlüğünde bu kelime yok.</t>
        </is>
      </c>
      <c r="E456" s="6" t="inlineStr"/>
      <c r="F456" s="5" t="inlineStr"/>
    </row>
    <row r="457">
      <c r="A457" s="5" t="inlineStr">
        <is>
          <t>ms-emeklilik-yok</t>
        </is>
      </c>
      <c r="B457" s="5" t="inlineStr">
        <is>
          <t>Dayanıklılık</t>
        </is>
      </c>
      <c r="C457" s="5" t="inlineStr">
        <is>
          <t>Kolay</t>
        </is>
      </c>
      <c r="D457" s="6" t="inlineStr">
        <is>
          <t>Maratonun bitiş çizgisi yok. Kimse söylemedi ama yok.</t>
        </is>
      </c>
      <c r="E457" s="6" t="inlineStr"/>
      <c r="F457" s="5" t="inlineStr"/>
    </row>
    <row r="458">
      <c r="A458" s="5" t="inlineStr">
        <is>
          <t>me-defterin-son-sayfasi</t>
        </is>
      </c>
      <c r="B458" s="5" t="inlineStr">
        <is>
          <t>İtibar</t>
        </is>
      </c>
      <c r="C458" s="5" t="inlineStr">
        <is>
          <t>Kolay</t>
        </is>
      </c>
      <c r="D458" s="6" t="inlineStr">
        <is>
          <t>Bu defterde paradan çok hayat yazılı. Sil ama unutma.</t>
        </is>
      </c>
      <c r="E458" s="6" t="inlineStr"/>
      <c r="F458" s="5" t="inlineStr"/>
    </row>
    <row r="459">
      <c r="A459" s="5" t="inlineStr">
        <is>
          <t>me-defterin-son-sayfasi</t>
        </is>
      </c>
      <c r="B459" s="5" t="inlineStr">
        <is>
          <t>Kurnazlık</t>
        </is>
      </c>
      <c r="C459" s="5" t="inlineStr">
        <is>
          <t>Orta</t>
        </is>
      </c>
      <c r="D459" s="6" t="inlineStr">
        <is>
          <t>Yedinci sayfadaki isim geçen hafta sıfır araba aldı. Park ettiği yer de senin dükkânın önü.</t>
        </is>
      </c>
      <c r="E459" s="6" t="inlineStr"/>
      <c r="F459" s="5" t="inlineStr">
        <is>
          <t>E</t>
        </is>
      </c>
    </row>
    <row r="460">
      <c r="A460" s="5" t="inlineStr">
        <is>
          <t>b9-genclere-tavsiye</t>
        </is>
      </c>
      <c r="B460" s="5" t="inlineStr">
        <is>
          <t>Çene</t>
        </is>
      </c>
      <c r="C460" s="5" t="inlineStr">
        <is>
          <t>Orta</t>
        </is>
      </c>
      <c r="D460" s="6" t="inlineStr">
        <is>
          <t>Tavsiye verme, soru sor. 'Sence ne yapmalısın?' Genç ne yapacağını söyler, sen de 'Aynen öyle' dersin.</t>
        </is>
      </c>
      <c r="E460" s="6" t="inlineStr"/>
      <c r="F460" s="5" t="inlineStr">
        <is>
          <t>E</t>
        </is>
      </c>
    </row>
    <row r="461">
      <c r="A461" s="5" t="inlineStr">
        <is>
          <t>b9-genclere-tavsiye</t>
        </is>
      </c>
      <c r="B461" s="5" t="inlineStr">
        <is>
          <t>Akıl</t>
        </is>
      </c>
      <c r="C461" s="5" t="inlineStr">
        <is>
          <t>Kolay</t>
        </is>
      </c>
      <c r="D461" s="6" t="inlineStr">
        <is>
          <t>Senin gençliğinde 'fenomen' yeni bir meslekti. Onun gençliğinde 'emeklilik' eski bir kelime olabilir. Beraberesiniz.</t>
        </is>
      </c>
      <c r="E461" s="6" t="inlineStr"/>
      <c r="F461" s="5" t="inlineStr"/>
    </row>
    <row r="462">
      <c r="A462" s="5" t="inlineStr">
        <is>
          <t>b9-lise-bulusmasi</t>
        </is>
      </c>
      <c r="B462" s="5" t="inlineStr">
        <is>
          <t>Sosyal Radar</t>
        </is>
      </c>
      <c r="C462" s="5" t="inlineStr">
        <is>
          <t>Orta</t>
        </is>
      </c>
      <c r="D462" s="6" t="inlineStr">
        <is>
          <t>Sınıfın en popüleri bu akşam kimseyle konuşmadı. En sessizi üç şirket kurmuş; hesabı da o ödedi.</t>
        </is>
      </c>
      <c r="E462" s="6" t="inlineStr"/>
      <c r="F462" s="5" t="inlineStr"/>
    </row>
    <row r="463">
      <c r="A463" s="5" t="inlineStr">
        <is>
          <t>b9-eski-ask</t>
        </is>
      </c>
      <c r="B463" s="5" t="inlineStr">
        <is>
          <t>Gönül</t>
        </is>
      </c>
      <c r="C463" s="5" t="inlineStr">
        <is>
          <t>Orta</t>
        </is>
      </c>
      <c r="D463" s="6" t="inlineStr">
        <is>
          <t>Kırk yıl önce bir mektubu yarıda bıraktın. Son cümlesini hâlâ ezbere biliyorsun.</t>
        </is>
      </c>
      <c r="E463" s="6" t="inlineStr"/>
      <c r="F463" s="5" t="inlineStr">
        <is>
          <t>E</t>
        </is>
      </c>
    </row>
    <row r="464">
      <c r="A464" s="5" t="inlineStr">
        <is>
          <t>b9-eski-ask</t>
        </is>
      </c>
      <c r="B464" s="5" t="inlineStr">
        <is>
          <t>Pişkinlik</t>
        </is>
      </c>
      <c r="C464" s="5" t="inlineStr">
        <is>
          <t>Kolay</t>
        </is>
      </c>
      <c r="D464" s="6" t="inlineStr">
        <is>
          <t>Saçlarına bak. O da sana bakıyor. İkinizin de saçı ağarmış; birazdan ikiniz de 'Hiç değişmemişsin' diyeceksiniz.</t>
        </is>
      </c>
      <c r="E464" s="6" t="inlineStr"/>
      <c r="F464" s="5" t="inlineStr"/>
    </row>
    <row r="465">
      <c r="A465" s="5" t="inlineStr">
        <is>
          <t>b9-balkon-tarimi</t>
        </is>
      </c>
      <c r="B465" s="5" t="inlineStr">
        <is>
          <t>Dayanıklılık</t>
        </is>
      </c>
      <c r="C465" s="5" t="inlineStr">
        <is>
          <t>Kolay</t>
        </is>
      </c>
      <c r="D465" s="6" t="inlineStr">
        <is>
          <t>Domates yirmi günde kızarır. Sen yirmi gün boyunca her sabah ona bakarsın. Kim kimi yetiştiriyor, belli değil.</t>
        </is>
      </c>
      <c r="E465" s="6" t="inlineStr"/>
      <c r="F465" s="5" t="inlineStr"/>
    </row>
    <row r="466">
      <c r="A466" s="5" t="inlineStr">
        <is>
          <t>b9-balkon-tarimi</t>
        </is>
      </c>
      <c r="B466" s="5" t="inlineStr">
        <is>
          <t>Kurnazlık</t>
        </is>
      </c>
      <c r="C466" s="5" t="inlineStr">
        <is>
          <t>Orta</t>
        </is>
      </c>
      <c r="D466" s="6" t="inlineStr">
        <is>
          <t>Alt kattakinin balkonu daha çok güneş alıyor. Saksıyı biraz sarkıtsan güneş de senin olur. Alt kat öğlene kadar uyuyor.</t>
        </is>
      </c>
      <c r="E466" s="6" t="inlineStr"/>
      <c r="F466" s="5" t="inlineStr"/>
    </row>
    <row r="467">
      <c r="A467" s="5" t="inlineStr">
        <is>
          <t>mm-devir-teslim</t>
        </is>
      </c>
      <c r="B467" s="5" t="inlineStr">
        <is>
          <t>İtibar</t>
        </is>
      </c>
      <c r="C467" s="5" t="inlineStr">
        <is>
          <t>Orta</t>
        </is>
      </c>
      <c r="D467" s="6" t="inlineStr">
        <is>
          <t>Ona her şeyi öğret. Ama 'Yarın gelin' cümlesini sen öğretme; kendi bulsun.</t>
        </is>
      </c>
      <c r="E467" s="6" t="inlineStr"/>
      <c r="F467" s="5" t="inlineStr"/>
    </row>
    <row r="468">
      <c r="A468" s="5" t="inlineStr">
        <is>
          <t>mm-devir-teslim</t>
        </is>
      </c>
      <c r="B468" s="5" t="inlineStr">
        <is>
          <t>Kurnazlık</t>
        </is>
      </c>
      <c r="C468" s="5" t="inlineStr">
        <is>
          <t>Zor</t>
        </is>
      </c>
      <c r="D468" s="6" t="inlineStr">
        <is>
          <t>Hangi dolabın anahtarı nerede, onu yazma. Bilgi güçtür; emeklilikte bile.</t>
        </is>
      </c>
      <c r="E468" s="6" t="inlineStr"/>
      <c r="F468" s="5" t="inlineStr"/>
    </row>
    <row r="469">
      <c r="A469" s="5" t="inlineStr">
        <is>
          <t>b9-yapay-zeka-asistani</t>
        </is>
      </c>
      <c r="B469" s="5" t="inlineStr">
        <is>
          <t>Akıl</t>
        </is>
      </c>
      <c r="C469" s="5" t="inlineStr">
        <is>
          <t>Orta</t>
        </is>
      </c>
      <c r="D469" s="6" t="inlineStr">
        <is>
          <t>Yüksek ses anlamayı artırmaz. Bu kural insanlarda da geçerli, ama kimse denemekten vazgeçmiyor.</t>
        </is>
      </c>
      <c r="E469" s="6" t="inlineStr"/>
      <c r="F469" s="5" t="inlineStr"/>
    </row>
    <row r="470">
      <c r="A470" s="5" t="inlineStr">
        <is>
          <t>b9-yapay-zeka-asistani</t>
        </is>
      </c>
      <c r="B470" s="5" t="inlineStr">
        <is>
          <t>Çene</t>
        </is>
      </c>
      <c r="C470" s="5" t="inlineStr">
        <is>
          <t>Kolay</t>
        </is>
      </c>
      <c r="D470" s="6" t="inlineStr">
        <is>
          <t>Makine de olsa kibarlığa cevap verir. 'Rica etsem' diye başla.</t>
        </is>
      </c>
      <c r="E470" s="6" t="inlineStr"/>
      <c r="F470" s="5" t="inlineStr"/>
    </row>
    <row r="471">
      <c r="A471" s="5" t="inlineStr">
        <is>
          <t>b9-torun-nobeti</t>
        </is>
      </c>
      <c r="B471" s="5" t="inlineStr">
        <is>
          <t>Dayanıklılık</t>
        </is>
      </c>
      <c r="C471" s="5" t="inlineStr">
        <is>
          <t>Zor</t>
        </is>
      </c>
      <c r="D471" s="6" t="inlineStr">
        <is>
          <t>Kendi çocuğunu büyüttün. Ama o zamanlar otuz yaşındaydın ve dizlerin henüz fikir beyan etmiyordu.</t>
        </is>
      </c>
      <c r="E471" s="6" t="inlineStr"/>
      <c r="F471" s="5" t="inlineStr"/>
    </row>
    <row r="472">
      <c r="A472" s="5" t="inlineStr">
        <is>
          <t>b9-torun-nobeti</t>
        </is>
      </c>
      <c r="B472" s="5" t="inlineStr">
        <is>
          <t>Kurnazlık</t>
        </is>
      </c>
      <c r="C472" s="5" t="inlineStr">
        <is>
          <t>Orta</t>
        </is>
      </c>
      <c r="D472" s="6" t="inlineStr">
        <is>
          <t>Talimatlar yazılı. Yazılı olan her şeyin bir boşluğu vardır. 'Dondurma yok' demiyor, 'şeker yok' diyor.</t>
        </is>
      </c>
      <c r="E472" s="6" t="inlineStr"/>
      <c r="F472" s="5" t="inlineStr"/>
    </row>
    <row r="473">
      <c r="A473" s="5" t="inlineStr">
        <is>
          <t>mb-devir-teslim</t>
        </is>
      </c>
      <c r="B473" s="5" t="inlineStr">
        <is>
          <t>Kurnazlık</t>
        </is>
      </c>
      <c r="C473" s="5" t="inlineStr">
        <is>
          <t>Orta</t>
        </is>
      </c>
      <c r="D473" s="6" t="inlineStr">
        <is>
          <t>Arşiv şifresini bir tek sen biliyorsun. Bu bir güç. Kısa süreli bir güç.</t>
        </is>
      </c>
      <c r="E473" s="6" t="inlineStr"/>
      <c r="F473" s="5" t="inlineStr"/>
    </row>
    <row r="474">
      <c r="A474" s="5" t="inlineStr">
        <is>
          <t>mb-devir-teslim</t>
        </is>
      </c>
      <c r="B474" s="5" t="inlineStr">
        <is>
          <t>İtibar</t>
        </is>
      </c>
      <c r="C474" s="5" t="inlineStr">
        <is>
          <t>Kolay</t>
        </is>
      </c>
      <c r="D474" s="6" t="inlineStr">
        <is>
          <t>Yerine gelen çocuk ilk gün çok kibar. Senin ilk günün gibi. Kartı da çalışmıyor.</t>
        </is>
      </c>
      <c r="E474" s="6" t="inlineStr"/>
      <c r="F474" s="5" t="inlineStr"/>
    </row>
    <row r="475">
      <c r="A475" s="5" t="inlineStr">
        <is>
          <t>me-mudavim</t>
        </is>
      </c>
      <c r="B475" s="5" t="inlineStr">
        <is>
          <t>Sosyal Radar</t>
        </is>
      </c>
      <c r="C475" s="5" t="inlineStr">
        <is>
          <t>Orta</t>
        </is>
      </c>
      <c r="D475" s="6" t="inlineStr">
        <is>
          <t>Torununu okula bırakmaya başlamış. Yeni bir rutin doğuyor; sen de içindesin.</t>
        </is>
      </c>
      <c r="E475" s="6" t="inlineStr"/>
      <c r="F475" s="5" t="inlineStr"/>
    </row>
    <row r="476">
      <c r="A476" s="5" t="inlineStr">
        <is>
          <t>me-mudavim</t>
        </is>
      </c>
      <c r="B476" s="5" t="inlineStr">
        <is>
          <t>İtibar</t>
        </is>
      </c>
      <c r="C476" s="5" t="inlineStr">
        <is>
          <t>Kolay</t>
        </is>
      </c>
      <c r="D476" s="6" t="inlineStr">
        <is>
          <t>Onun ekmeğini her sabah ayırırdın. Bugün unuttun. Kimseye söyleme.</t>
        </is>
      </c>
      <c r="E476" s="6" t="inlineStr"/>
      <c r="F476" s="5" t="inlineStr"/>
    </row>
    <row r="477">
      <c r="A477" s="5" t="inlineStr">
        <is>
          <t>b9-kahvehane-tavla</t>
        </is>
      </c>
      <c r="B477" s="5" t="inlineStr">
        <is>
          <t>Kurnazlık</t>
        </is>
      </c>
      <c r="C477" s="5" t="inlineStr">
        <is>
          <t>Orta</t>
        </is>
      </c>
      <c r="D477" s="6" t="inlineStr">
        <is>
          <t>Masadaki en yaşlı oyuncu zarları hep aynı köşeye atıyor. Köşedeki kumaş biraz eğik. Dikkat.</t>
        </is>
      </c>
      <c r="E477" s="6" t="inlineStr"/>
      <c r="F477" s="5" t="inlineStr"/>
    </row>
    <row r="478">
      <c r="A478" s="5" t="inlineStr">
        <is>
          <t>b9-kahvehane-tavla</t>
        </is>
      </c>
      <c r="B478" s="5" t="inlineStr">
        <is>
          <t>Pişkinlik</t>
        </is>
      </c>
      <c r="C478" s="5" t="inlineStr">
        <is>
          <t>Kolay</t>
        </is>
      </c>
      <c r="D478" s="6" t="inlineStr">
        <is>
          <t>Tavlada kazanmak yetmez. Kazandıktan sonra ne söylediğin, bir sonraki maçı kazanır.</t>
        </is>
      </c>
      <c r="E478" s="6" t="inlineStr"/>
      <c r="F478" s="5" t="inlineStr"/>
    </row>
    <row r="479">
      <c r="A479" s="5" t="inlineStr">
        <is>
          <t>b9-emeklilik</t>
        </is>
      </c>
      <c r="B479" s="5" t="inlineStr">
        <is>
          <t>Sosyal Radar</t>
        </is>
      </c>
      <c r="C479" s="5" t="inlineStr">
        <is>
          <t>Orta</t>
        </is>
      </c>
      <c r="D479" s="6" t="inlineStr">
        <is>
          <t>Aile grubunda üç kişi aynı anda 'yazıyor…' Konu ikramiye. Kimse 'Güle güle harca' demedi; herkesin bir taksiti var.</t>
        </is>
      </c>
      <c r="E479" s="6" t="inlineStr"/>
      <c r="F479" s="5" t="inlineStr">
        <is>
          <t>E</t>
        </is>
      </c>
    </row>
    <row r="480">
      <c r="A480" s="5" t="inlineStr">
        <is>
          <t>b9-emeklilik</t>
        </is>
      </c>
      <c r="B480" s="5" t="inlineStr">
        <is>
          <t>İtibar</t>
        </is>
      </c>
      <c r="C480" s="5" t="inlineStr">
        <is>
          <t>Kolay</t>
        </is>
      </c>
      <c r="D480" s="6" t="inlineStr">
        <is>
          <t>Otuz beş yıl her sabah aynı saatte kalktın. Yarın uyanacaksın ve kimse seni beklemeyecek. Çalar saati yine de kurdun.</t>
        </is>
      </c>
      <c r="E480" s="6" t="inlineStr"/>
      <c r="F480" s="5" t="inlineStr"/>
    </row>
    <row r="481">
      <c r="A481" s="5" t="inlineStr">
        <is>
          <t>ms-retrospektif</t>
        </is>
      </c>
      <c r="B481" s="5" t="inlineStr">
        <is>
          <t>Cesaret</t>
        </is>
      </c>
      <c r="C481" s="5" t="inlineStr">
        <is>
          <t>Orta</t>
        </is>
      </c>
      <c r="D481" s="6" t="inlineStr">
        <is>
          <t>Merdiven sallanıyor. Sanat da hep biraz sallanır.</t>
        </is>
      </c>
      <c r="E481" s="6" t="inlineStr"/>
      <c r="F481" s="5" t="inlineStr"/>
    </row>
    <row r="482">
      <c r="A482" s="5" t="inlineStr">
        <is>
          <t>ms-retrospektif</t>
        </is>
      </c>
      <c r="B482" s="5" t="inlineStr">
        <is>
          <t>Sosyal Radar</t>
        </is>
      </c>
      <c r="C482" s="5" t="inlineStr">
        <is>
          <t>Kolay</t>
        </is>
      </c>
      <c r="D482" s="6" t="inlineStr">
        <is>
          <t>Açılışta bu kez üç kişi yok. Yüz kişi var. Kurye de burada, bilet almış.</t>
        </is>
      </c>
      <c r="E482" s="6" t="inlineStr"/>
      <c r="F482" s="5" t="inlineStr"/>
    </row>
    <row r="483">
      <c r="A483" s="5" t="inlineStr">
        <is>
          <t>b9-pazar-arabasi</t>
        </is>
      </c>
      <c r="B483" s="5" t="inlineStr">
        <is>
          <t>Çene</t>
        </is>
      </c>
      <c r="C483" s="5" t="inlineStr">
        <is>
          <t>Kolay</t>
        </is>
      </c>
      <c r="D483" s="6" t="inlineStr">
        <is>
          <t>Pazarcı 'Abla', 'Abi', 'Hocam' ve 'Patron' arasında seçim yapacak. Hangisini seçerse fiyat ona göre belirlenir.</t>
        </is>
      </c>
      <c r="E483" s="6" t="inlineStr"/>
      <c r="F483" s="5" t="inlineStr"/>
    </row>
    <row r="484">
      <c r="A484" s="5" t="inlineStr">
        <is>
          <t>b9-pazar-arabasi</t>
        </is>
      </c>
      <c r="B484" s="5" t="inlineStr">
        <is>
          <t>Kurnazlık</t>
        </is>
      </c>
      <c r="C484" s="5" t="inlineStr">
        <is>
          <t>Orta</t>
        </is>
      </c>
      <c r="D484" s="6" t="inlineStr">
        <is>
          <t>Kapanışa yarım saat var. Kapanıştaki pazarcı, sabahki pazarcının kardeşi değildir. Daha cömerttir.</t>
        </is>
      </c>
      <c r="E484" s="6" t="inlineStr"/>
      <c r="F484" s="5" t="inlineStr"/>
    </row>
    <row r="485">
      <c r="A485" s="5" t="inlineStr">
        <is>
          <t>b9-ikramiye</t>
        </is>
      </c>
      <c r="B485" s="5" t="inlineStr">
        <is>
          <t>Cesaret</t>
        </is>
      </c>
      <c r="C485" s="5" t="inlineStr">
        <is>
          <t>Orta</t>
        </is>
      </c>
      <c r="D485" s="6" t="inlineStr">
        <is>
          <t>Gençken bir motosiklet istemiştin. Şimdi paran var. Dizlerin başka bir konu.</t>
        </is>
      </c>
      <c r="E485" s="6" t="inlineStr"/>
      <c r="F485" s="5" t="inlineStr"/>
    </row>
    <row r="486">
      <c r="A486" s="5" t="inlineStr">
        <is>
          <t>b9-ikramiye</t>
        </is>
      </c>
      <c r="B486" s="5" t="inlineStr">
        <is>
          <t>Akıl</t>
        </is>
      </c>
      <c r="C486" s="5" t="inlineStr">
        <is>
          <t>Zor</t>
        </is>
      </c>
      <c r="D486" s="6" t="inlineStr">
        <is>
          <t>Bu para bir kez gelir. Bir kez harcanır. Aradaki süreyi uzatmak senin elinde.</t>
        </is>
      </c>
      <c r="E486" s="6" t="inlineStr"/>
      <c r="F486" s="5" t="inlineStr"/>
    </row>
    <row r="487">
      <c r="A487" s="5" t="inlineStr">
        <is>
          <t>mm-son-is-gunu</t>
        </is>
      </c>
      <c r="B487" s="5" t="inlineStr">
        <is>
          <t>Çene</t>
        </is>
      </c>
      <c r="C487" s="5" t="inlineStr">
        <is>
          <t>Orta</t>
        </is>
      </c>
      <c r="D487" s="6" t="inlineStr">
        <is>
          <t>Kısa tut. Herkes kısa tutacağını söyler; kimse tutmaz. Sen tut.</t>
        </is>
      </c>
      <c r="E487" s="6" t="inlineStr"/>
      <c r="F487" s="5" t="inlineStr"/>
    </row>
    <row r="488">
      <c r="A488" s="5" t="inlineStr">
        <is>
          <t>mm-son-is-gunu</t>
        </is>
      </c>
      <c r="B488" s="5" t="inlineStr">
        <is>
          <t>İtibar</t>
        </is>
      </c>
      <c r="C488" s="5" t="inlineStr">
        <is>
          <t>Kolay</t>
        </is>
      </c>
      <c r="D488" s="6" t="inlineStr">
        <is>
          <t>İlk imzanı attığın kalem hâlâ çekmecende. Onu yanına al.</t>
        </is>
      </c>
      <c r="E488" s="6" t="inlineStr"/>
      <c r="F488" s="5" t="inlineStr"/>
    </row>
    <row r="489">
      <c r="A489" s="5" t="inlineStr">
        <is>
          <t>b9-es-7-24</t>
        </is>
      </c>
      <c r="B489" s="5" t="inlineStr">
        <is>
          <t>Sosyal Radar</t>
        </is>
      </c>
      <c r="C489" s="5" t="inlineStr">
        <is>
          <t>Orta</t>
        </is>
      </c>
      <c r="D489" s="6" t="inlineStr">
        <is>
          <t>Eşin sabah aynı soruyu üç kez sordu: 'Bugün ne yapıyorsun?' Anlamı: 'Bugün ne zaman dışarı çıkıyorsun?'</t>
        </is>
      </c>
      <c r="E489" s="6" t="inlineStr"/>
      <c r="F489" s="5" t="inlineStr">
        <is>
          <t>E</t>
        </is>
      </c>
    </row>
    <row r="490">
      <c r="A490" s="5" t="inlineStr">
        <is>
          <t>b9-es-7-24</t>
        </is>
      </c>
      <c r="B490" s="5" t="inlineStr">
        <is>
          <t>İtibar</t>
        </is>
      </c>
      <c r="C490" s="5" t="inlineStr">
        <is>
          <t>Kolay</t>
        </is>
      </c>
      <c r="D490" s="6" t="inlineStr">
        <is>
          <t>Otuz yıl boyunca 'Keşke daha çok vaktimiz olsa' dediniz. Vakit geldi. Yanında kumanda kavgası da geldi.</t>
        </is>
      </c>
      <c r="E490" s="6" t="inlineStr"/>
      <c r="F490" s="5" t="inlineStr"/>
    </row>
    <row r="491">
      <c r="A491" s="5" t="inlineStr">
        <is>
          <t>b9-yalniz-emeklilik</t>
        </is>
      </c>
      <c r="B491" s="5" t="inlineStr">
        <is>
          <t>Dayanıklılık</t>
        </is>
      </c>
      <c r="C491" s="5" t="inlineStr">
        <is>
          <t>Kolay</t>
        </is>
      </c>
      <c r="D491" s="6" t="inlineStr">
        <is>
          <t>Kimseye hesap vermiyorsun. Saat üçte öğle yemeği yiyebilirsin. Yiyeceksin de.</t>
        </is>
      </c>
      <c r="E491" s="6" t="inlineStr"/>
      <c r="F491" s="5" t="inlineStr"/>
    </row>
    <row r="492">
      <c r="A492" s="5" t="inlineStr">
        <is>
          <t>b9-yalniz-emeklilik</t>
        </is>
      </c>
      <c r="B492" s="5" t="inlineStr">
        <is>
          <t>Sosyal Radar</t>
        </is>
      </c>
      <c r="C492" s="5" t="inlineStr">
        <is>
          <t>Orta</t>
        </is>
      </c>
      <c r="D492" s="6" t="inlineStr">
        <is>
          <t>Karşı apartmandaki komşu da yalnız. O da seni pencereden görüyor. İkiniz de bunu bilmiyormuş gibi yapıyorsunuz.</t>
        </is>
      </c>
      <c r="E492" s="6" t="inlineStr"/>
      <c r="F492" s="5" t="inlineStr"/>
    </row>
    <row r="493">
      <c r="A493" s="5" t="inlineStr">
        <is>
          <t>mb-veda-plaketi</t>
        </is>
      </c>
      <c r="B493" s="5" t="inlineStr">
        <is>
          <t>İtibar</t>
        </is>
      </c>
      <c r="C493" s="5" t="inlineStr">
        <is>
          <t>Kolay</t>
        </is>
      </c>
      <c r="D493" s="6" t="inlineStr">
        <is>
          <t>Otuz yılı bir tahtaya sığdırdılar. Tahta, pastadan uzun yaşayacak.</t>
        </is>
      </c>
      <c r="E493" s="6" t="inlineStr"/>
      <c r="F493" s="5" t="inlineStr"/>
    </row>
    <row r="494">
      <c r="A494" s="5" t="inlineStr">
        <is>
          <t>me-dukkani-devret</t>
        </is>
      </c>
      <c r="B494" s="5" t="inlineStr">
        <is>
          <t>Kurnazlık</t>
        </is>
      </c>
      <c r="C494" s="5" t="inlineStr">
        <is>
          <t>Orta</t>
        </is>
      </c>
      <c r="D494" s="6" t="inlineStr">
        <is>
          <t>Hava parası ayrı, raflar ayrı, müşteri ayrı. Müdavimi de listeye yaz; her sabah 08.10'da kapıda olan biri bu dükkânın en kıymetli demirbaşı.</t>
        </is>
      </c>
      <c r="E494" s="6" t="inlineStr"/>
      <c r="F494" s="5" t="inlineStr"/>
    </row>
    <row r="495">
      <c r="A495" s="5" t="inlineStr">
        <is>
          <t>me-dukkani-devret</t>
        </is>
      </c>
      <c r="B495" s="5" t="inlineStr">
        <is>
          <t>İtibar</t>
        </is>
      </c>
      <c r="C495" s="5" t="inlineStr">
        <is>
          <t>Zor</t>
        </is>
      </c>
      <c r="D495" s="6" t="inlineStr">
        <is>
          <t>Dükkânı satmıyorsun. Otuz yılı bir anahtar halkasına sığdırıyorsun.</t>
        </is>
      </c>
      <c r="E495" s="6" t="inlineStr"/>
      <c r="F495" s="5" t="inlineStr"/>
    </row>
    <row r="496">
      <c r="A496" s="5" t="inlineStr">
        <is>
          <t>b9-tavla-finali</t>
        </is>
      </c>
      <c r="B496" s="5" t="inlineStr">
        <is>
          <t>Cesaret</t>
        </is>
      </c>
      <c r="C496" s="5" t="inlineStr">
        <is>
          <t>Orta</t>
        </is>
      </c>
      <c r="D496" s="6" t="inlineStr">
        <is>
          <t>Kırk kişi sana bakıyor. Kırk kişi daha önce hiç bir şey için sana bakmadı. Keyfini çıkar.</t>
        </is>
      </c>
      <c r="E496" s="6" t="inlineStr"/>
      <c r="F496" s="5" t="inlineStr"/>
    </row>
    <row r="497">
      <c r="A497" s="5" t="inlineStr">
        <is>
          <t>b9-tavla-finali</t>
        </is>
      </c>
      <c r="B497" s="5" t="inlineStr">
        <is>
          <t>Kurnazlık</t>
        </is>
      </c>
      <c r="C497" s="5" t="inlineStr">
        <is>
          <t>Zor</t>
        </is>
      </c>
      <c r="D497" s="6" t="inlineStr">
        <is>
          <t>Rakibin zar atmadan önce iki kez burnunu kaşıyor. Üçüncü kaşıyışta kaybediyor.</t>
        </is>
      </c>
      <c r="E497" s="6" t="inlineStr"/>
      <c r="F497" s="5" t="inlineStr"/>
    </row>
    <row r="498">
      <c r="A498" s="5" t="inlineStr">
        <is>
          <t>b9-torunun-tableti</t>
        </is>
      </c>
      <c r="B498" s="5" t="inlineStr">
        <is>
          <t>Akıl</t>
        </is>
      </c>
      <c r="C498" s="5" t="inlineStr">
        <is>
          <t>Orta</t>
        </is>
      </c>
      <c r="D498" s="6" t="inlineStr">
        <is>
          <t>Kapat, aç. Dünyanın bütün teknik destek hattı bu iki kelimeden ibaret.</t>
        </is>
      </c>
      <c r="E498" s="6" t="inlineStr"/>
      <c r="F498" s="5" t="inlineStr"/>
    </row>
    <row r="499">
      <c r="A499" s="5" t="inlineStr">
        <is>
          <t>b9-torunun-tableti</t>
        </is>
      </c>
      <c r="B499" s="5" t="inlineStr">
        <is>
          <t>Pişkinlik</t>
        </is>
      </c>
      <c r="C499" s="5" t="inlineStr">
        <is>
          <t>Kolay</t>
        </is>
      </c>
      <c r="D499" s="6" t="inlineStr">
        <is>
          <t>Tabletin nasıl çalıştığını bilmediğini söyleme. Torun bunu zaten biliyor; sen de biliyormuş gibi yap.</t>
        </is>
      </c>
      <c r="E499" s="6" t="inlineStr"/>
      <c r="F499" s="5" t="inlineStr"/>
    </row>
    <row r="500">
      <c r="A500" s="5" t="inlineStr">
        <is>
          <t>mm-eski-daire</t>
        </is>
      </c>
      <c r="B500" s="5" t="inlineStr">
        <is>
          <t>Pişkinlik</t>
        </is>
      </c>
      <c r="C500" s="5" t="inlineStr">
        <is>
          <t>Orta</t>
        </is>
      </c>
      <c r="D500" s="6" t="inlineStr">
        <is>
          <t>Bu cümleyi otuz yıl sen kurdun. Şimdi faizini al: gülümse.</t>
        </is>
      </c>
      <c r="E500" s="6" t="inlineStr"/>
      <c r="F500" s="5" t="inlineStr"/>
    </row>
    <row r="501">
      <c r="A501" s="5" t="inlineStr">
        <is>
          <t>mm-eski-daire</t>
        </is>
      </c>
      <c r="B501" s="5" t="inlineStr">
        <is>
          <t>Sosyal Radar</t>
        </is>
      </c>
      <c r="C501" s="5" t="inlineStr">
        <is>
          <t>Kolay</t>
        </is>
      </c>
      <c r="D501" s="6" t="inlineStr">
        <is>
          <t>Genç memur senin devir tutanağındaki cümlelerle konuşuyor. Kırk iki sayfa okunmuş.</t>
        </is>
      </c>
      <c r="E501" s="6" t="inlineStr"/>
      <c r="F501" s="5" t="inlineStr"/>
    </row>
    <row r="502">
      <c r="A502" s="5" t="inlineStr">
        <is>
          <t>b9-yazlik-komsulari</t>
        </is>
      </c>
      <c r="B502" s="5" t="inlineStr">
        <is>
          <t>Sosyal Radar</t>
        </is>
      </c>
      <c r="C502" s="5" t="inlineStr">
        <is>
          <t>Orta</t>
        </is>
      </c>
      <c r="D502" s="6" t="inlineStr">
        <is>
          <t>Site yöneticisi aynı zamanda yan komşunun kayınbiraderi. Hortum meselesi aile meselesi.</t>
        </is>
      </c>
      <c r="E502" s="6" t="inlineStr"/>
      <c r="F502" s="5" t="inlineStr"/>
    </row>
    <row r="503">
      <c r="A503" s="5" t="inlineStr">
        <is>
          <t>b9-yazlik-komsulari</t>
        </is>
      </c>
      <c r="B503" s="5" t="inlineStr">
        <is>
          <t>Çene</t>
        </is>
      </c>
      <c r="C503" s="5" t="inlineStr">
        <is>
          <t>Kolay</t>
        </is>
      </c>
      <c r="D503" s="6" t="inlineStr">
        <is>
          <t>Yazlık kavgası kışın unutulur, mayısta kaldığı yerden başlar; sanki kimse şehre dönmemiş.</t>
        </is>
      </c>
      <c r="E503" s="6" t="inlineStr"/>
      <c r="F503" s="5" t="inlineStr"/>
    </row>
    <row r="504">
      <c r="A504" s="5" t="inlineStr">
        <is>
          <t>b9-ikinci-kariyer</t>
        </is>
      </c>
      <c r="B504" s="5" t="inlineStr">
        <is>
          <t>Dayanıklılık</t>
        </is>
      </c>
      <c r="C504" s="5" t="inlineStr">
        <is>
          <t>Orta</t>
        </is>
      </c>
      <c r="D504" s="6" t="inlineStr">
        <is>
          <t>Emeklilik bir son değil, bir ara vermedir. Ara uzun sürmedi.</t>
        </is>
      </c>
      <c r="E504" s="6" t="inlineStr"/>
      <c r="F504" s="5" t="inlineStr"/>
    </row>
    <row r="505">
      <c r="A505" s="5" t="inlineStr">
        <is>
          <t>b9-ikinci-kariyer</t>
        </is>
      </c>
      <c r="B505" s="5" t="inlineStr">
        <is>
          <t>Kurnazlık</t>
        </is>
      </c>
      <c r="C505" s="5" t="inlineStr">
        <is>
          <t>Kolay</t>
        </is>
      </c>
      <c r="D505" s="6" t="inlineStr">
        <is>
          <t>'Danışman' dedi ama maaşı söylemedi. Unvan büyüdükçe maaş küçülür; bunu sen de bilirsin.</t>
        </is>
      </c>
      <c r="E505" s="6" t="inlineStr"/>
      <c r="F505" s="5" t="inlineStr"/>
    </row>
    <row r="506">
      <c r="A506" s="5" t="inlineStr">
        <is>
          <t>ms-son-perde</t>
        </is>
      </c>
      <c r="B506" s="5" t="inlineStr">
        <is>
          <t>Dayanıklılık</t>
        </is>
      </c>
      <c r="C506" s="5" t="inlineStr">
        <is>
          <t>Orta</t>
        </is>
      </c>
      <c r="D506" s="6" t="inlineStr">
        <is>
          <t>Kırk yıl ücret bekledin. Beş saniye de alkış bekleyebilirsin.</t>
        </is>
      </c>
      <c r="E506" s="6" t="inlineStr"/>
      <c r="F506" s="5" t="inlineStr"/>
    </row>
    <row r="507">
      <c r="A507" s="5" t="inlineStr">
        <is>
          <t>ms-son-perde</t>
        </is>
      </c>
      <c r="B507" s="5" t="inlineStr">
        <is>
          <t>Pişkinlik</t>
        </is>
      </c>
      <c r="C507" s="5" t="inlineStr">
        <is>
          <t>Kolay</t>
        </is>
      </c>
      <c r="D507" s="6" t="inlineStr">
        <is>
          <t>Ön sırada teyze var. Hâlâ 'gerçek iş' sorusunu soracak gibi bakıyor.</t>
        </is>
      </c>
      <c r="E507" s="6" t="inlineStr"/>
      <c r="F507" s="5" t="inlineStr"/>
    </row>
    <row r="508">
      <c r="A508" s="5" t="inlineStr">
        <is>
          <t>b9-noter-miras</t>
        </is>
      </c>
      <c r="B508" s="5" t="inlineStr">
        <is>
          <t>Kurnazlık</t>
        </is>
      </c>
      <c r="C508" s="5" t="inlineStr">
        <is>
          <t>Orta</t>
        </is>
      </c>
      <c r="D508" s="6" t="inlineStr">
        <is>
          <t>Bu belgeyi çocuklar görecek. Kim neyi aldığına bakacak; kimin neyi almadığına daha çok bakacak.</t>
        </is>
      </c>
      <c r="E508" s="6" t="inlineStr"/>
      <c r="F508" s="5" t="inlineStr">
        <is>
          <t>E</t>
        </is>
      </c>
    </row>
    <row r="509">
      <c r="A509" s="5" t="inlineStr">
        <is>
          <t>b9-noter-miras</t>
        </is>
      </c>
      <c r="B509" s="5" t="inlineStr">
        <is>
          <t>İtibar</t>
        </is>
      </c>
      <c r="C509" s="5" t="inlineStr">
        <is>
          <t>Kolay</t>
        </is>
      </c>
      <c r="D509" s="6" t="inlineStr">
        <is>
          <t>Miras bir teşekkür değil. Ama teşekkür yerine geçebilir.</t>
        </is>
      </c>
      <c r="E509" s="6" t="inlineStr"/>
      <c r="F509" s="5" t="inlineStr"/>
    </row>
    <row r="510">
      <c r="A510" s="5" t="inlineStr">
        <is>
          <t>b9-dev-kabak</t>
        </is>
      </c>
      <c r="B510" s="5" t="inlineStr">
        <is>
          <t>Dayanıklılık</t>
        </is>
      </c>
      <c r="C510" s="5" t="inlineStr">
        <is>
          <t>Orta</t>
        </is>
      </c>
      <c r="D510" s="6" t="inlineStr">
        <is>
          <t>Bu kabağı kaldırmak için iki kişi, bir el arabası ve bir fizyoterapist gerekli.</t>
        </is>
      </c>
      <c r="E510" s="6" t="inlineStr"/>
      <c r="F510" s="5" t="inlineStr"/>
    </row>
    <row r="511">
      <c r="A511" s="5" t="inlineStr">
        <is>
          <t>b9-dev-kabak</t>
        </is>
      </c>
      <c r="B511" s="5" t="inlineStr">
        <is>
          <t>Pişkinlik</t>
        </is>
      </c>
      <c r="C511" s="5" t="inlineStr">
        <is>
          <t>Kolay</t>
        </is>
      </c>
      <c r="D511" s="6" t="inlineStr">
        <is>
          <t>Bu kabak senin eserin. Yarışmada ilk olmalı. Sonra yemek yapılmalı. Sonra hikâyesi anlatılmalı.</t>
        </is>
      </c>
      <c r="E511" s="6" t="inlineStr"/>
      <c r="F511" s="5" t="inlineStr"/>
    </row>
    <row r="512">
      <c r="A512" s="5" t="inlineStr">
        <is>
          <t>me-son-kepenk</t>
        </is>
      </c>
      <c r="B512" s="5" t="inlineStr">
        <is>
          <t>Dayanıklılık</t>
        </is>
      </c>
      <c r="C512" s="5" t="inlineStr">
        <is>
          <t>Orta</t>
        </is>
      </c>
      <c r="D512" s="6" t="inlineStr">
        <is>
          <t>Kepenk ağır, sen artık hafif değilsin. Dizlerden kaldır, belden değil.</t>
        </is>
      </c>
      <c r="E512" s="6" t="inlineStr"/>
      <c r="F512" s="5" t="inlineStr"/>
    </row>
    <row r="513">
      <c r="A513" s="5" t="inlineStr">
        <is>
          <t>me-son-kepenk</t>
        </is>
      </c>
      <c r="B513" s="5" t="inlineStr">
        <is>
          <t>İtibar</t>
        </is>
      </c>
      <c r="C513" s="5" t="inlineStr">
        <is>
          <t>Kolay</t>
        </is>
      </c>
      <c r="D513" s="6" t="inlineStr">
        <is>
          <t>Teşekkür etmek istediğin çok kişi var. Önce kendinden başla.</t>
        </is>
      </c>
      <c r="E513" s="6" t="inlineStr"/>
      <c r="F513" s="5" t="inlineStr"/>
    </row>
    <row r="514">
      <c r="A514" s="5" t="inlineStr">
        <is>
          <t>b9-emekli-seyahati</t>
        </is>
      </c>
      <c r="B514" s="5" t="inlineStr">
        <is>
          <t>Sosyal Radar</t>
        </is>
      </c>
      <c r="C514" s="5" t="inlineStr">
        <is>
          <t>Orta</t>
        </is>
      </c>
      <c r="D514" s="6" t="inlineStr">
        <is>
          <t>Otobüsün ön sırası derneğin yönetim kurulu. Arka sıra muhalefet. Ortada tarafsız bölge; sen oradasın.</t>
        </is>
      </c>
      <c r="E514" s="6" t="inlineStr"/>
      <c r="F514" s="5" t="inlineStr"/>
    </row>
    <row r="515">
      <c r="A515" s="5" t="inlineStr">
        <is>
          <t>b9-emekli-seyahati</t>
        </is>
      </c>
      <c r="B515" s="5" t="inlineStr">
        <is>
          <t>Cesaret</t>
        </is>
      </c>
      <c r="C515" s="5" t="inlineStr">
        <is>
          <t>Kolay</t>
        </is>
      </c>
      <c r="D515" s="6" t="inlineStr">
        <is>
          <t>Sürpriz durak her zaman bir halı mağazasıdır. Bu bir tahmin değil, tecrübe.</t>
        </is>
      </c>
      <c r="E515" s="6" t="inlineStr"/>
      <c r="F515" s="5" t="inlineStr"/>
    </row>
    <row r="516">
      <c r="A516" s="5" t="inlineStr">
        <is>
          <t>b9-sifre-unuttum</t>
        </is>
      </c>
      <c r="B516" s="5" t="inlineStr">
        <is>
          <t>Akıl</t>
        </is>
      </c>
      <c r="C516" s="5" t="inlineStr">
        <is>
          <t>Orta</t>
        </is>
      </c>
      <c r="D516" s="6" t="inlineStr">
        <is>
          <t>Şifren büyük harf, küçük harf, rakam ve bir sembol içeriyordu. Sembolün ne olduğunu sadece sen biliyordun. Artık sen de bilmiyorsun.</t>
        </is>
      </c>
      <c r="E516" s="6" t="inlineStr"/>
      <c r="F516" s="5" t="inlineStr"/>
    </row>
    <row r="517">
      <c r="A517" s="5" t="inlineStr">
        <is>
          <t>b9-sifre-unuttum</t>
        </is>
      </c>
      <c r="B517" s="5" t="inlineStr">
        <is>
          <t>Dayanıklılık</t>
        </is>
      </c>
      <c r="C517" s="5" t="inlineStr">
        <is>
          <t>Kolay</t>
        </is>
      </c>
      <c r="D517" s="6" t="inlineStr">
        <is>
          <t>Banka şubesinde sıra numarası: 187. Ekranda: 42. Yanına bir çay al.</t>
        </is>
      </c>
      <c r="E517" s="6" t="inlineStr"/>
      <c r="F517" s="5" t="inlineStr"/>
    </row>
    <row r="518">
      <c r="A518" s="5" t="inlineStr">
        <is>
          <t>mb-son-kisa-gorusme</t>
        </is>
      </c>
      <c r="B518" s="5" t="inlineStr">
        <is>
          <t>Sosyal Radar</t>
        </is>
      </c>
      <c r="C518" s="5" t="inlineStr">
        <is>
          <t>Orta</t>
        </is>
      </c>
      <c r="D518" s="6" t="inlineStr">
        <is>
          <t>Arayan, senin işe aldığın stajyer. Artık genel müdür yardımcısı.</t>
        </is>
      </c>
      <c r="E518" s="6" t="inlineStr"/>
      <c r="F518" s="5" t="inlineStr"/>
    </row>
    <row r="519">
      <c r="A519" s="5" t="inlineStr">
        <is>
          <t>mb-son-kisa-gorusme</t>
        </is>
      </c>
      <c r="B519" s="5" t="inlineStr">
        <is>
          <t>Dayanıklılık</t>
        </is>
      </c>
      <c r="C519" s="5" t="inlineStr">
        <is>
          <t>Kolay</t>
        </is>
      </c>
      <c r="D519" s="6" t="inlineStr">
        <is>
          <t>Sabah yürüyüşü, öğle çayı, akşam dizisi. Bu takvim bozulmaya değer mi?</t>
        </is>
      </c>
      <c r="E519" s="6" t="inlineStr"/>
      <c r="F519" s="5" t="inlineStr"/>
    </row>
    <row r="520">
      <c r="A520" s="5" t="inlineStr">
        <is>
          <t>b9-site-toplantisi</t>
        </is>
      </c>
      <c r="B520" s="5" t="inlineStr">
        <is>
          <t>Sosyal Radar</t>
        </is>
      </c>
      <c r="C520" s="5" t="inlineStr">
        <is>
          <t>Orta</t>
        </is>
      </c>
      <c r="D520" s="6" t="inlineStr">
        <is>
          <t>Yönetici seçimi aslında bir seçim değil. Kim toplantıya ilk gelirse yönetici olur. Sen ilk geldin.</t>
        </is>
      </c>
      <c r="E520" s="6" t="inlineStr"/>
      <c r="F520" s="5" t="inlineStr"/>
    </row>
    <row r="521">
      <c r="A521" s="5" t="inlineStr">
        <is>
          <t>b9-site-toplantisi</t>
        </is>
      </c>
      <c r="B521" s="5" t="inlineStr">
        <is>
          <t>İtibar</t>
        </is>
      </c>
      <c r="C521" s="5" t="inlineStr">
        <is>
          <t>Kolay</t>
        </is>
      </c>
      <c r="D521" s="6" t="inlineStr">
        <is>
          <t>Asansör üç yıldır arızalı. Dördüncü kattaki komşu seksen yaşında. Bu konuda sessiz kalma.</t>
        </is>
      </c>
      <c r="E521" s="6" t="inlineStr"/>
      <c r="F521" s="5" t="inlineStr"/>
    </row>
    <row r="522">
      <c r="A522" s="5" t="inlineStr">
        <is>
          <t>b9-torunun-sorusu</t>
        </is>
      </c>
      <c r="B522" s="5" t="inlineStr">
        <is>
          <t>Akıl</t>
        </is>
      </c>
      <c r="C522" s="5" t="inlineStr">
        <is>
          <t>Kolay</t>
        </is>
      </c>
      <c r="D522" s="6" t="inlineStr">
        <is>
          <t>Evet. Cama parmakla dokunuyordun; parmak yağlıysa mesaj yanlış kişiye gidiyordu. Bu bilgi torunu korkutabilir.</t>
        </is>
      </c>
      <c r="E522" s="6" t="inlineStr"/>
      <c r="F522" s="5" t="inlineStr"/>
    </row>
    <row r="523">
      <c r="A523" s="5" t="inlineStr">
        <is>
          <t>b9-torunun-sorusu</t>
        </is>
      </c>
      <c r="B523" s="5" t="inlineStr">
        <is>
          <t>Pişkinlik</t>
        </is>
      </c>
      <c r="C523" s="5" t="inlineStr">
        <is>
          <t>Orta</t>
        </is>
      </c>
      <c r="D523" s="6" t="inlineStr">
        <is>
          <t>Biraz abart. Şarj bitince mesajı yürüyerek götürdüğünü söyle. Karda. Yokuş yukarı.</t>
        </is>
      </c>
      <c r="E523" s="6" t="inlineStr"/>
      <c r="F523" s="5" t="inlineStr"/>
    </row>
    <row r="524">
      <c r="A524" s="5" t="inlineStr">
        <is>
          <t>ms-son-roportaj</t>
        </is>
      </c>
      <c r="B524" s="5" t="inlineStr">
        <is>
          <t>İtibar</t>
        </is>
      </c>
      <c r="C524" s="5" t="inlineStr">
        <is>
          <t>Kolay</t>
        </is>
      </c>
      <c r="D524" s="6" t="inlineStr">
        <is>
          <t>Öğrencinin gözlerinde yirmi iki yaşındaki sen varsın. Ona fatura kesmeyi öğret.</t>
        </is>
      </c>
      <c r="E524" s="6" t="inlineStr"/>
      <c r="F524" s="5" t="inlineStr"/>
    </row>
    <row r="525">
      <c r="A525" s="5" t="inlineStr">
        <is>
          <t>ms-son-roportaj</t>
        </is>
      </c>
      <c r="B525" s="5" t="inlineStr">
        <is>
          <t>Çene</t>
        </is>
      </c>
      <c r="C525" s="5" t="inlineStr">
        <is>
          <t>Orta</t>
        </is>
      </c>
      <c r="D525" s="6" t="inlineStr">
        <is>
          <t>Kırk yıl anlattın. Bu kez biri not alıyor.</t>
        </is>
      </c>
      <c r="E525" s="6" t="inlineStr"/>
      <c r="F525" s="5" t="inlineStr"/>
    </row>
    <row r="526">
      <c r="A526" s="5" t="inlineStr">
        <is>
          <t>b9-hayat-muhasebesi</t>
        </is>
      </c>
      <c r="B526" s="5" t="inlineStr">
        <is>
          <t>İtibar</t>
        </is>
      </c>
      <c r="C526" s="5" t="inlineStr">
        <is>
          <t>Orta</t>
        </is>
      </c>
      <c r="D526" s="6" t="inlineStr">
        <is>
          <t>Fotoğraflarda eksik yüzler var. Onları da gördün. Kimse sormadı, sen de söylemedin.</t>
        </is>
      </c>
      <c r="E526" s="6" t="inlineStr"/>
      <c r="F526" s="5" t="inlineStr"/>
    </row>
    <row r="527">
      <c r="A527" s="5" t="inlineStr">
        <is>
          <t>b9-hayat-muhasebesi</t>
        </is>
      </c>
      <c r="B527" s="5" t="inlineStr">
        <is>
          <t>Sosyal Radar</t>
        </is>
      </c>
      <c r="C527" s="5" t="inlineStr">
        <is>
          <t>Kolay</t>
        </is>
      </c>
      <c r="D527" s="6" t="inlineStr">
        <is>
          <t>Slaytlarda en çok senin gençlik fotoğrafın alkış aldı. Arkadan biri 'Bu sen misin?' diye sordu, ikinci kez.</t>
        </is>
      </c>
      <c r="E527" s="6" t="inlineStr"/>
      <c r="F527" s="5" t="inlineStr"/>
    </row>
    <row r="528">
      <c r="A528" s="5" t="inlineStr">
        <is>
          <t>b10-noter-vasiyet</t>
        </is>
      </c>
      <c r="B528" s="5" t="inlineStr">
        <is>
          <t>Akıl</t>
        </is>
      </c>
      <c r="C528" s="5" t="inlineStr">
        <is>
          <t>Orta</t>
        </is>
      </c>
      <c r="D528" s="6" t="inlineStr">
        <is>
          <t>Her maddeyi ayrı yaz. Muğlak bırakılan her cümle, bir bayram sofrasında dava olur.</t>
        </is>
      </c>
      <c r="E528" s="6" t="inlineStr"/>
      <c r="F528" s="5" t="inlineStr"/>
    </row>
    <row r="529">
      <c r="A529" s="5" t="inlineStr">
        <is>
          <t>b10-noter-vasiyet</t>
        </is>
      </c>
      <c r="B529" s="5" t="inlineStr">
        <is>
          <t>İtibar</t>
        </is>
      </c>
      <c r="C529" s="5" t="inlineStr">
        <is>
          <t>Kolay</t>
        </is>
      </c>
      <c r="D529" s="6" t="inlineStr">
        <is>
          <t>Kimseyi unutma evladım. Unutulan hatırlar.</t>
        </is>
      </c>
      <c r="E529" s="6" t="inlineStr"/>
      <c r="F529" s="5" t="inlineStr"/>
    </row>
    <row r="530">
      <c r="A530" s="5" t="inlineStr">
        <is>
          <t>b10-miras-provasi</t>
        </is>
      </c>
      <c r="B530" s="5" t="inlineStr">
        <is>
          <t>Sosyal Radar</t>
        </is>
      </c>
      <c r="C530" s="5" t="inlineStr">
        <is>
          <t>Orta</t>
        </is>
      </c>
      <c r="D530" s="6" t="inlineStr">
        <is>
          <t>Soruyu soran değil, soruyu sordurtan önemli. Masanın sol ucuna bak.</t>
        </is>
      </c>
      <c r="E530" s="6" t="inlineStr"/>
      <c r="F530" s="5" t="inlineStr">
        <is>
          <t>E</t>
        </is>
      </c>
    </row>
    <row r="531">
      <c r="A531" s="5" t="inlineStr">
        <is>
          <t>b10-miras-provasi</t>
        </is>
      </c>
      <c r="B531" s="5" t="inlineStr">
        <is>
          <t>Cesaret</t>
        </is>
      </c>
      <c r="C531" s="5" t="inlineStr">
        <is>
          <t>Kolay</t>
        </is>
      </c>
      <c r="D531" s="6" t="inlineStr">
        <is>
          <t>Bu sofrayı ben kurdum. İlk kalkan da ben olmayacağım.</t>
        </is>
      </c>
      <c r="E531" s="6" t="inlineStr"/>
      <c r="F531" s="5" t="inlineStr"/>
    </row>
    <row r="532">
      <c r="A532" s="5" t="inlineStr">
        <is>
          <t>b10-teknoloji-kursu</t>
        </is>
      </c>
      <c r="B532" s="5" t="inlineStr">
        <is>
          <t>Akıl</t>
        </is>
      </c>
      <c r="C532" s="5" t="inlineStr">
        <is>
          <t>Kolay</t>
        </is>
      </c>
      <c r="D532" s="6" t="inlineStr">
        <is>
          <t>Bu cihaz senden sonra icat edildi. Bunu unutma, ama ona da hissettirme.</t>
        </is>
      </c>
      <c r="E532" s="6" t="inlineStr"/>
      <c r="F532" s="5" t="inlineStr"/>
    </row>
    <row r="533">
      <c r="A533" s="5" t="inlineStr">
        <is>
          <t>b10-teknoloji-kursu</t>
        </is>
      </c>
      <c r="B533" s="5" t="inlineStr">
        <is>
          <t>Dayanıklılık</t>
        </is>
      </c>
      <c r="C533" s="5" t="inlineStr">
        <is>
          <t>Orta</t>
        </is>
      </c>
      <c r="D533" s="6" t="inlineStr">
        <is>
          <t>Kurs üç ay. Pazar arabasını yokuş yukarı kırk yıl çektin; bunu da çekersin.</t>
        </is>
      </c>
      <c r="E533" s="6" t="inlineStr"/>
      <c r="F533" s="5" t="inlineStr"/>
    </row>
    <row r="534">
      <c r="A534" s="5" t="inlineStr">
        <is>
          <t>b10-balkon-kulesi</t>
        </is>
      </c>
      <c r="B534" s="5" t="inlineStr">
        <is>
          <t>Sosyal Radar</t>
        </is>
      </c>
      <c r="C534" s="5" t="inlineStr">
        <is>
          <t>Kolay</t>
        </is>
      </c>
      <c r="D534" s="6" t="inlineStr">
        <is>
          <t>Üçüncü kattakiler iki gündür kargo almıyor. Bir şeyler dönüyor.</t>
        </is>
      </c>
      <c r="E534" s="6" t="inlineStr"/>
      <c r="F534" s="5" t="inlineStr"/>
    </row>
    <row r="535">
      <c r="A535" s="5" t="inlineStr">
        <is>
          <t>b10-balkon-kulesi</t>
        </is>
      </c>
      <c r="B535" s="5" t="inlineStr">
        <is>
          <t>Kurnazlık</t>
        </is>
      </c>
      <c r="C535" s="5" t="inlineStr">
        <is>
          <t>Orta</t>
        </is>
      </c>
      <c r="D535" s="6" t="inlineStr">
        <is>
          <t>Belediye aracı her salı aynı saatte geçiyor. Bu bilgi bir gün lazım olur.</t>
        </is>
      </c>
      <c r="E535" s="6" t="inlineStr"/>
      <c r="F535" s="5" t="inlineStr"/>
    </row>
    <row r="536">
      <c r="A536" s="5" t="inlineStr">
        <is>
          <t>b10-sinif-bulusmasi</t>
        </is>
      </c>
      <c r="B536" s="5" t="inlineStr">
        <is>
          <t>Sosyal Radar</t>
        </is>
      </c>
      <c r="C536" s="5" t="inlineStr">
        <is>
          <t>Orta</t>
        </is>
      </c>
      <c r="D536" s="6" t="inlineStr">
        <is>
          <t>Arka sıradaki, masa altından kopya veren oydu. Kimse unutmadı.</t>
        </is>
      </c>
      <c r="E536" s="6" t="inlineStr"/>
      <c r="F536" s="5" t="inlineStr"/>
    </row>
    <row r="537">
      <c r="A537" s="5" t="inlineStr">
        <is>
          <t>b10-sinif-bulusmasi</t>
        </is>
      </c>
      <c r="B537" s="5" t="inlineStr">
        <is>
          <t>İtibar</t>
        </is>
      </c>
      <c r="C537" s="5" t="inlineStr">
        <is>
          <t>Kolay</t>
        </is>
      </c>
      <c r="D537" s="6" t="inlineStr">
        <is>
          <t>Gelemeyenleri de say evladım. Yoklama eksik kalmasın.</t>
        </is>
      </c>
      <c r="E537" s="6" t="inlineStr"/>
      <c r="F537" s="5" t="inlineStr"/>
    </row>
    <row r="538">
      <c r="A538" s="5" t="inlineStr">
        <is>
          <t>b10-doktor-gomersiniz</t>
        </is>
      </c>
      <c r="B538" s="5" t="inlineStr">
        <is>
          <t>Dayanıklılık</t>
        </is>
      </c>
      <c r="C538" s="5" t="inlineStr">
        <is>
          <t>Kolay</t>
        </is>
      </c>
      <c r="D538" s="6" t="inlineStr">
        <is>
          <t>Hâlâ koşuyorum. Kafamda. Ama tempo iyi.</t>
        </is>
      </c>
      <c r="E538" s="6" t="inlineStr"/>
      <c r="F538" s="5" t="inlineStr">
        <is>
          <t>E</t>
        </is>
      </c>
    </row>
    <row r="539">
      <c r="A539" s="5" t="inlineStr">
        <is>
          <t>b10-doktor-gomersiniz</t>
        </is>
      </c>
      <c r="B539" s="5" t="inlineStr">
        <is>
          <t>Akıl</t>
        </is>
      </c>
      <c r="C539" s="5" t="inlineStr">
        <is>
          <t>Orta</t>
        </is>
      </c>
      <c r="D539" s="6" t="inlineStr">
        <is>
          <t>Doktor kırk yaşında. İstatistiksel olarak ciddi bir iddia.</t>
        </is>
      </c>
      <c r="E539" s="6" t="inlineStr"/>
      <c r="F539" s="5" t="inlineStr"/>
    </row>
    <row r="540">
      <c r="A540" s="5" t="inlineStr">
        <is>
          <t>b10-bayram-harcligi</t>
        </is>
      </c>
      <c r="B540" s="5" t="inlineStr">
        <is>
          <t>Kurnazlık</t>
        </is>
      </c>
      <c r="C540" s="5" t="inlineStr">
        <is>
          <t>Orta</t>
        </is>
      </c>
      <c r="D540" s="6" t="inlineStr">
        <is>
          <t>Sıradaki üçüncü çocuk ikinci kez geliyor. Montunu değiştirmiş.</t>
        </is>
      </c>
      <c r="E540" s="6" t="inlineStr"/>
      <c r="F540" s="5" t="inlineStr"/>
    </row>
    <row r="541">
      <c r="A541" s="5" t="inlineStr">
        <is>
          <t>b10-bayram-harcligi</t>
        </is>
      </c>
      <c r="B541" s="5" t="inlineStr">
        <is>
          <t>İtibar</t>
        </is>
      </c>
      <c r="C541" s="5" t="inlineStr">
        <is>
          <t>Kolay</t>
        </is>
      </c>
      <c r="D541" s="6" t="inlineStr">
        <is>
          <t>Sen de yıllarca bu sırada durdun. Unutma.</t>
        </is>
      </c>
      <c r="E541" s="6" t="inlineStr"/>
      <c r="F541" s="5" t="inlineStr"/>
    </row>
    <row r="542">
      <c r="A542" s="5" t="inlineStr">
        <is>
          <t>b10-dijital-miras</t>
        </is>
      </c>
      <c r="B542" s="5" t="inlineStr">
        <is>
          <t>Akıl</t>
        </is>
      </c>
      <c r="C542" s="5" t="inlineStr">
        <is>
          <t>Orta</t>
        </is>
      </c>
      <c r="D542" s="6" t="inlineStr">
        <is>
          <t>Şifreleri bir deftere yazıp defteri şifrele. Defterin şifresini de başka bir deftere yaz.</t>
        </is>
      </c>
      <c r="E542" s="6" t="inlineStr"/>
      <c r="F542" s="5" t="inlineStr">
        <is>
          <t>E</t>
        </is>
      </c>
    </row>
    <row r="543">
      <c r="A543" s="5" t="inlineStr">
        <is>
          <t>b10-dijital-miras</t>
        </is>
      </c>
      <c r="B543" s="5" t="inlineStr">
        <is>
          <t>Sosyal Radar</t>
        </is>
      </c>
      <c r="C543" s="5" t="inlineStr">
        <is>
          <t>Kolay</t>
        </is>
      </c>
      <c r="D543" s="6" t="inlineStr">
        <is>
          <t>Fotoğraf arşivinde yüz seksen bin fotoğraf var. Dördünde gözlerin açık.</t>
        </is>
      </c>
      <c r="E543" s="6" t="inlineStr"/>
      <c r="F543" s="5" t="inlineStr"/>
    </row>
    <row r="544">
      <c r="A544" s="5" t="inlineStr">
        <is>
          <t>b10-mezar-parseli</t>
        </is>
      </c>
      <c r="B544" s="5" t="inlineStr">
        <is>
          <t>Kurnazlık</t>
        </is>
      </c>
      <c r="C544" s="5" t="inlineStr">
        <is>
          <t>Orta</t>
        </is>
      </c>
      <c r="D544" s="6" t="inlineStr">
        <is>
          <t>Manzaralı parselin fiyatı iki katı. Manzarayı kim görecek, onu sor.</t>
        </is>
      </c>
      <c r="E544" s="6" t="inlineStr"/>
      <c r="F544" s="5" t="inlineStr"/>
    </row>
    <row r="545">
      <c r="A545" s="5" t="inlineStr">
        <is>
          <t>b10-mezar-parseli</t>
        </is>
      </c>
      <c r="B545" s="5" t="inlineStr">
        <is>
          <t>Pişkinlik</t>
        </is>
      </c>
      <c r="C545" s="5" t="inlineStr">
        <is>
          <t>Kolay</t>
        </is>
      </c>
      <c r="D545" s="6" t="inlineStr">
        <is>
          <t>Fiyatı sorma. 'Ben buraya uzun süre kalacağım' de. İndirim gelir.</t>
        </is>
      </c>
      <c r="E545" s="6" t="inlineStr"/>
      <c r="F545" s="5" t="inlineStr"/>
    </row>
    <row r="546">
      <c r="A546" s="5" t="inlineStr">
        <is>
          <t>b10-danismanlik</t>
        </is>
      </c>
      <c r="B546" s="5" t="inlineStr">
        <is>
          <t>Kurnazlık</t>
        </is>
      </c>
      <c r="C546" s="5" t="inlineStr">
        <is>
          <t>Orta</t>
        </is>
      </c>
      <c r="D546" s="6" t="inlineStr">
        <is>
          <t>Bu bir danışmanlık teklifi. Ücretini sen belirle.</t>
        </is>
      </c>
      <c r="E546" s="6" t="inlineStr"/>
      <c r="F546" s="5" t="inlineStr"/>
    </row>
    <row r="547">
      <c r="A547" s="5" t="inlineStr">
        <is>
          <t>b10-danismanlik</t>
        </is>
      </c>
      <c r="B547" s="5" t="inlineStr">
        <is>
          <t>Akıl</t>
        </is>
      </c>
      <c r="C547" s="5" t="inlineStr">
        <is>
          <t>Kolay</t>
        </is>
      </c>
      <c r="D547" s="6" t="inlineStr">
        <is>
          <t>Dosya, üçüncü rafın arkasındaki kutuda. Etiketini sen yazmıştın.</t>
        </is>
      </c>
      <c r="E547" s="6" t="inlineStr"/>
      <c r="F547" s="5" t="inlineStr"/>
    </row>
    <row r="548">
      <c r="A548" s="5" t="inlineStr">
        <is>
          <t>b10-eski-dost-cenazesi</t>
        </is>
      </c>
      <c r="B548" s="5" t="inlineStr">
        <is>
          <t>Sosyal Radar</t>
        </is>
      </c>
      <c r="C548" s="5" t="inlineStr">
        <is>
          <t>Orta</t>
        </is>
      </c>
      <c r="D548" s="6" t="inlineStr">
        <is>
          <t>Hikâyeyi en uzun anlatan, hastaneye en az gelendi. Not et.</t>
        </is>
      </c>
      <c r="E548" s="6" t="inlineStr"/>
      <c r="F548" s="5" t="inlineStr">
        <is>
          <t>E</t>
        </is>
      </c>
    </row>
    <row r="549">
      <c r="A549" s="5" t="inlineStr">
        <is>
          <t>b10-eski-dost-cenazesi</t>
        </is>
      </c>
      <c r="B549" s="5" t="inlineStr">
        <is>
          <t>İtibar</t>
        </is>
      </c>
      <c r="C549" s="5" t="inlineStr">
        <is>
          <t>Kolay</t>
        </is>
      </c>
      <c r="D549" s="6" t="inlineStr">
        <is>
          <t>Bir şey söyleme evladım. Helvayı karıştıranın elinden kepçeyi al. O yeter.</t>
        </is>
      </c>
      <c r="E549" s="6" t="inlineStr"/>
      <c r="F549" s="5" t="inlineStr"/>
    </row>
    <row r="550">
      <c r="A550" s="5" t="inlineStr">
        <is>
          <t>b10-ani-defteri</t>
        </is>
      </c>
      <c r="B550" s="5" t="inlineStr">
        <is>
          <t>İtibar</t>
        </is>
      </c>
      <c r="C550" s="5" t="inlineStr">
        <is>
          <t>Orta</t>
        </is>
      </c>
      <c r="D550" s="6" t="inlineStr">
        <is>
          <t>Doğruyu yaz. Ya da en azından, doğru hatırladığını.</t>
        </is>
      </c>
      <c r="E550" s="6" t="inlineStr"/>
      <c r="F550" s="5" t="inlineStr"/>
    </row>
    <row r="551">
      <c r="A551" s="5" t="inlineStr">
        <is>
          <t>b10-ani-defteri</t>
        </is>
      </c>
      <c r="B551" s="5" t="inlineStr">
        <is>
          <t>Pişkinlik</t>
        </is>
      </c>
      <c r="C551" s="5" t="inlineStr">
        <is>
          <t>Kolay</t>
        </is>
      </c>
      <c r="D551" s="6" t="inlineStr">
        <is>
          <t>Bu bir anı defteri değil, dizi finali. Son sayfaya 'Devam edecek…' yaz.</t>
        </is>
      </c>
      <c r="E551" s="6" t="inlineStr"/>
      <c r="F551" s="5" t="inlineStr"/>
    </row>
    <row r="552">
      <c r="A552" s="5" t="inlineStr">
        <is>
          <t>b10-seksen-yas-partisi</t>
        </is>
      </c>
      <c r="B552" s="5" t="inlineStr">
        <is>
          <t>Dayanıklılık</t>
        </is>
      </c>
      <c r="C552" s="5" t="inlineStr">
        <is>
          <t>Orta</t>
        </is>
      </c>
      <c r="D552" s="6" t="inlineStr">
        <is>
          <t>Tek nefeste mümkün. Diyaframın hâlâ görev başında.</t>
        </is>
      </c>
      <c r="E552" s="6" t="inlineStr"/>
      <c r="F552" s="5" t="inlineStr"/>
    </row>
    <row r="553">
      <c r="A553" s="5" t="inlineStr">
        <is>
          <t>b10-seksen-yas-partisi</t>
        </is>
      </c>
      <c r="B553" s="5" t="inlineStr">
        <is>
          <t>Cesaret</t>
        </is>
      </c>
      <c r="C553" s="5" t="inlineStr">
        <is>
          <t>Kolay</t>
        </is>
      </c>
      <c r="D553" s="6" t="inlineStr">
        <is>
          <t>Mumdan korkulmaz! Derin nefes, tek atış, seksenini birden indir.</t>
        </is>
      </c>
      <c r="E553" s="6" t="inlineStr"/>
      <c r="F553" s="5" t="inlineStr"/>
    </row>
    <row r="554">
      <c r="A554" s="5" t="inlineStr">
        <is>
          <t>b10-huzurevi-turu</t>
        </is>
      </c>
      <c r="B554" s="5" t="inlineStr">
        <is>
          <t>Sosyal Radar</t>
        </is>
      </c>
      <c r="C554" s="5" t="inlineStr">
        <is>
          <t>Kolay</t>
        </is>
      </c>
      <c r="D554" s="6" t="inlineStr">
        <is>
          <t>Bahçedeki bankta oturan iki kişi seni daha kapıdan puanladı.</t>
        </is>
      </c>
      <c r="E554" s="6" t="inlineStr"/>
      <c r="F554" s="5" t="inlineStr"/>
    </row>
    <row r="555">
      <c r="A555" s="5" t="inlineStr">
        <is>
          <t>b10-huzurevi-turu</t>
        </is>
      </c>
      <c r="B555" s="5" t="inlineStr">
        <is>
          <t>Dayanıklılık</t>
        </is>
      </c>
      <c r="C555" s="5" t="inlineStr">
        <is>
          <t>Orta</t>
        </is>
      </c>
      <c r="D555" s="6" t="inlineStr">
        <is>
          <t>Burada sabah sekizde jimnastik var. Ben seninle gelmeyeceğim.</t>
        </is>
      </c>
      <c r="E555" s="6" t="inlineStr"/>
      <c r="F555" s="5" t="inlineStr"/>
    </row>
    <row r="556">
      <c r="A556" s="5" t="inlineStr">
        <is>
          <t>b10-torunun-dugunu</t>
        </is>
      </c>
      <c r="B556" s="5" t="inlineStr">
        <is>
          <t>Cesaret</t>
        </is>
      </c>
      <c r="C556" s="5" t="inlineStr">
        <is>
          <t>Orta</t>
        </is>
      </c>
      <c r="D556" s="6" t="inlineStr">
        <is>
          <t>Halaya ben girerim, dizler takip eder. Biraz geriden, ama eder.</t>
        </is>
      </c>
      <c r="E556" s="6" t="inlineStr"/>
      <c r="F556" s="5" t="inlineStr"/>
    </row>
    <row r="557">
      <c r="A557" s="5" t="inlineStr">
        <is>
          <t>b10-torunun-dugunu</t>
        </is>
      </c>
      <c r="B557" s="5" t="inlineStr">
        <is>
          <t>Sosyal Radar</t>
        </is>
      </c>
      <c r="C557" s="5" t="inlineStr">
        <is>
          <t>Kolay</t>
        </is>
      </c>
      <c r="D557" s="6" t="inlineStr">
        <is>
          <t>Dünür tarafından bir teyze seni üç kez süzdü. Seni tanıyor. Nereden?</t>
        </is>
      </c>
      <c r="E557" s="6" t="inlineStr"/>
      <c r="F557" s="5" t="inlineStr"/>
    </row>
    <row r="558">
      <c r="A558" s="5" t="inlineStr">
        <is>
          <t>b10-yapay-zeka-kitap</t>
        </is>
      </c>
      <c r="B558" s="5" t="inlineStr">
        <is>
          <t>İtibar</t>
        </is>
      </c>
      <c r="C558" s="5" t="inlineStr">
        <is>
          <t>Orta</t>
        </is>
      </c>
      <c r="D558" s="6" t="inlineStr">
        <is>
          <t>Makine her şeyi güzel anlatıyor. Güzel olmayanları da. Bu bir sorun.</t>
        </is>
      </c>
      <c r="E558" s="6" t="inlineStr"/>
      <c r="F558" s="5" t="inlineStr">
        <is>
          <t>E</t>
        </is>
      </c>
    </row>
    <row r="559">
      <c r="A559" s="5" t="inlineStr">
        <is>
          <t>b10-yapay-zeka-kitap</t>
        </is>
      </c>
      <c r="B559" s="5" t="inlineStr">
        <is>
          <t>Akıl</t>
        </is>
      </c>
      <c r="C559" s="5" t="inlineStr">
        <is>
          <t>Kolay</t>
        </is>
      </c>
      <c r="D559" s="6" t="inlineStr">
        <is>
          <t>Kitabın ilk bölümünün adı 'Bir Vazo, Bir Kedi, Bir Başlangıç.' Makine araştırmış.</t>
        </is>
      </c>
      <c r="E559" s="6" t="inlineStr"/>
      <c r="F559" s="5" t="inlineStr"/>
    </row>
    <row r="560">
      <c r="A560" s="5" t="inlineStr">
        <is>
          <t>b10-eski-ev</t>
        </is>
      </c>
      <c r="B560" s="5" t="inlineStr">
        <is>
          <t>Sosyal Radar</t>
        </is>
      </c>
      <c r="C560" s="5" t="inlineStr">
        <is>
          <t>Kolay</t>
        </is>
      </c>
      <c r="D560" s="6" t="inlineStr">
        <is>
          <t>Şu balkondaki kişi seni izliyor. Senin gibi bir balkoncu.</t>
        </is>
      </c>
      <c r="E560" s="6" t="inlineStr"/>
      <c r="F560" s="5" t="inlineStr"/>
    </row>
    <row r="561">
      <c r="A561" s="5" t="inlineStr">
        <is>
          <t>b10-eski-ev</t>
        </is>
      </c>
      <c r="B561" s="5" t="inlineStr">
        <is>
          <t>Cesaret</t>
        </is>
      </c>
      <c r="C561" s="5" t="inlineStr">
        <is>
          <t>Orta</t>
        </is>
      </c>
      <c r="D561" s="6" t="inlineStr">
        <is>
          <t>Kapıyı çal. En kötü ihtimalle birisi 'Kimi aradınız?' der.</t>
        </is>
      </c>
      <c r="E561" s="6" t="inlineStr"/>
      <c r="F561" s="5" t="inlineStr"/>
    </row>
    <row r="562">
      <c r="A562" s="5" t="inlineStr">
        <is>
          <t>b10-son-dans</t>
        </is>
      </c>
      <c r="B562" s="5" t="inlineStr">
        <is>
          <t>Cesaret</t>
        </is>
      </c>
      <c r="C562" s="5" t="inlineStr">
        <is>
          <t>Kolay</t>
        </is>
      </c>
      <c r="D562" s="6" t="inlineStr">
        <is>
          <t>Döndür bakalım! Bel ağrısını yarın konuşuruz.</t>
        </is>
      </c>
      <c r="E562" s="6" t="inlineStr"/>
      <c r="F562" s="5" t="inlineStr"/>
    </row>
    <row r="563">
      <c r="A563" s="5" t="inlineStr">
        <is>
          <t>b10-son-dans</t>
        </is>
      </c>
      <c r="B563" s="5" t="inlineStr">
        <is>
          <t>Gönül</t>
        </is>
      </c>
      <c r="C563" s="5" t="inlineStr">
        <is>
          <t>Orta</t>
        </is>
      </c>
      <c r="D563" s="6" t="inlineStr">
        <is>
          <t>Bu dansı kimse görmeyecek. En güzel danslar da öyledir.</t>
        </is>
      </c>
      <c r="E563" s="6" t="inlineStr"/>
      <c r="F563" s="5" t="inlineStr"/>
    </row>
    <row r="564">
      <c r="A564" s="5" t="inlineStr">
        <is>
          <t>b10-yalniz-ozgur</t>
        </is>
      </c>
      <c r="B564" s="5" t="inlineStr">
        <is>
          <t>Pişkinlik</t>
        </is>
      </c>
      <c r="C564" s="5" t="inlineStr">
        <is>
          <t>Kolay</t>
        </is>
      </c>
      <c r="D564" s="6" t="inlineStr">
        <is>
          <t>Bu evin tek sunucusu sensin. Yayın akışı senin.</t>
        </is>
      </c>
      <c r="E564" s="6" t="inlineStr"/>
      <c r="F564" s="5" t="inlineStr"/>
    </row>
    <row r="565">
      <c r="A565" s="5" t="inlineStr">
        <is>
          <t>b10-yalniz-ozgur</t>
        </is>
      </c>
      <c r="B565" s="5" t="inlineStr">
        <is>
          <t>İtibar</t>
        </is>
      </c>
      <c r="C565" s="5" t="inlineStr">
        <is>
          <t>Orta</t>
        </is>
      </c>
      <c r="D565" s="6" t="inlineStr">
        <is>
          <t>Özgürlük güzel. Ama arada bir kişi aranabilir, evladım.</t>
        </is>
      </c>
      <c r="E565" s="6" t="inlineStr"/>
      <c r="F565" s="5" t="inlineStr"/>
    </row>
    <row r="566">
      <c r="A566" s="5" t="inlineStr">
        <is>
          <t>b10-komsu-kedisi</t>
        </is>
      </c>
      <c r="B566" s="5" t="inlineStr">
        <is>
          <t>İtibar</t>
        </is>
      </c>
      <c r="C566" s="5" t="inlineStr">
        <is>
          <t>Kolay</t>
        </is>
      </c>
      <c r="D566" s="6" t="inlineStr">
        <is>
          <t>Bu kediye bir borcun var gibi hissediyorsun. Belki de seksen yıllık.</t>
        </is>
      </c>
      <c r="E566" s="6" t="inlineStr"/>
      <c r="F566" s="5" t="inlineStr"/>
    </row>
    <row r="567">
      <c r="A567" s="5" t="inlineStr">
        <is>
          <t>b10-komsu-kedisi</t>
        </is>
      </c>
      <c r="B567" s="5" t="inlineStr">
        <is>
          <t>Kurnazlık</t>
        </is>
      </c>
      <c r="C567" s="5" t="inlineStr">
        <is>
          <t>Orta</t>
        </is>
      </c>
      <c r="D567" s="6" t="inlineStr">
        <is>
          <t>Kedi senin mamanı yiyor ama komşuda yaşıyor. Çifte vatandaşlık.</t>
        </is>
      </c>
      <c r="E567" s="6" t="inlineStr"/>
      <c r="F567" s="5" t="inlineStr"/>
    </row>
    <row r="568">
      <c r="A568" s="5" t="inlineStr">
        <is>
          <t>b10-sabah-yuruyusu</t>
        </is>
      </c>
      <c r="B568" s="5" t="inlineStr">
        <is>
          <t>Dayanıklılık</t>
        </is>
      </c>
      <c r="C568" s="5" t="inlineStr">
        <is>
          <t>Orta</t>
        </is>
      </c>
      <c r="D568" s="6" t="inlineStr">
        <is>
          <t>Yokuşu say: yüz adım, bir nefes. Yüz adım, bir nefes. Bacaklar gelir.</t>
        </is>
      </c>
      <c r="E568" s="6" t="inlineStr"/>
      <c r="F568" s="5" t="inlineStr"/>
    </row>
    <row r="569">
      <c r="A569" s="5" t="inlineStr">
        <is>
          <t>b10-sabah-yuruyusu</t>
        </is>
      </c>
      <c r="B569" s="5" t="inlineStr">
        <is>
          <t>Kurnazlık</t>
        </is>
      </c>
      <c r="C569" s="5" t="inlineStr">
        <is>
          <t>Kolay</t>
        </is>
      </c>
      <c r="D569" s="6" t="inlineStr">
        <is>
          <t>Önden giden kişi köşeyi hep kısa kesiyor. Sen de kes.</t>
        </is>
      </c>
      <c r="E569" s="6" t="inlineStr"/>
      <c r="F569" s="5" t="inlineStr"/>
    </row>
    <row r="570">
      <c r="A570" s="5" t="inlineStr">
        <is>
          <t>b10-son-taksit</t>
        </is>
      </c>
      <c r="B570" s="5" t="inlineStr">
        <is>
          <t>Kurnazlık</t>
        </is>
      </c>
      <c r="C570" s="5" t="inlineStr">
        <is>
          <t>Orta</t>
        </is>
      </c>
      <c r="D570" s="6" t="inlineStr">
        <is>
          <t>Banka sana yeni bir kredi teklif ediyor. Vadesi otuz yıl. İyimserler.</t>
        </is>
      </c>
      <c r="E570" s="6" t="inlineStr"/>
      <c r="F570" s="5" t="inlineStr"/>
    </row>
    <row r="571">
      <c r="A571" s="5" t="inlineStr">
        <is>
          <t>b10-son-taksit</t>
        </is>
      </c>
      <c r="B571" s="5" t="inlineStr">
        <is>
          <t>Pişkinlik</t>
        </is>
      </c>
      <c r="C571" s="5" t="inlineStr">
        <is>
          <t>Kolay</t>
        </is>
      </c>
      <c r="D571" s="6" t="inlineStr">
        <is>
          <t>Şimdi bankaya gidip 'Ayrılık görüşmesi yapmak istiyorum' de.</t>
        </is>
      </c>
      <c r="E571" s="6" t="inlineStr"/>
      <c r="F571" s="5" t="inlineStr"/>
    </row>
    <row r="572">
      <c r="A572" s="5" t="inlineStr">
        <is>
          <t>b10-ehliyet-yenileme</t>
        </is>
      </c>
      <c r="B572" s="5" t="inlineStr">
        <is>
          <t>Cesaret</t>
        </is>
      </c>
      <c r="C572" s="5" t="inlineStr">
        <is>
          <t>Kolay</t>
        </is>
      </c>
      <c r="D572" s="6" t="inlineStr">
        <is>
          <t>Yetmiş yıldır direksiyondayım. Emekliliğimi kabul etmiyorum. Gaz pedalı sağda.</t>
        </is>
      </c>
      <c r="E572" s="6" t="inlineStr"/>
      <c r="F572" s="5" t="inlineStr"/>
    </row>
    <row r="573">
      <c r="A573" s="5" t="inlineStr">
        <is>
          <t>b10-ehliyet-yenileme</t>
        </is>
      </c>
      <c r="B573" s="5" t="inlineStr">
        <is>
          <t>Akıl</t>
        </is>
      </c>
      <c r="C573" s="5" t="inlineStr">
        <is>
          <t>Orta</t>
        </is>
      </c>
      <c r="D573" s="6" t="inlineStr">
        <is>
          <t>Göz testinde üçüncü satır hep aynı. Ezberin var.</t>
        </is>
      </c>
      <c r="E573" s="6" t="inlineStr"/>
      <c r="F573" s="5" t="inlineStr"/>
    </row>
    <row r="574">
      <c r="A574" s="5" t="inlineStr">
        <is>
          <t>b10-mahallenin-en-yaslisi</t>
        </is>
      </c>
      <c r="B574" s="5" t="inlineStr">
        <is>
          <t>Pişkinlik</t>
        </is>
      </c>
      <c r="C574" s="5" t="inlineStr">
        <is>
          <t>Orta</t>
        </is>
      </c>
      <c r="D574" s="6" t="inlineStr">
        <is>
          <t>Bu senin son büyük sahnen olabilir. Işıkları kendine çek.</t>
        </is>
      </c>
      <c r="E574" s="6" t="inlineStr"/>
      <c r="F574" s="5" t="inlineStr">
        <is>
          <t>E</t>
        </is>
      </c>
    </row>
    <row r="575">
      <c r="A575" s="5" t="inlineStr">
        <is>
          <t>b10-mahallenin-en-yaslisi</t>
        </is>
      </c>
      <c r="B575" s="5" t="inlineStr">
        <is>
          <t>İtibar</t>
        </is>
      </c>
      <c r="C575" s="5" t="inlineStr">
        <is>
          <t>Kolay</t>
        </is>
      </c>
      <c r="D575" s="6" t="inlineStr">
        <is>
          <t>Unvanın önceki sahibini hatırla. Bir dakikalık saygı yeterli.</t>
        </is>
      </c>
      <c r="E575" s="6" t="inlineStr"/>
      <c r="F575" s="5" t="inlineStr"/>
    </row>
    <row r="576">
      <c r="A576" s="5" t="inlineStr">
        <is>
          <t>b10-mezar-tasi-fotografi</t>
        </is>
      </c>
      <c r="B576" s="5" t="inlineStr">
        <is>
          <t>Pişkinlik</t>
        </is>
      </c>
      <c r="C576" s="5" t="inlineStr">
        <is>
          <t>Kolay</t>
        </is>
      </c>
      <c r="D576" s="6" t="inlineStr">
        <is>
          <t>Bu fotoğraf senden uzun yaşayacak. Dekorunu seç.</t>
        </is>
      </c>
      <c r="E576" s="6" t="inlineStr"/>
      <c r="F576" s="5" t="inlineStr"/>
    </row>
    <row r="577">
      <c r="A577" s="5" t="inlineStr">
        <is>
          <t>b10-mezar-tasi-fotografi</t>
        </is>
      </c>
      <c r="B577" s="5" t="inlineStr">
        <is>
          <t>Sosyal Radar</t>
        </is>
      </c>
      <c r="C577" s="5" t="inlineStr">
        <is>
          <t>Orta</t>
        </is>
      </c>
      <c r="D577" s="6" t="inlineStr">
        <is>
          <t>Ziyaretçiler fotoğrafa bakıp seni yorumlayacak. Işığa dikkat.</t>
        </is>
      </c>
      <c r="E577" s="6" t="inlineStr"/>
      <c r="F577" s="5" t="inlineStr"/>
    </row>
    <row r="578">
      <c r="A578" s="5" t="inlineStr">
        <is>
          <t>son-soz</t>
        </is>
      </c>
      <c r="B578" s="5" t="inlineStr">
        <is>
          <t>İtibar</t>
        </is>
      </c>
      <c r="C578" s="5" t="inlineStr">
        <is>
          <t>Kolay</t>
        </is>
      </c>
      <c r="D578" s="6" t="inlineStr">
        <is>
          <t>Yoruldun evladım. Güzel bir şey söyle, sonra dinlen.</t>
        </is>
      </c>
      <c r="E578" s="6" t="inlineStr"/>
      <c r="F578" s="5" t="inlineStr"/>
    </row>
    <row r="579">
      <c r="A579" s="5" t="inlineStr">
        <is>
          <t>son-soz</t>
        </is>
      </c>
      <c r="B579" s="5" t="inlineStr">
        <is>
          <t>Çene</t>
        </is>
      </c>
      <c r="C579" s="5" t="inlineStr">
        <is>
          <t>Kolay</t>
        </is>
      </c>
      <c r="D579" s="6" t="inlineStr">
        <is>
          <t>Son müşteri, son pazarlık. Kısa tut, akılda kalsın.</t>
        </is>
      </c>
      <c r="E579" s="6" t="inlineStr"/>
      <c r="F579" s="5" t="inlineStr"/>
    </row>
    <row r="580">
      <c r="A580" s="5" t="inlineStr">
        <is>
          <t>son-soz</t>
        </is>
      </c>
      <c r="B580" s="5" t="inlineStr">
        <is>
          <t>Cesaret</t>
        </is>
      </c>
      <c r="C580" s="5" t="inlineStr">
        <is>
          <t>Orta</t>
        </is>
      </c>
      <c r="D580" s="6" t="inlineStr">
        <is>
          <t>Hâlâ buradayım. Dizler gitti, ses gitti. Ama buradayım.</t>
        </is>
      </c>
      <c r="E580" s="6" t="inlineStr"/>
      <c r="F580" s="5" t="inlineStr"/>
    </row>
    <row r="581">
      <c r="A581" s="5" t="inlineStr">
        <is>
          <t>b6-askerlik-mezun</t>
        </is>
      </c>
      <c r="B581" s="5" t="inlineStr">
        <is>
          <t>Akıl</t>
        </is>
      </c>
      <c r="C581" s="5" t="inlineStr">
        <is>
          <t>Orta</t>
        </is>
      </c>
      <c r="D581" s="6" t="inlineStr">
        <is>
          <t>Kısa dönem altı aydır. Altı ay, bir staj kadar. Staj gibi düşün; maaşı yok, üniforması var.</t>
        </is>
      </c>
      <c r="E581" s="6" t="inlineStr"/>
      <c r="F581" s="5" t="inlineStr"/>
    </row>
    <row r="582">
      <c r="A582" s="5" t="inlineStr">
        <is>
          <t>b6-kisla</t>
        </is>
      </c>
      <c r="B582" s="5" t="inlineStr">
        <is>
          <t>Sosyal Radar</t>
        </is>
      </c>
      <c r="C582" s="5" t="inlineStr">
        <is>
          <t>Orta</t>
        </is>
      </c>
      <c r="D582" s="6" t="inlineStr">
        <is>
          <t>Komutanın köpeği her sabah yedide nöbet kulübesine uğruyor. Köpeği seven, komutanı sevmiş sayılır.</t>
        </is>
      </c>
      <c r="E582" s="6" t="inlineStr"/>
      <c r="F582" s="5" t="inlineStr">
        <is>
          <t>E</t>
        </is>
      </c>
    </row>
    <row r="583">
      <c r="A583" s="5" t="inlineStr">
        <is>
          <t>b6-kisla</t>
        </is>
      </c>
      <c r="B583" s="5" t="inlineStr">
        <is>
          <t>Cesaret</t>
        </is>
      </c>
      <c r="C583" s="5" t="inlineStr">
        <is>
          <t>Kolay</t>
        </is>
      </c>
      <c r="D583" s="6" t="inlineStr">
        <is>
          <t>Evlat, burada kahramanlık yok, düzen var. Düzen de bir tür kahramanlık.</t>
        </is>
      </c>
      <c r="E583" s="6" t="inlineStr"/>
      <c r="F583" s="5" t="inlineStr"/>
    </row>
    <row r="584">
      <c r="A584" s="5" t="inlineStr">
        <is>
          <t>b6-kisla</t>
        </is>
      </c>
      <c r="B584" s="5" t="inlineStr">
        <is>
          <t>Dayanıklılık</t>
        </is>
      </c>
      <c r="C584" s="5" t="inlineStr">
        <is>
          <t>Orta</t>
        </is>
      </c>
      <c r="D584" s="6" t="inlineStr">
        <is>
          <t>Nöbet saat üçte. Saat üç, vücudun en dürüst saatidir.</t>
        </is>
      </c>
      <c r="E584" s="6" t="inlineStr"/>
      <c r="F584" s="5" t="inlineStr"/>
    </row>
    <row r="585">
      <c r="A585" s="5" t="inlineStr">
        <is>
          <t>b6-erken-askerlik</t>
        </is>
      </c>
      <c r="B585" s="5" t="inlineStr">
        <is>
          <t>Sosyal Radar</t>
        </is>
      </c>
      <c r="C585" s="5" t="inlineStr">
        <is>
          <t>Orta</t>
        </is>
      </c>
      <c r="D585" s="6" t="inlineStr">
        <is>
          <t>Komutanın köpeği her sabah yedide nöbet kulübesine uğruyor. Köpeği seven, komutanı sevmiş sayılır.</t>
        </is>
      </c>
      <c r="E585" s="6" t="inlineStr"/>
      <c r="F585" s="5" t="inlineStr">
        <is>
          <t>E</t>
        </is>
      </c>
    </row>
    <row r="586">
      <c r="A586" s="5" t="inlineStr">
        <is>
          <t>b6-erken-askerlik</t>
        </is>
      </c>
      <c r="B586" s="5" t="inlineStr">
        <is>
          <t>Cesaret</t>
        </is>
      </c>
      <c r="C586" s="5" t="inlineStr">
        <is>
          <t>Kolay</t>
        </is>
      </c>
      <c r="D586" s="6" t="inlineStr">
        <is>
          <t>Evlat, burada kahramanlık yok, düzen var. Düzen de bir tür kahramanlık.</t>
        </is>
      </c>
      <c r="E586" s="6" t="inlineStr"/>
      <c r="F586" s="5" t="inlineStr"/>
    </row>
    <row r="587">
      <c r="A587" s="5" t="inlineStr">
        <is>
          <t>b6-erken-askerlik</t>
        </is>
      </c>
      <c r="B587" s="5" t="inlineStr">
        <is>
          <t>Dayanıklılık</t>
        </is>
      </c>
      <c r="C587" s="5" t="inlineStr">
        <is>
          <t>Orta</t>
        </is>
      </c>
      <c r="D587" s="6" t="inlineStr">
        <is>
          <t>Nöbet saat üçte. Saat üç, vücudun en dürüst saatidir.</t>
        </is>
      </c>
      <c r="E587" s="6" t="inlineStr"/>
      <c r="F587" s="5" t="inlineStr"/>
    </row>
    <row r="588">
      <c r="A588" s="5" t="inlineStr">
        <is>
          <t>b6-evden-cikis</t>
        </is>
      </c>
      <c r="B588" s="5" t="inlineStr">
        <is>
          <t>İtibar</t>
        </is>
      </c>
      <c r="C588" s="5" t="inlineStr">
        <is>
          <t>Orta</t>
        </is>
      </c>
      <c r="D588" s="6" t="inlineStr">
        <is>
          <t>Annen odanı her gün topluyor. Toplayacak odası kalmazsa ne yapacağını düşündün mü?</t>
        </is>
      </c>
      <c r="E588" s="6" t="inlineStr"/>
      <c r="F588" s="5" t="inlineStr"/>
    </row>
    <row r="589">
      <c r="A589" s="5" t="inlineStr">
        <is>
          <t>b6-evden-cikis</t>
        </is>
      </c>
      <c r="B589" s="5" t="inlineStr">
        <is>
          <t>Akıl</t>
        </is>
      </c>
      <c r="C589" s="5" t="inlineStr">
        <is>
          <t>Kolay</t>
        </is>
      </c>
      <c r="D589" s="6" t="inlineStr">
        <is>
          <t>Kira, eline geçenin üçte biri. Evde kalırsan üçte biri cebinde; üçte biri de ailenin sorularında.</t>
        </is>
      </c>
      <c r="E589" s="6" t="inlineStr"/>
      <c r="F589" s="5" t="inlineStr"/>
    </row>
    <row r="590">
      <c r="A590" s="5" t="inlineStr">
        <is>
          <t>b6-hayat-yolu</t>
        </is>
      </c>
      <c r="B590" s="5" t="inlineStr">
        <is>
          <t>Kurnazlık</t>
        </is>
      </c>
      <c r="C590" s="5" t="inlineStr">
        <is>
          <t>Kolay</t>
        </is>
      </c>
      <c r="D590" s="6" t="inlineStr">
        <is>
          <t>Hangi yolu seçersen seç, ilk yıl çayı sen koyacaksın.</t>
        </is>
      </c>
      <c r="E590" s="6" t="inlineStr"/>
      <c r="F590" s="5" t="inlineStr"/>
    </row>
    <row r="591">
      <c r="A591" s="5" t="inlineStr">
        <is>
          <t>b6-hayat-yolu</t>
        </is>
      </c>
      <c r="B591" s="5" t="inlineStr">
        <is>
          <t>İtibar</t>
        </is>
      </c>
      <c r="C591" s="5" t="inlineStr">
        <is>
          <t>Orta</t>
        </is>
      </c>
      <c r="D591" s="6" t="inlineStr">
        <is>
          <t>Mahallede herkes kolay parayı konuşur. Kolay paranın kolay bittiğini kimse konuşmaz.</t>
        </is>
      </c>
      <c r="E591" s="6" t="inlineStr"/>
      <c r="F591" s="5" t="inlineStr"/>
    </row>
    <row r="592">
      <c r="A592" s="5" t="inlineStr">
        <is>
          <t>b1-misafir-geldi</t>
        </is>
      </c>
      <c r="B592" s="5" t="inlineStr">
        <is>
          <t>Sosyal Radar</t>
        </is>
      </c>
      <c r="C592" s="5" t="inlineStr">
        <is>
          <t>Kolay</t>
        </is>
      </c>
      <c r="D592" s="6" t="inlineStr">
        <is>
          <t>Teyze annene bakıyor, annen vitrine, vitrin sana. Üçgen tamam.</t>
        </is>
      </c>
      <c r="E592" s="6" t="inlineStr"/>
      <c r="F592" s="5" t="inlineStr"/>
    </row>
    <row r="593">
      <c r="A593" s="5" t="inlineStr">
        <is>
          <t>b1-misafir-geldi</t>
        </is>
      </c>
      <c r="B593" s="5" t="inlineStr">
        <is>
          <t>Kurnazlık</t>
        </is>
      </c>
      <c r="C593" s="5" t="inlineStr">
        <is>
          <t>Orta</t>
        </is>
      </c>
      <c r="D593" s="6" t="inlineStr">
        <is>
          <t>Misafir varken ceza yok. Bu bilgi bir saat geçerli.</t>
        </is>
      </c>
      <c r="E593" s="6" t="inlineStr"/>
      <c r="F593" s="5" t="inlineStr"/>
    </row>
    <row r="594">
      <c r="A594" s="5" t="inlineStr">
        <is>
          <t>b2-kardes-geldi</t>
        </is>
      </c>
      <c r="B594" s="5" t="inlineStr">
        <is>
          <t>Gönül</t>
        </is>
      </c>
      <c r="C594" s="5" t="inlineStr">
        <is>
          <t>Orta</t>
        </is>
      </c>
      <c r="D594" s="6" t="inlineStr">
        <is>
          <t>Bak, parmağını tuttu. Elinin yarısı kadar. Sevmemek için çok geç.</t>
        </is>
      </c>
      <c r="E594" s="6" t="inlineStr"/>
      <c r="F594" s="5" t="inlineStr"/>
    </row>
    <row r="595">
      <c r="A595" s="5" t="inlineStr">
        <is>
          <t>b2-kardes-geldi</t>
        </is>
      </c>
      <c r="B595" s="5" t="inlineStr">
        <is>
          <t>Kurnazlık</t>
        </is>
      </c>
      <c r="C595" s="5" t="inlineStr">
        <is>
          <t>Kolay</t>
        </is>
      </c>
      <c r="D595" s="6" t="inlineStr">
        <is>
          <t>Misafirler bebeğe hediye getiriyor. Bebek hediyeden anlamıyor. Hediyelerin bir sahibi lazım.</t>
        </is>
      </c>
      <c r="E595" s="6" t="inlineStr"/>
      <c r="F595" s="5" t="inlineStr"/>
    </row>
    <row r="596">
      <c r="A596" s="5" t="inlineStr">
        <is>
          <t>b2-bayram-sabahi</t>
        </is>
      </c>
      <c r="B596" s="5" t="inlineStr">
        <is>
          <t>Kurnazlık</t>
        </is>
      </c>
      <c r="C596" s="5" t="inlineStr">
        <is>
          <t>Kolay</t>
        </is>
      </c>
      <c r="D596" s="6" t="inlineStr">
        <is>
          <t>Deden sağ cebinden veriyor, halan çantasından. Sırayı ona göre kur.</t>
        </is>
      </c>
      <c r="E596" s="6" t="inlineStr"/>
      <c r="F596" s="5" t="inlineStr"/>
    </row>
    <row r="597">
      <c r="A597" s="5" t="inlineStr">
        <is>
          <t>b2-bayram-sabahi</t>
        </is>
      </c>
      <c r="B597" s="5" t="inlineStr">
        <is>
          <t>Sosyal Radar</t>
        </is>
      </c>
      <c r="C597" s="5" t="inlineStr">
        <is>
          <t>Orta</t>
        </is>
      </c>
      <c r="D597" s="6" t="inlineStr">
        <is>
          <t>Köşedeki amca üç yıldır aynı bozukluğu veriyor. Ona en son git.</t>
        </is>
      </c>
      <c r="E597" s="6" t="inlineStr"/>
      <c r="F597" s="5" t="inlineStr"/>
    </row>
    <row r="598">
      <c r="A598" s="5" t="inlineStr">
        <is>
          <t>b3-okuma-bayrami</t>
        </is>
      </c>
      <c r="B598" s="5" t="inlineStr">
        <is>
          <t>Cesaret</t>
        </is>
      </c>
      <c r="C598" s="5" t="inlineStr">
        <is>
          <t>Kolay</t>
        </is>
      </c>
      <c r="D598" s="6" t="inlineStr">
        <is>
          <t>Bir cümle, evladım. Göğsünü çıkar, mikrofona eğil, oku. Gerisi alkış.</t>
        </is>
      </c>
      <c r="E598" s="6" t="inlineStr"/>
      <c r="F598" s="5" t="inlineStr"/>
    </row>
    <row r="599">
      <c r="A599" s="5" t="inlineStr">
        <is>
          <t>b3-okuma-bayrami</t>
        </is>
      </c>
      <c r="B599" s="5" t="inlineStr">
        <is>
          <t>Sosyal Radar</t>
        </is>
      </c>
      <c r="C599" s="5" t="inlineStr">
        <is>
          <t>Orta</t>
        </is>
      </c>
      <c r="D599" s="6" t="inlineStr">
        <is>
          <t>Ön sıradaki teyzeler kimin çocuğunun hecelediğini sayıyor. Babaannen de sayıyor.</t>
        </is>
      </c>
      <c r="E599" s="6" t="inlineStr"/>
      <c r="F599" s="5" t="inlineStr"/>
    </row>
    <row r="600">
      <c r="A600" s="5" t="inlineStr">
        <is>
          <t>b5-kuzenin-dugunu</t>
        </is>
      </c>
      <c r="B600" s="5" t="inlineStr">
        <is>
          <t>Sosyal Radar</t>
        </is>
      </c>
      <c r="C600" s="5" t="inlineStr">
        <is>
          <t>Kolay</t>
        </is>
      </c>
      <c r="D600" s="6" t="inlineStr">
        <is>
          <t>Takı töreninde kimin ne taktığı anons edilecek kuzum. Yarın bütün mahalle rakamları konuşur.</t>
        </is>
      </c>
      <c r="E600" s="6" t="inlineStr"/>
      <c r="F600" s="5" t="inlineStr"/>
    </row>
    <row r="601">
      <c r="A601" s="5" t="inlineStr">
        <is>
          <t>b5-kuzenin-dugunu</t>
        </is>
      </c>
      <c r="B601" s="5" t="inlineStr">
        <is>
          <t>Pişkinlik</t>
        </is>
      </c>
      <c r="C601" s="5" t="inlineStr">
        <is>
          <t>Orta</t>
        </is>
      </c>
      <c r="D601" s="6" t="inlineStr">
        <is>
          <t>Halay başında mendil boşta. Sahne seni bekliyor.</t>
        </is>
      </c>
      <c r="E601" s="6" t="inlineStr"/>
      <c r="F601" s="5" t="inlineStr"/>
    </row>
    <row r="602">
      <c r="A602" s="5" t="inlineStr">
        <is>
          <t>b6-anneannenin-sandalyesi</t>
        </is>
      </c>
      <c r="B602" s="5" t="inlineStr">
        <is>
          <t>Gönül</t>
        </is>
      </c>
      <c r="C602" s="5" t="inlineStr">
        <is>
          <t>Orta</t>
        </is>
      </c>
      <c r="D602" s="6" t="inlineStr">
        <is>
          <t>Herkes teyzeni teselli ediyor. Annene bakan yok.</t>
        </is>
      </c>
      <c r="E602" s="6" t="inlineStr"/>
      <c r="F602" s="5" t="inlineStr"/>
    </row>
    <row r="603">
      <c r="A603" s="5" t="inlineStr">
        <is>
          <t>b6-anneannenin-sandalyesi</t>
        </is>
      </c>
      <c r="B603" s="5" t="inlineStr">
        <is>
          <t>Sosyal Radar</t>
        </is>
      </c>
      <c r="C603" s="5" t="inlineStr">
        <is>
          <t>Kolay</t>
        </is>
      </c>
      <c r="D603" s="6" t="inlineStr">
        <is>
          <t>Dayınla teyzen mutfakta fısıldaşıyor. “Ev” kelimesi üçüncü kez geçti.</t>
        </is>
      </c>
      <c r="E603" s="6" t="inlineStr"/>
      <c r="F603" s="5" t="inlineStr"/>
    </row>
    <row r="604">
      <c r="A604" s="5" t="inlineStr">
        <is>
          <t>b7-bebegin-adi</t>
        </is>
      </c>
      <c r="B604" s="5" t="inlineStr">
        <is>
          <t>Gönül</t>
        </is>
      </c>
      <c r="C604" s="5" t="inlineStr">
        <is>
          <t>Kolay</t>
        </is>
      </c>
      <c r="D604" s="6" t="inlineStr">
        <is>
          <t>Bak, avucunu sıkıyor; parmağını bırakmıyor. Ad sonra gelir.</t>
        </is>
      </c>
      <c r="E604" s="6" t="inlineStr"/>
      <c r="F604" s="5" t="inlineStr"/>
    </row>
    <row r="605">
      <c r="A605" s="5" t="inlineStr">
        <is>
          <t>b7-bebegin-adi</t>
        </is>
      </c>
      <c r="B605" s="5" t="inlineStr">
        <is>
          <t>Sosyal Radar</t>
        </is>
      </c>
      <c r="C605" s="5" t="inlineStr">
        <is>
          <t>Orta</t>
        </is>
      </c>
      <c r="D605" s="6" t="inlineStr">
        <is>
          <t>Babaanne çantasına altını çoktan koymuş. Ad onun dediği olmazsa altın biraz küçülecek.</t>
        </is>
      </c>
      <c r="E605" s="6" t="inlineStr"/>
      <c r="F605" s="5" t="inlineStr"/>
    </row>
    <row r="606">
      <c r="A606" s="5" t="inlineStr">
        <is>
          <t>b7-okulun-ilk-gunu</t>
        </is>
      </c>
      <c r="B606" s="5" t="inlineStr">
        <is>
          <t>Gönül</t>
        </is>
      </c>
      <c r="C606" s="5" t="inlineStr">
        <is>
          <t>Orta</t>
        </is>
      </c>
      <c r="D606" s="6" t="inlineStr">
        <is>
          <t>Sen de bir bahçede birinin elini bırakamamıştın. Şimdi bırakma sırası sende.</t>
        </is>
      </c>
      <c r="E606" s="6" t="inlineStr"/>
      <c r="F606" s="5" t="inlineStr"/>
    </row>
    <row r="607">
      <c r="A607" s="5" t="inlineStr">
        <is>
          <t>b7-okulun-ilk-gunu</t>
        </is>
      </c>
      <c r="B607" s="5" t="inlineStr">
        <is>
          <t>Sosyal Radar</t>
        </is>
      </c>
      <c r="C607" s="5" t="inlineStr">
        <is>
          <t>Kolay</t>
        </is>
      </c>
      <c r="D607" s="6" t="inlineStr">
        <is>
          <t>Öğretmen ağlayan çocukları değil, ağlayan velileri sayıyor.</t>
        </is>
      </c>
      <c r="E607" s="6" t="inlineStr"/>
      <c r="F607" s="5" t="inlineStr"/>
    </row>
    <row r="608">
      <c r="A608" s="5" t="inlineStr">
        <is>
          <t>b8-taki-sirasi</t>
        </is>
      </c>
      <c r="B608" s="5" t="inlineStr">
        <is>
          <t>Sosyal Radar</t>
        </is>
      </c>
      <c r="C608" s="5" t="inlineStr">
        <is>
          <t>Kolay</t>
        </is>
      </c>
      <c r="D608" s="6" t="inlineStr">
        <is>
          <t>Mikrofondaki amca her zarfı önce eliyle tartıyor. Anonsun sesi zarfın kalınlığıyla yükseliyor.</t>
        </is>
      </c>
      <c r="E608" s="6" t="inlineStr"/>
      <c r="F608" s="5" t="inlineStr"/>
    </row>
    <row r="609">
      <c r="A609" s="5" t="inlineStr">
        <is>
          <t>b8-taki-sirasi</t>
        </is>
      </c>
      <c r="B609" s="5" t="inlineStr">
        <is>
          <t>İtibar</t>
        </is>
      </c>
      <c r="C609" s="5" t="inlineStr">
        <is>
          <t>Orta</t>
        </is>
      </c>
      <c r="D609" s="6" t="inlineStr">
        <is>
          <t>Bu salonda ne taktığın, otuz yıl sonra başka bir düğünde yeniden anlatılacak. Ona göre.</t>
        </is>
      </c>
      <c r="E609" s="6" t="inlineStr"/>
      <c r="F609" s="5" t="inlineStr"/>
    </row>
    <row r="610">
      <c r="A610" s="5" t="inlineStr">
        <is>
          <t>b8-babanin-evi</t>
        </is>
      </c>
      <c r="B610" s="5" t="inlineStr">
        <is>
          <t>Gönül</t>
        </is>
      </c>
      <c r="C610" s="5" t="inlineStr">
        <is>
          <t>Orta</t>
        </is>
      </c>
      <c r="D610" s="6" t="inlineStr">
        <is>
          <t>Karneyi neden sakladığını hiç sormadın. Artık soramazsın. Cebine koy.</t>
        </is>
      </c>
      <c r="E610" s="6" t="inlineStr"/>
      <c r="F610" s="5" t="inlineStr"/>
    </row>
    <row r="611">
      <c r="A611" s="5" t="inlineStr">
        <is>
          <t>b8-babanin-evi</t>
        </is>
      </c>
      <c r="B611" s="5" t="inlineStr">
        <is>
          <t>Sosyal Radar</t>
        </is>
      </c>
      <c r="C611" s="5" t="inlineStr">
        <is>
          <t>Kolay</t>
        </is>
      </c>
      <c r="D611" s="6" t="inlineStr">
        <is>
          <t>Annen salonda oturuyor ama kulağı bu odada. Her çekmece açılınca iç çekiyor.</t>
        </is>
      </c>
      <c r="E611" s="6" t="inlineStr"/>
      <c r="F611" s="5" t="inlineStr"/>
    </row>
    <row r="612">
      <c r="A612" s="5" t="inlineStr">
        <is>
          <t>b9-dunurler</t>
        </is>
      </c>
      <c r="B612" s="5" t="inlineStr">
        <is>
          <t>Sosyal Radar</t>
        </is>
      </c>
      <c r="C612" s="5" t="inlineStr">
        <is>
          <t>Orta</t>
        </is>
      </c>
      <c r="D612" s="6" t="inlineStr">
        <is>
          <t>Dünür hanım çantasını iki eliyle tutuyor. Ya çok heyecanlı ya bir şartı var.</t>
        </is>
      </c>
      <c r="E612" s="6" t="inlineStr"/>
      <c r="F612" s="5" t="inlineStr"/>
    </row>
    <row r="613">
      <c r="A613" s="5" t="inlineStr">
        <is>
          <t>b9-dunurler</t>
        </is>
      </c>
      <c r="B613" s="5" t="inlineStr">
        <is>
          <t>Çene</t>
        </is>
      </c>
      <c r="C613" s="5" t="inlineStr">
        <is>
          <t>Kolay</t>
        </is>
      </c>
      <c r="D613" s="6" t="inlineStr">
        <is>
          <t>İlk cümleyi kim kurarsa düğün salonunu da o seçer.</t>
        </is>
      </c>
      <c r="E613" s="6" t="inlineStr"/>
      <c r="F613" s="5" t="inlineStr"/>
    </row>
    <row r="614">
      <c r="A614" s="5" t="inlineStr">
        <is>
          <t>b10-tek-fincan</t>
        </is>
      </c>
      <c r="B614" s="5" t="inlineStr">
        <is>
          <t>Gönül</t>
        </is>
      </c>
      <c r="C614" s="5" t="inlineStr">
        <is>
          <t>Orta</t>
        </is>
      </c>
      <c r="D614" s="6" t="inlineStr">
        <is>
          <t>Yastığını değiştirme daha. Kokusu bir hafta daha kalır.</t>
        </is>
      </c>
      <c r="E614" s="6" t="inlineStr"/>
      <c r="F614" s="5" t="inlineStr"/>
    </row>
    <row r="615">
      <c r="A615" s="5" t="inlineStr">
        <is>
          <t>b10-tek-fincan</t>
        </is>
      </c>
      <c r="B615" s="5" t="inlineStr">
        <is>
          <t>Sosyal Radar</t>
        </is>
      </c>
      <c r="C615" s="5" t="inlineStr">
        <is>
          <t>Kolay</t>
        </is>
      </c>
      <c r="D615" s="6" t="inlineStr">
        <is>
          <t>Karşı komşu üç gündür kapına yemek bırakıyor. Tabakları geri vermedin; o da sormuyor.</t>
        </is>
      </c>
      <c r="E615" s="6" t="inlineStr"/>
      <c r="F615" s="5" t="inlineStr"/>
    </row>
    <row r="616">
      <c r="A616" s="5" t="inlineStr">
        <is>
          <t>b10-tek-fincan</t>
        </is>
      </c>
      <c r="B616" s="5" t="inlineStr">
        <is>
          <t>Dayanıklılık</t>
        </is>
      </c>
      <c r="C616" s="5" t="inlineStr">
        <is>
          <t>Kolay</t>
        </is>
      </c>
      <c r="D616" s="6" t="inlineStr">
        <is>
          <t>Bugün sadece kalk. Yarın kapıyı aç. Uzun yol böyle yürünür.</t>
        </is>
      </c>
      <c r="E616" s="6" t="inlineStr"/>
      <c r="F616" s="5" t="inlineStr"/>
    </row>
  </sheetData>
  <autoFilter ref="A1:F616"/>
  <dataValidations count="3">
    <dataValidation sqref="B2:B1015" showDropDown="0" showInputMessage="0" showErrorMessage="1" allowBlank="1" errorTitle="Geçersiz değer" error="Listeden bir değer seçin." type="list">
      <formula1>"Akıl,Çene,Kurnazlık,Cesaret,Pişkinlik,İtibar,Gönül,Dayanıklılık,Sosyal Radar"</formula1>
    </dataValidation>
    <dataValidation sqref="C2:C1015" showDropDown="0" showInputMessage="0" showErrorMessage="1" allowBlank="1" errorTitle="Geçersiz değer" error="Listeden bir değer seçin." type="list">
      <formula1>"Kolay,Orta,Zor,Çok Zor"</formula1>
    </dataValidation>
    <dataValidation sqref="F2:F1015" showDropDown="0" showInputMessage="0" showErrorMessage="1" allowBlank="1" errorTitle="Geçersiz değer" error="Listeden bir değer seçin." type="list">
      <formula1>"E"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21"/>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80" customWidth="1" min="3" max="3"/>
  </cols>
  <sheetData>
    <row r="1" ht="32" customHeight="1">
      <c r="A1" s="4" t="inlineStr">
        <is>
          <t>Olay ID</t>
        </is>
      </c>
      <c r="B1" s="4" t="inlineStr">
        <is>
          <t>Hafıza</t>
        </is>
      </c>
      <c r="C1" s="4" t="inlineStr">
        <is>
          <t>Geçmişten metni</t>
        </is>
      </c>
    </row>
    <row r="2">
      <c r="A2" s="5" t="inlineStr">
        <is>
          <t>ilk-harclik</t>
        </is>
      </c>
      <c r="B2" s="5" t="inlineStr">
        <is>
          <t>ilkKelimePara</t>
        </is>
      </c>
      <c r="C2" s="6" t="inlineStr">
        <is>
          <t>İlk kelimen 'Para' olduğundan beri bu konuda seni ciddiye alıyorlar.</t>
        </is>
      </c>
    </row>
    <row r="3">
      <c r="A3" s="5" t="inlineStr">
        <is>
          <t>kim-yapti</t>
        </is>
      </c>
      <c r="B3" s="5" t="inlineStr">
        <is>
          <t>kediSuclu</t>
        </is>
      </c>
      <c r="C3" s="6" t="inlineStr">
        <is>
          <t>Vazo olayından beri ev halkı kedinin ifadelerine daha az, seninkilere daha çok dikkat ediyor.</t>
        </is>
      </c>
    </row>
    <row r="4">
      <c r="A4" s="5" t="inlineStr">
        <is>
          <t>ilk-gercek-yalan</t>
        </is>
      </c>
      <c r="B4" s="5" t="inlineStr">
        <is>
          <t>kediSuclu</t>
        </is>
      </c>
      <c r="C4" s="6" t="inlineStr">
        <is>
          <t>Annen bir an kediye baktı, sonra vazgeçti. Vazodan beri bu evde kediye kimse inanmıyor.</t>
        </is>
      </c>
    </row>
    <row r="5">
      <c r="A5" s="5" t="inlineStr">
        <is>
          <t>ilk-gercek-yalan</t>
        </is>
      </c>
      <c r="B5" s="5" t="inlineStr">
        <is>
          <t>yalanci</t>
        </is>
      </c>
      <c r="C5" s="6" t="inlineStr">
        <is>
          <t>Duvardaki güneşten beri bu evde “Kim yaptı?” sorulunca herkes önce senin ellerine bakıyor. Bugün ellerin temiz; dudağın değil.</t>
        </is>
      </c>
    </row>
    <row r="6">
      <c r="A6" s="5" t="inlineStr">
        <is>
          <t>kirilan-oyuncak</t>
        </is>
      </c>
      <c r="B6" s="5" t="inlineStr">
        <is>
          <t>kediSuclu</t>
        </is>
      </c>
      <c r="C6" s="6" t="inlineStr">
        <is>
          <t>Bu evde bir şey kırılınca artık önce sana bakıyorlar. Kedi aklandı.</t>
        </is>
      </c>
    </row>
    <row r="7">
      <c r="A7" s="5" t="inlineStr">
        <is>
          <t>harclik-pazarligi</t>
        </is>
      </c>
      <c r="B7" s="5" t="inlineStr">
        <is>
          <t>ilkKelimePara</t>
        </is>
      </c>
      <c r="C7" s="6" t="inlineStr">
        <is>
          <t>İlk kelimesi 'Para' olan birinden beklenen an nihayet geldi.</t>
        </is>
      </c>
    </row>
    <row r="8">
      <c r="A8" s="5" t="inlineStr">
        <is>
          <t>ilkokul-kapisi</t>
        </is>
      </c>
      <c r="B8" s="5" t="inlineStr">
        <is>
          <t>yapiskan</t>
        </is>
      </c>
      <c r="C8" s="6" t="inlineStr">
        <is>
          <t>Kreş kapısındaki bacak olayı ailede hâlâ anlatılıyor.</t>
        </is>
      </c>
    </row>
    <row r="9">
      <c r="A9" s="5" t="inlineStr">
        <is>
          <t>sira-arkadasi</t>
        </is>
      </c>
      <c r="B9" s="5" t="inlineStr">
        <is>
          <t>sirVerdi</t>
        </is>
      </c>
      <c r="C9" s="6" t="inlineStr">
        <is>
          <t>Kreşteki sır hikâyesi okula senden önce gelmiş. Yeni sıra arkadaşın biraz temkinli.</t>
        </is>
      </c>
    </row>
    <row r="10">
      <c r="A10" s="5" t="inlineStr">
        <is>
          <t>odev-nerede</t>
        </is>
      </c>
      <c r="B10" s="5" t="inlineStr">
        <is>
          <t>kediSuclu</t>
        </is>
      </c>
      <c r="C10" s="6" t="inlineStr">
        <is>
          <t>Bu evde suç hep kediye atılır. Kedi bunu biliyor; bu sabah ödev defterinin yanına bile yaklaşmıyor.</t>
        </is>
      </c>
    </row>
    <row r="11">
      <c r="A11" s="5" t="inlineStr">
        <is>
          <t>bayram-harcligi</t>
        </is>
      </c>
      <c r="B11" s="5" t="inlineStr">
        <is>
          <t>ilkKelimePara</t>
        </is>
      </c>
      <c r="C11" s="6" t="inlineStr">
        <is>
          <t>Akrabalar zarfı uzatırken 'Hani ilk kelimesi para olan' diye gülüştü.</t>
        </is>
      </c>
    </row>
    <row r="12">
      <c r="A12" s="5" t="inlineStr">
        <is>
          <t>mahalle-maci</t>
        </is>
      </c>
      <c r="B12" s="5" t="inlineStr">
        <is>
          <t>cesurPark</t>
        </is>
      </c>
      <c r="C12" s="6" t="inlineStr">
        <is>
          <t>Parktaki büyük çocuk karşı takımda. Seni tanıdı, selam verdi.</t>
        </is>
      </c>
    </row>
    <row r="13">
      <c r="A13" s="5" t="inlineStr">
        <is>
          <t>mahalle-maci</t>
        </is>
      </c>
      <c r="B13" s="5" t="inlineStr">
        <is>
          <t>mahalle-cocugu</t>
        </is>
      </c>
      <c r="C13" s="6" t="inlineStr">
        <is>
          <t>Mahallenin çocuğusun; bu sahada her taşın yerini biliyorsun.</t>
        </is>
      </c>
    </row>
    <row r="14">
      <c r="A14" s="5" t="inlineStr">
        <is>
          <t>kedi-istiyoruz</t>
        </is>
      </c>
      <c r="B14" s="5" t="inlineStr">
        <is>
          <t>kediSuclu</t>
        </is>
      </c>
      <c r="C14" s="6" t="inlineStr">
        <is>
          <t>Vazo olayından beri babaannen her sofrada aynı cümleyi kuruyor: “Kediye güven olmaz.”</t>
        </is>
      </c>
    </row>
    <row r="15">
      <c r="A15" s="5" t="inlineStr">
        <is>
          <t>tablet-saati</t>
        </is>
      </c>
      <c r="B15" s="5" t="inlineStr">
        <is>
          <t>ekran-cocugu</t>
        </is>
      </c>
      <c r="C15" s="6" t="inlineStr">
        <is>
          <t>Tabletle büyüdün. Bu evde ekran süresi senin için bir kural değil, bir pazarlık konusu.</t>
        </is>
      </c>
    </row>
    <row r="16">
      <c r="A16" s="5" t="inlineStr">
        <is>
          <t>veli-toplantisi</t>
        </is>
      </c>
      <c r="B16" s="5" t="inlineStr">
        <is>
          <t>yalanci</t>
        </is>
      </c>
      <c r="C16" s="6" t="inlineStr">
        <is>
          <t>Öğretmen söze “Çok yaratıcı bir çocuk” diye başladı. Annen bu cümlenin devamını biliyor.</t>
        </is>
      </c>
    </row>
    <row r="17">
      <c r="A17" s="5" t="inlineStr">
        <is>
          <t>veli-toplantisi</t>
        </is>
      </c>
      <c r="B17" s="5" t="inlineStr">
        <is>
          <t>camKirildi</t>
        </is>
      </c>
      <c r="C17" s="6" t="inlineStr">
        <is>
          <t>Konu bir ara komşunun camına geldi. Öğretmen de biliyor: camın sahibi alt kat amcası, öğretmenin eniştesiymiş.</t>
        </is>
      </c>
    </row>
    <row r="18">
      <c r="A18" s="5" t="inlineStr">
        <is>
          <t>veli-toplantisi</t>
        </is>
      </c>
      <c r="B18" s="5" t="inlineStr">
        <is>
          <t>baskan</t>
        </is>
      </c>
      <c r="C18" s="6" t="inlineStr">
        <is>
          <t>Sınıf başkanlığın hanene artı olarak yazıldı.</t>
        </is>
      </c>
    </row>
    <row r="19">
      <c r="A19" s="5" t="inlineStr">
        <is>
          <t>b4-ilk-telefon</t>
        </is>
      </c>
      <c r="B19" s="5" t="inlineStr">
        <is>
          <t>yalanci</t>
        </is>
      </c>
      <c r="C19" s="6" t="inlineStr">
        <is>
          <t>Ailen “Kim yaptı?” gününü unutmadı. Telefonun ilk ayarı ekran süresi oldu: günde bir saat.</t>
        </is>
      </c>
    </row>
    <row r="20">
      <c r="A20" s="5" t="inlineStr">
        <is>
          <t>b4-aile-grubu</t>
        </is>
      </c>
      <c r="B20" s="5" t="inlineStr">
        <is>
          <t>sirVerdi</t>
        </is>
      </c>
      <c r="C20" s="6" t="inlineStr">
        <is>
          <t>Grup, kreşteki sır olayından haberdar. Bu grupta herkes her şeyden haberdar.</t>
        </is>
      </c>
    </row>
    <row r="21">
      <c r="A21" s="5" t="inlineStr">
        <is>
          <t>b4-flut</t>
        </is>
      </c>
      <c r="B21" s="5" t="inlineStr">
        <is>
          <t>yalanci</t>
        </is>
      </c>
      <c r="C21" s="6" t="inlineStr">
        <is>
          <t>Ailen “flüt kayboldu” cümlesini daha duymadan biliyor. Babaannen “Bu çocuğun eşyası kaybolmaz, saklanır” diyor.</t>
        </is>
      </c>
    </row>
    <row r="22">
      <c r="A22" s="5" t="inlineStr">
        <is>
          <t>b4-kuzen-kiyaslama</t>
        </is>
      </c>
      <c r="B22" s="5" t="inlineStr">
        <is>
          <t>alcili-kol</t>
        </is>
      </c>
      <c r="C22" s="6" t="inlineStr">
        <is>
          <t>Teyzen alçılı kol olayını hatırlattı. Kuzenin hiç kolunu kırmamış. Bu da bir başarı sayıldı.</t>
        </is>
      </c>
    </row>
    <row r="23">
      <c r="A23" s="5" t="inlineStr">
        <is>
          <t>b4-mahalle-haraccilari</t>
        </is>
      </c>
      <c r="B23" s="5" t="inlineStr">
        <is>
          <t>cesurPark</t>
        </is>
      </c>
      <c r="C23" s="6" t="inlineStr">
        <is>
          <t>Parktaki büyük çocuğa kafa tutmuştun. Büyük çocuklar büyüdü. Sen de biraz.</t>
        </is>
      </c>
    </row>
    <row r="24">
      <c r="A24" s="5" t="inlineStr">
        <is>
          <t>b4-ogretmenler-gunu</t>
        </is>
      </c>
      <c r="B24" s="5" t="inlineStr">
        <is>
          <t>baskan</t>
        </is>
      </c>
      <c r="C24" s="6" t="inlineStr">
        <is>
          <t>Eski sınıf başkanı olduğun için para toplama işi herkesin gözünde doğal olarak sana kaldı.</t>
        </is>
      </c>
    </row>
    <row r="25">
      <c r="A25" s="5" t="inlineStr">
        <is>
          <t>b4-ilk-hoslanti</t>
        </is>
      </c>
      <c r="B25" s="5" t="inlineStr">
        <is>
          <t>sirVerdi</t>
        </is>
      </c>
      <c r="C25" s="6" t="inlineStr">
        <is>
          <t>Kreşte bir arkadaşının sırrını yaymıştın. Bu sefer sır senin; ve sınıfta hâlâ o kreşten üç kişi var.</t>
        </is>
      </c>
    </row>
    <row r="26">
      <c r="A26" s="5" t="inlineStr">
        <is>
          <t>b4-bilim-fuari</t>
        </is>
      </c>
      <c r="B26" s="5" t="inlineStr">
        <is>
          <t>camKirildi</t>
        </is>
      </c>
      <c r="C26" s="6" t="inlineStr">
        <is>
          <t>Jüri projenin adını okudu: “Top Camı Kırar mı?” Kanıt olarak komşunun camının fotoğrafı vardı. Komşu da fuardaydı.</t>
        </is>
      </c>
    </row>
    <row r="27">
      <c r="A27" s="5" t="inlineStr">
        <is>
          <t>b4-kotu-not</t>
        </is>
      </c>
      <c r="B27" s="5" t="inlineStr">
        <is>
          <t>yalanci</t>
        </is>
      </c>
      <c r="C27" s="6" t="inlineStr">
        <is>
          <t>“Kim yaptı?” gününden beri ailen her “İyi” cevabının arkasına bakıyor. Bu akşam da bakacak.</t>
        </is>
      </c>
    </row>
    <row r="28">
      <c r="A28" s="5" t="inlineStr">
        <is>
          <t>b4-kedinin-hesabi</t>
        </is>
      </c>
      <c r="B28" s="5" t="inlineStr">
        <is>
          <t>kediSuclu</t>
        </is>
      </c>
      <c r="C28" s="6" t="inlineStr">
        <is>
          <t>Hesabın yıldızı yavru ama en çok yorumu, arkada peteğin üstünde yatan yaşlı kedi alıyor. Vazo gününden beri kameraya hep aynı suçlayıcı ifadeyle bakıyor.</t>
        </is>
      </c>
    </row>
    <row r="29">
      <c r="A29" s="5" t="inlineStr">
        <is>
          <t>b4-fenomen-denemesi</t>
        </is>
      </c>
      <c r="B29" s="5" t="inlineStr">
        <is>
          <t>kediGeldi</t>
        </is>
      </c>
      <c r="C29" s="6" t="inlineStr">
        <is>
          <t>En çok izlenen videon kediye ait. Kedi bu konuda yorum yapmıyor.</t>
        </is>
      </c>
    </row>
    <row r="30">
      <c r="A30" s="5" t="inlineStr">
        <is>
          <t>b4-kantin-ekonomisi</t>
        </is>
      </c>
      <c r="B30" s="5" t="inlineStr">
        <is>
          <t>tepsiTekeli</t>
        </is>
      </c>
      <c r="C30" s="6" t="inlineStr">
        <is>
          <t>Bir kış mahallenin tepsi tekelini yönetmiştin. Kantin de bir tür yokuş.</t>
        </is>
      </c>
    </row>
    <row r="31">
      <c r="A31" s="5" t="inlineStr">
        <is>
          <t>b4-bayram-yatirim</t>
        </is>
      </c>
      <c r="B31" s="5" t="inlineStr">
        <is>
          <t>ilkKelimePara</t>
        </is>
      </c>
      <c r="C31" s="6" t="inlineStr">
        <is>
          <t>Akrabalar zarfı uzatırken yine ilk kelimeni hatırlattı. Bu hikâye senden uzun yaşayacak.</t>
        </is>
      </c>
    </row>
    <row r="32">
      <c r="A32" s="5" t="inlineStr">
        <is>
          <t>b4-spor-secmeleri</t>
        </is>
      </c>
      <c r="B32" s="5" t="inlineStr">
        <is>
          <t>alcili-kol</t>
        </is>
      </c>
      <c r="C32" s="6" t="inlineStr">
        <is>
          <t>Formdaki “Daha önce kırık?” sorusuna “Evet, kol” yazdın. Öğretmen devamını sormadı; sen yine de anlattın.</t>
        </is>
      </c>
    </row>
    <row r="33">
      <c r="A33" s="5" t="inlineStr">
        <is>
          <t>b4-lise-sinavi</t>
        </is>
      </c>
      <c r="B33" s="5" t="inlineStr">
        <is>
          <t>dershaneli</t>
        </is>
      </c>
      <c r="C33" s="6" t="inlineStr">
        <is>
          <t>Bir buçuk yılın dershane cumartesileri bu sabah içindi. Annen kapıda termosu uzatırken “Hepsini biliyorsun” dedi.</t>
        </is>
      </c>
    </row>
    <row r="34">
      <c r="A34" s="5" t="inlineStr">
        <is>
          <t>b4-lise-sinavi</t>
        </is>
      </c>
      <c r="B34" s="5" t="inlineStr">
        <is>
          <t>yz-odevci</t>
        </is>
      </c>
      <c r="C34" s="6" t="inlineStr">
        <is>
          <t>Sınav salonunda yapay zekâ yok. Bunu tam şu an fark ettin.</t>
        </is>
      </c>
    </row>
    <row r="35">
      <c r="A35" s="5" t="inlineStr">
        <is>
          <t>b5-lise-ilk-gun</t>
        </is>
      </c>
      <c r="B35" s="5" t="inlineStr">
        <is>
          <t>iyi-lise</t>
        </is>
      </c>
      <c r="C35" s="6" t="inlineStr">
        <is>
          <t>Lise sınavındaki puanın koridorda senden önce yürüyor. Öğretmenler adını çoktan ezberlemiş.</t>
        </is>
      </c>
    </row>
    <row r="36">
      <c r="A36" s="5" t="inlineStr">
        <is>
          <t>b5-lise-ilk-gun</t>
        </is>
      </c>
      <c r="B36" s="5" t="inlineStr">
        <is>
          <t>baskan</t>
        </is>
      </c>
      <c r="C36" s="6" t="inlineStr">
        <is>
          <t>İlkokulda sınıf başkanıydın. Bunu ilk teneffüste iki kişiye anlattın. İkisi de “Hangi okulda?” dedi.</t>
        </is>
      </c>
    </row>
    <row r="37">
      <c r="A37" s="5" t="inlineStr">
        <is>
          <t>b5-kantin-vergisi</t>
        </is>
      </c>
      <c r="B37" s="5" t="inlineStr">
        <is>
          <t>haracci-dusmani</t>
        </is>
      </c>
      <c r="C37" s="6" t="inlineStr">
        <is>
          <t>Seni tanıdılar. 'Abinin selamı var' dediler. Selamın içeriği belirtilmedi.</t>
        </is>
      </c>
    </row>
    <row r="38">
      <c r="A38" s="5" t="inlineStr">
        <is>
          <t>b5-okul-temsilcisi</t>
        </is>
      </c>
      <c r="B38" s="5" t="inlineStr">
        <is>
          <t>baskan</t>
        </is>
      </c>
      <c r="C38" s="6" t="inlineStr">
        <is>
          <t>İlkokulda sınıfa akvaryum sözü vermiştin. Akvaryum hiç gelmedi. O sınıftan biri bu lisede; seçim afişinin altına bir balık çizmiş.</t>
        </is>
      </c>
    </row>
    <row r="39">
      <c r="A39" s="5" t="inlineStr">
        <is>
          <t>b5-yapay-zeka-odev</t>
        </is>
      </c>
      <c r="B39" s="5" t="inlineStr">
        <is>
          <t>yalanci</t>
        </is>
      </c>
      <c r="C39" s="6" t="inlineStr">
        <is>
          <t>Küçükken “Kim yaptı?” sorusuna yalan söylemiştin. “Bunu sen mi yazdın?” aynı sorunun büyümüş hâli; hazırlıklısın.</t>
        </is>
      </c>
    </row>
    <row r="40">
      <c r="A40" s="5" t="inlineStr">
        <is>
          <t>b5-akraba-sorgusu</t>
        </is>
      </c>
      <c r="B40" s="5" t="inlineStr">
        <is>
          <t>kediSuclu</t>
        </is>
      </c>
      <c r="C40" s="6" t="inlineStr">
        <is>
          <t>Halan vazo hikâyesini yine anlatıyor. Kedi yaşlandı ama sana hâlâ şüpheyle bakıyor.</t>
        </is>
      </c>
    </row>
    <row r="41">
      <c r="A41" s="5" t="inlineStr">
        <is>
          <t>b5-fenomen-video</t>
        </is>
      </c>
      <c r="B41" s="5" t="inlineStr">
        <is>
          <t>fenomen</t>
        </is>
      </c>
      <c r="C41" s="6" t="inlineStr">
        <is>
          <t>Zaten biliniyorsun. Yorumlarda 'Bu o değil mi?' diyenler var. Bu o.</t>
        </is>
      </c>
    </row>
    <row r="42">
      <c r="A42" s="5" t="inlineStr">
        <is>
          <t>b5-yaz-isi-garson</t>
        </is>
      </c>
      <c r="B42" s="5" t="inlineStr">
        <is>
          <t>tepsiTekeli</t>
        </is>
      </c>
      <c r="C42" s="6" t="inlineStr">
        <is>
          <t>Bir kış boyunca mahallenin bütün kayak tepsileri sendeydi. Şimdi tepsi yine elinde; bu kez üstünde on iki çay var.</t>
        </is>
      </c>
    </row>
    <row r="43">
      <c r="A43" s="5" t="inlineStr">
        <is>
          <t>b5-ilk-maas</t>
        </is>
      </c>
      <c r="B43" s="5" t="inlineStr">
        <is>
          <t>ilkKelimePara</t>
        </is>
      </c>
      <c r="C43" s="6" t="inlineStr">
        <is>
          <t>İlk kelimen “Para” idi. On altı yıl sonra ilk paranı kendin kazandın. Babaannen “Bu çocuk o gün belli etmişti” dedi.</t>
        </is>
      </c>
    </row>
    <row r="44">
      <c r="A44" s="5" t="inlineStr">
        <is>
          <t>b5-beden-dersi</t>
        </is>
      </c>
      <c r="B44" s="5" t="inlineStr">
        <is>
          <t>alcili-kol</t>
        </is>
      </c>
      <c r="C44" s="6" t="inlineStr">
        <is>
          <t>Dut ağacı hikâyen hâlâ dolaşımda. Öğretmen topu sana verirken bir an duraksadı.</t>
        </is>
      </c>
    </row>
    <row r="45">
      <c r="A45" s="5" t="inlineStr">
        <is>
          <t>b5-ev-partisi</t>
        </is>
      </c>
      <c r="B45" s="5" t="inlineStr">
        <is>
          <t>camKirildi</t>
        </is>
      </c>
      <c r="C45" s="6" t="inlineStr">
        <is>
          <t>Mahallede adın hâlâ 'komşunun camı' vakasıyla anılıyor. Balkona bu gece uzaktan bakıyorsun.</t>
        </is>
      </c>
    </row>
    <row r="46">
      <c r="A46" s="5" t="inlineStr">
        <is>
          <t>b5-universite-sinavi</t>
        </is>
      </c>
      <c r="B46" s="5" t="inlineStr">
        <is>
          <t>iyi-lise</t>
        </is>
      </c>
      <c r="C46" s="6" t="inlineStr">
        <is>
          <t>Lise sınavını iyi geçmiştin. Yüzde kırk öz güven, yüzde altmış alışkanlık.</t>
        </is>
      </c>
    </row>
    <row r="47">
      <c r="A47" s="5" t="inlineStr">
        <is>
          <t>b5-universite-sinavi</t>
        </is>
      </c>
      <c r="B47" s="5" t="inlineStr">
        <is>
          <t>ai-kopyaci</t>
        </is>
      </c>
      <c r="C47" s="6" t="inlineStr">
        <is>
          <t>Bu salonda yapay zekâ yok. Sadece sen ve birkaç yıllık alışkanlık.</t>
        </is>
      </c>
    </row>
    <row r="48">
      <c r="A48" s="5" t="inlineStr">
        <is>
          <t>b5-universite-sinavi</t>
        </is>
      </c>
      <c r="B48" s="5" t="inlineStr">
        <is>
          <t>meslek-lisesi</t>
        </is>
      </c>
      <c r="C48" s="6" t="inlineStr">
        <is>
          <t>Meslek lisesinden geliyorsun. Soruların yarısı hiç görmediğin konulardan; öbür yarısında herkesten iyisin.</t>
        </is>
      </c>
    </row>
    <row r="49">
      <c r="A49" s="5" t="inlineStr">
        <is>
          <t>b5-universite-sinavi</t>
        </is>
      </c>
      <c r="B49" s="5" t="inlineStr">
        <is>
          <t>acik-lise</t>
        </is>
      </c>
      <c r="C49" s="6" t="inlineStr">
        <is>
          <t>Liseyi akşamları bitirdin. Bu salondaki herkes gündüz uyanıktı; sen hem gündüz hem gece.</t>
        </is>
      </c>
    </row>
    <row r="50">
      <c r="A50" s="5" t="inlineStr">
        <is>
          <t>b5-tercih-listesi</t>
        </is>
      </c>
      <c r="B50" s="5" t="inlineStr">
        <is>
          <t>doktor-sozu</t>
        </is>
      </c>
      <c r="C50" s="6" t="inlineStr">
        <is>
          <t>Bir akşam yemeğinde verdiğin doktor sözü masada duruyor. Puanın başka bir masada.</t>
        </is>
      </c>
    </row>
    <row r="51">
      <c r="A51" s="5" t="inlineStr">
        <is>
          <t>b5-mezuniyet</t>
        </is>
      </c>
      <c r="B51" s="5" t="inlineStr">
        <is>
          <t>okul-temsilcisi</t>
        </is>
      </c>
      <c r="C51" s="6" t="inlineStr">
        <is>
          <t>Okul temsilcisi olarak ön sıradasın. Tost makinesi komisyonu hâlâ çalışıyor.</t>
        </is>
      </c>
    </row>
    <row r="52">
      <c r="A52" s="5" t="inlineStr">
        <is>
          <t>b5-mezuniyet</t>
        </is>
      </c>
      <c r="B52" s="5" t="inlineStr">
        <is>
          <t>fenomen</t>
        </is>
      </c>
      <c r="C52" s="6" t="inlineStr">
        <is>
          <t>Tören boyunca üç kişi seninle fotoğraf çekilmek istedi. İkisi veliydi.</t>
        </is>
      </c>
    </row>
    <row r="53">
      <c r="A53" s="5" t="inlineStr">
        <is>
          <t>b5-mezuniyet</t>
        </is>
      </c>
      <c r="B53" s="5" t="inlineStr">
        <is>
          <t>haracci-dusmani</t>
        </is>
      </c>
      <c r="C53" s="6" t="inlineStr">
        <is>
          <t>Kapıdaki eski tahsilat ekibi bugün ücretsiz geçişe izin verdi. Mezuniyet indirimi.</t>
        </is>
      </c>
    </row>
    <row r="54">
      <c r="A54" s="5" t="inlineStr">
        <is>
          <t>b5-mezuniyet</t>
        </is>
      </c>
      <c r="B54" s="5" t="inlineStr">
        <is>
          <t>universiteli</t>
        </is>
      </c>
      <c r="C54" s="6" t="inlineStr">
        <is>
          <t>Herkes bölümünü soruyor. Üçüncü kez anlatıyorsun; her seferinde biraz daha önemli bir bölüm oluyor.</t>
        </is>
      </c>
    </row>
    <row r="55">
      <c r="A55" s="5" t="inlineStr">
        <is>
          <t>b6-ilk-tam-zamanli-is</t>
        </is>
      </c>
      <c r="B55" s="5" t="inlineStr">
        <is>
          <t>haracci-dusmani</t>
        </is>
      </c>
      <c r="C55" s="6" t="inlineStr">
        <is>
          <t>Dükkanın önünden eski tanıdıklar geçiyor. Seni görünce karşı kaldırıma geçtiler. Sonra bir karşı kaldırıma daha.</t>
        </is>
      </c>
    </row>
    <row r="56">
      <c r="A56" s="5" t="inlineStr">
        <is>
          <t>b6-ehliyet</t>
        </is>
      </c>
      <c r="B56" s="5" t="inlineStr">
        <is>
          <t>alcili-kol</t>
        </is>
      </c>
      <c r="C56" s="6" t="inlineStr">
        <is>
          <t>Eski alçılı kolun el frenini çekerken hafifçe kendini hatırlattı. Görevli not almadı.</t>
        </is>
      </c>
    </row>
    <row r="57">
      <c r="A57" s="5" t="inlineStr">
        <is>
          <t>b6-ilk-maas</t>
        </is>
      </c>
      <c r="B57" s="5" t="inlineStr">
        <is>
          <t>ilkKelimePara</t>
        </is>
      </c>
      <c r="C57" s="6" t="inlineStr">
        <is>
          <t>İlk kelimen 'Para' idi. Sonunda para da seninle konuşmaya başladı. Kısa kesiyor.</t>
        </is>
      </c>
    </row>
    <row r="58">
      <c r="A58" s="5" t="inlineStr">
        <is>
          <t>b6-final-haftasi</t>
        </is>
      </c>
      <c r="B58" s="5" t="inlineStr">
        <is>
          <t>iyi-lise</t>
        </is>
      </c>
      <c r="C58" s="6" t="inlineStr">
        <is>
          <t>Lisedeki çalışma düzenin hâlâ bir yerlerde. Dolabın en arkasında, tozlu bir klasörde.</t>
        </is>
      </c>
    </row>
    <row r="59">
      <c r="A59" s="5" t="inlineStr">
        <is>
          <t>b6-ogrenci-kulubu</t>
        </is>
      </c>
      <c r="B59" s="5" t="inlineStr">
        <is>
          <t>baskan</t>
        </is>
      </c>
      <c r="C59" s="6" t="inlineStr">
        <is>
          <t>Sınıf başkanlığı günlerin geri geldi. Seçim kampanyası kasların hafifçe seğirdi.</t>
        </is>
      </c>
    </row>
    <row r="60">
      <c r="A60" s="5" t="inlineStr">
        <is>
          <t>b6-gece-vardiyasi</t>
        </is>
      </c>
      <c r="B60" s="5" t="inlineStr">
        <is>
          <t>sigara</t>
        </is>
      </c>
      <c r="C60" s="6" t="inlineStr">
        <is>
          <t>Mola denince herkes kapının önüne çıkıyor; sen de. Annen telefonda sesinden anlıyor: “Yine mi içtin?”</t>
        </is>
      </c>
    </row>
    <row r="61">
      <c r="A61" s="5" t="inlineStr">
        <is>
          <t>b6-tasinma</t>
        </is>
      </c>
      <c r="B61" s="5" t="inlineStr">
        <is>
          <t>alcili-kol</t>
        </is>
      </c>
      <c r="C61" s="6" t="inlineStr">
        <is>
          <t>Eski alçılı kolun buzdolabının her köşesinde 'Hatırlıyor musun?' diye soruyor.</t>
        </is>
      </c>
    </row>
    <row r="62">
      <c r="A62" s="5" t="inlineStr">
        <is>
          <t>b6-ev-arkadasi</t>
        </is>
      </c>
      <c r="B62" s="5" t="inlineStr">
        <is>
          <t>kediSuclu</t>
        </is>
      </c>
      <c r="C62" s="6" t="inlineStr">
        <is>
          <t>Vazo davasından beri suçu başkasına atmakta deneyimlisin. Ne yazık ki bu evde kedi yok.</t>
        </is>
      </c>
    </row>
    <row r="63">
      <c r="A63" s="5" t="inlineStr">
        <is>
          <t>b6-spor-salonu</t>
        </is>
      </c>
      <c r="B63" s="5" t="inlineStr">
        <is>
          <t>alcili-kol</t>
        </is>
      </c>
      <c r="C63" s="6" t="inlineStr">
        <is>
          <t>Antrenör eski kırığını sordu. Anlattın. O da kendi kırıklarını anlattı. Set bitti.</t>
        </is>
      </c>
    </row>
    <row r="64">
      <c r="A64" s="5" t="inlineStr">
        <is>
          <t>b6-askerlik</t>
        </is>
      </c>
      <c r="B64" s="5" t="inlineStr">
        <is>
          <t>alcili-kol</t>
        </is>
      </c>
      <c r="C64" s="6" t="inlineStr">
        <is>
          <t>Muayenede eski alçı kaydın soruldu. Doktor röntgene baktı: “Sağlam kaynamış.” İlk sıraya yazıldın.</t>
        </is>
      </c>
    </row>
    <row r="65">
      <c r="A65" s="5" t="inlineStr">
        <is>
          <t>b6-meslek-secimi</t>
        </is>
      </c>
      <c r="B65" s="5" t="inlineStr">
        <is>
          <t>komiser-tanidik</t>
        </is>
      </c>
      <c r="C65" s="6" t="inlineStr">
        <is>
          <t>Bir komiserin kartviziti hâlâ cüzdanında. “Başın sıkışırsa ara” demişti; başın sıkışmadan da arayabilirsin.</t>
        </is>
      </c>
    </row>
    <row r="66">
      <c r="A66" s="5" t="inlineStr">
        <is>
          <t>b6-flort-uygulamasi</t>
        </is>
      </c>
      <c r="B66" s="5" t="inlineStr">
        <is>
          <t>fenomen</t>
        </is>
      </c>
      <c r="C66" s="6" t="inlineStr">
        <is>
          <t>Biri mesaj attı: 'Sen şu videodaki değil misin?' Değilim demeyi düşündün.</t>
        </is>
      </c>
    </row>
    <row r="67">
      <c r="A67" s="5" t="inlineStr">
        <is>
          <t>b6-is-gorusmesi</t>
        </is>
      </c>
      <c r="B67" s="5" t="inlineStr">
        <is>
          <t>yalanci</t>
        </is>
      </c>
      <c r="C67" s="6" t="inlineStr">
        <is>
          <t>Özgeçmişindeki 'ileri düzey' ifadesi biraz yaratıcı. Yaratıcı açıklamalar dosyan zaten kabarık.</t>
        </is>
      </c>
    </row>
    <row r="68">
      <c r="A68" s="5" t="inlineStr">
        <is>
          <t>b6-is-gorusmesi</t>
        </is>
      </c>
      <c r="B68" s="5" t="inlineStr">
        <is>
          <t>yurtdisi-gordu</t>
        </is>
      </c>
      <c r="C68" s="6" t="inlineStr">
        <is>
          <t>Görüşmeci ilk soruyu değişim programından sordu: 'Peynir nasıldı?'</t>
        </is>
      </c>
    </row>
    <row r="69">
      <c r="A69" s="5" t="inlineStr">
        <is>
          <t>b6-dugun-yagmuru</t>
        </is>
      </c>
      <c r="B69" s="5" t="inlineStr">
        <is>
          <t>askerlik-yapti</t>
        </is>
      </c>
      <c r="C69" s="6" t="inlineStr">
        <is>
          <t>“Askerliğini de yaptın, sıra evlilikte” dendi. Teyzen nefes almadan ekledi: “Ondan sonra da torun.”</t>
        </is>
      </c>
    </row>
    <row r="70">
      <c r="A70" s="5" t="inlineStr">
        <is>
          <t>b6-dukkan-anahtari</t>
        </is>
      </c>
      <c r="B70" s="5" t="inlineStr">
        <is>
          <t>usta-eli</t>
        </is>
      </c>
      <c r="C70" s="6" t="inlineStr">
        <is>
          <t>Ustanın ellerini o kadar izledin ki artık seninkiler de biraz onun gibi. Nasırlar dahil.</t>
        </is>
      </c>
    </row>
    <row r="71">
      <c r="A71" s="5" t="inlineStr">
        <is>
          <t>b6-taki-butcesi</t>
        </is>
      </c>
      <c r="B71" s="5" t="inlineStr">
        <is>
          <t>borclu</t>
        </is>
      </c>
      <c r="C71" s="6" t="inlineStr">
        <is>
          <t>Kredi kartı ekstresi davetiyelerin altında duruyor. Hangisinin daha acil olduğu tartışmalı.</t>
        </is>
      </c>
    </row>
    <row r="72">
      <c r="A72" s="5" t="inlineStr">
        <is>
          <t>b6-ilk-araba</t>
        </is>
      </c>
      <c r="B72" s="5" t="inlineStr">
        <is>
          <t>ehliyetli</t>
        </is>
      </c>
      <c r="C72" s="6" t="inlineStr">
        <is>
          <t>Ehliyetin cüzdanda. Fotoğrafta kendini tanımıyorsun ama araba tanıyacak.</t>
        </is>
      </c>
    </row>
    <row r="73">
      <c r="A73" s="5" t="inlineStr">
        <is>
          <t>b6-ev-sahibi-kavgasi</t>
        </is>
      </c>
      <c r="B73" s="5" t="inlineStr">
        <is>
          <t>depozito-yandi</t>
        </is>
      </c>
      <c r="C73" s="6" t="inlineStr">
        <is>
          <t>Önceki evden depozitonu alamamıştın. Bu evdeki her çiziğin fotoğrafı telefonunda.</t>
        </is>
      </c>
    </row>
    <row r="74">
      <c r="A74" s="5" t="inlineStr">
        <is>
          <t>b6-kombi</t>
        </is>
      </c>
      <c r="B74" s="5" t="inlineStr">
        <is>
          <t>usta-eli</t>
        </is>
      </c>
      <c r="C74" s="6" t="inlineStr">
        <is>
          <t>Ustanın yanında gördüğün onca motor bir kombiden zor olamaz. Olabilir de.</t>
        </is>
      </c>
    </row>
    <row r="75">
      <c r="A75" s="5" t="inlineStr">
        <is>
          <t>b7-kira-artisi</t>
        </is>
      </c>
      <c r="B75" s="5" t="inlineStr">
        <is>
          <t>borclu</t>
        </is>
      </c>
      <c r="C75" s="6" t="inlineStr">
        <is>
          <t>Kredi kartı ekstresi zaten masada duruyor. Yanına bir zarf daha eklendi.</t>
        </is>
      </c>
    </row>
    <row r="76">
      <c r="A76" s="5" t="inlineStr">
        <is>
          <t>b7-eski-sinif-arkadasi</t>
        </is>
      </c>
      <c r="B76" s="5" t="inlineStr">
        <is>
          <t>baskan</t>
        </is>
      </c>
      <c r="C76" s="6" t="inlineStr">
        <is>
          <t>Sınıf başkanıydın. O zaman seçimi o kaybetmişti. Oy sayımı hafızanda hâlâ canlı.</t>
        </is>
      </c>
    </row>
    <row r="77">
      <c r="A77" s="5" t="inlineStr">
        <is>
          <t>b7-eski-sinif-arkadasi</t>
        </is>
      </c>
      <c r="B77" s="5" t="inlineStr">
        <is>
          <t>universiteli</t>
        </is>
      </c>
      <c r="C77" s="6" t="inlineStr">
        <is>
          <t>Diplomanı çerçeveletmiştin. Çerçeve şu an duvarda biraz eğri duruyor.</t>
        </is>
      </c>
    </row>
    <row r="78">
      <c r="A78" s="5" t="inlineStr">
        <is>
          <t>b7-trafik-cezasi</t>
        </is>
      </c>
      <c r="B78" s="5" t="inlineStr">
        <is>
          <t>yalanci</t>
        </is>
      </c>
      <c r="C78" s="6" t="inlineStr">
        <is>
          <t>Küçükken “Kim yaptı?” diye sorulunca gözünü kırpmadan yalan söylemiştin. Şimdi aynı soruyu bir fotoğraf soruyor.</t>
        </is>
      </c>
    </row>
    <row r="79">
      <c r="A79" s="5" t="inlineStr">
        <is>
          <t>b7-araba-alma</t>
        </is>
      </c>
      <c r="B79" s="5" t="inlineStr">
        <is>
          <t>askerlik-yapti</t>
        </is>
      </c>
      <c r="C79" s="6" t="inlineStr">
        <is>
          <t>Askerde öğrendiğin tek motor bilgisi hâlâ geçerli: 'Çalışıyorsa dokunma.'</t>
        </is>
      </c>
    </row>
    <row r="80">
      <c r="A80" s="5" t="inlineStr">
        <is>
          <t>b7-ne-zaman-evleneceksin</t>
        </is>
      </c>
      <c r="B80" s="5" t="inlineStr">
        <is>
          <t>yalniz-gezgin</t>
        </is>
      </c>
      <c r="C80" s="6" t="inlineStr">
        <is>
          <t>Tek başına tatile gittiğin duyulmuş. Bir teyze bunu 'kaçış' olarak yorumladı.</t>
        </is>
      </c>
    </row>
    <row r="81">
      <c r="A81" s="5" t="inlineStr">
        <is>
          <t>b7-evlilik-karari</t>
        </is>
      </c>
      <c r="B81" s="5" t="inlineStr">
        <is>
          <t>ilk-sevgili</t>
        </is>
      </c>
      <c r="C81" s="6" t="inlineStr">
        <is>
          <t>Lisedeki o bank, o park, o bir karışlık mesafe. Numara hâlâ telefonunda kayıtlı; adı “Yazma” diye.</t>
        </is>
      </c>
    </row>
    <row r="82">
      <c r="A82" s="5" t="inlineStr">
        <is>
          <t>b7-evlilik-karari</t>
        </is>
      </c>
      <c r="B82" s="5" t="inlineStr">
        <is>
          <t>utangac</t>
        </is>
      </c>
      <c r="C82" s="6" t="inlineStr">
        <is>
          <t>İlk buluşmada reddedilmiştin. O günden beri her teklifi üç kez prova ediyorsun.</t>
        </is>
      </c>
    </row>
    <row r="83">
      <c r="A83" s="5" t="inlineStr">
        <is>
          <t>me-zabita-denetimi</t>
        </is>
      </c>
      <c r="B83" s="5" t="inlineStr">
        <is>
          <t>esnaf-komsu-rakip</t>
        </is>
      </c>
      <c r="C83" s="6" t="inlineStr">
        <is>
          <t>Karşı dükkânın kasaları seninkilerden bir karış daha dışarıda. Bunu bir tek sen fark etmiş olamazsın.</t>
        </is>
      </c>
    </row>
    <row r="84">
      <c r="A84" s="5" t="inlineStr">
        <is>
          <t>b7-dugun-takilari</t>
        </is>
      </c>
      <c r="B84" s="5" t="inlineStr">
        <is>
          <t>fenomen</t>
        </is>
      </c>
      <c r="C84" s="6" t="inlineStr">
        <is>
          <t>Düğün canlı yayında. Takı kuyruğu, yorumlarda 'uzun' diye eleştiriliyor.</t>
        </is>
      </c>
    </row>
    <row r="85">
      <c r="A85" s="5" t="inlineStr">
        <is>
          <t>b7-akraba-tanisma</t>
        </is>
      </c>
      <c r="B85" s="5" t="inlineStr">
        <is>
          <t>flort-emeklisi</t>
        </is>
      </c>
      <c r="C85" s="6" t="inlineStr">
        <is>
          <t>Uygulamayı sildiğini teyzen duymuş. Bunu kişisel bir görev olarak üstlenmiş.</t>
        </is>
      </c>
    </row>
    <row r="86">
      <c r="A86" s="5" t="inlineStr">
        <is>
          <t>b7-ortak-hesap</t>
        </is>
      </c>
      <c r="B86" s="5" t="inlineStr">
        <is>
          <t>borclu</t>
        </is>
      </c>
      <c r="C86" s="6" t="inlineStr">
        <is>
          <t>Kredi kartı ekstresi çantanda katlanmış duruyor. Ortak hesap da onu merak ediyor.</t>
        </is>
      </c>
    </row>
    <row r="87">
      <c r="A87" s="5" t="inlineStr">
        <is>
          <t>b7-ortak-hesap</t>
        </is>
      </c>
      <c r="B87" s="5" t="inlineStr">
        <is>
          <t>meslek-serbest</t>
        </is>
      </c>
      <c r="C87" s="6" t="inlineStr">
        <is>
          <t>Serbest çalıştığın için 'aylık gelir' sorusuna 'Değişken' dedin. Temsilci not almadı, sadece baktı.</t>
        </is>
      </c>
    </row>
    <row r="88">
      <c r="A88" s="5" t="inlineStr">
        <is>
          <t>b7-spor-salonu</t>
        </is>
      </c>
      <c r="B88" s="5" t="inlineStr">
        <is>
          <t>sigara</t>
        </is>
      </c>
      <c r="C88" s="6" t="inlineStr">
        <is>
          <t>Merdivende soluklanırken cebindeki paket, bir yıllık üyelik indiriminden daha pahalıydı.</t>
        </is>
      </c>
    </row>
    <row r="89">
      <c r="A89" s="5" t="inlineStr">
        <is>
          <t>ms-viral</t>
        </is>
      </c>
      <c r="B89" s="5" t="inlineStr">
        <is>
          <t>fenomen</t>
        </is>
      </c>
      <c r="C89" s="6" t="inlineStr">
        <is>
          <t>Eski takipçilerin geri döndü: 'Biz seni ilk günden biliyorduk.'</t>
        </is>
      </c>
    </row>
    <row r="90">
      <c r="A90" s="5" t="inlineStr">
        <is>
          <t>b7-cocuk-karari</t>
        </is>
      </c>
      <c r="B90" s="5" t="inlineStr">
        <is>
          <t>kediSuclu</t>
        </is>
      </c>
      <c r="C90" s="6" t="inlineStr">
        <is>
          <t>Bir gün evde bir vazo kırılacak ve suçlanacak bir kedi olmayacak. Bunu düşünmeden edemedin.</t>
        </is>
      </c>
    </row>
    <row r="91">
      <c r="A91" s="5" t="inlineStr">
        <is>
          <t>mm-lojman-kurasi</t>
        </is>
      </c>
      <c r="B91" s="5" t="inlineStr">
        <is>
          <t>memur-mudur-dusmani</t>
        </is>
      </c>
      <c r="C91" s="6" t="inlineStr">
        <is>
          <t>Müdürün alt katı sana çıkarsa, bu sefer gerçekten tayin istemen gerekecek.</t>
        </is>
      </c>
    </row>
    <row r="92">
      <c r="A92" s="5" t="inlineStr">
        <is>
          <t>b7-site-toplantisi</t>
        </is>
      </c>
      <c r="B92" s="5" t="inlineStr">
        <is>
          <t>baskan</t>
        </is>
      </c>
      <c r="C92" s="6" t="inlineStr">
        <is>
          <t>Sınıf başkanlığı tecrüben burada da seziliyor. Herkes sana dönüp bakıyor. Bu iyi bir şey değil.</t>
        </is>
      </c>
    </row>
    <row r="93">
      <c r="A93" s="5" t="inlineStr">
        <is>
          <t>b7-ilk-kelime</t>
        </is>
      </c>
      <c r="B93" s="5" t="inlineStr">
        <is>
          <t>ilkKelimePara</t>
        </is>
      </c>
      <c r="C93" s="6" t="inlineStr">
        <is>
          <t>Senin ilk kelimen “Para”ydı. Annen bunu otuz yıldır her bayram anlatıyor. Şimdi gözünü torununun ağzına dikmiş: “Bu da mı?”</t>
        </is>
      </c>
    </row>
    <row r="94">
      <c r="A94" s="5" t="inlineStr">
        <is>
          <t>b7-ev-kredisi</t>
        </is>
      </c>
      <c r="B94" s="5" t="inlineStr">
        <is>
          <t>borclu</t>
        </is>
      </c>
      <c r="C94" s="6" t="inlineStr">
        <is>
          <t>Kredi notun banka ekranında sarı yanıyor. Temsilci bir an duraksadı.</t>
        </is>
      </c>
    </row>
    <row r="95">
      <c r="A95" s="5" t="inlineStr">
        <is>
          <t>b7-kres-kaydi</t>
        </is>
      </c>
      <c r="B95" s="5" t="inlineStr">
        <is>
          <t>yapiskan</t>
        </is>
      </c>
      <c r="C95" s="6" t="inlineStr">
        <is>
          <t>Kreş kapısında bir bacağa sarıldığın gün geldi aklına. Bu sefer sarılınan bacak senin.</t>
        </is>
      </c>
    </row>
    <row r="96">
      <c r="A96" s="5" t="inlineStr">
        <is>
          <t>b7-saglik-kontrolu</t>
        </is>
      </c>
      <c r="B96" s="5" t="inlineStr">
        <is>
          <t>sigara</t>
        </is>
      </c>
      <c r="C96" s="6" t="inlineStr">
        <is>
          <t>Doktor ciğer değerlerine bakarken sessizleşti. Cebindeki paket bir anda ağırlaştı.</t>
        </is>
      </c>
    </row>
    <row r="97">
      <c r="A97" s="5" t="inlineStr">
        <is>
          <t>b7-saglik-kontrolu</t>
        </is>
      </c>
      <c r="B97" s="5" t="inlineStr">
        <is>
          <t>sporcu</t>
        </is>
      </c>
      <c r="C97" s="6" t="inlineStr">
        <is>
          <t>Doktor 'Siz spor yapıyorsunuz, belli' dedi. Yıllık üyelik ilk kez kendini amorti etti.</t>
        </is>
      </c>
    </row>
    <row r="98">
      <c r="A98" s="5" t="inlineStr">
        <is>
          <t>b7-bekar-evi</t>
        </is>
      </c>
      <c r="B98" s="5" t="inlineStr">
        <is>
          <t>kediSuclu</t>
        </is>
      </c>
      <c r="C98" s="6" t="inlineStr">
        <is>
          <t>Tencerede bir şey kırıldı. Suçlayacak kedi yok. Bu ev tamamen senin sorumluluğunda.</t>
        </is>
      </c>
    </row>
    <row r="99">
      <c r="A99" s="5" t="inlineStr">
        <is>
          <t>b7-bekar-evi</t>
        </is>
      </c>
      <c r="B99" s="5" t="inlineStr">
        <is>
          <t>kediGeldi</t>
        </is>
      </c>
      <c r="C99" s="6" t="inlineStr">
        <is>
          <t>Çocukken getirdiğin kedinin torunu buzdolabının önünde bekliyor. Onun maması hardaldan daha taze.</t>
        </is>
      </c>
    </row>
    <row r="100">
      <c r="A100" s="5" t="inlineStr">
        <is>
          <t>b7-ebeveyn-grubu</t>
        </is>
      </c>
      <c r="B100" s="5" t="inlineStr">
        <is>
          <t>baskan</t>
        </is>
      </c>
      <c r="C100" s="6" t="inlineStr">
        <is>
          <t>Sınıf başkanlığı yıllar sonra geri döndü. Bu sefer veli olarak ve gönülsüz.</t>
        </is>
      </c>
    </row>
    <row r="101">
      <c r="A101" s="5" t="inlineStr">
        <is>
          <t>b7-borc-batagi</t>
        </is>
      </c>
      <c r="B101" s="5" t="inlineStr">
        <is>
          <t>borclu</t>
        </is>
      </c>
      <c r="C101" s="6" t="inlineStr">
        <is>
          <t>Borç dosyan zaten açık. Banka temsilcisi numaranı ezbere biliyor.</t>
        </is>
      </c>
    </row>
    <row r="102">
      <c r="A102" s="5" t="inlineStr">
        <is>
          <t>b7-borc-batagi</t>
        </is>
      </c>
      <c r="B102" s="5" t="inlineStr">
        <is>
          <t>meslek-esnaf</t>
        </is>
      </c>
      <c r="C102" s="6" t="inlineStr">
        <is>
          <t>Dükkândaki veresiye defteri kabarık. Sana borçlu olanlar da ödeme yapmıyor.</t>
        </is>
      </c>
    </row>
    <row r="103">
      <c r="A103" s="5" t="inlineStr">
        <is>
          <t>b7-dogum-gunu-partisi</t>
        </is>
      </c>
      <c r="B103" s="5" t="inlineStr">
        <is>
          <t>fenomen</t>
        </is>
      </c>
      <c r="C103" s="6" t="inlineStr">
        <is>
          <t>Partinin fotoğrafları senin hesabında paylaşılacak. Çocuğun ilk kez 'içerik' oldu.</t>
        </is>
      </c>
    </row>
    <row r="104">
      <c r="A104" s="5" t="inlineStr">
        <is>
          <t>mm-kurum-piknigi</t>
        </is>
      </c>
      <c r="B104" s="5" t="inlineStr">
        <is>
          <t>memur-mudur-dusmani</t>
        </is>
      </c>
      <c r="C104" s="6" t="inlineStr">
        <is>
          <t>Müdür karşı takımda. Halatın öbür ucunda, sana bakarak eldiven giyiyor.</t>
        </is>
      </c>
    </row>
    <row r="105">
      <c r="A105" s="5" t="inlineStr">
        <is>
          <t>b7-yil-donumu</t>
        </is>
      </c>
      <c r="B105" s="5" t="inlineStr">
        <is>
          <t>fenomen</t>
        </is>
      </c>
      <c r="C105" s="6" t="inlineStr">
        <is>
          <t>Yıl dönümü paylaşımın bekleniyor. Takipçilerin de hatırlıyor.</t>
        </is>
      </c>
    </row>
    <row r="106">
      <c r="A106" s="5" t="inlineStr">
        <is>
          <t>b8-kirk-yas</t>
        </is>
      </c>
      <c r="B106" s="5" t="inlineStr">
        <is>
          <t>evli</t>
        </is>
      </c>
      <c r="C106" s="6" t="inlineStr">
        <is>
          <t>Eşin pastaya kırk mum dikmedi; bir “4” bir “0” aldı. “Kırkını koysam pasta görünmüyordu” dedi.</t>
        </is>
      </c>
    </row>
    <row r="107">
      <c r="A107" s="5" t="inlineStr">
        <is>
          <t>b8-kirk-yas</t>
        </is>
      </c>
      <c r="B107" s="5" t="inlineStr">
        <is>
          <t>cocuklu</t>
        </is>
      </c>
      <c r="C107" s="6" t="inlineStr">
        <is>
          <t>Çocuğun doğum günü kartına kocaman harflerle “Yaşlı ama iyi” yazmış. Kartı buzdolabına astın; “yaşlı” kısmını mıknatısla kapattın.</t>
        </is>
      </c>
    </row>
    <row r="108">
      <c r="A108" s="5" t="inlineStr">
        <is>
          <t>b8-kirk-yas</t>
        </is>
      </c>
      <c r="B108" s="5" t="inlineStr">
        <is>
          <t>borclu</t>
        </is>
      </c>
      <c r="C108" s="6" t="inlineStr">
        <is>
          <t>Bankadan doğum günü mesajı geldi: “Nice yıllara!” Altında asgari ödeme tutarı vardı.</t>
        </is>
      </c>
    </row>
    <row r="109">
      <c r="A109" s="5" t="inlineStr">
        <is>
          <t>ms-sigortasiz-hayat</t>
        </is>
      </c>
      <c r="B109" s="5" t="inlineStr">
        <is>
          <t>serbest-alacakli</t>
        </is>
      </c>
      <c r="C109" s="6" t="inlineStr">
        <is>
          <t>Prim borcunu ödemek için o faturayı yine hatırladın. O da seni hatırlamıyor.</t>
        </is>
      </c>
    </row>
    <row r="110">
      <c r="A110" s="5" t="inlineStr">
        <is>
          <t>b8-ergen-telefon</t>
        </is>
      </c>
      <c r="B110" s="5" t="inlineStr">
        <is>
          <t>fenomen</t>
        </is>
      </c>
      <c r="C110" s="6" t="inlineStr">
        <is>
          <t>Bir zamanlar senin de binlerce takipçin vardı. Çocuğun hepsini gördü, hiçbirini beğenmedi.</t>
        </is>
      </c>
    </row>
    <row r="111">
      <c r="A111" s="5" t="inlineStr">
        <is>
          <t>mm-performans-formu</t>
        </is>
      </c>
      <c r="B111" s="5" t="inlineStr">
        <is>
          <t>memur-mudur-dusmani</t>
        </is>
      </c>
      <c r="C111" s="6" t="inlineStr">
        <is>
          <t>Formu dolduracak kişi müdür. Kalemini bile seçmiş: kırmızı.</t>
        </is>
      </c>
    </row>
    <row r="112">
      <c r="A112" s="5" t="inlineStr">
        <is>
          <t>b8-bayram-sofrasi</t>
        </is>
      </c>
      <c r="B112" s="5" t="inlineStr">
        <is>
          <t>ilkKelimePara</t>
        </is>
      </c>
      <c r="C112" s="6" t="inlineStr">
        <is>
          <t>Halan yine anlattı: 'Bu çocuğun ilk kelimesi paraydı.' Bu sefer kimse gülmedi; herkes not aldı.</t>
        </is>
      </c>
    </row>
    <row r="113">
      <c r="A113" s="5" t="inlineStr">
        <is>
          <t>b8-doktor-stres</t>
        </is>
      </c>
      <c r="B113" s="5" t="inlineStr">
        <is>
          <t>sigara</t>
        </is>
      </c>
      <c r="C113" s="6" t="inlineStr">
        <is>
          <t>Doktor 'Sigara?' diye sordu. Cevabını yazarken kalemi belirgin şekilde yavaşladı.</t>
        </is>
      </c>
    </row>
    <row r="114">
      <c r="A114" s="5" t="inlineStr">
        <is>
          <t>b8-cocuk-sinav</t>
        </is>
      </c>
      <c r="B114" s="5" t="inlineStr">
        <is>
          <t>universiteli</t>
        </is>
      </c>
      <c r="C114" s="6" t="inlineStr">
        <is>
          <t>Kendi sınav sabahını hatırlıyorsun: iki kalem, bir silgi, yarım bir poğaça. Kazanmıştın; kimse inanmamıştı.</t>
        </is>
      </c>
    </row>
    <row r="115">
      <c r="A115" s="5" t="inlineStr">
        <is>
          <t>b8-cocuk-sinav</t>
        </is>
      </c>
      <c r="B115" s="5" t="inlineStr">
        <is>
          <t>universitesiz</t>
        </is>
      </c>
      <c r="C115" s="6" t="inlineStr">
        <is>
          <t>Sen o sınavdan istediğini alamamıştın. Hayat yine de bir yere vardı; bunu nasıl anlatacağını bilmiyorsun.</t>
        </is>
      </c>
    </row>
    <row r="116">
      <c r="A116" s="5" t="inlineStr">
        <is>
          <t>b8-cocuk-sinav</t>
        </is>
      </c>
      <c r="B116" s="5" t="inlineStr">
        <is>
          <t>iyi-lise</t>
        </is>
      </c>
      <c r="C116" s="6" t="inlineStr">
        <is>
          <t>Lise sınavındaki başarını otuz beş yıldır anlatıyorsun. Çocuk artık sen başlamadan sonunu söylüyor.</t>
        </is>
      </c>
    </row>
    <row r="117">
      <c r="A117" s="5" t="inlineStr">
        <is>
          <t>me-internet-satis</t>
        </is>
      </c>
      <c r="B117" s="5" t="inlineStr">
        <is>
          <t>esnaf-cirak</t>
        </is>
      </c>
      <c r="C117" s="6" t="inlineStr">
        <is>
          <t>Çırak kolları sıvadı: 'Usta, siteyi bana bırak.'</t>
        </is>
      </c>
    </row>
    <row r="118">
      <c r="A118" s="5" t="inlineStr">
        <is>
          <t>b8-dijital-para</t>
        </is>
      </c>
      <c r="B118" s="5" t="inlineStr">
        <is>
          <t>borclu</t>
        </is>
      </c>
      <c r="C118" s="6" t="inlineStr">
        <is>
          <t>Kredi kartı limitin bu habere senden önce heyecanlandı.</t>
        </is>
      </c>
    </row>
    <row r="119">
      <c r="A119" s="5" t="inlineStr">
        <is>
          <t>b8-o-cumle</t>
        </is>
      </c>
      <c r="B119" s="5" t="inlineStr">
        <is>
          <t>tepsiTekeli</t>
        </is>
      </c>
      <c r="C119" s="6" t="inlineStr">
        <is>
          <t>Bir kış boyunca mahallenin tepsi tekelini elinde tutmuştun. Bu çocuk doğru dürüst kar görmedi.</t>
        </is>
      </c>
    </row>
    <row r="120">
      <c r="A120" s="5" t="inlineStr">
        <is>
          <t>ms-eski-musteri</t>
        </is>
      </c>
      <c r="B120" s="5" t="inlineStr">
        <is>
          <t>serbest-alacakli</t>
        </is>
      </c>
      <c r="C120" s="6" t="inlineStr">
        <is>
          <t>O fatura hâlâ 'onay bekliyor'. Onay bekleyen fatura artık ergenlik çağında.</t>
        </is>
      </c>
    </row>
    <row r="121">
      <c r="A121" s="5" t="inlineStr">
        <is>
          <t>b8-lise-bulusmasi</t>
        </is>
      </c>
      <c r="B121" s="5" t="inlineStr">
        <is>
          <t>baskan</t>
        </is>
      </c>
      <c r="C121" s="6" t="inlineStr">
        <is>
          <t>Kapıda biri “Sınıf başkanımız gelmiş!” diye bağırdı. Ardından sordu: “Sınıfa akvaryum sözü vermiştin, ne oldu?” Otuz yıldır bekliyorlar.</t>
        </is>
      </c>
    </row>
    <row r="122">
      <c r="A122" s="5" t="inlineStr">
        <is>
          <t>b8-lise-bulusmasi</t>
        </is>
      </c>
      <c r="B122" s="5" t="inlineStr">
        <is>
          <t>yalanci</t>
        </is>
      </c>
      <c r="C122" s="6" t="inlineStr">
        <is>
          <t>Biri 'Köpeğin nasıl?' diye sordu. Hiç köpeğin olmadı; ama bu hikâye otuz yıldır yaşıyor.</t>
        </is>
      </c>
    </row>
    <row r="123">
      <c r="A123" s="5" t="inlineStr">
        <is>
          <t>b8-lise-bulusmasi</t>
        </is>
      </c>
      <c r="B123" s="5" t="inlineStr">
        <is>
          <t>alcili-kol</t>
        </is>
      </c>
      <c r="C123" s="6" t="inlineStr">
        <is>
          <t>Alçına imza atanlardan biri geldi: 'O kol nasıl?' Kol selam söyledi.</t>
        </is>
      </c>
    </row>
    <row r="124">
      <c r="A124" s="5" t="inlineStr">
        <is>
          <t>b8-lise-bulusmasi</t>
        </is>
      </c>
      <c r="B124" s="5" t="inlineStr">
        <is>
          <t>haracci-dusmani</t>
        </is>
      </c>
      <c r="C124" s="6" t="inlineStr">
        <is>
          <t>Köşede, bir zamanlar mahallede haraç toplayan çocuk oturuyor. Şimdi sigorta satıyor. Sana poliçe teklif etti.</t>
        </is>
      </c>
    </row>
    <row r="125">
      <c r="A125" s="5" t="inlineStr">
        <is>
          <t>b8-lise-bulusmasi</t>
        </is>
      </c>
      <c r="B125" s="5" t="inlineStr">
        <is>
          <t>fenomen</t>
        </is>
      </c>
      <c r="C125" s="6" t="inlineStr">
        <is>
          <t>Eski arkadaşlar seni hâlâ o videodan tanıyor. Biri selam yerine videodaki hareketi yaptı.</t>
        </is>
      </c>
    </row>
    <row r="126">
      <c r="A126" s="5" t="inlineStr">
        <is>
          <t>b8-lise-bulusmasi</t>
        </is>
      </c>
      <c r="B126" s="5" t="inlineStr">
        <is>
          <t>motosikletli</t>
        </is>
      </c>
      <c r="C126" s="6" t="inlineStr">
        <is>
          <t>Salona motosikletle geldin, kaskı çıkardın. Biri “Ha, sen miydin?” dedi ve tabağına döndü.</t>
        </is>
      </c>
    </row>
    <row r="127">
      <c r="A127" s="5" t="inlineStr">
        <is>
          <t>b8-sahte-haber</t>
        </is>
      </c>
      <c r="B127" s="5" t="inlineStr">
        <is>
          <t>gozluklu</t>
        </is>
      </c>
      <c r="C127" s="6" t="inlineStr">
        <is>
          <t>Mesajın altındaki minik yazıyı gözlükle okudun: 'Bu mesaj en az on kez iletildi.' Gözlük bile yoruldu.</t>
        </is>
      </c>
    </row>
    <row r="128">
      <c r="A128" s="5" t="inlineStr">
        <is>
          <t>me-tek-yildiz</t>
        </is>
      </c>
      <c r="B128" s="5" t="inlineStr">
        <is>
          <t>esnaf-komsu-rakip</t>
        </is>
      </c>
      <c r="C128" s="6" t="inlineStr">
        <is>
          <t>Yorumu yazan hesabın profil fotoğrafının köşesinde karşı dükkânın tentesi görünüyor.</t>
        </is>
      </c>
    </row>
    <row r="129">
      <c r="A129" s="5" t="inlineStr">
        <is>
          <t>mm-vatandasla-diyalog</t>
        </is>
      </c>
      <c r="B129" s="5" t="inlineStr">
        <is>
          <t>memur-kayip-dosya</t>
        </is>
      </c>
      <c r="C129" s="6" t="inlineStr">
        <is>
          <t>Elindeki evrakın numarası tanıdık: yıllar önce kaybolan o dosyanın numarası.</t>
        </is>
      </c>
    </row>
    <row r="130">
      <c r="A130" s="5" t="inlineStr">
        <is>
          <t>b8-yeniden-egitim</t>
        </is>
      </c>
      <c r="B130" s="5" t="inlineStr">
        <is>
          <t>universitesiz</t>
        </is>
      </c>
      <c r="C130" s="6" t="inlineStr">
        <is>
          <t>Bir üniversite kapısından ilk kez öğrenci olarak giriyorsun. Güvenlik görevlisi “Veli misiniz?” diye sordu. “Öğrenciyim” dedin; sesin titredi, gururdan.</t>
        </is>
      </c>
    </row>
    <row r="131">
      <c r="A131" s="5" t="inlineStr">
        <is>
          <t>b8-yeniden-egitim</t>
        </is>
      </c>
      <c r="B131" s="5" t="inlineStr">
        <is>
          <t>universiteli</t>
        </is>
      </c>
      <c r="C131" s="6" t="inlineStr">
        <is>
          <t>Kampüs değişmemiş, tost fiyatı değişmiş. Kantinde eski kantincinin oğlu duruyor; seni hoca sanıp tostu indirimli verdi. Düzeltmedin.</t>
        </is>
      </c>
    </row>
    <row r="132">
      <c r="A132" s="5" t="inlineStr">
        <is>
          <t>mb-genc-yonetici</t>
        </is>
      </c>
      <c r="B132" s="5" t="inlineStr">
        <is>
          <t>beyazyaka-terfi-aldi</t>
        </is>
      </c>
      <c r="C132" s="6" t="inlineStr">
        <is>
          <t>Kıdemli unvanın hâlâ e-posta imzanda duruyor. Artık biraz daha küçük puntoyla.</t>
        </is>
      </c>
    </row>
    <row r="133">
      <c r="A133" s="5" t="inlineStr">
        <is>
          <t>ms-atolye-kirasi</t>
        </is>
      </c>
      <c r="B133" s="5" t="inlineStr">
        <is>
          <t>serbest-viral-oldu</t>
        </is>
      </c>
      <c r="C133" s="6" t="inlineStr">
        <is>
          <t>Viral videon bu bodrumda çekilmişti. İlanda 'ünlü atölye' diye geçiyor. Senin adın yok.</t>
        </is>
      </c>
    </row>
    <row r="134">
      <c r="A134" s="5" t="inlineStr">
        <is>
          <t>b8-ikinci-bahar</t>
        </is>
      </c>
      <c r="B134" s="5" t="inlineStr">
        <is>
          <t>bosandi</t>
        </is>
      </c>
      <c r="C134" s="6" t="inlineStr">
        <is>
          <t>Boşanma evrakını imzaladığın kalem hâlâ çekmecede. O günden beri hiçbir şey imzalamadı; sen de kimseye “evet” demedin.</t>
        </is>
      </c>
    </row>
    <row r="135">
      <c r="A135" s="5" t="inlineStr">
        <is>
          <t>b8-cocuk-fenomen</t>
        </is>
      </c>
      <c r="B135" s="5" t="inlineStr">
        <is>
          <t>fenomen</t>
        </is>
      </c>
      <c r="C135" s="6" t="inlineStr">
        <is>
          <t>Senin de bir zamanlar bir videon vardı. O video şimdi çocuğun 'Eski zamanlar' serisinin ikinci bölümü.</t>
        </is>
      </c>
    </row>
    <row r="136">
      <c r="A136" s="5" t="inlineStr">
        <is>
          <t>b8-emeklilik-hesabi</t>
        </is>
      </c>
      <c r="B136" s="5" t="inlineStr">
        <is>
          <t>askerlik-yapti</t>
        </is>
      </c>
      <c r="C136" s="6" t="inlineStr">
        <is>
          <t>Hizmet dökümünde askerlik süren boşluk olarak duruyor. O günler nihayet bir işe yarayabilir.</t>
        </is>
      </c>
    </row>
    <row r="137">
      <c r="A137" s="5" t="inlineStr">
        <is>
          <t>b8-emeklilik-hesabi</t>
        </is>
      </c>
      <c r="B137" s="5" t="inlineStr">
        <is>
          <t>borclu</t>
        </is>
      </c>
      <c r="C137" s="6" t="inlineStr">
        <is>
          <t>Bankadaki danışman emeklilik planını sorarken borç dökümüne de göz attı. Planı kısalttı.</t>
        </is>
      </c>
    </row>
    <row r="138">
      <c r="A138" s="5" t="inlineStr">
        <is>
          <t>b8-son-taksit</t>
        </is>
      </c>
      <c r="B138" s="5" t="inlineStr">
        <is>
          <t>ev-sahibi</t>
        </is>
      </c>
      <c r="C138" s="6" t="inlineStr">
        <is>
          <t>Evin tapusu çekmecede, yirmi yıllık taksit dekontlarının üstünde. Dekontlar tapudan kalın.</t>
        </is>
      </c>
    </row>
    <row r="139">
      <c r="A139" s="5" t="inlineStr">
        <is>
          <t>b8-son-taksit</t>
        </is>
      </c>
      <c r="B139" s="5" t="inlineStr">
        <is>
          <t>yazlikci</t>
        </is>
      </c>
      <c r="C139" s="6" t="inlineStr">
        <is>
          <t>Yazlığın taksitleri hâlâ sürüyor. Kutlama yarım bir kutlama oldu; yazlık payı eksik.</t>
        </is>
      </c>
    </row>
    <row r="140">
      <c r="A140" s="5" t="inlineStr">
        <is>
          <t>b9-gunaydin-gorselleri</t>
        </is>
      </c>
      <c r="B140" s="5" t="inlineStr">
        <is>
          <t>fenomen</t>
        </is>
      </c>
      <c r="C140" s="6" t="inlineStr">
        <is>
          <t>Gençken bir video yirmi bin kişiye ulaşmıştı. Şimdi bir gül, yirmi üç kişiye ulaşamıyor.</t>
        </is>
      </c>
    </row>
    <row r="141">
      <c r="A141" s="5" t="inlineStr">
        <is>
          <t>b9-sabah-yuruyusu</t>
        </is>
      </c>
      <c r="B141" s="5" t="inlineStr">
        <is>
          <t>sporcu</t>
        </is>
      </c>
      <c r="C141" s="6" t="inlineStr">
        <is>
          <t>Yıllardır yaptığın spor sonunda işe yaradı: grubun en önünde yürüyorsun ve kimse gündemi seninle tartışamıyor.</t>
        </is>
      </c>
    </row>
    <row r="142">
      <c r="A142" s="5" t="inlineStr">
        <is>
          <t>b9-sabah-yuruyusu</t>
        </is>
      </c>
      <c r="B142" s="5" t="inlineStr">
        <is>
          <t>sigara</t>
        </is>
      </c>
      <c r="C142" s="6" t="inlineStr">
        <is>
          <t>İlk tur bitmeden molaya ihtiyaç duydun. Grup seni bekledi. Bekleyerek de gündem oluşturdu.</t>
        </is>
      </c>
    </row>
    <row r="143">
      <c r="A143" s="5" t="inlineStr">
        <is>
          <t>b9-doktor-randevusu</t>
        </is>
      </c>
      <c r="B143" s="5" t="inlineStr">
        <is>
          <t>sigara</t>
        </is>
      </c>
      <c r="C143" s="6" t="inlineStr">
        <is>
          <t>Doktor seni daha odaya girmeden 'Hâlâ içiyor musunuz?' diye karşıladı. Dosyan senden önce gelmişti.</t>
        </is>
      </c>
    </row>
    <row r="144">
      <c r="A144" s="5" t="inlineStr">
        <is>
          <t>b9-ilk-torun</t>
        </is>
      </c>
      <c r="B144" s="5" t="inlineStr">
        <is>
          <t>ilkKelimePara</t>
        </is>
      </c>
      <c r="C144" s="6" t="inlineStr">
        <is>
          <t>Senin ilk kelimen 'para' idi. Bebek sana bakıyor ve sanki bunu biliyor gibi.</t>
        </is>
      </c>
    </row>
    <row r="145">
      <c r="A145" s="5" t="inlineStr">
        <is>
          <t>ms-emeklilik-yok</t>
        </is>
      </c>
      <c r="B145" s="5" t="inlineStr">
        <is>
          <t>serbest-alacakli</t>
        </is>
      </c>
      <c r="C145" s="6" t="inlineStr">
        <is>
          <t>O fatura hâlâ onay bekliyor. Muhasebeci emekli oldu. Sen olamadın.</t>
        </is>
      </c>
    </row>
    <row r="146">
      <c r="A146" s="5" t="inlineStr">
        <is>
          <t>me-defterin-son-sayfasi</t>
        </is>
      </c>
      <c r="B146" s="5" t="inlineStr">
        <is>
          <t>esnaf-veresiye-batagi</t>
        </is>
      </c>
      <c r="C146" s="6" t="inlineStr">
        <is>
          <t>Defterin kalınlığı bir tuğla kadar. İlk satır, o gün titreyerek yazdığın satır.</t>
        </is>
      </c>
    </row>
    <row r="147">
      <c r="A147" s="5" t="inlineStr">
        <is>
          <t>b9-genclere-tavsiye</t>
        </is>
      </c>
      <c r="B147" s="5" t="inlineStr">
        <is>
          <t>baskan</t>
        </is>
      </c>
      <c r="C147" s="6" t="inlineStr">
        <is>
          <t>İlkokulda sınıf başkanıydın. O günden beri bir odada söz almadan duramıyorsun.</t>
        </is>
      </c>
    </row>
    <row r="148">
      <c r="A148" s="5" t="inlineStr">
        <is>
          <t>b9-lise-bulusmasi</t>
        </is>
      </c>
      <c r="B148" s="5" t="inlineStr">
        <is>
          <t>universiteli</t>
        </is>
      </c>
      <c r="C148" s="6" t="inlineStr">
        <is>
          <t>Herkes üniversite yıllarını anlattı. Sen de anlattın. Üniversitede ne okuduğunu bir an hatırlayamadın.</t>
        </is>
      </c>
    </row>
    <row r="149">
      <c r="A149" s="5" t="inlineStr">
        <is>
          <t>b9-lise-bulusmasi</t>
        </is>
      </c>
      <c r="B149" s="5" t="inlineStr">
        <is>
          <t>baskan</t>
        </is>
      </c>
      <c r="C149" s="6" t="inlineStr">
        <is>
          <t>Eski sınıf arkadaşların seni hâlâ 'Başkan' diye çağırıyor. Seçim tekrarlanmadı, görev süresi dolmadı.</t>
        </is>
      </c>
    </row>
    <row r="150">
      <c r="A150" s="5" t="inlineStr">
        <is>
          <t>b9-eski-ask</t>
        </is>
      </c>
      <c r="B150" s="5" t="inlineStr">
        <is>
          <t>evli</t>
        </is>
      </c>
      <c r="C150" s="6" t="inlineStr">
        <is>
          <t>Yıllardır evlisin. Sepette eşinin 'Unutma' dediği kırmızı mercimek var. Elin bir an sepetin sapında kaldı.</t>
        </is>
      </c>
    </row>
    <row r="151">
      <c r="A151" s="5" t="inlineStr">
        <is>
          <t>b9-eski-ask</t>
        </is>
      </c>
      <c r="B151" s="5" t="inlineStr">
        <is>
          <t>bosandi</t>
        </is>
      </c>
      <c r="C151" s="6" t="inlineStr">
        <is>
          <t>Boşanmanın üzerinden yıllar geçti. Eski aşkının sepetinde tek kişilik yemekler var. Seninkinde de.</t>
        </is>
      </c>
    </row>
    <row r="152">
      <c r="A152" s="5" t="inlineStr">
        <is>
          <t>b9-balkon-tarimi</t>
        </is>
      </c>
      <c r="B152" s="5" t="inlineStr">
        <is>
          <t>ev-sahibi</t>
        </is>
      </c>
      <c r="C152" s="6" t="inlineStr">
        <is>
          <t>Kendi evin, kendi balkonun. Bu, kimseye sormadan saksı çivilemek demek. Otuz yıl bunu bekledin.</t>
        </is>
      </c>
    </row>
    <row r="153">
      <c r="A153" s="5" t="inlineStr">
        <is>
          <t>mm-devir-teslim</t>
        </is>
      </c>
      <c r="B153" s="5" t="inlineStr">
        <is>
          <t>memur-kayip-dosya</t>
        </is>
      </c>
      <c r="C153" s="6" t="inlineStr">
        <is>
          <t>Devir listesinde bir satır var: 'Kayıp dosya, takibi sürüyor.' Satır yıllardır takip ediliyor.</t>
        </is>
      </c>
    </row>
    <row r="154">
      <c r="A154" s="5" t="inlineStr">
        <is>
          <t>b9-yapay-zeka-asistani</t>
        </is>
      </c>
      <c r="B154" s="5" t="inlineStr">
        <is>
          <t>yalanci</t>
        </is>
      </c>
      <c r="C154" s="6" t="inlineStr">
        <is>
          <t>Asistan yaşını sordu. Refleksle beş yıl kestin. Asistan itiraz etmedi; doğum tarihin zaten onda kayıtlı.</t>
        </is>
      </c>
    </row>
    <row r="155">
      <c r="A155" s="5" t="inlineStr">
        <is>
          <t>b9-torun-nobeti</t>
        </is>
      </c>
      <c r="B155" s="5" t="inlineStr">
        <is>
          <t>kediGeldi</t>
        </is>
      </c>
      <c r="C155" s="6" t="inlineStr">
        <is>
          <t>Çocukken sen eve bir kedi getirtmiştin. Torun da kapıda bir kediyle bekliyor. Tarih tekerrür ediyor, kedi değişiyor.</t>
        </is>
      </c>
    </row>
    <row r="156">
      <c r="A156" s="5" t="inlineStr">
        <is>
          <t>b9-kahvehane-tavla</t>
        </is>
      </c>
      <c r="B156" s="5" t="inlineStr">
        <is>
          <t>kediSuclu</t>
        </is>
      </c>
      <c r="C156" s="6" t="inlineStr">
        <is>
          <t>Bir pul yere düştü. Refleksle kahvehanenin kedisine baktın. Altmış yıl geçti, refleks yerinde.</t>
        </is>
      </c>
    </row>
    <row r="157">
      <c r="A157" s="5" t="inlineStr">
        <is>
          <t>b9-emeklilik</t>
        </is>
      </c>
      <c r="B157" s="5" t="inlineStr">
        <is>
          <t>meslek-esnaf</t>
        </is>
      </c>
      <c r="C157" s="6" t="inlineStr">
        <is>
          <t>Dükkânın anahtarı artık başkasının cebinde. Sabahları elin yine de cebine gidiyor.</t>
        </is>
      </c>
    </row>
    <row r="158">
      <c r="A158" s="5" t="inlineStr">
        <is>
          <t>b9-emeklilik</t>
        </is>
      </c>
      <c r="B158" s="5" t="inlineStr">
        <is>
          <t>meslek-memur</t>
        </is>
      </c>
      <c r="C158" s="6" t="inlineStr">
        <is>
          <t>Son dilekçeni imzaladın: kendi emeklilik dilekçen. İlk kez bir evrakı bekletmeden işleme aldın.</t>
        </is>
      </c>
    </row>
    <row r="159">
      <c r="A159" s="5" t="inlineStr">
        <is>
          <t>b9-emeklilik</t>
        </is>
      </c>
      <c r="B159" s="5" t="inlineStr">
        <is>
          <t>meslek-beyazyaka</t>
        </is>
      </c>
      <c r="C159" s="6" t="inlineStr">
        <is>
          <t>Kurumsal e-posta hesabın kapatıldı. Otomatik yanıt olarak 'Artık bu adreste değilim. Hiçbir adreste değilim.' yazdın.</t>
        </is>
      </c>
    </row>
    <row r="160">
      <c r="A160" s="5" t="inlineStr">
        <is>
          <t>b9-emeklilik</t>
        </is>
      </c>
      <c r="B160" s="5" t="inlineStr">
        <is>
          <t>meslek-serbest</t>
        </is>
      </c>
      <c r="C160" s="6" t="inlineStr">
        <is>
          <t>Serbest çalışanın emeklilik töreni olmaz. Kendi kendine bir pasta aldın ve faturasını kestin.</t>
        </is>
      </c>
    </row>
    <row r="161">
      <c r="A161" s="5" t="inlineStr">
        <is>
          <t>ms-retrospektif</t>
        </is>
      </c>
      <c r="B161" s="5" t="inlineStr">
        <is>
          <t>serbest-viral-oldu</t>
        </is>
      </c>
      <c r="C161" s="6" t="inlineStr">
        <is>
          <t>Viral videonun ekran görüntüsü de sergide. En çok fotoğraf çekilen eser o.</t>
        </is>
      </c>
    </row>
    <row r="162">
      <c r="A162" s="5" t="inlineStr">
        <is>
          <t>ms-retrospektif</t>
        </is>
      </c>
      <c r="B162" s="5" t="inlineStr">
        <is>
          <t>serbest-fon-aldi</t>
        </is>
      </c>
      <c r="C162" s="6" t="inlineStr">
        <is>
          <t>Fon komitesinin eski başkanı açılışta. Harcama raporunu hâlâ hatırlıyor.</t>
        </is>
      </c>
    </row>
    <row r="163">
      <c r="A163" s="5" t="inlineStr">
        <is>
          <t>b9-ikramiye</t>
        </is>
      </c>
      <c r="B163" s="5" t="inlineStr">
        <is>
          <t>borclu</t>
        </is>
      </c>
      <c r="C163" s="6" t="inlineStr">
        <is>
          <t>İkramiyenin yarısı daha hesaba düşmeden kredi kartı borcuna gitti. Banka görevlisi tebrik cümlesini yarıda kesti.</t>
        </is>
      </c>
    </row>
    <row r="164">
      <c r="A164" s="5" t="inlineStr">
        <is>
          <t>b9-es-7-24</t>
        </is>
      </c>
      <c r="B164" s="5" t="inlineStr">
        <is>
          <t>kediGeldi</t>
        </is>
      </c>
      <c r="C164" s="6" t="inlineStr">
        <is>
          <t>Kedi de artık iki kişiyle sabahtan akşama aynı odada. Kedi, bu değişikliği onaylamadığını belirtti.</t>
        </is>
      </c>
    </row>
    <row r="165">
      <c r="A165" s="5" t="inlineStr">
        <is>
          <t>b9-yalniz-emeklilik</t>
        </is>
      </c>
      <c r="B165" s="5" t="inlineStr">
        <is>
          <t>bosandi</t>
        </is>
      </c>
      <c r="C165" s="6" t="inlineStr">
        <is>
          <t>Boşanmadan sonra evin yarısı boştu. Şimdi hepsi senin. Dolapların yarısı hâlâ boş; alışkanlık.</t>
        </is>
      </c>
    </row>
    <row r="166">
      <c r="A166" s="5" t="inlineStr">
        <is>
          <t>b9-yalniz-emeklilik</t>
        </is>
      </c>
      <c r="B166" s="5" t="inlineStr">
        <is>
          <t>kediGeldi</t>
        </is>
      </c>
      <c r="C166" s="6" t="inlineStr">
        <is>
          <t>Çocukluğundaki kedi çok önce gitti. O günden beri evde bir kedi olsun istedin; şimdi vakit de var, koltuk da.</t>
        </is>
      </c>
    </row>
    <row r="167">
      <c r="A167" s="5" t="inlineStr">
        <is>
          <t>mb-veda-plaketi</t>
        </is>
      </c>
      <c r="B167" s="5" t="inlineStr">
        <is>
          <t>beyazyaka-gm-tanidik</t>
        </is>
      </c>
      <c r="C167" s="6" t="inlineStr">
        <is>
          <t>Genel müdür konuşmasında gölden bahsetti. Kimse anlamadı, sen gülümsedin.</t>
        </is>
      </c>
    </row>
    <row r="168">
      <c r="A168" s="5" t="inlineStr">
        <is>
          <t>b9-tavla-finali</t>
        </is>
      </c>
      <c r="B168" s="5" t="inlineStr">
        <is>
          <t>tavla-sampiyonu</t>
        </is>
      </c>
      <c r="C168" s="6" t="inlineStr">
        <is>
          <t>Geçen sezonun şampiyonusun. Adın duvarda bantlı. Bandı sökmek isteyen çok.</t>
        </is>
      </c>
    </row>
    <row r="169">
      <c r="A169" s="5" t="inlineStr">
        <is>
          <t>b9-torunun-tableti</t>
        </is>
      </c>
      <c r="B169" s="5" t="inlineStr">
        <is>
          <t>ilkKelimePara</t>
        </is>
      </c>
      <c r="C169" s="6" t="inlineStr">
        <is>
          <t>Tablette 'Sanal Para Topla' diye bir oyun var; rekor torunda. Senin ilk kelimen 'para'ydı. Kan çekiyor.</t>
        </is>
      </c>
    </row>
    <row r="170">
      <c r="A170" s="5" t="inlineStr">
        <is>
          <t>mm-eski-daire</t>
        </is>
      </c>
      <c r="B170" s="5" t="inlineStr">
        <is>
          <t>memur-ikinci-is</t>
        </is>
      </c>
      <c r="C170" s="6" t="inlineStr">
        <is>
          <t>Cebindeki katlanmış kâğıt: yıllar önce yazdığın kafe menüsü. Emeklilik geldi, sermaye hâlâ yolda.</t>
        </is>
      </c>
    </row>
    <row r="171">
      <c r="A171" s="5" t="inlineStr">
        <is>
          <t>b9-yazlik-komsulari</t>
        </is>
      </c>
      <c r="B171" s="5" t="inlineStr">
        <is>
          <t>yazlikci</t>
        </is>
      </c>
      <c r="C171" s="6" t="inlineStr">
        <is>
          <t>İkramiyeyle aldığın yazlığın ilk sezonu. Site grubuna eklendin. İlk mesaj: 'Hortumlar için yeni kurallar'.</t>
        </is>
      </c>
    </row>
    <row r="172">
      <c r="A172" s="5" t="inlineStr">
        <is>
          <t>b9-yazlik-komsulari</t>
        </is>
      </c>
      <c r="B172" s="5" t="inlineStr">
        <is>
          <t>ev-sahibi</t>
        </is>
      </c>
      <c r="C172" s="6" t="inlineStr">
        <is>
          <t>Şehirdeki evin, yazlıktaki evin. İki ayrı aidat, iki ayrı yönetim, iki ayrı hortum yönetmeliği.</t>
        </is>
      </c>
    </row>
    <row r="173">
      <c r="A173" s="5" t="inlineStr">
        <is>
          <t>b9-ikinci-kariyer</t>
        </is>
      </c>
      <c r="B173" s="5" t="inlineStr">
        <is>
          <t>meslek-serbest</t>
        </is>
      </c>
      <c r="C173" s="6" t="inlineStr">
        <is>
          <t>Serbest çalıştığın için zaten hiç emekli olmamıştın. Emeklilik ile çalışmak arasındaki fark bir kâğıttan ibaret.</t>
        </is>
      </c>
    </row>
    <row r="174">
      <c r="A174" s="5" t="inlineStr">
        <is>
          <t>b9-ikinci-kariyer</t>
        </is>
      </c>
      <c r="B174" s="5" t="inlineStr">
        <is>
          <t>meslek-memur</t>
        </is>
      </c>
      <c r="C174" s="6" t="inlineStr">
        <is>
          <t>Ömrünü devlet dairesinde geçirdin. Özel sektörde ilk günün: kimse sana 'Evrakı yarın getirin' demiyor. Kafan karıştı.</t>
        </is>
      </c>
    </row>
    <row r="175">
      <c r="A175" s="5" t="inlineStr">
        <is>
          <t>b9-noter-miras</t>
        </is>
      </c>
      <c r="B175" s="5" t="inlineStr">
        <is>
          <t>borclu</t>
        </is>
      </c>
      <c r="C175" s="6" t="inlineStr">
        <is>
          <t>Mirasın ilk maddesi: borçlar. Noter maddeyi okurken sesini alçalttı. Çocukların ise yükseltti.</t>
        </is>
      </c>
    </row>
    <row r="176">
      <c r="A176" s="5" t="inlineStr">
        <is>
          <t>b9-noter-miras</t>
        </is>
      </c>
      <c r="B176" s="5" t="inlineStr">
        <is>
          <t>ev-sahibi</t>
        </is>
      </c>
      <c r="C176" s="6" t="inlineStr">
        <is>
          <t>Otuz yıllık ev sahipliği tek bir cümleye sığdı: 'Tapu, belirtilen kişiye devredilir.' Otuz yılın kısa özeti.</t>
        </is>
      </c>
    </row>
    <row r="177">
      <c r="A177" s="5" t="inlineStr">
        <is>
          <t>b9-dev-kabak</t>
        </is>
      </c>
      <c r="B177" s="5" t="inlineStr">
        <is>
          <t>yazlikci</t>
        </is>
      </c>
      <c r="C177" s="6" t="inlineStr">
        <is>
          <t>Yazlık sitesinin yönetimi kabağın 'ortak alanı işgal ettiğini' bildiren bir yazı yolladı. Kabağa tebligat yapıldı.</t>
        </is>
      </c>
    </row>
    <row r="178">
      <c r="A178" s="5" t="inlineStr">
        <is>
          <t>me-son-kepenk</t>
        </is>
      </c>
      <c r="B178" s="5" t="inlineStr">
        <is>
          <t>esnaf-dernek-baskani</t>
        </is>
      </c>
      <c r="C178" s="6" t="inlineStr">
        <is>
          <t>Kapıda dernek pankartı var: 'Başkanımıza emeklilikte başarılar.' Pankartın parasını sen onaylamıştın.</t>
        </is>
      </c>
    </row>
    <row r="179">
      <c r="A179" s="5" t="inlineStr">
        <is>
          <t>b9-emekli-seyahati</t>
        </is>
      </c>
      <c r="B179" s="5" t="inlineStr">
        <is>
          <t>askerlik-yapti</t>
        </is>
      </c>
      <c r="C179" s="6" t="inlineStr">
        <is>
          <t>Otobüste sabah beşte kalkmak sana askerliği hatırlattı. Yoklama da alınıyor. Sen 'Burada' diye bağırdın. Otobüs güldü.</t>
        </is>
      </c>
    </row>
    <row r="180">
      <c r="A180" s="5" t="inlineStr">
        <is>
          <t>b9-emekli-seyahati</t>
        </is>
      </c>
      <c r="B180" s="5" t="inlineStr">
        <is>
          <t>sigara</t>
        </is>
      </c>
      <c r="C180" s="6" t="inlineStr">
        <is>
          <t>Her molada otobüsün arkasında aynı üç kişi toplanıyor. Sen de oradasın. Rehber sizi 'Duman Heyeti' diye çağırıyor.</t>
        </is>
      </c>
    </row>
    <row r="181">
      <c r="A181" s="5" t="inlineStr">
        <is>
          <t>b9-sifre-unuttum</t>
        </is>
      </c>
      <c r="B181" s="5" t="inlineStr">
        <is>
          <t>ilkKelimePara</t>
        </is>
      </c>
      <c r="C181" s="6" t="inlineStr">
        <is>
          <t>İlk kelimen 'para' idi. Şifren de 'Para' ile başlıyordu. Sonrası hatırlanmıyor. İlk kelime kaldı, gerisi gitti.</t>
        </is>
      </c>
    </row>
    <row r="182">
      <c r="A182" s="5" t="inlineStr">
        <is>
          <t>b9-site-toplantisi</t>
        </is>
      </c>
      <c r="B182" s="5" t="inlineStr">
        <is>
          <t>baskan</t>
        </is>
      </c>
      <c r="C182" s="6" t="inlineStr">
        <is>
          <t>İlkokulda sınıf başkanıydın. Apartman sakinleri bunu bilmiyor ama seçim sonucu yine aynı çıkıyor.</t>
        </is>
      </c>
    </row>
    <row r="183">
      <c r="A183" s="5" t="inlineStr">
        <is>
          <t>b9-torunun-sorusu</t>
        </is>
      </c>
      <c r="B183" s="5" t="inlineStr">
        <is>
          <t>fenomen</t>
        </is>
      </c>
      <c r="C183" s="6" t="inlineStr">
        <is>
          <t>Gençken birkaç video paylaşmıştın. Torun onları buldu. Senin eski videon şimdi onun sınıf grubunda dolaşıyor.</t>
        </is>
      </c>
    </row>
    <row r="184">
      <c r="A184" s="5" t="inlineStr">
        <is>
          <t>b9-torunun-sorusu</t>
        </is>
      </c>
      <c r="B184" s="5" t="inlineStr">
        <is>
          <t>askerlik-yapti</t>
        </is>
      </c>
      <c r="C184" s="6" t="inlineStr">
        <is>
          <t>Askerlik anılarını anlatmak için ağzını açtın. Torun 'Biliyorum, üç yüz kere anlattın' dedi. Doğru.</t>
        </is>
      </c>
    </row>
    <row r="185">
      <c r="A185" s="5" t="inlineStr">
        <is>
          <t>ms-son-roportaj</t>
        </is>
      </c>
      <c r="B185" s="5" t="inlineStr">
        <is>
          <t>serbest-alacakli</t>
        </is>
      </c>
      <c r="C185" s="6" t="inlineStr">
        <is>
          <t>O fatura hâlâ onay bekliyor. Öğrenci bunu tezine ek olarak koydu.</t>
        </is>
      </c>
    </row>
    <row r="186">
      <c r="A186" s="5" t="inlineStr">
        <is>
          <t>b9-hayat-muhasebesi</t>
        </is>
      </c>
      <c r="B186" s="5" t="inlineStr">
        <is>
          <t>kediSuclu</t>
        </is>
      </c>
      <c r="C186" s="6" t="inlineStr">
        <is>
          <t>Slaytlardan biri: kırık vazo ve suçlu bakışlı bir kedi. Aile yetmiş yıl sonra gerçeği öğrenmek istiyor.</t>
        </is>
      </c>
    </row>
    <row r="187">
      <c r="A187" s="5" t="inlineStr">
        <is>
          <t>b9-hayat-muhasebesi</t>
        </is>
      </c>
      <c r="B187" s="5" t="inlineStr">
        <is>
          <t>kediGeldi</t>
        </is>
      </c>
      <c r="C187" s="6" t="inlineStr">
        <is>
          <t>Fotoğrafların yarısında bir kedi var. Kedilerin sayısı, akrabalardan fazla.</t>
        </is>
      </c>
    </row>
    <row r="188">
      <c r="A188" s="5" t="inlineStr">
        <is>
          <t>b9-hayat-muhasebesi</t>
        </is>
      </c>
      <c r="B188" s="5" t="inlineStr">
        <is>
          <t>bosandi</t>
        </is>
      </c>
      <c r="C188" s="6" t="inlineStr">
        <is>
          <t>Bazı fotoğraflardan bir yüz kesilip çıkarılmış. Makas işi temiz. Çocuklar bunu yorumlamadı.</t>
        </is>
      </c>
    </row>
    <row r="189">
      <c r="A189" s="5" t="inlineStr">
        <is>
          <t>b10-noter-vasiyet</t>
        </is>
      </c>
      <c r="B189" s="5" t="inlineStr">
        <is>
          <t>ev-sahibi</t>
        </is>
      </c>
      <c r="C189" s="6" t="inlineStr">
        <is>
          <t>Tapuyu çantadan çıkardın; kırk yıllık kâğıdın köşeleri yumuşamış. Katip ona dokunurken bile özen gösterdi.</t>
        </is>
      </c>
    </row>
    <row r="190">
      <c r="A190" s="5" t="inlineStr">
        <is>
          <t>b10-noter-vasiyet</t>
        </is>
      </c>
      <c r="B190" s="5" t="inlineStr">
        <is>
          <t>borclu</t>
        </is>
      </c>
      <c r="C190" s="6" t="inlineStr">
        <is>
          <t>Katip mal listesini okurken kart ekstresine geldi, gözlüğünün üstünden baktı: 'Bunu da paylaştıracak mıyız?'</t>
        </is>
      </c>
    </row>
    <row r="191">
      <c r="A191" s="5" t="inlineStr">
        <is>
          <t>b10-noter-vasiyet</t>
        </is>
      </c>
      <c r="B191" s="5" t="inlineStr">
        <is>
          <t>ilkKelimePara</t>
        </is>
      </c>
      <c r="C191" s="6" t="inlineStr">
        <is>
          <t>İlk kelimen 'Para' idi. Katip mal varlığı listesini okurken dudakların aynı kelimeyi kıpırdattı.</t>
        </is>
      </c>
    </row>
    <row r="192">
      <c r="A192" s="5" t="inlineStr">
        <is>
          <t>b10-miras-provasi</t>
        </is>
      </c>
      <c r="B192" s="5" t="inlineStr">
        <is>
          <t>kediSuclu</t>
        </is>
      </c>
      <c r="C192" s="6" t="inlineStr">
        <is>
          <t>Vitrin annenden kaldı. Vazonun eşini yetmiş yıl önce sen kırmıştın; kedi hâlâ şüpheli listesinde.</t>
        </is>
      </c>
    </row>
    <row r="193">
      <c r="A193" s="5" t="inlineStr">
        <is>
          <t>b10-miras-provasi</t>
        </is>
      </c>
      <c r="B193" s="5" t="inlineStr">
        <is>
          <t>yalanci</t>
        </is>
      </c>
      <c r="C193" s="6" t="inlineStr">
        <is>
          <t>Bu masada yalan söyleyen biri var. Uzun yıllardır ilk kez o kişi sen değilsin.</t>
        </is>
      </c>
    </row>
    <row r="194">
      <c r="A194" s="5" t="inlineStr">
        <is>
          <t>b10-teknoloji-kursu</t>
        </is>
      </c>
      <c r="B194" s="5" t="inlineStr">
        <is>
          <t>fenomen</t>
        </is>
      </c>
      <c r="C194" s="6" t="inlineStr">
        <is>
          <t>Eğitmen seni tanıdı: kursta 'eski internet' örneği olarak senin videonu gösteriyorlar. Sınıf bir anlığına sana döndü.</t>
        </is>
      </c>
    </row>
    <row r="195">
      <c r="A195" s="5" t="inlineStr">
        <is>
          <t>b10-teknoloji-kursu</t>
        </is>
      </c>
      <c r="B195" s="5" t="inlineStr">
        <is>
          <t>baskan</t>
        </is>
      </c>
      <c r="C195" s="6" t="inlineStr">
        <is>
          <t>Sınıfta başkan seçimi yapılmadı ama herkes sana bakıyor. Alışkanlık.</t>
        </is>
      </c>
    </row>
    <row r="196">
      <c r="A196" s="5" t="inlineStr">
        <is>
          <t>b10-balkon-kulesi</t>
        </is>
      </c>
      <c r="B196" s="5" t="inlineStr">
        <is>
          <t>baskan</t>
        </is>
      </c>
      <c r="C196" s="6" t="inlineStr">
        <is>
          <t>Sınıf başkanlığından beri kimin konuştuğunu not almak senin görevin. Görev bitmedi.</t>
        </is>
      </c>
    </row>
    <row r="197">
      <c r="A197" s="5" t="inlineStr">
        <is>
          <t>b10-balkon-kulesi</t>
        </is>
      </c>
      <c r="B197" s="5" t="inlineStr">
        <is>
          <t>camKirildi</t>
        </is>
      </c>
      <c r="C197" s="6" t="inlineStr">
        <is>
          <t>Karşıdaki çocuklar top oynuyor. Kırılacak camın sahibini şimdiden biliyorsun.</t>
        </is>
      </c>
    </row>
    <row r="198">
      <c r="A198" s="5" t="inlineStr">
        <is>
          <t>b10-balkon-kulesi</t>
        </is>
      </c>
      <c r="B198" s="5" t="inlineStr">
        <is>
          <t>haracci-dusmani</t>
        </is>
      </c>
      <c r="C198" s="6" t="inlineStr">
        <is>
          <t>Eski haraççılardan biri sokaktan geçti. Göz göze geldiniz. İkiniz de başka yöne baktınız.</t>
        </is>
      </c>
    </row>
    <row r="199">
      <c r="A199" s="5" t="inlineStr">
        <is>
          <t>b10-sinif-bulusmasi</t>
        </is>
      </c>
      <c r="B199" s="5" t="inlineStr">
        <is>
          <t>baskan</t>
        </is>
      </c>
      <c r="C199" s="6" t="inlineStr">
        <is>
          <t>Kapıdan girdiğinde biri 'Başkan geldi!' diye bağırdı. Altmış yedi yıldır kimse seçim yapmamış.</t>
        </is>
      </c>
    </row>
    <row r="200">
      <c r="A200" s="5" t="inlineStr">
        <is>
          <t>b10-sinif-bulusmasi</t>
        </is>
      </c>
      <c r="B200" s="5" t="inlineStr">
        <is>
          <t>tepsiTekeli</t>
        </is>
      </c>
      <c r="C200" s="6" t="inlineStr">
        <is>
          <t>Biri o kışı hatırladı. Tepsi tekelinin hesabı altmış beş yıl sonra soruldu.</t>
        </is>
      </c>
    </row>
    <row r="201">
      <c r="A201" s="5" t="inlineStr">
        <is>
          <t>b10-sinif-bulusmasi</t>
        </is>
      </c>
      <c r="B201" s="5" t="inlineStr">
        <is>
          <t>camKirildi</t>
        </is>
      </c>
      <c r="C201" s="6" t="inlineStr">
        <is>
          <t>Komşunun camını kıran top için bugün hâlâ iki ayrı versiyon anlatılıyor.</t>
        </is>
      </c>
    </row>
    <row r="202">
      <c r="A202" s="5" t="inlineStr">
        <is>
          <t>b10-sinif-bulusmasi</t>
        </is>
      </c>
      <c r="B202" s="5" t="inlineStr">
        <is>
          <t>yalanci</t>
        </is>
      </c>
      <c r="C202" s="6" t="inlineStr">
        <is>
          <t>Eski bir sınıf arkadaşın 'Sen öğretmene de çok hikâye anlatırdın' dedi. Bu sefer hikâye doğru.</t>
        </is>
      </c>
    </row>
    <row r="203">
      <c r="A203" s="5" t="inlineStr">
        <is>
          <t>b10-doktor-gomersiniz</t>
        </is>
      </c>
      <c r="B203" s="5" t="inlineStr">
        <is>
          <t>sporcu</t>
        </is>
      </c>
      <c r="C203" s="6" t="inlineStr">
        <is>
          <t>Doktor spor geçmişini okuyunca bir süre sustu, sonra kendi göbeğine baktı.</t>
        </is>
      </c>
    </row>
    <row r="204">
      <c r="A204" s="5" t="inlineStr">
        <is>
          <t>b10-doktor-gomersiniz</t>
        </is>
      </c>
      <c r="B204" s="5" t="inlineStr">
        <is>
          <t>sigara</t>
        </is>
      </c>
      <c r="C204" s="6" t="inlineStr">
        <is>
          <t>Dosyanın bir sayfası eski alışkanlıklara ayrılmış. Doktor o sayfayı hızlı geçti.</t>
        </is>
      </c>
    </row>
    <row r="205">
      <c r="A205" s="5" t="inlineStr">
        <is>
          <t>b10-doktor-gomersiniz</t>
        </is>
      </c>
      <c r="B205" s="5" t="inlineStr">
        <is>
          <t>askerlik-yapti</t>
        </is>
      </c>
      <c r="C205" s="6" t="inlineStr">
        <is>
          <t>'Dik oturun' dendi. Askerlikten beri bu komuta refleksle uyuyorsun.</t>
        </is>
      </c>
    </row>
    <row r="206">
      <c r="A206" s="5" t="inlineStr">
        <is>
          <t>b10-bayram-harcligi</t>
        </is>
      </c>
      <c r="B206" s="5" t="inlineStr">
        <is>
          <t>ilkKelimePara</t>
        </is>
      </c>
      <c r="C206" s="6" t="inlineStr">
        <is>
          <t>İlk kelimen 'Para' idi. Bugün kapıdaki her çocuk sana aynı kelimeyle bakıyor.</t>
        </is>
      </c>
    </row>
    <row r="207">
      <c r="A207" s="5" t="inlineStr">
        <is>
          <t>b10-bayram-harcligi</t>
        </is>
      </c>
      <c r="B207" s="5" t="inlineStr">
        <is>
          <t>emekli</t>
        </is>
      </c>
      <c r="C207" s="6" t="inlineStr">
        <is>
          <t>Maaş günü ile bayram aynı haftaya denk geldi. Takvim nadiren bu kadar cömert.</t>
        </is>
      </c>
    </row>
    <row r="208">
      <c r="A208" s="5" t="inlineStr">
        <is>
          <t>b10-bayram-harcligi</t>
        </is>
      </c>
      <c r="B208" s="5" t="inlineStr">
        <is>
          <t>tepsiTekeli</t>
        </is>
      </c>
      <c r="C208" s="6" t="inlineStr">
        <is>
          <t>Kapıdaki çocuklar elindeki zarflara bakıyor. Sen de bir zamanlar tepsilere öyle bakmıştın.</t>
        </is>
      </c>
    </row>
    <row r="209">
      <c r="A209" s="5" t="inlineStr">
        <is>
          <t>b10-dijital-miras</t>
        </is>
      </c>
      <c r="B209" s="5" t="inlineStr">
        <is>
          <t>fenomen</t>
        </is>
      </c>
      <c r="C209" s="6" t="inlineStr">
        <is>
          <t>Eski hesabın hâlâ açık. Takipçilerin arasında artık gerçek kişiden çok, kendi kendine konuşan hesaplar var.</t>
        </is>
      </c>
    </row>
    <row r="210">
      <c r="A210" s="5" t="inlineStr">
        <is>
          <t>b10-dijital-miras</t>
        </is>
      </c>
      <c r="B210" s="5" t="inlineStr">
        <is>
          <t>kediGeldi</t>
        </is>
      </c>
      <c r="C210" s="6" t="inlineStr">
        <is>
          <t>Şifrelerin yarısı o kedinin adı. Kedi, dijital varlıklarının gerçek sahibi.</t>
        </is>
      </c>
    </row>
    <row r="211">
      <c r="A211" s="5" t="inlineStr">
        <is>
          <t>b10-mezar-parseli</t>
        </is>
      </c>
      <c r="B211" s="5" t="inlineStr">
        <is>
          <t>ev-sahibi</t>
        </is>
      </c>
      <c r="C211" s="6" t="inlineStr">
        <is>
          <t>Hayatında ikinci kez tapu alıyorsun. Bu seferki aidatsız.</t>
        </is>
      </c>
    </row>
    <row r="212">
      <c r="A212" s="5" t="inlineStr">
        <is>
          <t>b10-mezar-parseli</t>
        </is>
      </c>
      <c r="B212" s="5" t="inlineStr">
        <is>
          <t>borclu</t>
        </is>
      </c>
      <c r="C212" s="6" t="inlineStr">
        <is>
          <t>Görevli taksit seçeneklerini gösterdi. Hayatın boyunca taksitten kaçamadın; son adresin de taksitli.</t>
        </is>
      </c>
    </row>
    <row r="213">
      <c r="A213" s="5" t="inlineStr">
        <is>
          <t>b10-mezar-parseli</t>
        </is>
      </c>
      <c r="B213" s="5" t="inlineStr">
        <is>
          <t>evli</t>
        </is>
      </c>
      <c r="C213" s="6" t="inlineStr">
        <is>
          <t>Görevli 'İki kişilik mi?' diye sordu. Eşin 'Yan yana olsun ama çok da yakın olmasın' dedi.</t>
        </is>
      </c>
    </row>
    <row r="214">
      <c r="A214" s="5" t="inlineStr">
        <is>
          <t>b10-danismanlik</t>
        </is>
      </c>
      <c r="B214" s="5" t="inlineStr">
        <is>
          <t>meslek-memur</t>
        </is>
      </c>
      <c r="C214" s="6" t="inlineStr">
        <is>
          <t>Kurumda senden sonra dört müdür değişti. Arşiv düzeni hâlâ seninki.</t>
        </is>
      </c>
    </row>
    <row r="215">
      <c r="A215" s="5" t="inlineStr">
        <is>
          <t>b10-danismanlik</t>
        </is>
      </c>
      <c r="B215" s="5" t="inlineStr">
        <is>
          <t>meslek-esnaf</t>
        </is>
      </c>
      <c r="C215" s="6" t="inlineStr">
        <is>
          <t>Eski çırağın da aradı; dükkân artık onun. 'Usta, veresiye defteri nerede dururdu?' dedi. Sesi hâlâ çırak sesi.</t>
        </is>
      </c>
    </row>
    <row r="216">
      <c r="A216" s="5" t="inlineStr">
        <is>
          <t>b10-danismanlik</t>
        </is>
      </c>
      <c r="B216" s="5" t="inlineStr">
        <is>
          <t>meslek-beyazyaka</t>
        </is>
      </c>
      <c r="C216" s="6" t="inlineStr">
        <is>
          <t>Ofiste açık alan kaldırılmış, bölmeler geri gelmiş. Senin masanın yerinde şimdi çay ocağı var.</t>
        </is>
      </c>
    </row>
    <row r="217">
      <c r="A217" s="5" t="inlineStr">
        <is>
          <t>b10-danismanlik</t>
        </is>
      </c>
      <c r="B217" s="5" t="inlineStr">
        <is>
          <t>meslek-serbest</t>
        </is>
      </c>
      <c r="C217" s="6" t="inlineStr">
        <is>
          <t>Serbest çalışırken kestiğin son faturanın ödemesi bugün yattı.</t>
        </is>
      </c>
    </row>
    <row r="218">
      <c r="A218" s="5" t="inlineStr">
        <is>
          <t>b10-eski-dost-cenazesi</t>
        </is>
      </c>
      <c r="B218" s="5" t="inlineStr">
        <is>
          <t>universiteli</t>
        </is>
      </c>
      <c r="C218" s="6" t="inlineStr">
        <is>
          <t>Kalabalıkta üniversiteden iki tanıdık yüz var. Üçünüz de aynı hocanın adını hatırlamaya çalışıyor.</t>
        </is>
      </c>
    </row>
    <row r="219">
      <c r="A219" s="5" t="inlineStr">
        <is>
          <t>b10-eski-dost-cenazesi</t>
        </is>
      </c>
      <c r="B219" s="5" t="inlineStr">
        <is>
          <t>askerlik-yapti</t>
        </is>
      </c>
      <c r="C219" s="6" t="inlineStr">
        <is>
          <t>Askerlikten bir arkadaş geldi. Selamlaşmanız otuz saniye, hatıralar beş dakika sürdü.</t>
        </is>
      </c>
    </row>
    <row r="220">
      <c r="A220" s="5" t="inlineStr">
        <is>
          <t>b10-eski-dost-cenazesi</t>
        </is>
      </c>
      <c r="B220" s="5" t="inlineStr">
        <is>
          <t>sirVerdi</t>
        </is>
      </c>
      <c r="C220" s="6" t="inlineStr">
        <is>
          <t>Kreşte bir sırrı dolaşıma sokmuştun. Bugün dostunun sırrını mezarına kadar taşıdın.</t>
        </is>
      </c>
    </row>
    <row r="221">
      <c r="A221" s="5" t="inlineStr">
        <is>
          <t>b10-ani-defteri</t>
        </is>
      </c>
      <c r="B221" s="5" t="inlineStr">
        <is>
          <t>kediSuclu</t>
        </is>
      </c>
      <c r="C221" s="6" t="inlineStr">
        <is>
          <t>İkinci sayfada vazo olayı. Kedi hâlâ bir numaralı şüpheli olarak kayıtlı.</t>
        </is>
      </c>
    </row>
    <row r="222">
      <c r="A222" s="5" t="inlineStr">
        <is>
          <t>b10-ani-defteri</t>
        </is>
      </c>
      <c r="B222" s="5" t="inlineStr">
        <is>
          <t>yalanci</t>
        </is>
      </c>
      <c r="C222" s="6" t="inlineStr">
        <is>
          <t>Tarihleri düzelten, üçüncü bölümün yanına kırmızı kalemle 'Kaynak?' yazdı.</t>
        </is>
      </c>
    </row>
    <row r="223">
      <c r="A223" s="5" t="inlineStr">
        <is>
          <t>b10-ani-defteri</t>
        </is>
      </c>
      <c r="B223" s="5" t="inlineStr">
        <is>
          <t>camKirildi</t>
        </is>
      </c>
      <c r="C223" s="6" t="inlineStr">
        <is>
          <t>Komşunun camı dördüncü bölümde. Komşunun çocukları dipnotta itiraz ediyor.</t>
        </is>
      </c>
    </row>
    <row r="224">
      <c r="A224" s="5" t="inlineStr">
        <is>
          <t>b10-ani-defteri</t>
        </is>
      </c>
      <c r="B224" s="5" t="inlineStr">
        <is>
          <t>tepsiTekeli</t>
        </is>
      </c>
      <c r="C224" s="6" t="inlineStr">
        <is>
          <t>Bir bölümün başlığı: 'Tepsi Tekeli: Bir Kışın Ekonomi Politiği.'</t>
        </is>
      </c>
    </row>
    <row r="225">
      <c r="A225" s="5" t="inlineStr">
        <is>
          <t>b10-ani-defteri</t>
        </is>
      </c>
      <c r="B225" s="5" t="inlineStr">
        <is>
          <t>fenomen</t>
        </is>
      </c>
      <c r="C225" s="6" t="inlineStr">
        <is>
          <t>Bir bölüm on iki yaşındaki kısa ün dönemine ayrıldı. Başlık: 'Beş Dakika, Otuz Bin Beğeni.'</t>
        </is>
      </c>
    </row>
    <row r="226">
      <c r="A226" s="5" t="inlineStr">
        <is>
          <t>b10-seksen-yas-partisi</t>
        </is>
      </c>
      <c r="B226" s="5" t="inlineStr">
        <is>
          <t>cocuklu</t>
        </is>
      </c>
      <c r="C226" s="6" t="inlineStr">
        <is>
          <t>Pastayı çocukların sipariş etti. Mumların sayısında üç kez anlaşamadılar.</t>
        </is>
      </c>
    </row>
    <row r="227">
      <c r="A227" s="5" t="inlineStr">
        <is>
          <t>b10-seksen-yas-partisi</t>
        </is>
      </c>
      <c r="B227" s="5" t="inlineStr">
        <is>
          <t>torunlu</t>
        </is>
      </c>
      <c r="C227" s="6" t="inlineStr">
        <is>
          <t>Torunlar pastanın yanında sıraya girdi. Hepsi mumlara yardım edecek; en küçüğünün parmağı çoktan kremada.</t>
        </is>
      </c>
    </row>
    <row r="228">
      <c r="A228" s="5" t="inlineStr">
        <is>
          <t>b10-seksen-yas-partisi</t>
        </is>
      </c>
      <c r="B228" s="5" t="inlineStr">
        <is>
          <t>sigara</t>
        </is>
      </c>
      <c r="C228" s="6" t="inlineStr">
        <is>
          <t>Sigarayı yıllar önce bıraktın. Bugün ciğerlerin seksen mumu tek nefeste üflemeye hazır.</t>
        </is>
      </c>
    </row>
    <row r="229">
      <c r="A229" s="5" t="inlineStr">
        <is>
          <t>b10-huzurevi-turu</t>
        </is>
      </c>
      <c r="B229" s="5" t="inlineStr">
        <is>
          <t>tepsiTekeli</t>
        </is>
      </c>
      <c r="C229" s="6" t="inlineStr">
        <is>
          <t>Yemekhanede tepsiler üst üste dizilmiş. Eski bir iş fırsatı gibi görünüyorlar.</t>
        </is>
      </c>
    </row>
    <row r="230">
      <c r="A230" s="5" t="inlineStr">
        <is>
          <t>b10-huzurevi-turu</t>
        </is>
      </c>
      <c r="B230" s="5" t="inlineStr">
        <is>
          <t>baskan</t>
        </is>
      </c>
      <c r="C230" s="6" t="inlineStr">
        <is>
          <t>Sakinler komitesinin başkanlık seçimi yakında. Kimse kapıdaki ilanı sana göstermek zorunda değildi ama gösterdi.</t>
        </is>
      </c>
    </row>
    <row r="231">
      <c r="A231" s="5" t="inlineStr">
        <is>
          <t>b10-huzurevi-turu</t>
        </is>
      </c>
      <c r="B231" s="5" t="inlineStr">
        <is>
          <t>bosandi</t>
        </is>
      </c>
      <c r="C231" s="6" t="inlineStr">
        <is>
          <t>Okey masasında eski eşinin kuzenini gördün. Dünya küçük, huzurevi daha küçük.</t>
        </is>
      </c>
    </row>
    <row r="232">
      <c r="A232" s="5" t="inlineStr">
        <is>
          <t>b10-torunun-dugunu</t>
        </is>
      </c>
      <c r="B232" s="5" t="inlineStr">
        <is>
          <t>evli</t>
        </is>
      </c>
      <c r="C232" s="6" t="inlineStr">
        <is>
          <t>Elli yıl önce bu şarkıyla sen evlenmiştin. Eşin masanın altından elini buldu.</t>
        </is>
      </c>
    </row>
    <row r="233">
      <c r="A233" s="5" t="inlineStr">
        <is>
          <t>b10-torunun-dugunu</t>
        </is>
      </c>
      <c r="B233" s="5" t="inlineStr">
        <is>
          <t>askerlik-yapti</t>
        </is>
      </c>
      <c r="C233" s="6" t="inlineStr">
        <is>
          <t>Masadaki eski bir arkadaş askerlik hatırasını anlatmaya başladı. Orkestra iki şarkı çaldı; hatıra hâlâ ilk nöbet gecesindeydi.</t>
        </is>
      </c>
    </row>
    <row r="234">
      <c r="A234" s="5" t="inlineStr">
        <is>
          <t>b10-torunun-dugunu</t>
        </is>
      </c>
      <c r="B234" s="5" t="inlineStr">
        <is>
          <t>ev-sahibi</t>
        </is>
      </c>
      <c r="C234" s="6" t="inlineStr">
        <is>
          <t>Takı sırasında cebinden bir zarf çıkardın: evin yedek anahtarı ve bir not, 'Benden sonra sizin.' Herkes ağladı, iki kişi hesapladı.</t>
        </is>
      </c>
    </row>
    <row r="235">
      <c r="A235" s="5" t="inlineStr">
        <is>
          <t>b10-yapay-zeka-kitap</t>
        </is>
      </c>
      <c r="B235" s="5" t="inlineStr">
        <is>
          <t>fenomen</t>
        </is>
      </c>
      <c r="C235" s="6" t="inlineStr">
        <is>
          <t>Yapay zekâ on iki yaşındaki videolarını buldu. Kitabın bir bölümü tamamen ekran görüntülerinden oluşuyor.</t>
        </is>
      </c>
    </row>
    <row r="236">
      <c r="A236" s="5" t="inlineStr">
        <is>
          <t>b10-yapay-zeka-kitap</t>
        </is>
      </c>
      <c r="B236" s="5" t="inlineStr">
        <is>
          <t>universiteli</t>
        </is>
      </c>
      <c r="C236" s="6" t="inlineStr">
        <is>
          <t>Kitapta üniversite yılların 'entelektüel uyanış' olarak geçiyor. Aslında çoğu kantinde geçti.</t>
        </is>
      </c>
    </row>
    <row r="237">
      <c r="A237" s="5" t="inlineStr">
        <is>
          <t>b10-yapay-zeka-kitap</t>
        </is>
      </c>
      <c r="B237" s="5" t="inlineStr">
        <is>
          <t>meslek-beyazyaka</t>
        </is>
      </c>
      <c r="C237" s="6" t="inlineStr">
        <is>
          <t>Meslek bölümü, performans değerlendirme dili ile yazılmış. Makine seni terfiye önermiş.</t>
        </is>
      </c>
    </row>
    <row r="238">
      <c r="A238" s="5" t="inlineStr">
        <is>
          <t>b10-yapay-zeka-kitap</t>
        </is>
      </c>
      <c r="B238" s="5" t="inlineStr">
        <is>
          <t>kediSuclu</t>
        </is>
      </c>
      <c r="C238" s="6" t="inlineStr">
        <is>
          <t>Kitapta vazo olayı ayrıntılı. Makine kediye bir dipnot düşmüş: 'Kanıt yetersiz.'</t>
        </is>
      </c>
    </row>
    <row r="239">
      <c r="A239" s="5" t="inlineStr">
        <is>
          <t>b10-eski-ev</t>
        </is>
      </c>
      <c r="B239" s="5" t="inlineStr">
        <is>
          <t>camKirildi</t>
        </is>
      </c>
      <c r="C239" s="6" t="inlineStr">
        <is>
          <t>Karşı komşunun camı hâlâ yerinde. Ya da onun yenisi. Topu kimin attığını o cam da unutmadı.</t>
        </is>
      </c>
    </row>
    <row r="240">
      <c r="A240" s="5" t="inlineStr">
        <is>
          <t>b10-eski-ev</t>
        </is>
      </c>
      <c r="B240" s="5" t="inlineStr">
        <is>
          <t>kediGeldi</t>
        </is>
      </c>
      <c r="C240" s="6" t="inlineStr">
        <is>
          <t>Bahçe duvarında bir kedi oturuyor. Senin kedinin torununun torunu olabilir. Seni tanımıyor.</t>
        </is>
      </c>
    </row>
    <row r="241">
      <c r="A241" s="5" t="inlineStr">
        <is>
          <t>b10-eski-ev</t>
        </is>
      </c>
      <c r="B241" s="5" t="inlineStr">
        <is>
          <t>haracci-dusmani</t>
        </is>
      </c>
      <c r="C241" s="6" t="inlineStr">
        <is>
          <t>Eski haraççıların durduğu köşede şimdi bir simitçi var. Ona da selam vermeden geçilmiyor.</t>
        </is>
      </c>
    </row>
    <row r="242">
      <c r="A242" s="5" t="inlineStr">
        <is>
          <t>b10-eski-ev</t>
        </is>
      </c>
      <c r="B242" s="5" t="inlineStr">
        <is>
          <t>tepsiTekeli</t>
        </is>
      </c>
      <c r="C242" s="6" t="inlineStr">
        <is>
          <t>Bu yokuştan tepsiyle kaydığın kışı hatırladın. Aynı yokuşu şimdi duvara tutunarak iniyorsun.</t>
        </is>
      </c>
    </row>
    <row r="243">
      <c r="A243" s="5" t="inlineStr">
        <is>
          <t>b10-son-dans</t>
        </is>
      </c>
      <c r="B243" s="5" t="inlineStr">
        <is>
          <t>cocuklu</t>
        </is>
      </c>
      <c r="C243" s="6" t="inlineStr">
        <is>
          <t>Kapı aralığından altmışlık çocuğunun sizi izlediğini fark ettin. Telefonu kaldırmamış. Bu yeterli.</t>
        </is>
      </c>
    </row>
    <row r="244">
      <c r="A244" s="5" t="inlineStr">
        <is>
          <t>b10-son-dans</t>
        </is>
      </c>
      <c r="B244" s="5" t="inlineStr">
        <is>
          <t>sporcu</t>
        </is>
      </c>
      <c r="C244" s="6" t="inlineStr">
        <is>
          <t>Yıllar süren sabah koşuları bugün meyvesini veriyor: bir şarkı, iki tur.</t>
        </is>
      </c>
    </row>
    <row r="245">
      <c r="A245" s="5" t="inlineStr">
        <is>
          <t>b10-son-dans</t>
        </is>
      </c>
      <c r="B245" s="5" t="inlineStr">
        <is>
          <t>ev-sahibi</t>
        </is>
      </c>
      <c r="C245" s="6" t="inlineStr">
        <is>
          <t>Bu salonda kırk yılda halı değişti, perde değişti. Siz değişmediniz; aynı köşede, aynı şarkıda.</t>
        </is>
      </c>
    </row>
    <row r="246">
      <c r="A246" s="5" t="inlineStr">
        <is>
          <t>b10-yalniz-ozgur</t>
        </is>
      </c>
      <c r="B246" s="5" t="inlineStr">
        <is>
          <t>bosandi</t>
        </is>
      </c>
      <c r="C246" s="6" t="inlineStr">
        <is>
          <t>Eski eşinden bir bayram mesajı geldi. Cevabın iki kelimeydi ve ikisi de nazikti.</t>
        </is>
      </c>
    </row>
    <row r="247">
      <c r="A247" s="5" t="inlineStr">
        <is>
          <t>b10-yalniz-ozgur</t>
        </is>
      </c>
      <c r="B247" s="5" t="inlineStr">
        <is>
          <t>kediGeldi</t>
        </is>
      </c>
      <c r="C247" s="6" t="inlineStr">
        <is>
          <t>Evde kimse konuşmuyor ama koltukta bir kedi var. Anlaşmanız iyi.</t>
        </is>
      </c>
    </row>
    <row r="248">
      <c r="A248" s="5" t="inlineStr">
        <is>
          <t>b10-yalniz-ozgur</t>
        </is>
      </c>
      <c r="B248" s="5" t="inlineStr">
        <is>
          <t>emekli</t>
        </is>
      </c>
      <c r="C248" s="6" t="inlineStr">
        <is>
          <t>Maaş yattı. Hesap sorulmadan harcanacak.</t>
        </is>
      </c>
    </row>
    <row r="249">
      <c r="A249" s="5" t="inlineStr">
        <is>
          <t>b10-yalniz-ozgur</t>
        </is>
      </c>
      <c r="B249" s="5" t="inlineStr">
        <is>
          <t>huzurevi-sakini</t>
        </is>
      </c>
      <c r="C249" s="6" t="inlineStr">
        <is>
          <t>Huzurevindeki odan tek kişilik. Kumanda senin; çay saati herkesin.</t>
        </is>
      </c>
    </row>
    <row r="250">
      <c r="A250" s="5" t="inlineStr">
        <is>
          <t>b10-komsu-kedisi</t>
        </is>
      </c>
      <c r="B250" s="5" t="inlineStr">
        <is>
          <t>kediSuclu</t>
        </is>
      </c>
      <c r="C250" s="6" t="inlineStr">
        <is>
          <t>Çocukken vazoyu kediye yıkmıştın. Bu kedinin gözlerinde bir şey var. Sanki biliyor.</t>
        </is>
      </c>
    </row>
    <row r="251">
      <c r="A251" s="5" t="inlineStr">
        <is>
          <t>b10-komsu-kedisi</t>
        </is>
      </c>
      <c r="B251" s="5" t="inlineStr">
        <is>
          <t>kediGeldi</t>
        </is>
      </c>
      <c r="C251" s="6" t="inlineStr">
        <is>
          <t>Çocukken eve bir kedi getirtmiştin. Kediler bu bilgiyi kuşaklar boyu aktarıyor olabilir.</t>
        </is>
      </c>
    </row>
    <row r="252">
      <c r="A252" s="5" t="inlineStr">
        <is>
          <t>b10-sabah-yuruyusu</t>
        </is>
      </c>
      <c r="B252" s="5" t="inlineStr">
        <is>
          <t>sporcu</t>
        </is>
      </c>
      <c r="C252" s="6" t="inlineStr">
        <is>
          <t>Yıllardır spor yapıyorsun. Grubun en hızlısı bunu duyunca adımlarını açtı.</t>
        </is>
      </c>
    </row>
    <row r="253">
      <c r="A253" s="5" t="inlineStr">
        <is>
          <t>b10-sabah-yuruyusu</t>
        </is>
      </c>
      <c r="B253" s="5" t="inlineStr">
        <is>
          <t>sigara</t>
        </is>
      </c>
      <c r="C253" s="6" t="inlineStr">
        <is>
          <t>Yıllar önce bıraktığın alışkanlık, yokuşta hâlâ kısa bir nefes arasına dönüşüyor.</t>
        </is>
      </c>
    </row>
    <row r="254">
      <c r="A254" s="5" t="inlineStr">
        <is>
          <t>b10-sabah-yuruyusu</t>
        </is>
      </c>
      <c r="B254" s="5" t="inlineStr">
        <is>
          <t>askerlik-yapti</t>
        </is>
      </c>
      <c r="C254" s="6" t="inlineStr">
        <is>
          <t>Adımların farkında olmadan tempoya giriyor. Grupta biri 'Sol, sol' diye fısıldadı.</t>
        </is>
      </c>
    </row>
    <row r="255">
      <c r="A255" s="5" t="inlineStr">
        <is>
          <t>b10-son-taksit</t>
        </is>
      </c>
      <c r="B255" s="5" t="inlineStr">
        <is>
          <t>borclu</t>
        </is>
      </c>
      <c r="C255" s="6" t="inlineStr">
        <is>
          <t>Yıllarca çekmecede biriken ekstreleri bir poşete doldurup kapıcıya verdin: 'Kâğıt toplayana ver.' Kapıcı poşetin ağırlığına baktı, sonra sana; bir şey demedi.</t>
        </is>
      </c>
    </row>
    <row r="256">
      <c r="A256" s="5" t="inlineStr">
        <is>
          <t>b10-son-taksit</t>
        </is>
      </c>
      <c r="B256" s="5" t="inlineStr">
        <is>
          <t>ev-sahibi</t>
        </is>
      </c>
      <c r="C256" s="6" t="inlineStr">
        <is>
          <t>Evin borcu otuz yıl önce bitmişti. Bugün kartın da bitti. Artık hiçbir şeyin taksidi yok.</t>
        </is>
      </c>
    </row>
    <row r="257">
      <c r="A257" s="5" t="inlineStr">
        <is>
          <t>b10-son-taksit</t>
        </is>
      </c>
      <c r="B257" s="5" t="inlineStr">
        <is>
          <t>ilkKelimePara</t>
        </is>
      </c>
      <c r="C257" s="6" t="inlineStr">
        <is>
          <t>İlk kelimen 'Para' idi. Bugün 'Borç yok' diyebilen nadir insanlardansın.</t>
        </is>
      </c>
    </row>
    <row r="258">
      <c r="A258" s="5" t="inlineStr">
        <is>
          <t>b10-ehliyet-yenileme</t>
        </is>
      </c>
      <c r="B258" s="5" t="inlineStr">
        <is>
          <t>askerlik-yapti</t>
        </is>
      </c>
      <c r="C258" s="6" t="inlineStr">
        <is>
          <t>Askerlikte ilk ehliyetini almıştın. O zamandan beri hiç ceza yemedin. Hiç park yeri de bulamadın.</t>
        </is>
      </c>
    </row>
    <row r="259">
      <c r="A259" s="5" t="inlineStr">
        <is>
          <t>b10-ehliyet-yenileme</t>
        </is>
      </c>
      <c r="B259" s="5" t="inlineStr">
        <is>
          <t>meslek-memur</t>
        </is>
      </c>
      <c r="C259" s="6" t="inlineStr">
        <is>
          <t>Masadaki memur seni tanıdı: işe başladığı ilk gün evrakını sen düzeltmişsin. Onun da emekliliğine iki yıl kalmış.</t>
        </is>
      </c>
    </row>
    <row r="260">
      <c r="A260" s="5" t="inlineStr">
        <is>
          <t>b10-ehliyet-yenileme</t>
        </is>
      </c>
      <c r="B260" s="5" t="inlineStr">
        <is>
          <t>fenomen</t>
        </is>
      </c>
      <c r="C260" s="6" t="inlineStr">
        <is>
          <t>Bekleme salonundaki tek yaşıtın seni tanıdı: 'O kedi videosundaki sen misin?' Salonun geri kalanı hangi kedi olduğunu telefondan aradı.</t>
        </is>
      </c>
    </row>
    <row r="261">
      <c r="A261" s="5" t="inlineStr">
        <is>
          <t>b10-mahallenin-en-yaslisi</t>
        </is>
      </c>
      <c r="B261" s="5" t="inlineStr">
        <is>
          <t>baskan</t>
        </is>
      </c>
      <c r="C261" s="6" t="inlineStr">
        <is>
          <t>Hayatta ilk kez sınıf başkanı olduğunda da böyle bir konuşma yapmıştın. İçerik neredeyse aynı.</t>
        </is>
      </c>
    </row>
    <row r="262">
      <c r="A262" s="5" t="inlineStr">
        <is>
          <t>b10-mahallenin-en-yaslisi</t>
        </is>
      </c>
      <c r="B262" s="5" t="inlineStr">
        <is>
          <t>fenomen</t>
        </is>
      </c>
      <c r="C262" s="6" t="inlineStr">
        <is>
          <t>Tören canlı yayında. Eski takipçilerinden biri yorumlara 'Hâlâ efsane' yazdı.</t>
        </is>
      </c>
    </row>
    <row r="263">
      <c r="A263" s="5" t="inlineStr">
        <is>
          <t>b10-mahallenin-en-yaslisi</t>
        </is>
      </c>
      <c r="B263" s="5" t="inlineStr">
        <is>
          <t>cocuklu</t>
        </is>
      </c>
      <c r="C263" s="6" t="inlineStr">
        <is>
          <t>Ön sırada altmışlık çocukların var. Biri çekim yapıyor, ikisi gözlüğünü arıyor; alkışlayan yok.</t>
        </is>
      </c>
    </row>
    <row r="264">
      <c r="A264" s="5" t="inlineStr">
        <is>
          <t>b10-mezar-tasi-fotografi</t>
        </is>
      </c>
      <c r="B264" s="5" t="inlineStr">
        <is>
          <t>fenomen</t>
        </is>
      </c>
      <c r="C264" s="6" t="inlineStr">
        <is>
          <t>Fotoğrafçı adını duyunca durdu: 'Kedi videosundaki çocuk siz misiniz? Babam anlatırdı.' Rötuşu bedava yaptı.</t>
        </is>
      </c>
    </row>
    <row r="265">
      <c r="A265" s="5" t="inlineStr">
        <is>
          <t>b10-mezar-tasi-fotografi</t>
        </is>
      </c>
      <c r="B265" s="5" t="inlineStr">
        <is>
          <t>manzarali-parsel</t>
        </is>
      </c>
      <c r="C265" s="6" t="inlineStr">
        <is>
          <t>Fotoğraf manzaralı parselde sergilenecek. Işık açısı parsele göre ayarlandı.</t>
        </is>
      </c>
    </row>
    <row r="266">
      <c r="A266" s="5" t="inlineStr">
        <is>
          <t>b10-mezar-tasi-fotografi</t>
        </is>
      </c>
      <c r="B266" s="5" t="inlineStr">
        <is>
          <t>ani-defteri</t>
        </is>
      </c>
      <c r="C266" s="6" t="inlineStr">
        <is>
          <t>Anı defterinin kapağındaki fotoğrafı getirdin. Fotoğrafçı 'Bunu tekrar çekelim, daha iyi olursunuz' dedi.</t>
        </is>
      </c>
    </row>
    <row r="267">
      <c r="A267" s="5" t="inlineStr">
        <is>
          <t>b10-mezar-tasi-fotografi</t>
        </is>
      </c>
      <c r="B267" s="5" t="inlineStr">
        <is>
          <t>vasiyet-yazildi</t>
        </is>
      </c>
      <c r="C267" s="6" t="inlineStr">
        <is>
          <t>Vasiyetinde fotoğrafın boyutu bile yazıyordu. Fotoğrafçı belgeyi okuyup ölçüleri aldı.</t>
        </is>
      </c>
    </row>
    <row r="268">
      <c r="A268" s="5" t="inlineStr">
        <is>
          <t>son-soz</t>
        </is>
      </c>
      <c r="B268" s="5" t="inlineStr">
        <is>
          <t>vasiyet-yazildi</t>
        </is>
      </c>
      <c r="C268" s="6" t="inlineStr">
        <is>
          <t>Vasiyet noterde. Kimin neyi alacağı yazılı; kimin kime küseceği yazılı değil.</t>
        </is>
      </c>
    </row>
    <row r="269">
      <c r="A269" s="5" t="inlineStr">
        <is>
          <t>son-soz</t>
        </is>
      </c>
      <c r="B269" s="5" t="inlineStr">
        <is>
          <t>torunlu</t>
        </is>
      </c>
      <c r="C269" s="6" t="inlineStr">
        <is>
          <t>Torunlardan biri elini tutuyor. Diğeri telefonuyla kayıt yapmamaya çalışıyor.</t>
        </is>
      </c>
    </row>
    <row r="270">
      <c r="A270" s="5" t="inlineStr">
        <is>
          <t>son-soz</t>
        </is>
      </c>
      <c r="B270" s="5" t="inlineStr">
        <is>
          <t>evli</t>
        </is>
      </c>
      <c r="C270" s="6" t="inlineStr">
        <is>
          <t>Eşin yanında. 'Her zamanki gibi son sözü sen söyle' dedi.</t>
        </is>
      </c>
    </row>
    <row r="271">
      <c r="A271" s="5" t="inlineStr">
        <is>
          <t>son-soz</t>
        </is>
      </c>
      <c r="B271" s="5" t="inlineStr">
        <is>
          <t>dul</t>
        </is>
      </c>
      <c r="C271" s="6" t="inlineStr">
        <is>
          <t>Komodinin üstünde eşinin fotoğrafı. Biri onu yatağa doğru çevirmiş.</t>
        </is>
      </c>
    </row>
    <row r="272">
      <c r="A272" s="5" t="inlineStr">
        <is>
          <t>b6-askerlik-mezun</t>
        </is>
      </c>
      <c r="B272" s="5" t="inlineStr">
        <is>
          <t>bolum-emniyet</t>
        </is>
      </c>
      <c r="C272" s="6" t="inlineStr">
        <is>
          <t>Polis okulunda öğrendiğin içtima düzeni burada da geçerli. Bölük komutanı seni ilk günden fark etti.</t>
        </is>
      </c>
    </row>
    <row r="273">
      <c r="A273" s="5" t="inlineStr">
        <is>
          <t>b6-tezkere</t>
        </is>
      </c>
      <c r="B273" s="5" t="inlineStr">
        <is>
          <t>kisla-kankasi</t>
        </is>
      </c>
      <c r="C273" s="6" t="inlineStr">
        <is>
          <t>Telefonda bir mesaj: “Plan geçerli mi?” Kışladaki üç arkadaşın hâlâ bekliyor.</t>
        </is>
      </c>
    </row>
    <row r="274">
      <c r="A274" s="5" t="inlineStr">
        <is>
          <t>b6-ikinci-sinav</t>
        </is>
      </c>
      <c r="B274" s="5" t="inlineStr">
        <is>
          <t>dershaneli</t>
        </is>
      </c>
      <c r="C274" s="6" t="inlineStr">
        <is>
          <t>Cumartesileri dershanede geçen ergenliğin bugün için yapılmış bir provaydı.</t>
        </is>
      </c>
    </row>
    <row r="275">
      <c r="A275" s="5" t="inlineStr">
        <is>
          <t>b6-abinin-cantasi</t>
        </is>
      </c>
      <c r="B275" s="5" t="inlineStr">
        <is>
          <t>karaborsaci</t>
        </is>
      </c>
      <c r="C275" s="6" t="inlineStr">
        <is>
          <t>Stat önünde bilet satarken öğrendin: abinin işlerinde soru sorulmaz, fiyat sorulur.</t>
        </is>
      </c>
    </row>
    <row r="276">
      <c r="A276" s="5" t="inlineStr">
        <is>
          <t>b6-donus-bileti</t>
        </is>
      </c>
      <c r="B276" s="5" t="inlineStr">
        <is>
          <t>yabanci-dil</t>
        </is>
      </c>
      <c r="C276" s="6" t="inlineStr">
        <is>
          <t>Buradaki arkadaşların seni bir iş görüşmesine önerdi. Rüyalarını artık iki dilde görüyorsun.</t>
        </is>
      </c>
    </row>
    <row r="277">
      <c r="A277" s="5" t="inlineStr">
        <is>
          <t>b6-evden-cikis</t>
        </is>
      </c>
      <c r="B277" s="5" t="inlineStr">
        <is>
          <t>baska-sehir</t>
        </is>
      </c>
      <c r="C277" s="6" t="inlineStr">
        <is>
          <t>Dört yıldır yurttasın. Ranza, ortak banyo ve priz nöbeti. Artık bir kapı istiyorsun; kilitli olan.</t>
        </is>
      </c>
    </row>
    <row r="278">
      <c r="A278" s="5" t="inlineStr">
        <is>
          <t>b6-evden-cikis</t>
        </is>
      </c>
      <c r="B278" s="5" t="inlineStr">
        <is>
          <t>kendi-odasi</t>
        </is>
      </c>
      <c r="C278" s="6" t="inlineStr">
        <is>
          <t>On üç yaşında kendi odanı resmî başvuruyla almıştın. Şimdi başvuru daha büyük.</t>
        </is>
      </c>
    </row>
    <row r="279">
      <c r="A279" s="5" t="inlineStr">
        <is>
          <t>b6-hayat-yolu</t>
        </is>
      </c>
      <c r="B279" s="5" t="inlineStr">
        <is>
          <t>tezgah</t>
        </is>
      </c>
      <c r="C279" s="6" t="inlineStr">
        <is>
          <t>Kuzeninin tezgâhında öğrendiklerin: fiyat söylenir, pazarlık edilir, veresiye yazılmaz. Yazılır aslında.</t>
        </is>
      </c>
    </row>
    <row r="280">
      <c r="A280" s="5" t="inlineStr">
        <is>
          <t>b6-hayat-yolu</t>
        </is>
      </c>
      <c r="B280" s="5" t="inlineStr">
        <is>
          <t>kisla-kankasi</t>
        </is>
      </c>
      <c r="C280" s="6" t="inlineStr">
        <is>
          <t>Kışladan üç arkadaşın hâlâ “Plan geçerli mi?” diye soruyor.</t>
        </is>
      </c>
    </row>
    <row r="281">
      <c r="A281" s="5" t="inlineStr">
        <is>
          <t>b6-hayat-yolu</t>
        </is>
      </c>
      <c r="B281" s="5" t="inlineStr">
        <is>
          <t>acik-lise</t>
        </is>
      </c>
      <c r="C281" s="6" t="inlineStr">
        <is>
          <t>Akşam lisesinin diploması çekmecede. Devlet kapısı için bir kâğıt daha var elinde.</t>
        </is>
      </c>
    </row>
    <row r="282">
      <c r="A282" s="5" t="inlineStr">
        <is>
          <t>b7-polis-asayis</t>
        </is>
      </c>
      <c r="B282" s="5" t="inlineStr">
        <is>
          <t>komiser-tanidik</t>
        </is>
      </c>
      <c r="C282" s="6" t="inlineStr">
        <is>
          <t>Gençken tanıdığın komiser şimdi büro amirin. “Seni hatırlıyorum” dedi; iyi mi kötü mü, söylemedi.</t>
        </is>
      </c>
    </row>
    <row r="283">
      <c r="A283" s="5" t="inlineStr">
        <is>
          <t>b7-polis-asayis</t>
        </is>
      </c>
      <c r="B283" s="5" t="inlineStr">
        <is>
          <t>haracci-dusmani</t>
        </is>
      </c>
      <c r="C283" s="6" t="inlineStr">
        <is>
          <t>Çocukken haraççılara kafa tuttuğun hâlâ anlatılıyor. Simitçi de biliyor; sana biraz daha susamlı veriyor.</t>
        </is>
      </c>
    </row>
    <row r="284">
      <c r="A284" s="5" t="inlineStr">
        <is>
          <t>b7-polis-komiserlik</t>
        </is>
      </c>
      <c r="B284" s="5" t="inlineStr">
        <is>
          <t>evli</t>
        </is>
      </c>
      <c r="C284" s="6" t="inlineStr">
        <is>
          <t>Evlisin; sorgu odasında düğün pastası konuşulunca kendi düğününü hatırladın. Sizinkini kimse çalmamıştı. Kimse istememişti.</t>
        </is>
      </c>
    </row>
    <row r="285">
      <c r="A285" s="5" t="inlineStr">
        <is>
          <t>b7-polis-ekip</t>
        </is>
      </c>
      <c r="B285" s="5" t="inlineStr">
        <is>
          <t>zarf-aldi</t>
        </is>
      </c>
      <c r="C285" s="6" t="inlineStr">
        <is>
          <t>Otuz beşindeki zarf hâlâ aklında. Kimse bilmiyor; ama çaycı sana hep biraz uzun bakıyor.</t>
        </is>
      </c>
    </row>
    <row r="286">
      <c r="A286" s="5" t="inlineStr">
        <is>
          <t>b7-polis-ekip</t>
        </is>
      </c>
      <c r="B286" s="5" t="inlineStr">
        <is>
          <t>polis-surgun</t>
        </is>
      </c>
      <c r="C286" s="6" t="inlineStr">
        <is>
          <t>Sürgün geldiğin bu uzak ilçede ekip küçük, kedi büyük. Yine de ekip ekip.</t>
        </is>
      </c>
    </row>
    <row r="287">
      <c r="A287" s="5" t="inlineStr">
        <is>
          <t>b7-polis-ekip</t>
        </is>
      </c>
      <c r="B287" s="5" t="inlineStr">
        <is>
          <t>polis-gozetim</t>
        </is>
      </c>
      <c r="C287" s="6" t="inlineStr">
        <is>
          <t>Yazdığın her rapor bir üst makamda ikinci kez okunuyor. Ekip de bunu biliyor.</t>
        </is>
      </c>
    </row>
    <row r="288">
      <c r="A288" s="5" t="inlineStr">
        <is>
          <t>b8-polis-mudurluk</t>
        </is>
      </c>
      <c r="B288" s="5" t="inlineStr">
        <is>
          <t>polis-muhbir</t>
        </is>
      </c>
      <c r="C288" s="6" t="inlineStr">
        <is>
          <t>Asayişten kalan simitçin hâlâ köşede. Mülakat sabahı sana bedava simit verdi: “Uğur getirsin.”</t>
        </is>
      </c>
    </row>
    <row r="289">
      <c r="A289" s="5" t="inlineStr">
        <is>
          <t>b8-polis-mudurluk</t>
        </is>
      </c>
      <c r="B289" s="5" t="inlineStr">
        <is>
          <t>zarf-aldi</t>
        </is>
      </c>
      <c r="C289" s="6" t="inlineStr">
        <is>
          <t>Kurul dosyanı karıştırırken bir sayfada uzun durdu. O sayfa otuz beş yaşına denk geliyor. Sonra geçti.</t>
        </is>
      </c>
    </row>
    <row r="290">
      <c r="A290" s="5" t="inlineStr">
        <is>
          <t>b8-polis-teftis</t>
        </is>
      </c>
      <c r="B290" s="5" t="inlineStr">
        <is>
          <t>zarf-aldi</t>
        </is>
      </c>
      <c r="C290" s="6" t="inlineStr">
        <is>
          <t>Müfettiş otuz beş yaşının dosyalarını istedi. Midende bir zarf ağırlığı var.</t>
        </is>
      </c>
    </row>
    <row r="291">
      <c r="A291" s="5" t="inlineStr">
        <is>
          <t>b8-polis-teftis</t>
        </is>
      </c>
      <c r="B291" s="5" t="inlineStr">
        <is>
          <t>polis-gozetim</t>
        </is>
      </c>
      <c r="C291" s="6" t="inlineStr">
        <is>
          <t>Yıllardır izleniyorsun; teftiş sana sürpriz değil. Müfettiş dosyanı senden iyi biliyor.</t>
        </is>
      </c>
    </row>
    <row r="292">
      <c r="A292" s="5" t="inlineStr">
        <is>
          <t>b9-polis-veda</t>
        </is>
      </c>
      <c r="B292" s="5" t="inlineStr">
        <is>
          <t>polis-mudur</t>
        </is>
      </c>
      <c r="C292" s="6" t="inlineStr">
        <is>
          <t>Emniyet müdürüsün; plaketin boyu da ona göre. Çaycı taşırken iki kez dinlendi.</t>
        </is>
      </c>
    </row>
    <row r="293">
      <c r="A293" s="5" t="inlineStr">
        <is>
          <t>b9-polis-veda</t>
        </is>
      </c>
      <c r="B293" s="5" t="inlineStr">
        <is>
          <t>polis-muhbir</t>
        </is>
      </c>
      <c r="C293" s="6" t="inlineStr">
        <is>
          <t>Tören kapısında eski simitçin. Yaşlanmış, sen de. Bir simit uzattı: “Son ihbar: seni çok seviyorlar.”</t>
        </is>
      </c>
    </row>
    <row r="294">
      <c r="A294" s="5" t="inlineStr">
        <is>
          <t>b9-polis-veda</t>
        </is>
      </c>
      <c r="B294" s="5" t="inlineStr">
        <is>
          <t>polis-sadik-ekip</t>
        </is>
      </c>
      <c r="C294" s="6" t="inlineStr">
        <is>
          <t>Eski ekibinden dördü emekli, ikisi müdür; hepsi törene geldi. Karakol kedisinin torunu da.</t>
        </is>
      </c>
    </row>
    <row r="295">
      <c r="A295" s="5" t="inlineStr">
        <is>
          <t>b9-polis-veda</t>
        </is>
      </c>
      <c r="B295" s="5" t="inlineStr">
        <is>
          <t>polis-surgun</t>
        </is>
      </c>
      <c r="C295" s="6" t="inlineStr">
        <is>
          <t>Sürgün gittiğin uzak ilçeden bir otobüs dolusu insan geldi. Sürgün sandığın yer seni evlat saymış.</t>
        </is>
      </c>
    </row>
    <row r="296">
      <c r="A296" s="5" t="inlineStr">
        <is>
          <t>b7-yargi-aidat</t>
        </is>
      </c>
      <c r="B296" s="5" t="inlineStr">
        <is>
          <t>yargi-horoz-karari</t>
        </is>
      </c>
      <c r="C296" s="6" t="inlineStr">
        <is>
          <t>Horoz Kararı'nı adliyede herkes duymuş. Mübaşir seni sabah dörtte kalkan biri sanıyor.</t>
        </is>
      </c>
    </row>
    <row r="297">
      <c r="A297" s="5" t="inlineStr">
        <is>
          <t>b7-yargi-kedi</t>
        </is>
      </c>
      <c r="B297" s="5" t="inlineStr">
        <is>
          <t>yargi-leke</t>
        </is>
      </c>
      <c r="C297" s="6" t="inlineStr">
        <is>
          <t>Büyük dosyada eğildiğin gün hâlâ aklında. Bu dosyada kimse baskı yapmıyor; kedi bile. Garip bir rahatlık.</t>
        </is>
      </c>
    </row>
    <row r="298">
      <c r="A298" s="5" t="inlineStr">
        <is>
          <t>b8-yargi-yuksek</t>
        </is>
      </c>
      <c r="B298" s="5" t="inlineStr">
        <is>
          <t>yargi-kedi-karari</t>
        </is>
      </c>
      <c r="C298" s="6" t="inlineStr">
        <is>
          <t>Kurul üyelerinden birinin iki kedisi var. Kedi kararını okumuş; seni gülümseyerek selamladı.</t>
        </is>
      </c>
    </row>
    <row r="299">
      <c r="A299" s="5" t="inlineStr">
        <is>
          <t>b8-yargi-yuksek</t>
        </is>
      </c>
      <c r="B299" s="5" t="inlineStr">
        <is>
          <t>yargi-leke</t>
        </is>
      </c>
      <c r="C299" s="6" t="inlineStr">
        <is>
          <t>Kurul dosyanda bir kararda duraksadı. O büyük dosya. Sonra sayfayı çevirdi, yavaşça.</t>
        </is>
      </c>
    </row>
    <row r="300">
      <c r="A300" s="5" t="inlineStr">
        <is>
          <t>b8-yargi-denetim</t>
        </is>
      </c>
      <c r="B300" s="5" t="inlineStr">
        <is>
          <t>yargi-leke</t>
        </is>
      </c>
      <c r="C300" s="6" t="inlineStr">
        <is>
          <t>Kalın dosya o büyük dosya. Müfettiş kapağına iki kez dokundu.</t>
        </is>
      </c>
    </row>
    <row r="301">
      <c r="A301" s="5" t="inlineStr">
        <is>
          <t>b9-yargi-ceviz</t>
        </is>
      </c>
      <c r="B301" s="5" t="inlineStr">
        <is>
          <t>yargi-yuksek</t>
        </is>
      </c>
      <c r="C301" s="6" t="inlineStr">
        <is>
          <t>Yüksek mahkemedesin; dosya temyizle önüne geldi. Otuz beş yıl sonra aynı ağaç, bu sefer en üst kata çıktı.</t>
        </is>
      </c>
    </row>
    <row r="302">
      <c r="A302" s="5" t="inlineStr">
        <is>
          <t>b9-yargi-ceviz</t>
        </is>
      </c>
      <c r="B302" s="5" t="inlineStr">
        <is>
          <t>yargi-kedi-karari</t>
        </is>
      </c>
      <c r="C302" s="6" t="inlineStr">
        <is>
          <t>Her yıl Pamuk-Paşa'nın bir fotoğrafı gelirdi. Bu yılkinde bir yavru var; adını “Hâkim” koymuşlar.</t>
        </is>
      </c>
    </row>
    <row r="303">
      <c r="A303" s="5" t="inlineStr">
        <is>
          <t>b9-yargi-ceviz</t>
        </is>
      </c>
      <c r="B303" s="5" t="inlineStr">
        <is>
          <t>yargi-horoz-karari</t>
        </is>
      </c>
      <c r="C303" s="6" t="inlineStr">
        <is>
          <t>Kasabadan bu bayram da kart geldi: “Horoz emekli oldu, torunu ötüyor. Siz de emekli olun artık.”</t>
        </is>
      </c>
    </row>
    <row r="304">
      <c r="A304" s="5" t="inlineStr">
        <is>
          <t>b7-hekim-uzmanlik</t>
        </is>
      </c>
      <c r="B304" s="5" t="inlineStr">
        <is>
          <t>hekim-ilce-sevgisi</t>
        </is>
      </c>
      <c r="C304" s="6" t="inlineStr">
        <is>
          <t>İlçeden hâlâ reçel geliyor. Asistan odasında en sevilen sensin; reçel yüzünden.</t>
        </is>
      </c>
    </row>
    <row r="305">
      <c r="A305" s="5" t="inlineStr">
        <is>
          <t>b7-hekim-hasta-yakini</t>
        </is>
      </c>
      <c r="B305" s="5" t="inlineStr">
        <is>
          <t>klinik-sefi</t>
        </is>
      </c>
      <c r="C305" s="6" t="inlineStr">
        <is>
          <t>Klinik şefisin; on bir kişi bunu duydu ve on birinin de doğrudan şefle konuşması gerekiyor.</t>
        </is>
      </c>
    </row>
    <row r="306">
      <c r="A306" s="5" t="inlineStr">
        <is>
          <t>b8-hekim-profesorluk</t>
        </is>
      </c>
      <c r="B306" s="5" t="inlineStr">
        <is>
          <t>klinik-sefi</t>
        </is>
      </c>
      <c r="C306" s="6" t="inlineStr">
        <is>
          <t>Klinik şefliğinin yükü hâlâ omuzlarında; dosyanın en ağır sayfaları da oradan geliyor.</t>
        </is>
      </c>
    </row>
    <row r="307">
      <c r="A307" s="5" t="inlineStr">
        <is>
          <t>b8-hekim-aile-grubu</t>
        </is>
      </c>
      <c r="B307" s="5" t="inlineStr">
        <is>
          <t>hekim-ilce-sevgisi</t>
        </is>
      </c>
      <c r="C307" s="6" t="inlineStr">
        <is>
          <t>İlçedeki eski hastaların da artık bu grupta. Nasıl girdiklerini kimse bilmiyor.</t>
        </is>
      </c>
    </row>
    <row r="308">
      <c r="A308" s="5" t="inlineStr">
        <is>
          <t>b9-hekim-son-vizit</t>
        </is>
      </c>
      <c r="B308" s="5" t="inlineStr">
        <is>
          <t>hekim-profesor</t>
        </is>
      </c>
      <c r="C308" s="6" t="inlineStr">
        <is>
          <t>Profesörsün; asistanların yarısı senin kitabından çalışmış. Kapaktaki fotoğrafın genç; tanımadılar.</t>
        </is>
      </c>
    </row>
    <row r="309">
      <c r="A309" s="5" t="inlineStr">
        <is>
          <t>b9-hekim-son-vizit</t>
        </is>
      </c>
      <c r="B309" s="5" t="inlineStr">
        <is>
          <t>hekim-ilce-sevgisi</t>
        </is>
      </c>
      <c r="C309" s="6" t="inlineStr">
        <is>
          <t>İlçeden eski bir hastan torunuyla gelmiş. Elinde bir kavanoz reçel: “Son vizite.”</t>
        </is>
      </c>
    </row>
    <row r="310">
      <c r="A310" s="5" t="inlineStr">
        <is>
          <t>b9-hekim-son-vizit</t>
        </is>
      </c>
      <c r="B310" s="5" t="inlineStr">
        <is>
          <t>hekim-sozcu-usulu</t>
        </is>
      </c>
      <c r="C310" s="6" t="inlineStr">
        <is>
          <t>Koridorda bir hasta ailesi sözcüsünü seçmiş, sırayla bekliyor. Senin usulün; artık hastanenin kuralı.</t>
        </is>
      </c>
    </row>
    <row r="311">
      <c r="A311" s="5" t="inlineStr">
        <is>
          <t>b9-hekim-son-vizit</t>
        </is>
      </c>
      <c r="B311" s="5" t="inlineStr">
        <is>
          <t>klinik-sefi</t>
        </is>
      </c>
      <c r="C311" s="6" t="inlineStr">
        <is>
          <t>Klinik şefliğinden kalan dolabın hâlâ senin adınla. Kimse açmaya cesaret edemiyor; içinde sadece çay var.</t>
        </is>
      </c>
    </row>
    <row r="312">
      <c r="A312" s="5" t="inlineStr">
        <is>
          <t>b7-cete-tahsilat</t>
        </is>
      </c>
      <c r="B312" s="5" t="inlineStr">
        <is>
          <t>abiden-koptu</t>
        </is>
      </c>
      <c r="C312" s="6" t="inlineStr">
        <is>
          <t>Abinin gölgesinden çıkmıştın. Gölge seni hâlâ kâğıtla arıyor.</t>
        </is>
      </c>
    </row>
    <row r="313">
      <c r="A313" s="5" t="inlineStr">
        <is>
          <t>b7-cete-rakip</t>
        </is>
      </c>
      <c r="B313" s="5" t="inlineStr">
        <is>
          <t>mahalle-babasi</t>
        </is>
      </c>
      <c r="C313" s="6" t="inlineStr">
        <is>
          <t>Büyük işten sonra mahallede sözün geçiyor. Karşı kaldırım bunu henüz duymamış.</t>
        </is>
      </c>
    </row>
    <row r="314">
      <c r="A314" s="5" t="inlineStr">
        <is>
          <t>b7-cete-rakip</t>
        </is>
      </c>
      <c r="B314" s="5" t="inlineStr">
        <is>
          <t>tefeci-defteri</t>
        </is>
      </c>
      <c r="C314" s="6" t="inlineStr">
        <is>
          <t>Yeğenin babası da defterinde yazılı. Üçüncü sayfada.</t>
        </is>
      </c>
    </row>
    <row r="315">
      <c r="A315" s="5" t="inlineStr">
        <is>
          <t>b8-cete-hatir-masasi</t>
        </is>
      </c>
      <c r="B315" s="5" t="inlineStr">
        <is>
          <t>mahalle-babasi</t>
        </is>
      </c>
      <c r="C315" s="6" t="inlineStr">
        <is>
          <t>Mahallenin büyüğü oldun; kavgaları sen bitiriyorsun, düğün tarihlerini de artık sen veriyorsun.</t>
        </is>
      </c>
    </row>
    <row r="316">
      <c r="A316" s="5" t="inlineStr">
        <is>
          <t>b8-cete-abinin-emekliligi</t>
        </is>
      </c>
      <c r="B316" s="5" t="inlineStr">
        <is>
          <t>abiye-borclu</t>
        </is>
      </c>
      <c r="C316" s="6" t="inlineStr">
        <is>
          <t>Abiye bir iyilik borcun vardı. Abi bugün onu hatırlatmadı; bu daha kötü.</t>
        </is>
      </c>
    </row>
    <row r="317">
      <c r="A317" s="5" t="inlineStr">
        <is>
          <t>b9-cete-kahvehane</t>
        </is>
      </c>
      <c r="B317" s="5" t="inlineStr">
        <is>
          <t>eski-hukumlu</t>
        </is>
      </c>
      <c r="C317" s="6" t="inlineStr">
        <is>
          <t>Hikâyelerinin bir kısmı koğuşta geçiyor. Gençler en çok onları seviyor.</t>
        </is>
      </c>
    </row>
    <row r="318">
      <c r="A318" s="5" t="inlineStr">
        <is>
          <t>b9-cete-kahvehane</t>
        </is>
      </c>
      <c r="B318" s="5" t="inlineStr">
        <is>
          <t>mahalle-babasi</t>
        </is>
      </c>
      <c r="C318" s="6" t="inlineStr">
        <is>
          <t>Mahalle babalığını bıraktın; mahalle seni bırakmadı.</t>
        </is>
      </c>
    </row>
    <row r="319">
      <c r="A319" s="5" t="inlineStr">
        <is>
          <t>b9-cete-kahvehane</t>
        </is>
      </c>
      <c r="B319" s="5" t="inlineStr">
        <is>
          <t>tefeci-defteri</t>
        </is>
      </c>
      <c r="C319" s="6" t="inlineStr">
        <is>
          <t>Eski defter hâlâ evde. Borçlular artık torunlarını gönderiyor; selam vermeye.</t>
        </is>
      </c>
    </row>
    <row r="320">
      <c r="A320" s="5" t="inlineStr">
        <is>
          <t>b7-dolandirici-ilan</t>
        </is>
      </c>
      <c r="B320" s="5" t="inlineStr">
        <is>
          <t>ilkKelimePara</t>
        </is>
      </c>
      <c r="C320" s="6" t="inlineStr">
        <is>
          <t>İlk kelimen “Para”ydı. Bu ilan o kelimenin devamı.</t>
        </is>
      </c>
    </row>
    <row r="321">
      <c r="A321" s="5" t="inlineStr">
        <is>
          <t>b7-dolandirici-ilan</t>
        </is>
      </c>
      <c r="B321" s="5" t="inlineStr">
        <is>
          <t>kediSuclu</t>
        </is>
      </c>
      <c r="C321" s="6" t="inlineStr">
        <is>
          <t>Vazoyu kediye yıkmıştın. Manzarayı yıkacak bir kedi henüz bulamadın.</t>
        </is>
      </c>
    </row>
    <row r="322">
      <c r="A322" s="5" t="inlineStr">
        <is>
          <t>b7-dolandirici-kurs</t>
        </is>
      </c>
      <c r="B322" s="5" t="inlineStr">
        <is>
          <t>yalanci</t>
        </is>
      </c>
      <c r="C322" s="6" t="inlineStr">
        <is>
          <t>Yaratıcı açıklamalar dosyan kabarık. Bu salon onun ciltli hâli.</t>
        </is>
      </c>
    </row>
    <row r="323">
      <c r="A323" s="5" t="inlineStr">
        <is>
          <t>b7-dolandirici-kulup</t>
        </is>
      </c>
      <c r="B323" s="5" t="inlineStr">
        <is>
          <t>ifsa-oldu</t>
        </is>
      </c>
      <c r="C323" s="6" t="inlineStr">
        <is>
          <t>Sesin bir zamanlar haber sitesindeydi. Üyelerden biri sesini bir yerden hatırlıyor gibi bakıyor.</t>
        </is>
      </c>
    </row>
    <row r="324">
      <c r="A324" s="5" t="inlineStr">
        <is>
          <t>b7-dolandirici-kulup</t>
        </is>
      </c>
      <c r="B324" s="5" t="inlineStr">
        <is>
          <t>kolay-para-gurusu</t>
        </is>
      </c>
      <c r="C324" s="6" t="inlineStr">
        <is>
          <t>Kulübün yarısı akademi mezunu. Hepsi sana “Hocam” diyor; hepsi soru soruyor.</t>
        </is>
      </c>
    </row>
    <row r="325">
      <c r="A325" s="5" t="inlineStr">
        <is>
          <t>b8-dolandirici-kitap</t>
        </is>
      </c>
      <c r="B325" s="5" t="inlineStr">
        <is>
          <t>kolay-para-gurusu</t>
        </is>
      </c>
      <c r="C325" s="6" t="inlineStr">
        <is>
          <t>Bir zamanlar düğün salonunda “kolay para” anlattığın kalabalık, kitabın ilk okurları oldu. Hepsi aynı soruyla sırada: “Yedinci bölümde ne var?”</t>
        </is>
      </c>
    </row>
    <row r="326">
      <c r="A326" s="5" t="inlineStr">
        <is>
          <t>b8-dolandirici-mektup</t>
        </is>
      </c>
      <c r="B326" s="5" t="inlineStr">
        <is>
          <t>vicdan-sesi</t>
        </is>
      </c>
      <c r="C326" s="6" t="inlineStr">
        <is>
          <t>O gün telefonu kapatmıştın. Öğretmen bunu unutmamış.</t>
        </is>
      </c>
    </row>
    <row r="327">
      <c r="A327" s="5" t="inlineStr">
        <is>
          <t>b8-dolandirici-mektup</t>
        </is>
      </c>
      <c r="B327" s="5" t="inlineStr">
        <is>
          <t>paralari-iade</t>
        </is>
      </c>
      <c r="C327" s="6" t="inlineStr">
        <is>
          <t>Bir zamanlar paraları geri ödemiştin. Öğretmen bunu da duymuş.</t>
        </is>
      </c>
    </row>
    <row r="328">
      <c r="A328" s="5" t="inlineStr">
        <is>
          <t>b9-dolandirici-son-numara</t>
        </is>
      </c>
      <c r="B328" s="5" t="inlineStr">
        <is>
          <t>paralari-iade</t>
        </is>
      </c>
      <c r="C328" s="6" t="inlineStr">
        <is>
          <t>Yıllar önce paraları geri ödemiştin. Banktakilerden biri o paralardan birini çerçevede saklıyor.</t>
        </is>
      </c>
    </row>
    <row r="329">
      <c r="A329" s="5" t="inlineStr">
        <is>
          <t>b9-dolandirici-son-numara</t>
        </is>
      </c>
      <c r="B329" s="5" t="inlineStr">
        <is>
          <t>eski-hukumlu</t>
        </is>
      </c>
      <c r="C329" s="6" t="inlineStr">
        <is>
          <t>Emekliler koğuş hikâyeni biliyor; sana “Hocam” değil, “Üstat” diyorlar.</t>
        </is>
      </c>
    </row>
    <row r="330">
      <c r="A330" s="5" t="inlineStr">
        <is>
          <t>b9-dolandirici-son-numara</t>
        </is>
      </c>
      <c r="B330" s="5" t="inlineStr">
        <is>
          <t>kolay-para-gurusu</t>
        </is>
      </c>
      <c r="C330" s="6" t="inlineStr">
        <is>
          <t>Kremi satan, akademinin eski öğrencilerinden. Tanıdın; sen öğretmiştin.</t>
        </is>
      </c>
    </row>
    <row r="331">
      <c r="A331" s="5" t="inlineStr">
        <is>
          <t>k10-cete</t>
        </is>
      </c>
      <c r="B331" s="5" t="inlineStr">
        <is>
          <t>abiye-karsi-sigorta</t>
        </is>
      </c>
      <c r="C331" s="6" t="inlineStr">
        <is>
          <t>Kasadaki fotokopi hâlâ duruyor. Hangi yolu seçersen seç, cebinde bir koz var.</t>
        </is>
      </c>
    </row>
    <row r="332">
      <c r="A332" s="5" t="inlineStr">
        <is>
          <t>k10-cete</t>
        </is>
      </c>
      <c r="B332" s="5" t="inlineStr">
        <is>
          <t>komiser-tanidik</t>
        </is>
      </c>
      <c r="C332" s="6" t="inlineStr">
        <is>
          <t>Cüzdanındaki kartvizit hâlâ orada. Numara değişmemiş.</t>
        </is>
      </c>
    </row>
    <row r="333">
      <c r="A333" s="5" t="inlineStr">
        <is>
          <t>k10-dolandirici</t>
        </is>
      </c>
      <c r="B333" s="5" t="inlineStr">
        <is>
          <t>vicdan-sesi</t>
        </is>
      </c>
      <c r="C333" s="6" t="inlineStr">
        <is>
          <t>Bir telefonu kapatmayı bir kez bildin. Kapılardan biri hâlâ açık.</t>
        </is>
      </c>
    </row>
    <row r="334">
      <c r="A334" s="5" t="inlineStr">
        <is>
          <t>k10-dolandirici</t>
        </is>
      </c>
      <c r="B334" s="5" t="inlineStr">
        <is>
          <t>ifsa-oldu</t>
        </is>
      </c>
      <c r="C334" s="6" t="inlineStr">
        <is>
          <t>Sesin bir haber sitesinde duruyor. Havalimanındaki anonsu okuyan ses de ona benziyor.</t>
        </is>
      </c>
    </row>
    <row r="335">
      <c r="A335" s="5" t="inlineStr">
        <is>
          <t>b7-hapis-gorus-gunu</t>
        </is>
      </c>
      <c r="B335" s="5" t="inlineStr">
        <is>
          <t>evli</t>
        </is>
      </c>
      <c r="C335" s="6" t="inlineStr">
        <is>
          <t>Eşin de gelmiş; kumandanın pilinin nerede olduğunu soruyor. Evde bunu yalnızca sen biliyordun.</t>
        </is>
      </c>
    </row>
    <row r="336">
      <c r="A336" s="5" t="inlineStr">
        <is>
          <t>b7-hapis-gorus-gunu</t>
        </is>
      </c>
      <c r="B336" s="5" t="inlineStr">
        <is>
          <t>cocuklu</t>
        </is>
      </c>
      <c r="C336" s="6" t="inlineStr">
        <is>
          <t>Çocuğun bir resim yapmış: sen, bir çay bardağı ve bir pencere. Pencerede parmaklık yok; çizmeyi unutmuş.</t>
        </is>
      </c>
    </row>
    <row r="337">
      <c r="A337" s="5" t="inlineStr">
        <is>
          <t>b7-hapis-islah-kursu</t>
        </is>
      </c>
      <c r="B337" s="5" t="inlineStr">
        <is>
          <t>kolay-para-gurusu</t>
        </is>
      </c>
      <c r="C337" s="6" t="inlineStr">
        <is>
          <t>Kişisel gelişim hocası senin akademinin eski öğrencisi çıktı. Seni görünce kürsüden indi.</t>
        </is>
      </c>
    </row>
    <row r="338">
      <c r="A338" s="5" t="inlineStr">
        <is>
          <t>b7-cezaevi-kapisi</t>
        </is>
      </c>
      <c r="B338" s="5" t="inlineStr">
        <is>
          <t>islah-sertifikasi</t>
        </is>
      </c>
      <c r="C338" s="6" t="inlineStr">
        <is>
          <t>Islah kursundan bir sertifikan var. Çerçevelemeye değer mi, henüz bilmiyorsun.</t>
        </is>
      </c>
    </row>
    <row r="339">
      <c r="A339" s="5" t="inlineStr">
        <is>
          <t>b7-cezaevi-kapisi</t>
        </is>
      </c>
      <c r="B339" s="5" t="inlineStr">
        <is>
          <t>kogus-dostu</t>
        </is>
      </c>
      <c r="C339" s="6" t="inlineStr">
        <is>
          <t>Koğuştan tavla rakibin kapıya kadar geçirdi: “Dışarıda da oynarız.”</t>
        </is>
      </c>
    </row>
    <row r="340">
      <c r="A340" s="5" t="inlineStr">
        <is>
          <t>b8-hapis-gorus-gunu</t>
        </is>
      </c>
      <c r="B340" s="5" t="inlineStr">
        <is>
          <t>evli</t>
        </is>
      </c>
      <c r="C340" s="6" t="inlineStr">
        <is>
          <t>Eşin yine gelmiş. Kumandanın pili hâlâ bulunamadı; artık bir aile efsanesi.</t>
        </is>
      </c>
    </row>
    <row r="341">
      <c r="A341" s="5" t="inlineStr">
        <is>
          <t>b8-hapis-gorus-gunu</t>
        </is>
      </c>
      <c r="B341" s="5" t="inlineStr">
        <is>
          <t>cocuklu</t>
        </is>
      </c>
      <c r="C341" s="6" t="inlineStr">
        <is>
          <t>Çocuğun büyümüş; artık o sana nasihat ediyor. Dinliyorsun; ahize tek, başka seçenek yok.</t>
        </is>
      </c>
    </row>
    <row r="342">
      <c r="A342" s="5" t="inlineStr">
        <is>
          <t>b8-cezaevi-kapisi</t>
        </is>
      </c>
      <c r="B342" s="5" t="inlineStr">
        <is>
          <t>islah-sertifikasi</t>
        </is>
      </c>
      <c r="C342" s="6" t="inlineStr">
        <is>
          <t>Islah kursunun sertifikası poşetin en üstünde. Kapıdaki gardiyan göz ucuyla baktı: “Çerçevelet, dışarıda işe yarar.”</t>
        </is>
      </c>
    </row>
    <row r="343">
      <c r="A343" s="5" t="inlineStr">
        <is>
          <t>b8-cezaevi-kapisi</t>
        </is>
      </c>
      <c r="B343" s="5" t="inlineStr">
        <is>
          <t>kogus-dostu</t>
        </is>
      </c>
      <c r="C343" s="6" t="inlineStr">
        <is>
          <t>Tavla rakibin pencereden bağırdı: “Pulların biri sende! Rövanş dışarıda.” Poşetteki zar da onun.</t>
        </is>
      </c>
    </row>
    <row r="344">
      <c r="A344" s="5" t="inlineStr">
        <is>
          <t>b9-cezaevi-kapisi</t>
        </is>
      </c>
      <c r="B344" s="5" t="inlineStr">
        <is>
          <t>kogus-dostu</t>
        </is>
      </c>
      <c r="C344" s="6" t="inlineStr">
        <is>
          <t>Koğuştaki tavla rakibin senden önce çıkmış. Kapıda bekliyor; elinde iki çay.</t>
        </is>
      </c>
    </row>
    <row r="345">
      <c r="A345" s="5" t="inlineStr">
        <is>
          <t>b7-sohret-taninma</t>
        </is>
      </c>
      <c r="B345" s="5" t="inlineStr">
        <is>
          <t>sohret-donus</t>
        </is>
      </c>
      <c r="C345" s="6" t="inlineStr">
        <is>
          <t>Skandaldan sonra sessizce geri dönmüştün; teyzeler de dönmüş.</t>
        </is>
      </c>
    </row>
    <row r="346">
      <c r="A346" s="5" t="inlineStr">
        <is>
          <t>b7-sohret-taninma</t>
        </is>
      </c>
      <c r="B346" s="5" t="inlineStr">
        <is>
          <t>sohret-dizi-rolu</t>
        </is>
      </c>
      <c r="C346" s="6" t="inlineStr">
        <is>
          <t>Akşam kuşağındaki ilk rolün hâlâ tekrarlarda oynuyor.</t>
        </is>
      </c>
    </row>
    <row r="347">
      <c r="A347" s="5" t="inlineStr">
        <is>
          <t>b8-sohret-kapak</t>
        </is>
      </c>
      <c r="B347" s="5" t="inlineStr">
        <is>
          <t>sohret-reklam-yuzu</t>
        </is>
      </c>
      <c r="C347" s="6" t="inlineStr">
        <is>
          <t>Deterjan reklamından tanıyanlar kapakta da leke arıyor.</t>
        </is>
      </c>
    </row>
    <row r="348">
      <c r="A348" s="5" t="inlineStr">
        <is>
          <t>b8-sohret-kapak</t>
        </is>
      </c>
      <c r="B348" s="5" t="inlineStr">
        <is>
          <t>evli</t>
        </is>
      </c>
      <c r="C348" s="6" t="inlineStr">
        <is>
          <t>Eşinin tek şartı var: “Beni ‘sürpriz aşk’ diye yazmasınlar.”</t>
        </is>
      </c>
    </row>
    <row r="349">
      <c r="A349" s="5" t="inlineStr">
        <is>
          <t>b8-sohret-kapak</t>
        </is>
      </c>
      <c r="B349" s="5" t="inlineStr">
        <is>
          <t>cocuklu</t>
        </is>
      </c>
      <c r="C349" s="6" t="inlineStr">
        <is>
          <t>Çocuğun okulda göstermek için imzalı bir kapak istedi.</t>
        </is>
      </c>
    </row>
    <row r="350">
      <c r="A350" s="5" t="inlineStr">
        <is>
          <t>b8-sohret-program</t>
        </is>
      </c>
      <c r="B350" s="5" t="inlineStr">
        <is>
          <t>eski-hukumlu</t>
        </is>
      </c>
      <c r="C350" s="6" t="inlineStr">
        <is>
          <t>Hapishane anıların kitap olmuştu; kanal o kitap yüzünden aradı.</t>
        </is>
      </c>
    </row>
    <row r="351">
      <c r="A351" s="5" t="inlineStr">
        <is>
          <t>b8-sohret-program</t>
        </is>
      </c>
      <c r="B351" s="5" t="inlineStr">
        <is>
          <t>sohret-kapak-oldu</t>
        </is>
      </c>
      <c r="C351" s="6" t="inlineStr">
        <is>
          <t>Magazin kapağındaki fotoğrafın programın afişine de kondu.</t>
        </is>
      </c>
    </row>
    <row r="352">
      <c r="A352" s="5" t="inlineStr">
        <is>
          <t>b7-girisim-garaj</t>
        </is>
      </c>
      <c r="B352" s="5" t="inlineStr">
        <is>
          <t>bolum-muhendislik</t>
        </is>
      </c>
      <c r="C352" s="6" t="inlineStr">
        <is>
          <t>Mühendislik diplomanı garajın duvarına astın; nemden kıvrıldı.</t>
        </is>
      </c>
    </row>
    <row r="353">
      <c r="A353" s="5" t="inlineStr">
        <is>
          <t>b7-girisim-garaj</t>
        </is>
      </c>
      <c r="B353" s="5" t="inlineStr">
        <is>
          <t>bolum-isletme</t>
        </is>
      </c>
      <c r="C353" s="6" t="inlineStr">
        <is>
          <t>İşletme bölümünde iş planı dersini pekiyiyle geçmiştin; plan garajı öngörmüyordu.</t>
        </is>
      </c>
    </row>
    <row r="354">
      <c r="A354" s="5" t="inlineStr">
        <is>
          <t>b7-girisim-garaj</t>
        </is>
      </c>
      <c r="B354" s="5" t="inlineStr">
        <is>
          <t>teneffus-tuccari</t>
        </is>
      </c>
      <c r="C354" s="6" t="inlineStr">
        <is>
          <t>Teneffüste de ilk sermayen bir sırt çantasıydı. Şimdi bir garaj; büyüme var.</t>
        </is>
      </c>
    </row>
    <row r="355">
      <c r="A355" s="5" t="inlineStr">
        <is>
          <t>b7-girisim-pivot</t>
        </is>
      </c>
      <c r="B355" s="5" t="inlineStr">
        <is>
          <t>girisim-ilk-musteri</t>
        </is>
      </c>
      <c r="C355" s="6" t="inlineStr">
        <is>
          <t>İlk müşterin kırtasiyeci hâlâ seninle; kalemle ödemeye devam ediyor.</t>
        </is>
      </c>
    </row>
    <row r="356">
      <c r="A356" s="5" t="inlineStr">
        <is>
          <t>b7-girisim-ekosistem</t>
        </is>
      </c>
      <c r="B356" s="5" t="inlineStr">
        <is>
          <t>holding</t>
        </is>
      </c>
      <c r="C356" s="6" t="inlineStr">
        <is>
          <t>Yatırım turunda büyümeyi seçmiştin; şirketin artık bir grup.</t>
        </is>
      </c>
    </row>
    <row r="357">
      <c r="A357" s="5" t="inlineStr">
        <is>
          <t>b7-girisim-ekosistem</t>
        </is>
      </c>
      <c r="B357" s="5" t="inlineStr">
        <is>
          <t>sirketi-satti</t>
        </is>
      </c>
      <c r="C357" s="6" t="inlineStr">
        <is>
          <t>Şirketini satmıştın; kartvizitinde “seri girişimci” yazıyor, seri şimdilik bir.</t>
        </is>
      </c>
    </row>
    <row r="358">
      <c r="A358" s="5" t="inlineStr">
        <is>
          <t>b7-girisim-ekosistem</t>
        </is>
      </c>
      <c r="B358" s="5" t="inlineStr">
        <is>
          <t>borclu</t>
        </is>
      </c>
      <c r="C358" s="6" t="inlineStr">
        <is>
          <t>Ön sırada bankadaki kredi temsilcin oturuyor. Seni görünce el salladı, sonra defterini açtı.</t>
        </is>
      </c>
    </row>
    <row r="359">
      <c r="A359" s="5" t="inlineStr">
        <is>
          <t>b8-girisim-kurul</t>
        </is>
      </c>
      <c r="B359" s="5" t="inlineStr">
        <is>
          <t>girisim-pivotcu</t>
        </is>
      </c>
      <c r="C359" s="6" t="inlineStr">
        <is>
          <t>Yıllar önce şirketi bir gecede yapay zekâ şirketine çevirmiştin; kurul hâlâ her sabah “Bu gece ne olacak?” diye uyanıyor.</t>
        </is>
      </c>
    </row>
    <row r="360">
      <c r="A360" s="5" t="inlineStr">
        <is>
          <t>b8-girisim-kurul</t>
        </is>
      </c>
      <c r="B360" s="5" t="inlineStr">
        <is>
          <t>holding</t>
        </is>
      </c>
      <c r="C360" s="6" t="inlineStr">
        <is>
          <t>Şirketin artık bir holding; kurul toplantısı üç gün sürüyor. İkinci gün öğle yemeğinde kimin nereye oturacağı ayrıca oylanıyor.</t>
        </is>
      </c>
    </row>
    <row r="361">
      <c r="A361" s="5" t="inlineStr">
        <is>
          <t>b8-girisim-kader</t>
        </is>
      </c>
      <c r="B361" s="5" t="inlineStr">
        <is>
          <t>borclu</t>
        </is>
      </c>
      <c r="C361" s="6" t="inlineStr">
        <is>
          <t>Borçların bu bankada senden önce tanınıyor.</t>
        </is>
      </c>
    </row>
    <row r="362">
      <c r="A362" s="5" t="inlineStr">
        <is>
          <t>b9-girisim-nasihat</t>
        </is>
      </c>
      <c r="B362" s="5" t="inlineStr">
        <is>
          <t>sirketi-satti</t>
        </is>
      </c>
      <c r="C362" s="6" t="inlineStr">
        <is>
          <t>Şirketini satalı yıllar oldu; kapıdaki adın hâlâ sökülmüş yerinden belli.</t>
        </is>
      </c>
    </row>
    <row r="363">
      <c r="A363" s="5" t="inlineStr">
        <is>
          <t>b9-girisim-nasihat</t>
        </is>
      </c>
      <c r="B363" s="5" t="inlineStr">
        <is>
          <t>girisim-ilk-musteri</t>
        </is>
      </c>
      <c r="C363" s="6" t="inlineStr">
        <is>
          <t>İlk müşterin kırtasiyeci salonda; kalemle alkışlıyor.</t>
        </is>
      </c>
    </row>
    <row r="364">
      <c r="A364" s="5" t="inlineStr">
        <is>
          <t>b7-politika-cay</t>
        </is>
      </c>
      <c r="B364" s="5" t="inlineStr">
        <is>
          <t>baskan</t>
        </is>
      </c>
      <c r="C364" s="6" t="inlineStr">
        <is>
          <t>Sınıf başkanlığında vaat ettiğin kantin indirimini hâlâ yapamadın; siyaset kaldığı yerden.</t>
        </is>
      </c>
    </row>
    <row r="365">
      <c r="A365" s="5" t="inlineStr">
        <is>
          <t>b7-politika-cay</t>
        </is>
      </c>
      <c r="B365" s="5" t="inlineStr">
        <is>
          <t>okul-temsilcisi</t>
        </is>
      </c>
      <c r="C365" s="6" t="inlineStr">
        <is>
          <t>Okul temsilciliğinden kalma bir alışkanlık: her toplantıda ilk sen el kaldırıyorsun.</t>
        </is>
      </c>
    </row>
    <row r="366">
      <c r="A366" s="5" t="inlineStr">
        <is>
          <t>b7-politika-cay</t>
        </is>
      </c>
      <c r="B366" s="5" t="inlineStr">
        <is>
          <t>polis-surgun</t>
        </is>
      </c>
      <c r="C366" s="6" t="inlineStr">
        <is>
          <t>Emniyetteki sürgün dosyan, parti dosyanda “saha tecrübesi” diye geçiyor.</t>
        </is>
      </c>
    </row>
    <row r="367">
      <c r="A367" s="5" t="inlineStr">
        <is>
          <t>b7-politika-kaldirim</t>
        </is>
      </c>
      <c r="B367" s="5" t="inlineStr">
        <is>
          <t>parti-il-yoneticisi</t>
        </is>
      </c>
      <c r="C367" s="6" t="inlineStr">
        <is>
          <t>Semaver günlerinden kalan il yöneticiliğin adaylıkta işine yarıyor.</t>
        </is>
      </c>
    </row>
    <row r="368">
      <c r="A368" s="5" t="inlineStr">
        <is>
          <t>b7-politika-kaldirim</t>
        </is>
      </c>
      <c r="B368" s="5" t="inlineStr">
        <is>
          <t>komiser-tanidik</t>
        </is>
      </c>
      <c r="C368" s="6" t="inlineStr">
        <is>
          <t>Tanıdık komiser, kaldırımın kırk yıllık hikâyesini senden iyi biliyor.</t>
        </is>
      </c>
    </row>
    <row r="369">
      <c r="A369" s="5" t="inlineStr">
        <is>
          <t>b8-politika-otobus</t>
        </is>
      </c>
      <c r="B369" s="5" t="inlineStr">
        <is>
          <t>eski-hukumlu</t>
        </is>
      </c>
      <c r="C369" s="6" t="inlineStr">
        <is>
          <t>Hapisten çıkıp siyasete girmiştin; afişteki o hafif gülümseme oradan kalma.</t>
        </is>
      </c>
    </row>
    <row r="370">
      <c r="A370" s="5" t="inlineStr">
        <is>
          <t>b8-politika-otobus</t>
        </is>
      </c>
      <c r="B370" s="5" t="inlineStr">
        <is>
          <t>meclis-uyesi</t>
        </is>
      </c>
      <c r="C370" s="6" t="inlineStr">
        <is>
          <t>Meclis üyeliğinden kalan o kaldırım, rotanın ilk durağı.</t>
        </is>
      </c>
    </row>
    <row r="371">
      <c r="A371" s="5" t="inlineStr">
        <is>
          <t>b8-politika-tartisma</t>
        </is>
      </c>
      <c r="B371" s="5" t="inlineStr">
        <is>
          <t>belediye-baskani</t>
        </is>
      </c>
      <c r="C371" s="6" t="inlineStr">
        <is>
          <t>Başkanken yaptırdığın ilk kavşak, bu gecenin ta kendisi.</t>
        </is>
      </c>
    </row>
    <row r="372">
      <c r="A372" s="5" t="inlineStr">
        <is>
          <t>b8-politika-kurdele</t>
        </is>
      </c>
      <c r="B372" s="5" t="inlineStr">
        <is>
          <t>ihaleci</t>
        </is>
      </c>
      <c r="C372" s="6" t="inlineStr">
        <is>
          <t>Çeşmeyi yapan firmayı seçim gecesinden tanıyorsun; biraz fazla iyi.</t>
        </is>
      </c>
    </row>
    <row r="373">
      <c r="A373" s="5" t="inlineStr">
        <is>
          <t>b8-politika-kurdele</t>
        </is>
      </c>
      <c r="B373" s="5" t="inlineStr">
        <is>
          <t>secim-kazandi</t>
        </is>
      </c>
      <c r="C373" s="6" t="inlineStr">
        <is>
          <t>Yakanda Meclis iğnesi var. Kalabalıktan biri bağırdı: “Vekilim, bizim sokağın lambası!” Makas hâlâ elinde.</t>
        </is>
      </c>
    </row>
    <row r="374">
      <c r="A374" s="5" t="inlineStr">
        <is>
          <t>b9-politika-ani</t>
        </is>
      </c>
      <c r="B374" s="5" t="inlineStr">
        <is>
          <t>belediye-baskani</t>
        </is>
      </c>
      <c r="C374" s="6" t="inlineStr">
        <is>
          <t>Belediye başkanlığı dönemin kitabın en kalın bölümü.</t>
        </is>
      </c>
    </row>
    <row r="375">
      <c r="A375" s="5" t="inlineStr">
        <is>
          <t>b9-politika-ani</t>
        </is>
      </c>
      <c r="B375" s="5" t="inlineStr">
        <is>
          <t>tv-tartismaci</t>
        </is>
      </c>
      <c r="C375" s="6" t="inlineStr">
        <is>
          <t>Gece yarısı tartışmalarından kalan bir cümle kitabın arka kapağına kondu.</t>
        </is>
      </c>
    </row>
    <row r="376">
      <c r="A376" s="5" t="inlineStr">
        <is>
          <t>b9-politika-ani</t>
        </is>
      </c>
      <c r="B376" s="5" t="inlineStr">
        <is>
          <t>ihaleci</t>
        </is>
      </c>
      <c r="C376" s="6" t="inlineStr">
        <is>
          <t>Seçim gecesindeki ihale bölümünü yayınevinin avukatı üç kez okudu, sonra çıkardı.</t>
        </is>
      </c>
    </row>
    <row r="377">
      <c r="A377" s="5" t="inlineStr">
        <is>
          <t>b9-politika-kahve</t>
        </is>
      </c>
      <c r="B377" s="5" t="inlineStr">
        <is>
          <t>meclis-uyesi</t>
        </is>
      </c>
      <c r="C377" s="6" t="inlineStr">
        <is>
          <t>Yıllar önce vaat ettiğin kaldırım hâlâ gündemde; artık başkası vaat ediyor.</t>
        </is>
      </c>
    </row>
    <row r="378">
      <c r="A378" s="5" t="inlineStr">
        <is>
          <t>b7-goc-oturma-izni</t>
        </is>
      </c>
      <c r="B378" s="5" t="inlineStr">
        <is>
          <t>hat-hekim</t>
        </is>
      </c>
      <c r="C378" s="6" t="inlineStr">
        <is>
          <t>Diploma denklik dosyan da aynı masada. Memur iki dosyayı tarttı; hekiminki ağır geldi, önce onu aldı.</t>
        </is>
      </c>
    </row>
    <row r="379">
      <c r="A379" s="5" t="inlineStr">
        <is>
          <t>b7-goc-oturma-izni</t>
        </is>
      </c>
      <c r="B379" s="5" t="inlineStr">
        <is>
          <t>yabanci-dil</t>
        </is>
      </c>
      <c r="C379" s="6" t="inlineStr">
        <is>
          <t>Dili iyi konuştuğunu fark eden memur daha hızlı konuşmaya başladı.</t>
        </is>
      </c>
    </row>
    <row r="380">
      <c r="A380" s="5" t="inlineStr">
        <is>
          <t>b7-goc-akrabalar</t>
        </is>
      </c>
      <c r="B380" s="5" t="inlineStr">
        <is>
          <t>hat-hekim</t>
        </is>
      </c>
      <c r="C380" s="6" t="inlineStr">
        <is>
          <t>Sofraya oturur oturmaz teyzen dizini gösterdi. Doktor olduğun için tatil fiilen bitti.</t>
        </is>
      </c>
    </row>
    <row r="381">
      <c r="A381" s="5" t="inlineStr">
        <is>
          <t>b7-goc-bayram-sofrasi</t>
        </is>
      </c>
      <c r="B381" s="5" t="inlineStr">
        <is>
          <t>cocuklu</t>
        </is>
      </c>
      <c r="C381" s="6" t="inlineStr">
        <is>
          <t>Çocuğun dedesine sesli bayram mesajı yolladı; yarısı Öte Diyar dilinde. Baban ekrandan seslendi: “Bunu bir çevir.”</t>
        </is>
      </c>
    </row>
    <row r="382">
      <c r="A382" s="5" t="inlineStr">
        <is>
          <t>b7-goc-bayram-sofrasi</t>
        </is>
      </c>
      <c r="B382" s="5" t="inlineStr">
        <is>
          <t>ote-diyar-vatandasi</t>
        </is>
      </c>
      <c r="C382" s="6" t="inlineStr">
        <is>
          <t>Yeni pasaportun çekmecede. Bayramda ilk kez iki ülkede birden ev sahibisin.</t>
        </is>
      </c>
    </row>
    <row r="383">
      <c r="A383" s="5" t="inlineStr">
        <is>
          <t>k10-goc</t>
        </is>
      </c>
      <c r="B383" s="5" t="inlineStr">
        <is>
          <t>hat-hekim</t>
        </is>
      </c>
      <c r="C383" s="6" t="inlineStr">
        <is>
          <t>Başhekim, vatandaş olursan kadroya alınabileceğini söyledi. Nöbet listende adın zaten kalıcı.</t>
        </is>
      </c>
    </row>
    <row r="384">
      <c r="A384" s="5" t="inlineStr">
        <is>
          <t>k10-goc</t>
        </is>
      </c>
      <c r="B384" s="5" t="inlineStr">
        <is>
          <t>memlekette-ev</t>
        </is>
      </c>
      <c r="C384" s="6" t="inlineStr">
        <is>
          <t>Memleketteki evin anahtarı annende. Annen “Perdeler hazır” diye mesaj attı.</t>
        </is>
      </c>
    </row>
    <row r="385">
      <c r="A385" s="5" t="inlineStr">
        <is>
          <t>b8-goc-dil-okulu</t>
        </is>
      </c>
      <c r="B385" s="5" t="inlineStr">
        <is>
          <t>cocuklu</t>
        </is>
      </c>
      <c r="C385" s="6" t="inlineStr">
        <is>
          <t>Sınıftaki çocuklardan biri senin. Ödevini Öte Diyar dilinde yazıp “Evde çevirtirim” dedi. Çevirecek kişi sensin.</t>
        </is>
      </c>
    </row>
    <row r="386">
      <c r="A386" s="5" t="inlineStr">
        <is>
          <t>b8-goc-donsem-mi</t>
        </is>
      </c>
      <c r="B386" s="5" t="inlineStr">
        <is>
          <t>evli</t>
        </is>
      </c>
      <c r="C386" s="6" t="inlineStr">
        <is>
          <t>Eşin bu soruya artık cevap vermiyor; sadece çayını tazeliyor.</t>
        </is>
      </c>
    </row>
    <row r="387">
      <c r="A387" s="5" t="inlineStr">
        <is>
          <t>b8-goc-donsem-mi</t>
        </is>
      </c>
      <c r="B387" s="5" t="inlineStr">
        <is>
          <t>hat-hekim</t>
        </is>
      </c>
      <c r="C387" s="6" t="inlineStr">
        <is>
          <t>Memleketteki bir hastane seni başhekim yardımcılığına çağırdı. Mektubun altında el yazısıyla bir not var: “Annenizin selamı var.”</t>
        </is>
      </c>
    </row>
    <row r="388">
      <c r="A388" s="5" t="inlineStr">
        <is>
          <t>b9-goc-iki-dilde-emeklilik</t>
        </is>
      </c>
      <c r="B388" s="5" t="inlineStr">
        <is>
          <t>gurbet-ogretmeni</t>
        </is>
      </c>
      <c r="C388" s="6" t="inlineStr">
        <is>
          <t>Hafta sonu okulundaki çocuklardan biri bu kurumda memur. Dosyanı görünce “Hocam!” dedi, memleket dilinde.</t>
        </is>
      </c>
    </row>
    <row r="389">
      <c r="A389" s="5" t="inlineStr">
        <is>
          <t>b9-goc-iki-dilde-emeklilik</t>
        </is>
      </c>
      <c r="B389" s="5" t="inlineStr">
        <is>
          <t>donuse-hazir</t>
        </is>
      </c>
      <c r="C389" s="6" t="inlineStr">
        <is>
          <t>Memleketteki ev boyalı, erik ağacı budanmış. Bekleyen bir tek sensin.</t>
        </is>
      </c>
    </row>
    <row r="390">
      <c r="A390" s="5" t="inlineStr">
        <is>
          <t>b9-goc-iki-dilde-emeklilik</t>
        </is>
      </c>
      <c r="B390" s="5" t="inlineStr">
        <is>
          <t>ote-diyar-vatandasi</t>
        </is>
      </c>
      <c r="C390" s="6" t="inlineStr">
        <is>
          <t>İki pasaportun var; ikisi aynı çekmecede, ikisinin de süresi bitmek üzere.</t>
        </is>
      </c>
    </row>
    <row r="391">
      <c r="A391" s="5" t="inlineStr">
        <is>
          <t>b7-koy-sehirliler</t>
        </is>
      </c>
      <c r="B391" s="5" t="inlineStr">
        <is>
          <t>koy-fenomeni</t>
        </is>
      </c>
      <c r="C391" s="6" t="inlineStr">
        <is>
          <t>Takipçilerin horozu tanıyor. Biri horoza hayran mektubu yazdı; şehirlilerin tabelasından daha kibar.</t>
        </is>
      </c>
    </row>
    <row r="392">
      <c r="A392" s="5" t="inlineStr">
        <is>
          <t>k10-koy</t>
        </is>
      </c>
      <c r="B392" s="5" t="inlineStr">
        <is>
          <t>kahvede-sozu-var</t>
        </is>
      </c>
      <c r="C392" s="6" t="inlineStr">
        <is>
          <t>Barıştırdığın iki üye kahvede senin masana oturuyor. Masan köyün en kalabalık masası.</t>
        </is>
      </c>
    </row>
    <row r="393">
      <c r="A393" s="5" t="inlineStr">
        <is>
          <t>k10-koy</t>
        </is>
      </c>
      <c r="B393" s="5" t="inlineStr">
        <is>
          <t>kooperatif-defteri</t>
        </is>
      </c>
      <c r="C393" s="6" t="inlineStr">
        <is>
          <t>Kooperatifin defteri hâlâ sende. Kimin ne kadar süt verdiğini köyde en iyi sen biliyorsun.</t>
        </is>
      </c>
    </row>
    <row r="394">
      <c r="A394" s="5" t="inlineStr">
        <is>
          <t>b8-koy-muhtarlik-secimi</t>
        </is>
      </c>
      <c r="B394" s="5" t="inlineStr">
        <is>
          <t>muhtar</t>
        </is>
      </c>
      <c r="C394" s="6" t="inlineStr">
        <is>
          <t>Yıllardır muhtarsın. Mührün kenarı aşındı; köy bunu bir icraat sayıyor.</t>
        </is>
      </c>
    </row>
    <row r="395">
      <c r="A395" s="5" t="inlineStr">
        <is>
          <t>b8-koy-muhtarlik-secimi</t>
        </is>
      </c>
      <c r="B395" s="5" t="inlineStr">
        <is>
          <t>kahvede-sozu-var</t>
        </is>
      </c>
      <c r="C395" s="6" t="inlineStr">
        <is>
          <t>Barıştırdığın iki üye seçim masanın başında; biri çay taşıyor, öbürü oy sayıyor.</t>
        </is>
      </c>
    </row>
    <row r="396">
      <c r="A396" s="5" t="inlineStr">
        <is>
          <t>b8-koy-unlu-koylu</t>
        </is>
      </c>
      <c r="B396" s="5" t="inlineStr">
        <is>
          <t>koy-fenomeni</t>
        </is>
      </c>
      <c r="C396" s="6" t="inlineStr">
        <is>
          <t>Yönetmen seni görür görmez bağırdı: “Keçi videolarındaki!” Ekip önce seninle fotoğraf çektirdi.</t>
        </is>
      </c>
    </row>
    <row r="397">
      <c r="A397" s="5" t="inlineStr">
        <is>
          <t>b8-koy-unlu-koylu</t>
        </is>
      </c>
      <c r="B397" s="5" t="inlineStr">
        <is>
          <t>keci-dostu</t>
        </is>
      </c>
      <c r="C397" s="6" t="inlineStr">
        <is>
          <t>Lider keçi kameranın önüne senden önce yürüdü. Kurdelesini de kendisi seçmiş gibi duruyor.</t>
        </is>
      </c>
    </row>
    <row r="398">
      <c r="A398" s="5" t="inlineStr">
        <is>
          <t>b9-koy-cinarin-alti</t>
        </is>
      </c>
      <c r="B398" s="5" t="inlineStr">
        <is>
          <t>muhtar</t>
        </is>
      </c>
      <c r="C398" s="6" t="inlineStr">
        <is>
          <t>Eski mühür vitrinde duruyor. Yeni muhtar her kararından önce sana uğruyor; bazen de sonra.</t>
        </is>
      </c>
    </row>
    <row r="399">
      <c r="A399" s="5" t="inlineStr">
        <is>
          <t>b9-koy-cinarin-alti</t>
        </is>
      </c>
      <c r="B399" s="5" t="inlineStr">
        <is>
          <t>unlu-koylu</t>
        </is>
      </c>
      <c r="C399" s="6" t="inlineStr">
        <is>
          <t>Belgesel her yıl tekrar yayınlanıyor. Her yayından sonra bir otobüs şehirli çınarın altında seninle fotoğraf çektiriyor.</t>
        </is>
      </c>
    </row>
    <row r="400">
      <c r="A400" s="5" t="inlineStr">
        <is>
          <t>b7-usta-ilk-cirak</t>
        </is>
      </c>
      <c r="B400" s="5" t="inlineStr">
        <is>
          <t>esnaf-cirak</t>
        </is>
      </c>
      <c r="C400" s="6" t="inlineStr">
        <is>
          <t>Dükkânda bir çırak yetiştirmiştin; sana telefonun yazı boyutunu büyütmeyi o öğretmişti. Bu çırak gelir gelmez küçülttü.</t>
        </is>
      </c>
    </row>
    <row r="401">
      <c r="A401" s="5" t="inlineStr">
        <is>
          <t>b7-usta-ilk-cirak</t>
        </is>
      </c>
      <c r="B401" s="5" t="inlineStr">
        <is>
          <t>usta-eli</t>
        </is>
      </c>
      <c r="C401" s="6" t="inlineStr">
        <is>
          <t>Sen de çıraktın. Ustanın ilk sözü “Önce süpür” olmuştu. Köşede aynı süpürgeyi buldun; sapı hâlâ senin elinin şeklinde.</t>
        </is>
      </c>
    </row>
    <row r="402">
      <c r="A402" s="5" t="inlineStr">
        <is>
          <t>b7-usta-karsi-dukkan</t>
        </is>
      </c>
      <c r="B402" s="5" t="inlineStr">
        <is>
          <t>usta-eli</t>
        </is>
      </c>
      <c r="C402" s="6" t="inlineStr">
        <is>
          <t>Ellerin cihazdan önce tanınıyor. Sanayide “Onun eli değsin” diyenler var.</t>
        </is>
      </c>
    </row>
    <row r="403">
      <c r="A403" s="5" t="inlineStr">
        <is>
          <t>b7-usta-sanayi-hakemi</t>
        </is>
      </c>
      <c r="B403" s="5" t="inlineStr">
        <is>
          <t>usta-buyudu</t>
        </is>
      </c>
      <c r="C403" s="6" t="inlineStr">
        <is>
          <t>Yeni sitedeki büyük dükkânın ikisinin de gözünde. Sözün artık metrekareyle ölçülüyor.</t>
        </is>
      </c>
    </row>
    <row r="404">
      <c r="A404" s="5" t="inlineStr">
        <is>
          <t>b7-usta-sanayi-hakemi</t>
        </is>
      </c>
      <c r="B404" s="5" t="inlineStr">
        <is>
          <t>usta-ciragi-var</t>
        </is>
      </c>
      <c r="C404" s="6" t="inlineStr">
        <is>
          <t>Çırağın ikisinin yanında da çalışmıştı. İkisinin de sırrını biliyor; sana söylemiyor.</t>
        </is>
      </c>
    </row>
    <row r="405">
      <c r="A405" s="5" t="inlineStr">
        <is>
          <t>k10-usta</t>
        </is>
      </c>
      <c r="B405" s="5" t="inlineStr">
        <is>
          <t>usta-ciragi-var</t>
        </is>
      </c>
      <c r="C405" s="6" t="inlineStr">
        <is>
          <t>Çırağın da kolileri topluyor. Hangi dükkâna gideceğini sana soruyor; sen de kendine.</t>
        </is>
      </c>
    </row>
    <row r="406">
      <c r="A406" s="5" t="inlineStr">
        <is>
          <t>k10-usta</t>
        </is>
      </c>
      <c r="B406" s="5" t="inlineStr">
        <is>
          <t>usta-eli</t>
        </is>
      </c>
      <c r="C406" s="6" t="inlineStr">
        <is>
          <t>Fabrikanın müdürü seni eski bir müşterisinden duymuş: “Eli değince araba susuyormuş.”</t>
        </is>
      </c>
    </row>
    <row r="407">
      <c r="A407" s="5" t="inlineStr">
        <is>
          <t>b8-usta-sessiz-motor</t>
        </is>
      </c>
      <c r="B407" s="5" t="inlineStr">
        <is>
          <t>usta-buyudu</t>
        </is>
      </c>
      <c r="C407" s="6" t="inlineStr">
        <is>
          <t>Yeni sitedeki dükkânın iki katlı, üç liftli. Ama bu arabanın hiçbir yerine anahtar uymuyor; tornavida takımın ilk kez çekmecede bekliyor.</t>
        </is>
      </c>
    </row>
    <row r="408">
      <c r="A408" s="5" t="inlineStr">
        <is>
          <t>b8-usta-ustalarin-ustasi</t>
        </is>
      </c>
      <c r="B408" s="5" t="inlineStr">
        <is>
          <t>usta-ciragi-var</t>
        </is>
      </c>
      <c r="C408" s="6" t="inlineStr">
        <is>
          <t>Bu, ilk çırağın. O zaman telefon elinden düşmüyordu; şimdi onun da bir çırağı var, telefonu elinden düşmüyor.</t>
        </is>
      </c>
    </row>
    <row r="409">
      <c r="A409" s="5" t="inlineStr">
        <is>
          <t>b8-usta-ustalarin-ustasi</t>
        </is>
      </c>
      <c r="B409" s="5" t="inlineStr">
        <is>
          <t>sanayi-hakemi</t>
        </is>
      </c>
      <c r="C409" s="6" t="inlineStr">
        <is>
          <t>Açılışa sitenin bütün ustaları geldi; park yerini kimse tartışmadı. Senin sayende.</t>
        </is>
      </c>
    </row>
    <row r="410">
      <c r="A410" s="5" t="inlineStr">
        <is>
          <t>b9-usta-son-kepenk</t>
        </is>
      </c>
      <c r="B410" s="5" t="inlineStr">
        <is>
          <t>ustalarin-ustasi</t>
        </is>
      </c>
      <c r="C410" s="6" t="inlineStr">
        <is>
          <t>Sanayideki ustaların yarısı senin elinden geçti. Arayanların bir kısmı müşteri değil; eski çırakların.</t>
        </is>
      </c>
    </row>
    <row r="411">
      <c r="A411" s="5" t="inlineStr">
        <is>
          <t>b9-usta-son-kepenk</t>
        </is>
      </c>
      <c r="B411" s="5" t="inlineStr">
        <is>
          <t>yeni-motor-ustasi</t>
        </is>
      </c>
      <c r="C411" s="6" t="inlineStr">
        <is>
          <t>Sessiz arabaların sesini de biliyorsun. Telefondaki en zor teşhisler onlar.</t>
        </is>
      </c>
    </row>
    <row r="412">
      <c r="A412" s="5" t="inlineStr">
        <is>
          <t>b7-erken-tahliye</t>
        </is>
      </c>
      <c r="B412" s="5" t="inlineStr">
        <is>
          <t>islah-sertifikasi</t>
        </is>
      </c>
      <c r="C412" s="6" t="inlineStr">
        <is>
          <t>Islah kursundan bir sertifikan var. Çerçevelemeye değer mi, henüz bilmiyorsun.</t>
        </is>
      </c>
    </row>
    <row r="413">
      <c r="A413" s="5" t="inlineStr">
        <is>
          <t>b7-erken-tahliye</t>
        </is>
      </c>
      <c r="B413" s="5" t="inlineStr">
        <is>
          <t>kogus-dostu</t>
        </is>
      </c>
      <c r="C413" s="6" t="inlineStr">
        <is>
          <t>Koğuştan tavla rakibin kapıya kadar geçirdi: “Dışarıda da oynarız.”</t>
        </is>
      </c>
    </row>
    <row r="414">
      <c r="A414" s="5" t="inlineStr">
        <is>
          <t>b8-erken-tahliye</t>
        </is>
      </c>
      <c r="B414" s="5" t="inlineStr">
        <is>
          <t>islah-sertifikasi</t>
        </is>
      </c>
      <c r="C414" s="6" t="inlineStr">
        <is>
          <t>Islah kursunun sertifikası poşetin en üstünde. Yıllar içinde biraz sararmış.</t>
        </is>
      </c>
    </row>
    <row r="415">
      <c r="A415" s="5" t="inlineStr">
        <is>
          <t>b8-erken-tahliye</t>
        </is>
      </c>
      <c r="B415" s="5" t="inlineStr">
        <is>
          <t>kogus-dostu</t>
        </is>
      </c>
      <c r="C415" s="6" t="inlineStr">
        <is>
          <t>Tavla rakibin kapıda seni uğurladı, koğuşun tavlasını eline tutuşturdu: “Nuriye'ye iyi bak.” Nuriye, tavlanın adı.</t>
        </is>
      </c>
    </row>
    <row r="416">
      <c r="A416" s="5" t="inlineStr">
        <is>
          <t>b7-okulun-ilk-gunu</t>
        </is>
      </c>
      <c r="B416" s="5" t="inlineStr">
        <is>
          <t>yapiskan</t>
        </is>
      </c>
      <c r="C416" s="6" t="inlineStr">
        <is>
          <t>Kapıda bir çocuk annesinin bacağına sarılmış. Otuz beş yıl önce o bacak senin annenindi.</t>
        </is>
      </c>
    </row>
    <row r="417">
      <c r="A417" s="5" t="inlineStr">
        <is>
          <t>b8-taki-sirasi</t>
        </is>
      </c>
      <c r="B417" s="5" t="inlineStr">
        <is>
          <t>evli</t>
        </is>
      </c>
      <c r="C417" s="6" t="inlineStr">
        <is>
          <t>Senin düğününde bu kuzen ne takmıştı? Eşin “Çeyrek” diyor, annen “Bilezik”. İkisi de emin.</t>
        </is>
      </c>
    </row>
    <row r="418">
      <c r="A418" s="5" t="inlineStr">
        <is>
          <t>b8-babanin-evi</t>
        </is>
      </c>
      <c r="B418" s="5" t="inlineStr">
        <is>
          <t>cocuklu</t>
        </is>
      </c>
      <c r="C418" s="6" t="inlineStr">
        <is>
          <t>Çocuğun dedesinin saatini koluna taktı. Kayış bol geldi; çıkarmadı.</t>
        </is>
      </c>
    </row>
    <row r="419">
      <c r="A419" s="5" t="inlineStr">
        <is>
          <t>b9-dunurler</t>
        </is>
      </c>
      <c r="B419" s="5" t="inlineStr">
        <is>
          <t>ask-evliligi</t>
        </is>
      </c>
      <c r="C419" s="6" t="inlineStr">
        <is>
          <t>Otuz yıl önce bu koltuklardan birinde sen oturuyordun, elinde tuzlu bir kahve. Şimdi kahveler gelirken gözün mutfakta: bu kez tuz kimin fincanına?</t>
        </is>
      </c>
    </row>
    <row r="420">
      <c r="A420" s="5" t="inlineStr">
        <is>
          <t>b9-dunurler</t>
        </is>
      </c>
      <c r="B420" s="5" t="inlineStr">
        <is>
          <t>gorucu</t>
        </is>
      </c>
      <c r="C420" s="6" t="inlineStr">
        <is>
          <t>Seninki bir yıl sürmüştü, ilk kahveden söze kadar. Bu gençlerin bir akşamı var; bir de senin sabrın.</t>
        </is>
      </c>
    </row>
    <row r="421">
      <c r="A421" s="5" t="inlineStr">
        <is>
          <t>b10-tek-fincan</t>
        </is>
      </c>
      <c r="B421" s="5" t="inlineStr">
        <is>
          <t>ask-evliligi</t>
        </is>
      </c>
      <c r="C421" s="6" t="inlineStr">
        <is>
          <t>Elli yıl önce sana tuzlu bir kahve getirmişti. Bu sabah kahveni kendin tuzladın; içemedin.</t>
        </is>
      </c>
    </row>
  </sheetData>
  <autoFilter ref="A1:C4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60" customWidth="1" min="2" max="2"/>
    <col width="26" customWidth="1" min="3" max="3"/>
    <col width="14" customWidth="1" min="4" max="4"/>
  </cols>
  <sheetData>
    <row r="1" ht="32" customHeight="1">
      <c r="A1" s="4" t="inlineStr">
        <is>
          <t>Rozet</t>
        </is>
      </c>
      <c r="B1" s="4" t="inlineStr">
        <is>
          <t>Açıklama</t>
        </is>
      </c>
      <c r="C1" s="4" t="inlineStr">
        <is>
          <t>Bonus</t>
        </is>
      </c>
      <c r="D1" s="4" t="inlineStr">
        <is>
          <t>Otomatik özellik</t>
        </is>
      </c>
    </row>
    <row r="2">
      <c r="A2" s="5" t="inlineStr">
        <is>
          <t>Hayat Arşivcisi</t>
        </is>
      </c>
      <c r="B2" s="6" t="inlineStr">
        <is>
          <t>Kimin neyi, ne zaman, hangi bayramda söylediğini tarih ve saatiyle hatırlarsın.</t>
        </is>
      </c>
      <c r="C2" s="5" t="inlineStr">
        <is>
          <t>Akıl +1, Sosyal Radar +1</t>
        </is>
      </c>
      <c r="D2" s="5" t="inlineStr"/>
    </row>
    <row r="3">
      <c r="A3" s="5" t="inlineStr">
        <is>
          <t>Balkon Müfettişi</t>
        </is>
      </c>
      <c r="B3" s="6" t="inlineStr">
        <is>
          <t>Sokakta olan hiçbir şey kayda geçmeden sonuçlanmaz.</t>
        </is>
      </c>
      <c r="C3" s="5" t="inlineStr">
        <is>
          <t>Sosyal Radar +2</t>
        </is>
      </c>
      <c r="D3" s="5" t="inlineStr"/>
    </row>
    <row r="4">
      <c r="A4" s="5" t="inlineStr">
        <is>
          <t>Son Sözü Söyler</t>
        </is>
      </c>
      <c r="B4" s="6" t="inlineStr">
        <is>
          <t>Masadaki her tartışma sende kapanır. Kimse itiraz edecek enerjiyi bulamaz.</t>
        </is>
      </c>
      <c r="C4" s="5" t="inlineStr">
        <is>
          <t>Çene +1, Pişkinlik +1</t>
        </is>
      </c>
      <c r="D4" s="5" t="inlineStr"/>
    </row>
    <row r="5">
      <c r="A5" s="5" t="inlineStr">
        <is>
          <t>Ekran Yerlisi</t>
        </is>
      </c>
      <c r="B5" s="6" t="inlineStr">
        <is>
          <t>Her uygulamanın ayarlar menüsünü ailenden iyi bilirsin. Ailen de bunu bilir, ama hangi ayarı bilmez.</t>
        </is>
      </c>
      <c r="C5" s="5" t="inlineStr">
        <is>
          <t>Kurnazlık +1, Sosyal Radar +1</t>
        </is>
      </c>
      <c r="D5" s="5" t="inlineStr"/>
    </row>
    <row r="6">
      <c r="A6" s="5" t="inlineStr">
        <is>
          <t>Grup Diplomatı</t>
        </is>
      </c>
      <c r="B6" s="6" t="inlineStr">
        <is>
          <t>Mesaj grubunda bir şey yazmadan önce üç kez okursun. Dördüncüde silersin.</t>
        </is>
      </c>
      <c r="C6" s="5" t="inlineStr">
        <is>
          <t>Sosyal Radar +1, Çene +1</t>
        </is>
      </c>
      <c r="D6" s="5" t="inlineStr"/>
    </row>
    <row r="7">
      <c r="A7" s="5" t="inlineStr">
        <is>
          <t>Kantin Ekonomisti</t>
        </is>
      </c>
      <c r="B7" s="6" t="inlineStr">
        <is>
          <t>Tostla ayran arasındaki kâr marjını ezbere bilirsin.</t>
        </is>
      </c>
      <c r="C7" s="5" t="inlineStr">
        <is>
          <t>Kurnazlık +1, Çene +1</t>
        </is>
      </c>
      <c r="D7" s="5" t="inlineStr"/>
    </row>
    <row r="8">
      <c r="A8" s="5" t="inlineStr">
        <is>
          <t>Grup Yöneticisi</t>
        </is>
      </c>
      <c r="B8" s="6" t="inlineStr">
        <is>
          <t>Mesaj gruplarını kurar, yönetir, gerektiğinde sessize alırsın.</t>
        </is>
      </c>
      <c r="C8" s="5" t="inlineStr">
        <is>
          <t>Sosyal Radar +1, Çene +1</t>
        </is>
      </c>
      <c r="D8" s="5" t="inlineStr"/>
    </row>
    <row r="9">
      <c r="A9" s="5" t="inlineStr">
        <is>
          <t>Deneme Kurdu</t>
        </is>
      </c>
      <c r="B9" s="6" t="inlineStr">
        <is>
          <t>Yüzlerce deneme sınavından sonra sınav salonu sana ikinci evin gibi gelir.</t>
        </is>
      </c>
      <c r="C9" s="5" t="inlineStr">
        <is>
          <t>Akıl +1, Dayanıklılık +1</t>
        </is>
      </c>
      <c r="D9" s="5" t="inlineStr"/>
    </row>
    <row r="10">
      <c r="A10" s="5" t="inlineStr">
        <is>
          <t>Kestirme Bilir</t>
        </is>
      </c>
      <c r="B10" s="6" t="inlineStr">
        <is>
          <t>Şehrin bütün arka sokaklarını, otopark geçişlerini ve açık kalan kapılarını bilirsin.</t>
        </is>
      </c>
      <c r="C10" s="5" t="inlineStr">
        <is>
          <t>Kurnazlık +1, Dayanıklılık +1</t>
        </is>
      </c>
      <c r="D10" s="5" t="inlineStr"/>
    </row>
    <row r="11">
      <c r="A11" s="5" t="inlineStr">
        <is>
          <t>Bütçe Tablocusu</t>
        </is>
      </c>
      <c r="B11" s="6" t="inlineStr">
        <is>
          <t>Her harcamanın bir hücresi var. Hücrelerin çoğu kırmızı.</t>
        </is>
      </c>
      <c r="C11" s="5" t="inlineStr">
        <is>
          <t>Akıl +1, Kurnazlık +1</t>
        </is>
      </c>
      <c r="D11" s="5" t="inlineStr"/>
    </row>
    <row r="12">
      <c r="A12" s="5" t="inlineStr">
        <is>
          <t>Nöbet Disiplini</t>
        </is>
      </c>
      <c r="B12" s="6" t="inlineStr">
        <is>
          <t>Saat üçte uyanık kalmayı bilirsin. Kimse sana nedenini sormaz.</t>
        </is>
      </c>
      <c r="C12" s="5" t="inlineStr">
        <is>
          <t>Dayanıklılık +2</t>
        </is>
      </c>
      <c r="D12" s="5" t="inlineStr"/>
    </row>
    <row r="13">
      <c r="A13" s="5" t="inlineStr">
        <is>
          <t>Selamı Var</t>
        </is>
      </c>
      <c r="B13" s="6" t="inlineStr">
        <is>
          <t>Birileri senin hakkında iyi şeyler söylüyor. Bazıları seni gerçekten tanıyor.</t>
        </is>
      </c>
      <c r="C13" s="5" t="inlineStr">
        <is>
          <t>Çene +1, Sosyal Radar +1</t>
        </is>
      </c>
      <c r="D13" s="5" t="inlineStr"/>
    </row>
    <row r="14">
      <c r="A14" s="5" t="inlineStr">
        <is>
          <t>Kayınvalide Diplomatı</t>
        </is>
      </c>
      <c r="B14" s="6" t="inlineStr">
        <is>
          <t>İki aile arasında aynı cümleyi iki farklı anlamda kurabilirsin.</t>
        </is>
      </c>
      <c r="C14" s="5" t="inlineStr">
        <is>
          <t>Sosyal Radar +1, Çene +1</t>
        </is>
      </c>
      <c r="D14" s="5" t="inlineStr"/>
    </row>
    <row r="15">
      <c r="A15" s="5" t="inlineStr">
        <is>
          <t>Gözüne Uyku Girmez</t>
        </is>
      </c>
      <c r="B15" s="6" t="inlineStr">
        <is>
          <t>Üç saat uykuyla bütün gün ayaktasın. Nasıl olduğunu kimse sormaz, sen de bilmiyorsun.</t>
        </is>
      </c>
      <c r="C15" s="5" t="inlineStr">
        <is>
          <t>Dayanıklılık +2</t>
        </is>
      </c>
      <c r="D15" s="5" t="inlineStr"/>
    </row>
    <row r="16">
      <c r="A16" s="5" t="inlineStr">
        <is>
          <t>Tablo Ustası</t>
        </is>
      </c>
      <c r="B16" s="6" t="inlineStr">
        <is>
          <t>Hayatındaki her kararın bir hesap tablosu var. Bazılarının grafiği de.</t>
        </is>
      </c>
      <c r="C16" s="5" t="inlineStr">
        <is>
          <t>Akıl +1, Kurnazlık +1</t>
        </is>
      </c>
      <c r="D16" s="5" t="inlineStr"/>
    </row>
    <row r="17">
      <c r="A17" s="5" t="inlineStr">
        <is>
          <t>Aidat Tahsildarı</t>
        </is>
      </c>
      <c r="B17" s="6" t="inlineStr">
        <is>
          <t>Kimin aidat borcu olduğunu merdivendeki ayak sesinden bilirsin.</t>
        </is>
      </c>
      <c r="C17" s="5" t="inlineStr">
        <is>
          <t>Çene +1, Kurnazlık +1</t>
        </is>
      </c>
      <c r="D17" s="5" t="inlineStr"/>
    </row>
    <row r="18">
      <c r="A18" s="5" t="inlineStr">
        <is>
          <t>Okuma Gözlüğü Otoritesi</t>
        </is>
      </c>
      <c r="B18" s="6" t="inlineStr">
        <is>
          <t>Gözlüğünün üstünden bakınca toplantılar kısalır.</t>
        </is>
      </c>
      <c r="C18" s="5" t="inlineStr">
        <is>
          <t>Akıl +1, Pişkinlik +1</t>
        </is>
      </c>
      <c r="D18" s="5" t="inlineStr"/>
    </row>
    <row r="19">
      <c r="A19" s="5" t="inlineStr">
        <is>
          <t>Aile Grubu Moderatörü</t>
        </is>
      </c>
      <c r="B19" s="6" t="inlineStr">
        <is>
          <t>Sahte haberi, iletilmeden önce yakalarsın.</t>
        </is>
      </c>
      <c r="C19" s="5" t="inlineStr">
        <is>
          <t>Sosyal Radar +1, İtibar +1</t>
        </is>
      </c>
      <c r="D19" s="5" t="inlineStr"/>
    </row>
    <row r="20">
      <c r="A20" s="5" t="inlineStr">
        <is>
          <t>Tavla Kurdu</t>
        </is>
      </c>
      <c r="B20" s="6" t="inlineStr">
        <is>
          <t>Zarın ne geleceğini bilmezsin ama rakibin ne yapacağını bilirsin.</t>
        </is>
      </c>
      <c r="C20" s="5" t="inlineStr">
        <is>
          <t>Kurnazlık +1, Pişkinlik +1</t>
        </is>
      </c>
      <c r="D20" s="5" t="inlineStr"/>
    </row>
    <row r="21">
      <c r="A21" s="5" t="inlineStr">
        <is>
          <t>Randevu Avcısı</t>
        </is>
      </c>
      <c r="B21" s="6" t="inlineStr">
        <is>
          <t>Gece yarısı açılan boş randevuyu ilk sen görürsün.</t>
        </is>
      </c>
      <c r="C21" s="5" t="inlineStr">
        <is>
          <t>Akıl +1, Dayanıklılık +1</t>
        </is>
      </c>
      <c r="D21" s="5" t="inlineStr"/>
    </row>
    <row r="22">
      <c r="A22" s="5" t="inlineStr">
        <is>
          <t>Bahçe Filozofu</t>
        </is>
      </c>
      <c r="B22" s="6" t="inlineStr">
        <is>
          <t>Domatesin büyümesini bekleyen insan her şeyi beklemeyi öğrenir.</t>
        </is>
      </c>
      <c r="C22" s="5" t="inlineStr">
        <is>
          <t>İtibar +1, Dayanıklılık +1</t>
        </is>
      </c>
      <c r="D22" s="5" t="inlineStr"/>
    </row>
    <row r="23">
      <c r="A23" s="5" t="inlineStr">
        <is>
          <t>Plaza Diplomatı</t>
        </is>
      </c>
      <c r="B23" s="6" t="inlineStr">
        <is>
          <t>Toplantıda tek kelime etmeden katkı sunmuş görünürsün.</t>
        </is>
      </c>
      <c r="C23" s="5" t="inlineStr">
        <is>
          <t>Sosyal Radar +1, Çene +1</t>
        </is>
      </c>
      <c r="D23" s="5" t="inlineStr"/>
    </row>
    <row r="24">
      <c r="A24" s="5" t="inlineStr">
        <is>
          <t>Sessize Alma Ustası</t>
        </is>
      </c>
      <c r="B24" s="6" t="inlineStr">
        <is>
          <t>Mikrofonun, kameran ve vicdanın gerektiğinde kapanır.</t>
        </is>
      </c>
      <c r="C24" s="5" t="inlineStr">
        <is>
          <t>Kurnazlık +1, Dayanıklılık +1</t>
        </is>
      </c>
      <c r="D24" s="5" t="inlineStr"/>
    </row>
    <row r="25">
      <c r="A25" s="5" t="inlineStr">
        <is>
          <t>Fatura Avcısı</t>
        </is>
      </c>
      <c r="B25" s="6" t="inlineStr">
        <is>
          <t>Ödenmemiş her faturanın muhasebecisini adıyla ve doğum gününden tanırsın.</t>
        </is>
      </c>
      <c r="C25" s="5" t="inlineStr">
        <is>
          <t>Çene +1, Dayanıklılık +1</t>
        </is>
      </c>
      <c r="D25" s="5" t="inlineStr"/>
    </row>
    <row r="26">
      <c r="A26" s="5" t="inlineStr">
        <is>
          <t>Kendi Patronu</t>
        </is>
      </c>
      <c r="B26" s="6" t="inlineStr">
        <is>
          <t>Kimse sana ne yapacağını söyleyemez. Maaş da veremez.</t>
        </is>
      </c>
      <c r="C26" s="5" t="inlineStr">
        <is>
          <t>Cesaret +1, Pişkinlik +1</t>
        </is>
      </c>
      <c r="D26" s="5" t="inlineStr"/>
    </row>
    <row r="27">
      <c r="A27" s="5" t="inlineStr">
        <is>
          <t>Pazarlık Duayeni</t>
        </is>
      </c>
      <c r="B27" s="6" t="inlineStr">
        <is>
          <t>'Son fiyat' cümlesini en az üç kez söylemeden kimse kapından çıkamaz.</t>
        </is>
      </c>
      <c r="C27" s="5" t="inlineStr">
        <is>
          <t>Çene +1, Kurnazlık +1</t>
        </is>
      </c>
      <c r="D27" s="5" t="inlineStr"/>
    </row>
    <row r="28">
      <c r="A28" s="5" t="inlineStr">
        <is>
          <t>Mahalle Muhasebecisi</t>
        </is>
      </c>
      <c r="B28" s="6" t="inlineStr">
        <is>
          <t>Kimin kime ne kadar borcu olduğunu defteri açmadan bilirsin.</t>
        </is>
      </c>
      <c r="C28" s="5" t="inlineStr">
        <is>
          <t>Akıl +1, Sosyal Radar +1</t>
        </is>
      </c>
      <c r="D28" s="5" t="inlineStr"/>
    </row>
    <row r="29">
      <c r="A29" s="5" t="inlineStr">
        <is>
          <t>Islak İmza Ustası</t>
        </is>
      </c>
      <c r="B29" s="6" t="inlineStr">
        <is>
          <t>Eksik fotokopiyi evrak masaya değmeden fark edersin.</t>
        </is>
      </c>
      <c r="C29" s="5" t="inlineStr">
        <is>
          <t>Dayanıklılık +1, Kurnazlık +1</t>
        </is>
      </c>
      <c r="D29" s="5" t="inlineStr"/>
    </row>
    <row r="30">
      <c r="A30" s="5" t="inlineStr">
        <is>
          <t>Mevzuat Kalkanı</t>
        </is>
      </c>
      <c r="B30" s="6" t="inlineStr">
        <is>
          <t>Her itiraza bir madde numarasıyla cevap verirsin; madde değişmişse değişikliğiyle.</t>
        </is>
      </c>
      <c r="C30" s="5" t="inlineStr">
        <is>
          <t>Akıl +1, Pişkinlik +1</t>
        </is>
      </c>
      <c r="D30" s="5" t="inlineStr"/>
    </row>
    <row r="31">
      <c r="A31" s="5" t="inlineStr">
        <is>
          <t>Sessiz Gözlemci</t>
        </is>
      </c>
      <c r="B31" s="6" t="inlineStr">
        <is>
          <t>Konuşmadan önce ortamı okursun.</t>
        </is>
      </c>
      <c r="C31" s="5" t="inlineStr">
        <is>
          <t>Sosyal Radar +2, Akıl +1</t>
        </is>
      </c>
      <c r="D31" s="5" t="inlineStr"/>
    </row>
    <row r="32">
      <c r="A32" s="5" t="inlineStr">
        <is>
          <t>Ses Yükseltince Oluyor</t>
        </is>
      </c>
      <c r="B32" s="6" t="inlineStr">
        <is>
          <t>Sesin yükselince kapılar açılır; bunu doğumhanede öğrendin.</t>
        </is>
      </c>
      <c r="C32" s="5" t="inlineStr">
        <is>
          <t>Çene +2</t>
        </is>
      </c>
      <c r="D32" s="5" t="inlineStr"/>
    </row>
    <row r="33">
      <c r="A33" s="5" t="inlineStr">
        <is>
          <t>Kumbara Çocuğu</t>
        </is>
      </c>
      <c r="B33" s="6" t="inlineStr">
        <is>
          <t>Bozukluğun sesini odanın öbür ucundan tanırsın.</t>
        </is>
      </c>
      <c r="C33" s="5" t="inlineStr">
        <is>
          <t>Kurnazlık +2</t>
        </is>
      </c>
      <c r="D33" s="5" t="inlineStr"/>
    </row>
    <row r="34">
      <c r="A34" s="5" t="inlineStr">
        <is>
          <t>Şifreyi Bilen</t>
        </is>
      </c>
      <c r="B34" s="6" t="inlineStr">
        <is>
          <t>Telefon nerede, şifre ne, sen bilirsin. Annen bilmez.</t>
        </is>
      </c>
      <c r="C34" s="5" t="inlineStr">
        <is>
          <t>Akıl +1, Kurnazlık +1</t>
        </is>
      </c>
      <c r="D34" s="5" t="inlineStr"/>
    </row>
    <row r="35">
      <c r="A35" s="5" t="inlineStr">
        <is>
          <t>Yastık Altı Ekonomisti</t>
        </is>
      </c>
      <c r="B35" s="6" t="inlineStr">
        <is>
          <t>Küçük kaynakları saklama refleksin gelişti.</t>
        </is>
      </c>
      <c r="C35" s="5" t="inlineStr">
        <is>
          <t>Kurnazlık +1, Dayanıklılık +1</t>
        </is>
      </c>
      <c r="D35" s="5" t="inlineStr"/>
    </row>
    <row r="36">
      <c r="A36" s="5" t="inlineStr">
        <is>
          <t>Küçük Tüccar</t>
        </is>
      </c>
      <c r="B36" s="6" t="inlineStr">
        <is>
          <t>Kantin daha açılmadan ticarete başladın.</t>
        </is>
      </c>
      <c r="C36" s="5" t="inlineStr">
        <is>
          <t>Çene +1, Kurnazlık +1</t>
        </is>
      </c>
      <c r="D36" s="5" t="inlineStr"/>
    </row>
    <row r="37">
      <c r="A37" s="5" t="inlineStr">
        <is>
          <t>Sahne Sever</t>
        </is>
      </c>
      <c r="B37" s="6" t="inlineStr">
        <is>
          <t>Bayramda şiir okuyacak çocuk hep sendin. Kimse sormamıştı.</t>
        </is>
      </c>
      <c r="C37" s="5" t="inlineStr">
        <is>
          <t>Pişkinlik +2</t>
        </is>
      </c>
      <c r="D37" s="5" t="inlineStr"/>
    </row>
    <row r="38">
      <c r="A38" s="5" t="inlineStr">
        <is>
          <t>Para Üstü Radarı</t>
        </is>
      </c>
      <c r="B38" s="6" t="inlineStr">
        <is>
          <t>Küçük rakam farklarını yakalarsın.</t>
        </is>
      </c>
      <c r="C38" s="5" t="inlineStr">
        <is>
          <t>Kurnazlık +2</t>
        </is>
      </c>
      <c r="D38" s="5" t="inlineStr"/>
    </row>
    <row r="39">
      <c r="A39" s="5" t="inlineStr">
        <is>
          <t>Kendine Gülebilir</t>
        </is>
      </c>
      <c r="B39" s="6" t="inlineStr">
        <is>
          <t>Sosyal baskıyı mizahla azaltırsın.</t>
        </is>
      </c>
      <c r="C39" s="5" t="inlineStr">
        <is>
          <t>Pişkinlik +1, Dayanıklılık +1</t>
        </is>
      </c>
      <c r="D39" s="5" t="inlineStr"/>
    </row>
    <row r="40">
      <c r="A40" s="5" t="inlineStr">
        <is>
          <t>Kuralı Koyan</t>
        </is>
      </c>
      <c r="B40" s="6" t="inlineStr">
        <is>
          <t>Oyuna katılmazsın; oyunun kurallarını sen koyarsın.</t>
        </is>
      </c>
      <c r="C40" s="5" t="inlineStr">
        <is>
          <t>Çene +1, Sosyal Radar +1</t>
        </is>
      </c>
      <c r="D40" s="5" t="inlineStr"/>
    </row>
    <row r="41">
      <c r="A41" s="5" t="inlineStr">
        <is>
          <t>Sofra Müteahhidi</t>
        </is>
      </c>
      <c r="B41" s="6" t="inlineStr">
        <is>
          <t>Sofrayı kurarsın, ücretini bulaşıkta konuşursun.</t>
        </is>
      </c>
      <c r="C41" s="5" t="inlineStr">
        <is>
          <t>Kurnazlık +1, Akıl +1</t>
        </is>
      </c>
      <c r="D41" s="5" t="inlineStr"/>
    </row>
    <row r="42">
      <c r="A42" s="5" t="inlineStr">
        <is>
          <t>Teneffüs Başkanı</t>
        </is>
      </c>
      <c r="B42" s="6" t="inlineStr">
        <is>
          <t>Kalabalığı arkana alırsın; kantin sırasında bile.</t>
        </is>
      </c>
      <c r="C42" s="5" t="inlineStr">
        <is>
          <t>Çene +1, Cesaret +1</t>
        </is>
      </c>
      <c r="D42" s="5" t="inlineStr"/>
    </row>
    <row r="43">
      <c r="A43" s="5" t="inlineStr">
        <is>
          <t>Asist Ustası</t>
        </is>
      </c>
      <c r="B43" s="6" t="inlineStr">
        <is>
          <t>Başkasının parlamasını sağlamak da bir yetenek.</t>
        </is>
      </c>
      <c r="C43" s="5" t="inlineStr">
        <is>
          <t>Sosyal Radar +2</t>
        </is>
      </c>
      <c r="D43" s="5" t="inlineStr"/>
    </row>
    <row r="44">
      <c r="A44" s="5" t="inlineStr">
        <is>
          <t>Çekirdek Baronu</t>
        </is>
      </c>
      <c r="B44" s="6" t="inlineStr">
        <is>
          <t>Küçük sermayeyle, külah külah büyük işler.</t>
        </is>
      </c>
      <c r="C44" s="5" t="inlineStr">
        <is>
          <t>Kurnazlık +2</t>
        </is>
      </c>
      <c r="D44" s="5" t="inlineStr"/>
    </row>
    <row r="45">
      <c r="A45" s="5" t="inlineStr">
        <is>
          <t>Kilit Kırıcı</t>
        </is>
      </c>
      <c r="B45" s="6" t="inlineStr">
        <is>
          <t>Her sistemin bir açığı vardır.</t>
        </is>
      </c>
      <c r="C45" s="5" t="inlineStr">
        <is>
          <t>Akıl +2</t>
        </is>
      </c>
      <c r="D45" s="5" t="inlineStr"/>
    </row>
    <row r="46">
      <c r="A46" s="5" t="inlineStr">
        <is>
          <t>Ukala Ama Haklı</t>
        </is>
      </c>
      <c r="B46" s="6" t="inlineStr">
        <is>
          <t>Sorunu parçalarına ayırırsın; parçaları da herkese tek tek anlatırsın.</t>
        </is>
      </c>
      <c r="C46" s="5" t="inlineStr">
        <is>
          <t>Akıl +2</t>
        </is>
      </c>
      <c r="D46" s="5" t="inlineStr">
        <is>
          <t>Akıl</t>
        </is>
      </c>
    </row>
    <row r="47">
      <c r="A47" s="5" t="inlineStr">
        <is>
          <t>Sözünü Geçirir</t>
        </is>
      </c>
      <c r="B47" s="6" t="inlineStr">
        <is>
          <t>Söylediğin şey genelde olur.</t>
        </is>
      </c>
      <c r="C47" s="5" t="inlineStr">
        <is>
          <t>Çene +2</t>
        </is>
      </c>
      <c r="D47" s="5" t="inlineStr">
        <is>
          <t>Çene</t>
        </is>
      </c>
    </row>
    <row r="48">
      <c r="A48" s="5" t="inlineStr">
        <is>
          <t>Açık Bulur</t>
        </is>
      </c>
      <c r="B48" s="6" t="inlineStr">
        <is>
          <t>Kurallardaki boşlukları fark edersin.</t>
        </is>
      </c>
      <c r="C48" s="5" t="inlineStr">
        <is>
          <t>Kurnazlık +2</t>
        </is>
      </c>
      <c r="D48" s="5" t="inlineStr">
        <is>
          <t>Kurnazlık</t>
        </is>
      </c>
    </row>
    <row r="49">
      <c r="A49" s="5" t="inlineStr">
        <is>
          <t>Geri Adım Atmaz</t>
        </is>
      </c>
      <c r="B49" s="6" t="inlineStr">
        <is>
          <t>Korkuyu hissedersin ama yine de yaparsın.</t>
        </is>
      </c>
      <c r="C49" s="5" t="inlineStr">
        <is>
          <t>Cesaret +2</t>
        </is>
      </c>
      <c r="D49" s="5" t="inlineStr">
        <is>
          <t>Cesaret</t>
        </is>
      </c>
    </row>
    <row r="50">
      <c r="A50" s="5" t="inlineStr">
        <is>
          <t>Yüzü Kızarmaz</t>
        </is>
      </c>
      <c r="B50" s="6" t="inlineStr">
        <is>
          <t>Utanma duygusu seni yavaşlatmaz.</t>
        </is>
      </c>
      <c r="C50" s="5" t="inlineStr">
        <is>
          <t>Pişkinlik +2</t>
        </is>
      </c>
      <c r="D50" s="5" t="inlineStr">
        <is>
          <t>Pişkinlik</t>
        </is>
      </c>
    </row>
    <row r="51">
      <c r="A51" s="5" t="inlineStr">
        <is>
          <t>Sözü Senet</t>
        </is>
      </c>
      <c r="B51" s="6" t="inlineStr">
        <is>
          <t>Mahallede sözün senet yerine geçer; kefil aranınca adın ilk sırada.</t>
        </is>
      </c>
      <c r="C51" s="5" t="inlineStr">
        <is>
          <t>İtibar +2</t>
        </is>
      </c>
      <c r="D51" s="5" t="inlineStr">
        <is>
          <t>İtibar</t>
        </is>
      </c>
    </row>
    <row r="52">
      <c r="A52" s="5" t="inlineStr">
        <is>
          <t>Kolay Dağılmaz</t>
        </is>
      </c>
      <c r="B52" s="6" t="inlineStr">
        <is>
          <t>Baskı altında toparlanırsın.</t>
        </is>
      </c>
      <c r="C52" s="5" t="inlineStr">
        <is>
          <t>Dayanıklılık +2</t>
        </is>
      </c>
      <c r="D52" s="5" t="inlineStr">
        <is>
          <t>Dayanıklılık</t>
        </is>
      </c>
    </row>
    <row r="53">
      <c r="A53" s="5" t="inlineStr">
        <is>
          <t>Odayı Okur</t>
        </is>
      </c>
      <c r="B53" s="6" t="inlineStr">
        <is>
          <t>Kimin ne hissettiğini herkesten önce anlarsın.</t>
        </is>
      </c>
      <c r="C53" s="5" t="inlineStr">
        <is>
          <t>Sosyal Radar +2</t>
        </is>
      </c>
      <c r="D53" s="5" t="inlineStr">
        <is>
          <t>Sosyal Radar</t>
        </is>
      </c>
    </row>
    <row r="54">
      <c r="A54" s="5" t="inlineStr">
        <is>
          <t>Kitap Kurdu</t>
        </is>
      </c>
      <c r="B54" s="6" t="inlineStr">
        <is>
          <t>Köşedekilerden kaçıp kütüphaneye sığındı; sınav salonları ona yabancı değil.</t>
        </is>
      </c>
      <c r="C54" s="5" t="inlineStr">
        <is>
          <t>Akıl +2</t>
        </is>
      </c>
      <c r="D54" s="5" t="inlineStr"/>
    </row>
    <row r="55">
      <c r="A55" s="5" t="inlineStr">
        <is>
          <t>Tezgâh Ağzı</t>
        </is>
      </c>
      <c r="B55" s="6" t="inlineStr">
        <is>
          <t>Müşteri daha ağzını açmadan ne alacağını, ne kadar pazarlık edeceğini ve kimin selamıyla geldiğini bilirsin.</t>
        </is>
      </c>
      <c r="C55" s="5" t="inlineStr">
        <is>
          <t>Çene +2</t>
        </is>
      </c>
      <c r="D55" s="5" t="inlineStr"/>
    </row>
    <row r="56">
      <c r="A56" s="5" t="inlineStr">
        <is>
          <t>İki Dilli Rüya</t>
        </is>
      </c>
      <c r="B56" s="6" t="inlineStr">
        <is>
          <t>İki dilde düşünür, iki dilde küfreder, iki dilde de yanlış anlaşılırsın.</t>
        </is>
      </c>
      <c r="C56" s="5" t="inlineStr">
        <is>
          <t>Sosyal Radar +1, Akıl +1</t>
        </is>
      </c>
      <c r="D56" s="5" t="inlineStr"/>
    </row>
    <row r="57">
      <c r="A57" s="5" t="inlineStr">
        <is>
          <t>Kalbi Geniş</t>
        </is>
      </c>
      <c r="B57" s="6" t="inlineStr">
        <is>
          <t>Sevdiğini söylemekten çekinmezsin; sofrada herkes senin yanına oturmak ister.</t>
        </is>
      </c>
      <c r="C57" s="5" t="inlineStr">
        <is>
          <t>Gönül +2</t>
        </is>
      </c>
      <c r="D57" s="5" t="inlineStr">
        <is>
          <t>Gönül</t>
        </is>
      </c>
    </row>
  </sheetData>
  <autoFilter ref="A1:D57"/>
  <dataValidations count="1">
    <dataValidation sqref="D2:D456" showDropDown="0" showInputMessage="0" showErrorMessage="1" allowBlank="1" errorTitle="Geçersiz değer" error="Listeden bir değer seçin." type="list">
      <formula1>"Akıl,Çene,Kurnazlık,Cesaret,Pişkinlik,İtibar,Gönül,Dayanıklılık,Sosyal Radar"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60" customWidth="1" min="2" max="2"/>
    <col width="70" customWidth="1" min="3" max="3"/>
    <col width="60" customWidth="1" min="4" max="4"/>
  </cols>
  <sheetData>
    <row r="1" ht="32" customHeight="1">
      <c r="A1" s="4" t="inlineStr">
        <is>
          <t>Hafıza</t>
        </is>
      </c>
      <c r="B1" s="4" t="inlineStr">
        <is>
          <t>Final kartı etiketi</t>
        </is>
      </c>
      <c r="C1" s="4" t="inlineStr">
        <is>
          <t>Sonraki bölümde</t>
        </is>
      </c>
      <c r="D1" s="4" t="inlineStr">
        <is>
          <t>Bölüm sonu cümlesi</t>
        </is>
      </c>
    </row>
    <row r="2">
      <c r="A2" s="5" t="inlineStr">
        <is>
          <t>kediSuclu</t>
        </is>
      </c>
      <c r="B2" s="6" t="inlineStr">
        <is>
          <t>Vazo davasında kediyi suçladı.</t>
        </is>
      </c>
      <c r="C2" s="6" t="inlineStr"/>
      <c r="D2" s="6" t="inlineStr">
        <is>
          <t>“İki yaşında kediyi mahkûm ettirdi.”</t>
        </is>
      </c>
    </row>
    <row r="3">
      <c r="A3" s="5" t="inlineStr">
        <is>
          <t>ilkKelimePara</t>
        </is>
      </c>
      <c r="B3" s="6" t="inlineStr">
        <is>
          <t>İlk kelimesi 'Para' oldu.</t>
        </is>
      </c>
      <c r="C3" s="6" t="inlineStr"/>
      <c r="D3" s="6" t="inlineStr">
        <is>
          <t>“İlk kelimesi ‘para’ oldu; deden cüzdanını o gün çıkardı.”</t>
        </is>
      </c>
    </row>
    <row r="4">
      <c r="A4" s="5" t="inlineStr">
        <is>
          <t>yalanci</t>
        </is>
      </c>
      <c r="B4" s="6" t="inlineStr">
        <is>
          <t>Küçükken “Kim yaptı?” sorusuna yalan söyledi.</t>
        </is>
      </c>
      <c r="C4" s="6" t="inlineStr"/>
      <c r="D4" s="6" t="inlineStr">
        <is>
          <t>“Ne kırılsa, ne eksilse ‘Ben değilim’ derdi; dudağının kenarında çikolata olsa bile.”</t>
        </is>
      </c>
    </row>
    <row r="5">
      <c r="A5" s="5" t="inlineStr">
        <is>
          <t>sirVerdi</t>
        </is>
      </c>
      <c r="B5" s="6" t="inlineStr">
        <is>
          <t>Kreşte bir arkadaşının sırrını yaydı.</t>
        </is>
      </c>
      <c r="C5" s="6" t="inlineStr"/>
      <c r="D5" s="6" t="inlineStr">
        <is>
          <t>“Arkadaşının dedesinin dişleri bardakta uyuyormuş; akşama bütün kreş biliyordu.”</t>
        </is>
      </c>
    </row>
    <row r="6">
      <c r="A6" s="5" t="inlineStr">
        <is>
          <t>cesurPark</t>
        </is>
      </c>
      <c r="B6" s="6" t="inlineStr">
        <is>
          <t>Parktaki büyük çocuğa kafa tuttu.</t>
        </is>
      </c>
      <c r="C6" s="6" t="inlineStr"/>
      <c r="D6" s="6" t="inlineStr">
        <is>
          <t>“Üç buçuk yaşında parktaki koca çocuğa ‘Burası herkesin!’ dedi; titreyerek ama dedi.”</t>
        </is>
      </c>
    </row>
    <row r="7">
      <c r="A7" s="5" t="inlineStr">
        <is>
          <t>yapiskan</t>
        </is>
      </c>
      <c r="B7" s="6" t="inlineStr">
        <is>
          <t>Kreş kapısında bacağa sarıldı.</t>
        </is>
      </c>
      <c r="C7" s="6" t="inlineStr"/>
      <c r="D7" s="6" t="inlineStr">
        <is>
          <t>“Kreş kapısında bacak bırakmadı; bizde de öyleydi.”</t>
        </is>
      </c>
    </row>
    <row r="8">
      <c r="A8" s="5" t="inlineStr">
        <is>
          <t>baskan</t>
        </is>
      </c>
      <c r="B8" s="6" t="inlineStr">
        <is>
          <t>Sınıf başkanı seçildi.</t>
        </is>
      </c>
      <c r="C8" s="6" t="inlineStr"/>
      <c r="D8" s="6" t="inlineStr">
        <is>
          <t>“Sınıf başkanı oldu; evde de seçim yaptırdı.”</t>
        </is>
      </c>
    </row>
    <row r="9">
      <c r="A9" s="5" t="inlineStr">
        <is>
          <t>kediGeldi</t>
        </is>
      </c>
      <c r="B9" s="6" t="inlineStr">
        <is>
          <t>Eve bir de yavru kedi getirtti.</t>
        </is>
      </c>
      <c r="C9" s="6" t="inlineStr"/>
      <c r="D9" s="6" t="inlineStr">
        <is>
          <t>“Bir kedi yetmedi, yavrusunu da getirtti; ikisine de ben bakıyorum.”</t>
        </is>
      </c>
    </row>
    <row r="10">
      <c r="A10" s="5" t="inlineStr">
        <is>
          <t>camKirildi</t>
        </is>
      </c>
      <c r="B10" s="6" t="inlineStr">
        <is>
          <t>Komşunun camıyla tanıştı.</t>
        </is>
      </c>
      <c r="C10" s="6" t="inlineStr"/>
      <c r="D10" s="6" t="inlineStr">
        <is>
          <t>“Komşunun camını kırdı; cam değişti, komşu değişmedi.”</t>
        </is>
      </c>
    </row>
    <row r="11">
      <c r="A11" s="5" t="inlineStr">
        <is>
          <t>tepsiTekeli</t>
        </is>
      </c>
      <c r="B11" s="6" t="inlineStr">
        <is>
          <t>Bir kış boyunca mahallenin bütün kayak tepsileri onun balkonunda toplandı.</t>
        </is>
      </c>
      <c r="C11" s="6" t="inlineStr"/>
      <c r="D11" s="6" t="inlineStr">
        <is>
          <t>“Bir kış mahallenin bütün tepsileri onun balkonundaydı; annesi çayı tabakla taşıdı.”</t>
        </is>
      </c>
    </row>
    <row r="12">
      <c r="A12" s="5" t="inlineStr">
        <is>
          <t>alcili-kol</t>
        </is>
      </c>
      <c r="B12" s="6" t="inlineStr">
        <is>
          <t>Çocukluğunda bir kolu alçıda geçti.</t>
        </is>
      </c>
      <c r="C12" s="6" t="inlineStr"/>
      <c r="D12" s="6" t="inlineStr">
        <is>
          <t>“Kolu alçıya girdi; alçıyı bütün mahalle imzaladı, ben de.”</t>
        </is>
      </c>
    </row>
    <row r="13">
      <c r="A13" s="5" t="inlineStr">
        <is>
          <t>vasiyet-yazildi</t>
        </is>
      </c>
      <c r="B13" s="6" t="inlineStr">
        <is>
          <t>Vasiyetini noterde, iki şahit önünde imzaladı.</t>
        </is>
      </c>
      <c r="C13" s="6" t="inlineStr"/>
      <c r="D13" s="6" t="inlineStr">
        <is>
          <t>“Vasiyeti noterde, üç nüsha; kimin neyi alacağı belli, kimin kime küseceği değil.”</t>
        </is>
      </c>
    </row>
    <row r="14">
      <c r="A14" s="5" t="inlineStr">
        <is>
          <t>manzarali-parsel</t>
        </is>
      </c>
      <c r="B14" s="6" t="inlineStr">
        <is>
          <t>Mezarlıkta manzaralı parseli erkenden kapattı.</t>
        </is>
      </c>
      <c r="C14" s="6" t="inlineStr"/>
      <c r="D14" s="6" t="inlineStr">
        <is>
          <t>“Yerini manzaralı taraftan seçti; ziyarete gelen önce manzaraya bakıyor, sonra ona.”</t>
        </is>
      </c>
    </row>
    <row r="15">
      <c r="A15" s="5" t="inlineStr">
        <is>
          <t>ani-defteri</t>
        </is>
      </c>
      <c r="B15" s="6" t="inlineStr">
        <is>
          <t>Anı defterini bitirdi. Bazı bölümler hâlâ tartışmalı.</t>
        </is>
      </c>
      <c r="C15" s="6" t="inlineStr"/>
      <c r="D15" s="6" t="inlineStr">
        <is>
          <t>“Anılarını yazdı; yarısı doğru, yarısı daha güzel.”</t>
        </is>
      </c>
    </row>
    <row r="16">
      <c r="A16" s="5" t="inlineStr">
        <is>
          <t>huzurevi-sakini</t>
        </is>
      </c>
      <c r="B16" s="6" t="inlineStr">
        <is>
          <t>Huzurevine yerleşti; günleri okey masasıyla çay saati arasında geçiyor.</t>
        </is>
      </c>
      <c r="C16" s="6" t="inlineStr"/>
      <c r="D16" s="6" t="inlineStr">
        <is>
          <t>“Huzurevine kendi ayağıyla gitti; üç günde herkesin hikâyesini öğrendi.”</t>
        </is>
      </c>
    </row>
    <row r="17">
      <c r="A17" s="5" t="inlineStr">
        <is>
          <t>kitaplasti</t>
        </is>
      </c>
      <c r="B17" s="6" t="inlineStr">
        <is>
          <t>Hayat hikâyesi bir torun ve bir yapay zekâ tarafından kitaplaştırıldı.</t>
        </is>
      </c>
      <c r="C17" s="6" t="inlineStr"/>
      <c r="D17" s="6" t="inlineStr">
        <is>
          <t>“Hayatı kitap oldu; bayramda bütün akrabaya birer tane dağıttık.”</t>
        </is>
      </c>
    </row>
    <row r="18">
      <c r="A18" s="5" t="inlineStr">
        <is>
          <t>iyi-lise</t>
        </is>
      </c>
      <c r="B18" s="6" t="inlineStr">
        <is>
          <t>Lise sınavından iyi bir liseye yerleşti.</t>
        </is>
      </c>
      <c r="C18" s="6" t="inlineStr">
        <is>
          <t>İyi bir lisede dört yıl: yüksek beklentiler, erken başlayan dershane ve Büyük Sınav'da bir adım önde başlamak.</t>
        </is>
      </c>
      <c r="D18" s="6" t="inlineStr">
        <is>
          <t>“Sınavı kazandı; mahallede üç gün baklava dağıttık.”</t>
        </is>
      </c>
    </row>
    <row r="19">
      <c r="A19" s="5" t="inlineStr">
        <is>
          <t>lakapli</t>
        </is>
      </c>
      <c r="B19" s="6" t="inlineStr">
        <is>
          <t>Ortaokulda takılan lakap, lise mezuniyetine kadar görevde kaldı.</t>
        </is>
      </c>
      <c r="C19" s="6" t="inlineStr"/>
      <c r="D19" s="6" t="inlineStr">
        <is>
          <t>“Ortaokulda taktıkları ad liseye kadar gitti.”</t>
        </is>
      </c>
    </row>
    <row r="20">
      <c r="A20" s="5" t="inlineStr">
        <is>
          <t>sokak-yasagi</t>
        </is>
      </c>
      <c r="B20" s="6" t="inlineStr">
        <is>
          <t>Mahallede bir sokaktan bir daha hiç geçemedi; okul yolu ömür boyu dört dakika uzun kaldı.</t>
        </is>
      </c>
      <c r="C20" s="6" t="inlineStr"/>
      <c r="D20" s="6" t="inlineStr">
        <is>
          <t>“O sokaktan bir daha geçmedi; okul yolu dört dakika uzadı, hâlâ da nedenini anlatmaz.”</t>
        </is>
      </c>
    </row>
    <row r="21">
      <c r="A21" s="5" t="inlineStr">
        <is>
          <t>ilk-mesaj</t>
        </is>
      </c>
      <c r="B21" s="6" t="inlineStr">
        <is>
          <t>İlk hoşlantısına ilk mesajı gönderdi. 'Selam.'</t>
        </is>
      </c>
      <c r="C21" s="6" t="inlineStr"/>
      <c r="D21" s="6" t="inlineStr"/>
    </row>
    <row r="22">
      <c r="A22" s="5" t="inlineStr">
        <is>
          <t>oyun-faturasi</t>
        </is>
      </c>
      <c r="B22" s="6" t="inlineStr">
        <is>
          <t>Oyun içi alışverişle ailenin kart ekstresini tarihe geçirdi.</t>
        </is>
      </c>
      <c r="C22" s="6" t="inlineStr"/>
      <c r="D22" s="6" t="inlineStr">
        <is>
          <t>“Annesinin parmağıyla ejderha aldı; o ay sofrada et görmedik.”</t>
        </is>
      </c>
    </row>
    <row r="23">
      <c r="A23" s="5" t="inlineStr">
        <is>
          <t>dershaneli</t>
        </is>
      </c>
      <c r="B23" s="6" t="inlineStr">
        <is>
          <t>Ergenliğinin cumartesilerini dershanede geçirdi.</t>
        </is>
      </c>
      <c r="C23" s="6" t="inlineStr"/>
      <c r="D23" s="6" t="inlineStr">
        <is>
          <t>“Her cumartesi dershaneye gitti; çantasına böreği ben koydum.”</t>
        </is>
      </c>
    </row>
    <row r="24">
      <c r="A24" s="5" t="inlineStr">
        <is>
          <t>yz-odevci</t>
        </is>
      </c>
      <c r="B24" s="6" t="inlineStr">
        <is>
          <t>Ödevlerini yapay zekâya yaptırmayı denedi; öğretmen 'ayrıca'ları saydı.</t>
        </is>
      </c>
      <c r="C24" s="6" t="inlineStr"/>
      <c r="D24" s="6" t="inlineStr"/>
    </row>
    <row r="25">
      <c r="A25" s="5" t="inlineStr">
        <is>
          <t>kendi-odasi</t>
        </is>
      </c>
      <c r="B25" s="6" t="inlineStr">
        <is>
          <t>On üç yaşında kendi odasını resmî başvuruyla aldı.</t>
        </is>
      </c>
      <c r="C25" s="6" t="inlineStr"/>
      <c r="D25" s="6" t="inlineStr"/>
    </row>
    <row r="26">
      <c r="A26" s="5" t="inlineStr">
        <is>
          <t>fuar-birincisi</t>
        </is>
      </c>
      <c r="B26" s="6" t="inlineStr">
        <is>
          <t>Okul bilim fuarında yanardağ yapmadan birinci oldu.</t>
        </is>
      </c>
      <c r="C26" s="6" t="inlineStr"/>
      <c r="D26" s="6" t="inlineStr">
        <is>
          <t>“Yanardağ yapmadan birinci oldu; jüri hâlâ nasıl olduğunu soruyor.”</t>
        </is>
      </c>
    </row>
    <row r="27">
      <c r="A27" s="5" t="inlineStr">
        <is>
          <t>takim-oyuncusu</t>
        </is>
      </c>
      <c r="B27" s="6" t="inlineStr">
        <is>
          <t>Okul takımının seçmelerini geçti; forma büyük geldi.</t>
        </is>
      </c>
      <c r="C27" s="6" t="inlineStr"/>
      <c r="D27" s="6" t="inlineStr">
        <is>
          <t>“Forma ona büyük geldi; sonra forma küçüldü, o büyüdü.”</t>
        </is>
      </c>
    </row>
    <row r="28">
      <c r="A28" s="5" t="inlineStr">
        <is>
          <t>yanlis-grup</t>
        </is>
      </c>
      <c r="B28" s="6" t="inlineStr">
        <is>
          <t>Aile grubuna yanlış mesaj gönderdi; evin yemek listesi o günden beri tartışmalı.</t>
        </is>
      </c>
      <c r="C28" s="6" t="inlineStr"/>
      <c r="D28" s="6" t="inlineStr">
        <is>
          <t>“Annesinin yemeğini yanlışlıkla aile grubuna şikâyet etti; o yemek bir daha pişmedi.”</t>
        </is>
      </c>
    </row>
    <row r="29">
      <c r="A29" s="5" t="inlineStr">
        <is>
          <t>universiteli</t>
        </is>
      </c>
      <c r="B29" s="6" t="inlineStr">
        <is>
          <t>Büyük Makarya Sınavı'nı geçip üniversiteye girdi.</t>
        </is>
      </c>
      <c r="C29" s="6" t="inlineStr"/>
      <c r="D29" s="6" t="inlineStr">
        <is>
          <t>“Sınavı kazandı; aile grubunda üç gün tebrik bitmedi, ben herkese ayrı ayrı teşekkür ettim.”</t>
        </is>
      </c>
    </row>
    <row r="30">
      <c r="A30" s="5" t="inlineStr">
        <is>
          <t>ilk-sevgili</t>
        </is>
      </c>
      <c r="B30" s="6" t="inlineStr">
        <is>
          <t>Lisede bir parkta, bir bankta, bir karış mesafeyi kapattı.</t>
        </is>
      </c>
      <c r="C30" s="6" t="inlineStr">
        <is>
          <t>Bir sevgilin var. Yetişkinliğe ilk kez iki kişi giriyorsun.</t>
        </is>
      </c>
      <c r="D30" s="6" t="inlineStr">
        <is>
          <t>“Parkta bir bankta el ele tutuşmuşlar; karşı apartmandaki komşu bana herkesten önce haber verdi.”</t>
        </is>
      </c>
    </row>
    <row r="31">
      <c r="A31" s="5" t="inlineStr">
        <is>
          <t>ilk-ayrilik</t>
        </is>
      </c>
      <c r="B31" s="6" t="inlineStr">
        <is>
          <t>İlk ayrılığını bir mesajlaşma uygulamasında, üç noktanın gölgesinde yaşadı.</t>
        </is>
      </c>
      <c r="C31" s="6" t="inlineStr"/>
      <c r="D31" s="6" t="inlineStr">
        <is>
          <t>“İlk ayrılığında odasına kapandı, üç gün aynı şarkıyı dinledi; ben kapının önüne çay bıraktım.”</t>
        </is>
      </c>
    </row>
    <row r="32">
      <c r="A32" s="5" t="inlineStr">
        <is>
          <t>ai-kopyaci</t>
        </is>
      </c>
      <c r="B32" s="6" t="inlineStr">
        <is>
          <t>Tarih ödevini bir yapay zekâya emanet etti.</t>
        </is>
      </c>
      <c r="C32" s="6" t="inlineStr"/>
      <c r="D32" s="6" t="inlineStr"/>
    </row>
    <row r="33">
      <c r="A33" s="5" t="inlineStr">
        <is>
          <t>okul-temsilcisi</t>
        </is>
      </c>
      <c r="B33" s="6" t="inlineStr">
        <is>
          <t>Okul temsilcisi seçildi; ikinci tost makinesi vaadiyle.</t>
        </is>
      </c>
      <c r="C33" s="6" t="inlineStr"/>
      <c r="D33" s="6" t="inlineStr"/>
    </row>
    <row r="34">
      <c r="A34" s="5" t="inlineStr">
        <is>
          <t>doktor-sozu</t>
        </is>
      </c>
      <c r="B34" s="6" t="inlineStr">
        <is>
          <t>Bir akşam yemeğinde aileye doktor olacağına söz verdi.</t>
        </is>
      </c>
      <c r="C34" s="6" t="inlineStr"/>
      <c r="D34" s="6" t="inlineStr">
        <is>
          <t>“Bir akşam yemeğinde doktor olacağına söz verdi; babaannesi ertesi sabah bütün mahalleye duyurdu.”</t>
        </is>
      </c>
    </row>
    <row r="35">
      <c r="A35" s="5" t="inlineStr">
        <is>
          <t>yurt-disi-hayali</t>
        </is>
      </c>
      <c r="B35" s="6" t="inlineStr">
        <is>
          <t>Öte Diyar'daki bir okuldan cevap alacak kadar ileri gitti.</t>
        </is>
      </c>
      <c r="C35" s="6" t="inlineStr"/>
      <c r="D35" s="6" t="inlineStr"/>
    </row>
    <row r="36">
      <c r="A36" s="5" t="inlineStr">
        <is>
          <t>ehliyetli</t>
        </is>
      </c>
      <c r="B36" s="6" t="inlineStr">
        <is>
          <t>Ehliyetini aldı; arabanın anahtarını almak ayrı bir hikâyeydi.</t>
        </is>
      </c>
      <c r="C36" s="6" t="inlineStr"/>
      <c r="D36" s="6" t="inlineStr"/>
    </row>
    <row r="37">
      <c r="A37" s="5" t="inlineStr">
        <is>
          <t>yurtdisi-gordu</t>
        </is>
      </c>
      <c r="B37" s="6" t="inlineStr">
        <is>
          <t>Bir dönem Öte Diyar'da düzgün peynir aradı.</t>
        </is>
      </c>
      <c r="C37" s="6" t="inlineStr"/>
      <c r="D37" s="6" t="inlineStr"/>
    </row>
    <row r="38">
      <c r="A38" s="5" t="inlineStr">
        <is>
          <t>usta-eli</t>
        </is>
      </c>
      <c r="B38" s="6" t="inlineStr">
        <is>
          <t>Bir ustanın elinden meslek kaptı.</t>
        </is>
      </c>
      <c r="C38" s="6" t="inlineStr"/>
      <c r="D38" s="6" t="inlineStr"/>
    </row>
    <row r="39">
      <c r="A39" s="5" t="inlineStr">
        <is>
          <t>depozito-yandi</t>
        </is>
      </c>
      <c r="B39" s="6" t="inlineStr">
        <is>
          <t>Bir kiralık evden depozitosunu hiç geri alamadı.</t>
        </is>
      </c>
      <c r="C39" s="6" t="inlineStr"/>
      <c r="D39" s="6" t="inlineStr"/>
    </row>
    <row r="40">
      <c r="A40" s="5" t="inlineStr">
        <is>
          <t>universitesiz</t>
        </is>
      </c>
      <c r="B40" s="6" t="inlineStr">
        <is>
          <t>Üniversite yerine doğrudan hayata atıldı.</t>
        </is>
      </c>
      <c r="C40" s="6" t="inlineStr"/>
      <c r="D40" s="6" t="inlineStr"/>
    </row>
    <row r="41">
      <c r="A41" s="5" t="inlineStr">
        <is>
          <t>taki-defteri</t>
        </is>
      </c>
      <c r="B41" s="6" t="inlineStr">
        <is>
          <t>Düğün takılarını kuruşu kuruşuna deftere geçirdi; defter hâlâ güncelleniyor.</t>
        </is>
      </c>
      <c r="C41" s="6" t="inlineStr"/>
      <c r="D41" s="6" t="inlineStr"/>
    </row>
    <row r="42">
      <c r="A42" s="5" t="inlineStr">
        <is>
          <t>arabali</t>
        </is>
      </c>
      <c r="B42" s="6" t="inlineStr">
        <is>
          <t>Araba sahibi oldu; muayene tarihini doğum gününden iyi bilir.</t>
        </is>
      </c>
      <c r="C42" s="6" t="inlineStr"/>
      <c r="D42" s="6" t="inlineStr"/>
    </row>
    <row r="43">
      <c r="A43" s="5" t="inlineStr">
        <is>
          <t>site-yoneticisi</t>
        </is>
      </c>
      <c r="B43" s="6" t="inlineStr">
        <is>
          <t>Site toplantısında itiraz ederken yönetici seçildi.</t>
        </is>
      </c>
      <c r="C43" s="6" t="inlineStr"/>
      <c r="D43" s="6" t="inlineStr">
        <is>
          <t>“Apartmana yönetici oldu; gece üçte kapısı çalınıyor, o yine de seviniyor.”</t>
        </is>
      </c>
    </row>
    <row r="44">
      <c r="A44" s="5" t="inlineStr">
        <is>
          <t>yalniz-gezgin</t>
        </is>
      </c>
      <c r="B44" s="6" t="inlineStr">
        <is>
          <t>Tek kişilik tatile çıktı ve garsona 'bir kişi' demeyi öğrendi.</t>
        </is>
      </c>
      <c r="C44" s="6" t="inlineStr"/>
      <c r="D44" s="6" t="inlineStr"/>
    </row>
    <row r="45">
      <c r="A45" s="5" t="inlineStr">
        <is>
          <t>flort-emeklisi</t>
        </is>
      </c>
      <c r="B45" s="6" t="inlineStr">
        <is>
          <t>Flört uygulamasını son kez sildi. Gerçekten son kez.</t>
        </is>
      </c>
      <c r="C45" s="6" t="inlineStr"/>
      <c r="D45" s="6" t="inlineStr"/>
    </row>
    <row r="46">
      <c r="A46" s="5" t="inlineStr">
        <is>
          <t>gozluklu</t>
        </is>
      </c>
      <c r="B46" s="6" t="inlineStr">
        <is>
          <t>Okuma gözlüğünü yıllarca başının üstünde aradı.</t>
        </is>
      </c>
      <c r="C46" s="6" t="inlineStr"/>
      <c r="D46" s="6" t="inlineStr">
        <is>
          <t>“Okuma gözlüğü taktı; gazeteyi artık bize o okuyor, gözlüğü de hep başının üstünde.”</t>
        </is>
      </c>
    </row>
    <row r="47">
      <c r="A47" s="5" t="inlineStr">
        <is>
          <t>motosikletli</t>
        </is>
      </c>
      <c r="B47" s="6" t="inlineStr">
        <is>
          <t>Bir gün motosiklet aldı; mahalle onu sesinden tanıdı.</t>
        </is>
      </c>
      <c r="C47" s="6" t="inlineStr"/>
      <c r="D47" s="6" t="inlineStr">
        <is>
          <t>“Motosiklet aldı; sokağa girdiği an sesinden tanır, çayını koyardık.”</t>
        </is>
      </c>
    </row>
    <row r="48">
      <c r="A48" s="5" t="inlineStr">
        <is>
          <t>maratoncu</t>
        </is>
      </c>
      <c r="B48" s="6" t="inlineStr">
        <is>
          <t>Bir maratonu başından sonuna kadar koştu; çoğunu.</t>
        </is>
      </c>
      <c r="C48" s="6" t="inlineStr"/>
      <c r="D48" s="6" t="inlineStr">
        <is>
          <t>“Maratonu bitirdi; madalyasını vitrine, kristal şekerliğin yanına koyduk.”</t>
        </is>
      </c>
    </row>
    <row r="49">
      <c r="A49" s="5" t="inlineStr">
        <is>
          <t>kariyer-degisti</t>
        </is>
      </c>
      <c r="B49" s="6" t="inlineStr">
        <is>
          <t>Kırkından sonra mesleğini değiştirdi ve geri dönmedi.</t>
        </is>
      </c>
      <c r="C49" s="6" t="inlineStr"/>
      <c r="D49" s="6" t="inlineStr">
        <is>
          <t>“Kırkından sonra mesleğini değiştirdi, bir daha dönüp bakmadı.”</t>
        </is>
      </c>
    </row>
    <row r="50">
      <c r="A50" s="5" t="inlineStr">
        <is>
          <t>yazlikci</t>
        </is>
      </c>
      <c r="B50" s="6" t="inlineStr">
        <is>
          <t>Denize 'yürüme mesafesinde' bir yazlık sahibi oldu.</t>
        </is>
      </c>
      <c r="C50" s="6" t="inlineStr"/>
      <c r="D50" s="6" t="inlineStr">
        <is>
          <t>“İkramiyeyle yazlık aldı; denize yürüme mesafesinde, iki kilometre fazlasıyla.”</t>
        </is>
      </c>
    </row>
    <row r="51">
      <c r="A51" s="5" t="inlineStr">
        <is>
          <t>ikinci-bahar</t>
        </is>
      </c>
      <c r="B51" s="6" t="inlineStr">
        <is>
          <t>Boşandıktan sonra bir kafede ikinci bahara merhaba dedi.</t>
        </is>
      </c>
      <c r="C51" s="6" t="inlineStr"/>
      <c r="D51" s="6" t="inlineStr">
        <is>
          <t>“Elli ikisinde yeniden âşık oldu; telefonu çalınca odadan çıkıyor, biz de duymazdan geliyoruz.”</t>
        </is>
      </c>
    </row>
    <row r="52">
      <c r="A52" s="5" t="inlineStr">
        <is>
          <t>dijital-paraci</t>
        </is>
      </c>
      <c r="B52" s="6" t="inlineStr">
        <is>
          <t>Dijital paradan kazandığını her sofrada anlattı; kaybettiğini hiçbirinde.</t>
        </is>
      </c>
      <c r="C52" s="6" t="inlineStr"/>
      <c r="D52" s="6" t="inlineStr">
        <is>
          <t>“Kazandığını her sofrada anlattı, kaybettiğini hiçbirinde.”</t>
        </is>
      </c>
    </row>
    <row r="53">
      <c r="A53" s="5" t="inlineStr">
        <is>
          <t>torunlu</t>
        </is>
      </c>
      <c r="B53" s="6" t="inlineStr">
        <is>
          <t>Torun sahibi oldu; telefonun ana ekranı o günden beri bebek fotoğrafı.</t>
        </is>
      </c>
      <c r="C53" s="6" t="inlineStr"/>
      <c r="D53" s="6" t="inlineStr">
        <is>
          <t>“Torunu doğdu; o günden beri cebinden fotoğraf eksik olmuyor.”</t>
        </is>
      </c>
    </row>
    <row r="54">
      <c r="A54" s="5" t="inlineStr">
        <is>
          <t>emekli</t>
        </is>
      </c>
      <c r="B54" s="6" t="inlineStr">
        <is>
          <t>Resmî olarak emekli oldu. Gayriresmî olarak hâlâ herkesin işini yaptı.</t>
        </is>
      </c>
      <c r="C54" s="6" t="inlineStr">
        <is>
          <t>Emeklilik: tavla, sabah yürüyüşleri ve torun bakımı nöbetleri.</t>
        </is>
      </c>
      <c r="D54" s="6" t="inlineStr">
        <is>
          <t>“Emekli oldu ama sabah yedide yine ayakkabılarını giyiyor; nereye gittiğini kimse bilmiyor.”</t>
        </is>
      </c>
    </row>
    <row r="55">
      <c r="A55" s="5" t="inlineStr">
        <is>
          <t>tavla-sampiyonu</t>
        </is>
      </c>
      <c r="B55" s="6" t="inlineStr">
        <is>
          <t>Kahvehane tavla liginin tartışmalı şampiyonu.</t>
        </is>
      </c>
      <c r="C55" s="6" t="inlineStr"/>
      <c r="D55" s="6" t="inlineStr">
        <is>
          <t>“Kahvehanenin duvarında adı yazılı; tebeşirle ama bantlı.”</t>
        </is>
      </c>
    </row>
    <row r="56">
      <c r="A56" s="5" t="inlineStr">
        <is>
          <t>yuruyus-grubu</t>
        </is>
      </c>
      <c r="B56" s="6" t="inlineStr">
        <is>
          <t>Sabah yürüyüş grubunun daimi üyesi ve gayriresmî tempo sorumlusu.</t>
        </is>
      </c>
      <c r="C56" s="6" t="inlineStr"/>
      <c r="D56" s="6" t="inlineStr">
        <is>
          <t>“Sabah yürüyüşünün tempo sorumlusu; kimse görevlendirmedi, kimse itiraz etmedi.”</t>
        </is>
      </c>
    </row>
    <row r="57">
      <c r="A57" s="5" t="inlineStr">
        <is>
          <t>beyazyaka-terfi-aldi</t>
        </is>
      </c>
      <c r="B57" s="6" t="inlineStr">
        <is>
          <t>Unvanının başına 'kıdemli' kelimesini ekletti.</t>
        </is>
      </c>
      <c r="C57" s="6" t="inlineStr"/>
      <c r="D57" s="6" t="inlineStr"/>
    </row>
    <row r="58">
      <c r="A58" s="5" t="inlineStr">
        <is>
          <t>beyazyaka-sag-kaldi</t>
        </is>
      </c>
      <c r="B58" s="6" t="inlineStr">
        <is>
          <t>Bir yeniden yapılanma dalgasından masasıyla birlikte sağ çıktı.</t>
        </is>
      </c>
      <c r="C58" s="6" t="inlineStr"/>
      <c r="D58" s="6" t="inlineStr">
        <is>
          <t>“Şirkette yarısını çıkardılar, o kaldı; masasının fotoğrafını bize yolladı.”</t>
        </is>
      </c>
    </row>
    <row r="59">
      <c r="A59" s="5" t="inlineStr">
        <is>
          <t>beyazyaka-gm-tanidik</t>
        </is>
      </c>
      <c r="B59" s="6" t="inlineStr">
        <is>
          <t>Arızalı bir asansörde genel müdürle kırk dakika geçirdi ve adı hatırlandı.</t>
        </is>
      </c>
      <c r="C59" s="6" t="inlineStr"/>
      <c r="D59" s="6" t="inlineStr"/>
    </row>
    <row r="60">
      <c r="A60" s="5" t="inlineStr">
        <is>
          <t>serbest-viral-oldu</t>
        </is>
      </c>
      <c r="B60" s="6" t="inlineStr">
        <is>
          <t>Bir performansı kısa video uygulamasında iki milyon kez izlendi. Ödemesi görünürlük olarak yapıldı.</t>
        </is>
      </c>
      <c r="C60" s="6" t="inlineStr"/>
      <c r="D60" s="6" t="inlineStr"/>
    </row>
    <row r="61">
      <c r="A61" s="5" t="inlineStr">
        <is>
          <t>serbest-alacakli</t>
        </is>
      </c>
      <c r="B61" s="6" t="inlineStr">
        <is>
          <t>Bir faturası hâlâ 'onay bekliyor'.</t>
        </is>
      </c>
      <c r="C61" s="6" t="inlineStr"/>
      <c r="D61" s="6" t="inlineStr"/>
    </row>
    <row r="62">
      <c r="A62" s="5" t="inlineStr">
        <is>
          <t>serbest-fon-aldi</t>
        </is>
      </c>
      <c r="B62" s="6" t="inlineStr">
        <is>
          <t>Otuz sekiz sayfalık bir fon başvurusunu kabul ettirdi.</t>
        </is>
      </c>
      <c r="C62" s="6" t="inlineStr"/>
      <c r="D62" s="6" t="inlineStr">
        <is>
          <t>“O upuzun fon formunu doldurup parayı aldı; bize ilk kez kendi kazandığı parayla baklava getirdi.”</t>
        </is>
      </c>
    </row>
    <row r="63">
      <c r="A63" s="5" t="inlineStr">
        <is>
          <t>esnaf-veresiye-batagi</t>
        </is>
      </c>
      <c r="B63" s="6" t="inlineStr">
        <is>
          <t>Veresiye defteri bir tuğla kalınlığına ulaştı; tahsilat oranı gizli tutuldu.</t>
        </is>
      </c>
      <c r="C63" s="6" t="inlineStr"/>
      <c r="D63" s="6" t="inlineStr"/>
    </row>
    <row r="64">
      <c r="A64" s="5" t="inlineStr">
        <is>
          <t>esnaf-komsu-rakip</t>
        </is>
      </c>
      <c r="B64" s="6" t="inlineStr">
        <is>
          <t>Karşı dükkânla bitmeyen bir etiket savaşına girdi.</t>
        </is>
      </c>
      <c r="C64" s="6" t="inlineStr"/>
      <c r="D64" s="6" t="inlineStr"/>
    </row>
    <row r="65">
      <c r="A65" s="5" t="inlineStr">
        <is>
          <t>esnaf-cirak</t>
        </is>
      </c>
      <c r="B65" s="6" t="inlineStr">
        <is>
          <t>Bir çırak yetiştirdi; çırak da ona telefon ayarlarını öğretti.</t>
        </is>
      </c>
      <c r="C65" s="6" t="inlineStr"/>
      <c r="D65" s="6" t="inlineStr">
        <is>
          <t>“Bir çırak yetiştirdi; çocuk bayramda bizim de elimizi öpmeye geliyor.”</t>
        </is>
      </c>
    </row>
    <row r="66">
      <c r="A66" s="5" t="inlineStr">
        <is>
          <t>esnaf-dernek-baskani</t>
        </is>
      </c>
      <c r="B66" s="6" t="inlineStr">
        <is>
          <t>Çarşının esnaf derneğine başkan seçildi; ilk icraatı ortak çöp kutusu oldu.</t>
        </is>
      </c>
      <c r="C66" s="6" t="inlineStr"/>
      <c r="D66" s="6" t="inlineStr">
        <is>
          <t>“Çarşıya başkan oldu; ilk işi ortak çöp kutusuydu, yeri hâlâ tartışılıyor.”</t>
        </is>
      </c>
    </row>
    <row r="67">
      <c r="A67" s="5" t="inlineStr">
        <is>
          <t>memur-mudur-dusmani</t>
        </is>
      </c>
      <c r="B67" s="6" t="inlineStr">
        <is>
          <t>Bir müdürle arası hiç düzelmedi; kırmızı kalem hep hazırdı.</t>
        </is>
      </c>
      <c r="C67" s="6" t="inlineStr"/>
      <c r="D67" s="6" t="inlineStr"/>
    </row>
    <row r="68">
      <c r="A68" s="5" t="inlineStr">
        <is>
          <t>memur-kayip-dosya</t>
        </is>
      </c>
      <c r="B68" s="6" t="inlineStr">
        <is>
          <t>Zimmetindeki bir dosya kayboldu; takibi yıllarca sürdü.</t>
        </is>
      </c>
      <c r="C68" s="6" t="inlineStr"/>
      <c r="D68" s="6" t="inlineStr"/>
    </row>
    <row r="69">
      <c r="A69" s="5" t="inlineStr">
        <is>
          <t>memur-ikinci-is</t>
        </is>
      </c>
      <c r="B69" s="6" t="inlineStr">
        <is>
          <t>Emekliliğe bir kafe hayaliyle hazırlandı; menüsü çekmecede bekledi.</t>
        </is>
      </c>
      <c r="C69" s="6" t="inlineStr"/>
      <c r="D69" s="6" t="inlineStr"/>
    </row>
    <row r="70">
      <c r="A70" s="5" t="inlineStr">
        <is>
          <t>haracci-dusmani</t>
        </is>
      </c>
      <c r="B70" s="6" t="inlineStr">
        <is>
          <t>Köşedeki üç büyük çocukla arası hiç düzelmedi.</t>
        </is>
      </c>
      <c r="C70" s="6" t="inlineStr"/>
      <c r="D70" s="6" t="inlineStr"/>
    </row>
    <row r="71">
      <c r="A71" s="5" t="inlineStr">
        <is>
          <t>fenomen</t>
        </is>
      </c>
      <c r="B71" s="6" t="inlineStr">
        <is>
          <t>Kedisinin hesabı fenomen oldu.</t>
        </is>
      </c>
      <c r="C71" s="6" t="inlineStr"/>
      <c r="D71" s="6" t="inlineStr"/>
    </row>
    <row r="72">
      <c r="A72" s="5" t="inlineStr">
        <is>
          <t>borclu</t>
        </is>
      </c>
      <c r="B72" s="6" t="inlineStr">
        <is>
          <t>Kredi kartı borcuyla tanıştı.</t>
        </is>
      </c>
      <c r="C72" s="6" t="inlineStr">
        <is>
          <t>Borç seni takip ediyor: asgari ödeme hayatının ritmi, bankanın müşteri temsilcisi de en düzenli arayanın.</t>
        </is>
      </c>
      <c r="D72" s="6" t="inlineStr"/>
    </row>
    <row r="73">
      <c r="A73" s="5" t="inlineStr">
        <is>
          <t>evli</t>
        </is>
      </c>
      <c r="B73" s="6" t="inlineStr">
        <is>
          <t>Evlendi.</t>
        </is>
      </c>
      <c r="C73" s="6" t="inlineStr">
        <is>
          <t>Evli hayat: ortak hesap, iki aile ve “Çocuk ne zaman?” sorusu.</t>
        </is>
      </c>
      <c r="D73" s="6" t="inlineStr">
        <is>
          <t>“Evlendi; takı defterini ben tuttum.”</t>
        </is>
      </c>
    </row>
    <row r="74">
      <c r="A74" s="5" t="inlineStr">
        <is>
          <t>cocuklu</t>
        </is>
      </c>
      <c r="B74" s="6" t="inlineStr">
        <is>
          <t>Çocuk sahibi oldu.</t>
        </is>
      </c>
      <c r="C74" s="6" t="inlineStr">
        <is>
          <t>Çocuklu hayat: uykusuz geceler, okul servisi ve veli toplantıları; bu kez kapının öbür tarafında sen varsın.</t>
        </is>
      </c>
      <c r="D74" s="6" t="inlineStr">
        <is>
          <t>“Torunumuz oldu; ilk gece annesiyle babası ondan çok ağladı.”</t>
        </is>
      </c>
    </row>
    <row r="75">
      <c r="A75" s="5" t="inlineStr">
        <is>
          <t>meslek-memur</t>
        </is>
      </c>
      <c r="B75" s="6" t="inlineStr">
        <is>
          <t>Memur oldu.</t>
        </is>
      </c>
      <c r="C75" s="6" t="inlineStr">
        <is>
          <t>Memurluk: tayinler, müdürler ve ıslak imza.</t>
        </is>
      </c>
      <c r="D75" s="6" t="inlineStr"/>
    </row>
    <row r="76">
      <c r="A76" s="5" t="inlineStr">
        <is>
          <t>ev-sahibi</t>
        </is>
      </c>
      <c r="B76" s="6" t="inlineStr">
        <is>
          <t>Ev sahibi oldu.</t>
        </is>
      </c>
      <c r="C76" s="6" t="inlineStr">
        <is>
          <t>Ev sahibisin: kredi taksitleri ve site yönetimi toplantıları. Aidatı artık sen ödüyorsun.</t>
        </is>
      </c>
      <c r="D76" s="6" t="inlineStr">
        <is>
          <t>“Tapuyu aldı; fotoğrafını aile grubuna ben attım, yanına bir de nazar boncuğu.”</t>
        </is>
      </c>
    </row>
    <row r="77">
      <c r="A77" s="5" t="inlineStr">
        <is>
          <t>askerlik-yapti</t>
        </is>
      </c>
      <c r="B77" s="6" t="inlineStr">
        <is>
          <t>Askerliğini yaptı.</t>
        </is>
      </c>
      <c r="C77" s="6" t="inlineStr">
        <is>
          <t>Askerlik bitti. Artık iş görüşmelerinde “Yaptın mı?” sorusuna gülümseyerek cevap verebilirsin.</t>
        </is>
      </c>
      <c r="D77" s="6" t="inlineStr">
        <is>
          <t>“Askerliğini yaptı; giderken kapıda halay çekildi, dönünce annesi kapıyı iki kez açtı.”</t>
        </is>
      </c>
    </row>
    <row r="78">
      <c r="A78" s="5" t="inlineStr">
        <is>
          <t>meslek-esnaf</t>
        </is>
      </c>
      <c r="B78" s="6" t="inlineStr">
        <is>
          <t>Esnaf oldu.</t>
        </is>
      </c>
      <c r="C78" s="6" t="inlineStr">
        <is>
          <t>Esnaf hayatı: kira artışları, karşı dükkân ve veresiye defteri.</t>
        </is>
      </c>
      <c r="D78" s="6" t="inlineStr"/>
    </row>
    <row r="79">
      <c r="A79" s="5" t="inlineStr">
        <is>
          <t>meslek-beyazyaka</t>
        </is>
      </c>
      <c r="B79" s="6" t="inlineStr">
        <is>
          <t>Beyaz yakalı oldu.</t>
        </is>
      </c>
      <c r="C79" s="6" t="inlineStr">
        <is>
          <t>Plaza hayatı: toplantılar, terfi yarışları ve açık ofis.</t>
        </is>
      </c>
      <c r="D79" s="6" t="inlineStr"/>
    </row>
    <row r="80">
      <c r="A80" s="5" t="inlineStr">
        <is>
          <t>meslek-serbest</t>
        </is>
      </c>
      <c r="B80" s="6" t="inlineStr">
        <is>
          <t>Serbest çalışmaya başladı.</t>
        </is>
      </c>
      <c r="C80" s="6" t="inlineStr">
        <is>
          <t>Serbest çalışma: fatura kovalamaca ve bir gün viral olma ihtimali.</t>
        </is>
      </c>
      <c r="D80" s="6" t="inlineStr"/>
    </row>
    <row r="81">
      <c r="A81" s="5" t="inlineStr">
        <is>
          <t>mahalle-cocugu</t>
        </is>
      </c>
      <c r="B81" s="6" t="inlineStr">
        <is>
          <t>Çocukluğu sokakta, mahallede geçti.</t>
        </is>
      </c>
      <c r="C81" s="6" t="inlineStr"/>
      <c r="D81" s="6" t="inlineStr">
        <is>
          <t>“Sokaktan eve girmedi.”</t>
        </is>
      </c>
    </row>
    <row r="82">
      <c r="A82" s="5" t="inlineStr">
        <is>
          <t>ekran-cocugu</t>
        </is>
      </c>
      <c r="B82" s="6" t="inlineStr">
        <is>
          <t>Çocukluğu ekran başında geçti.</t>
        </is>
      </c>
      <c r="C82" s="6" t="inlineStr"/>
      <c r="D82" s="6" t="inlineStr">
        <is>
          <t>“Tableti benden iyi kullanır.”</t>
        </is>
      </c>
    </row>
    <row r="83">
      <c r="A83" s="5" t="inlineStr">
        <is>
          <t>teneffus-tuccari</t>
        </is>
      </c>
      <c r="B83" s="6" t="inlineStr">
        <is>
          <t>Teneffüste ticaret yaptı.</t>
        </is>
      </c>
      <c r="C83" s="6" t="inlineStr"/>
      <c r="D83" s="6" t="inlineStr">
        <is>
          <t>“Okumayı sökmeden sınıfta sakız satmaya başladı.”</t>
        </is>
      </c>
    </row>
    <row r="84">
      <c r="A84" s="5" t="inlineStr">
        <is>
          <t>mahalle-abileri</t>
        </is>
      </c>
      <c r="B84" s="6" t="inlineStr">
        <is>
          <t>Mahalle abileriyle takıldı.</t>
        </is>
      </c>
      <c r="C84" s="6" t="inlineStr">
        <is>
          <t>Mahalle abileri seni unutmadı. Çarşıda bir iş, bir borç ve bir lakap hazır.</t>
        </is>
      </c>
      <c r="D84" s="6" t="inlineStr"/>
    </row>
    <row r="85">
      <c r="A85" s="5" t="inlineStr">
        <is>
          <t>meslek-lisesi</t>
        </is>
      </c>
      <c r="B85" s="6" t="inlineStr">
        <is>
          <t>Meslek lisesine yazıldı.</t>
        </is>
      </c>
      <c r="C85" s="6" t="inlineStr">
        <is>
          <t>Meslek lisesi: atölyede staj, erken para ve Büyük Sınav'da yarısı tanıdık, yarısı yabancı sorular.</t>
        </is>
      </c>
      <c r="D85" s="6" t="inlineStr">
        <is>
          <t>“Meslek lisesini yazdı; evde bozulan her şey artık ona sorulur.”</t>
        </is>
      </c>
    </row>
    <row r="86">
      <c r="A86" s="5" t="inlineStr">
        <is>
          <t>okulu-birakti</t>
        </is>
      </c>
      <c r="B86" s="6" t="inlineStr">
        <is>
          <t>Okulu bıraktı.</t>
        </is>
      </c>
      <c r="C86" s="6" t="inlineStr">
        <is>
          <t>Okul yok. Çay ocağı, sanayi ve abilerin işleri seni bekliyor; okula dönmenin bir yolu hâlâ var.</t>
        </is>
      </c>
      <c r="D86" s="6" t="inlineStr">
        <is>
          <t>“Sınav sabahı çay ocağına gitti; annesi o akşam yine de tabağını koydu.”</t>
        </is>
      </c>
    </row>
    <row r="87">
      <c r="A87" s="5" t="inlineStr">
        <is>
          <t>acik-lise</t>
        </is>
      </c>
      <c r="B87" s="6" t="inlineStr">
        <is>
          <t>Liseyi akşamları bitirdi.</t>
        </is>
      </c>
      <c r="C87" s="6" t="inlineStr"/>
      <c r="D87" s="6" t="inlineStr">
        <is>
          <t>“Okulu bırakmıştı ama gündüz çalışıp akşam okudu; o broşür hâlâ buzdolabımızda.”</t>
        </is>
      </c>
    </row>
    <row r="88">
      <c r="A88" s="5" t="inlineStr">
        <is>
          <t>abinin-adami</t>
        </is>
      </c>
      <c r="B88" s="6" t="inlineStr">
        <is>
          <t>Mahalle abisinin adamı oldu.</t>
        </is>
      </c>
      <c r="C88" s="6" t="inlineStr">
        <is>
          <t>Abinin yanında: çarşıda yükselmek kolay, oradan çıkmak zor.</t>
        </is>
      </c>
      <c r="D88" s="6" t="inlineStr">
        <is>
          <t>“Çarşıdaki abilerin yanında iş tuttu; telefonunu açmadım ama her akşam yemeğini ısıttım.”</t>
        </is>
      </c>
    </row>
    <row r="89">
      <c r="A89" s="5" t="inlineStr">
        <is>
          <t>karaborsaci</t>
        </is>
      </c>
      <c r="B89" s="6" t="inlineStr">
        <is>
          <t>Stat önünde karaborsa bilet sattı.</t>
        </is>
      </c>
      <c r="C89" s="6" t="inlineStr"/>
      <c r="D89" s="6" t="inlineStr"/>
    </row>
    <row r="90">
      <c r="A90" s="5" t="inlineStr">
        <is>
          <t>mezuna-kaldi</t>
        </is>
      </c>
      <c r="B90" s="6" t="inlineStr">
        <is>
          <t>Mezuna kaldı.</t>
        </is>
      </c>
      <c r="C90" s="6" t="inlineStr">
        <is>
          <t>Bir yıl daha dershane ve ikinci bir Büyük Sınav şansı.</t>
        </is>
      </c>
      <c r="D90" s="6" t="inlineStr">
        <is>
          <t>“Bir yıl daha dershaneye gitti; her sabah çantasına bir elma koydum, hiçbir şey sormadım.”</t>
        </is>
      </c>
    </row>
    <row r="91">
      <c r="A91" s="5" t="inlineStr">
        <is>
          <t>tezgah</t>
        </is>
      </c>
      <c r="B91" s="6" t="inlineStr">
        <is>
          <t>Kuzeninin tezgâhına geçti.</t>
        </is>
      </c>
      <c r="C91" s="6" t="inlineStr">
        <is>
          <t>Tezgâhın arkasında hayat: pazarlık, veresiye defteri ve akranlarından önce kazanılan ilk para.</t>
        </is>
      </c>
      <c r="D91" s="6" t="inlineStr"/>
    </row>
    <row r="92">
      <c r="A92" s="5" t="inlineStr">
        <is>
          <t>erken-askerlik</t>
        </is>
      </c>
      <c r="B92" s="6" t="inlineStr">
        <is>
          <t>Askere erken gitti.</t>
        </is>
      </c>
      <c r="C92" s="6" t="inlineStr">
        <is>
          <t>Önce askerlik: kışla, nöbet ve dönüşte nereden başlayacağına dair uzun düşünceler.</t>
        </is>
      </c>
      <c r="D92" s="6" t="inlineStr"/>
    </row>
    <row r="93">
      <c r="A93" s="5" t="inlineStr">
        <is>
          <t>sinava-girmedi</t>
        </is>
      </c>
      <c r="B93" s="6" t="inlineStr">
        <is>
          <t>Büyük Makarya Sınavı'na girmedi; ertesi sabah işe başladı.</t>
        </is>
      </c>
      <c r="C93" s="6" t="inlineStr">
        <is>
          <t>Sınavsız bir hayat: erken iş, erken para, erken sorumluluk.</t>
        </is>
      </c>
      <c r="D93" s="6" t="inlineStr"/>
    </row>
    <row r="94">
      <c r="A94" s="5" t="inlineStr">
        <is>
          <t>bolum-hukuk</t>
        </is>
      </c>
      <c r="B94" s="6" t="inlineStr">
        <is>
          <t>Hukuk okudu.</t>
        </is>
      </c>
      <c r="C94" s="6" t="inlineStr">
        <is>
          <t>Hukuk fakültesi: ezber, stajlar ve kürsüye giden yolun ilk basamağı.</t>
        </is>
      </c>
      <c r="D94" s="6" t="inlineStr"/>
    </row>
    <row r="95">
      <c r="A95" s="5" t="inlineStr">
        <is>
          <t>bolum-emniyet</t>
        </is>
      </c>
      <c r="B95" s="6" t="inlineStr">
        <is>
          <t>Polis okuluna girdi.</t>
        </is>
      </c>
      <c r="C95" s="6" t="inlineStr">
        <is>
          <t>Polis okulu: disiplin, üniforma ve polisliğe giden yol.</t>
        </is>
      </c>
      <c r="D95" s="6" t="inlineStr"/>
    </row>
    <row r="96">
      <c r="A96" s="5" t="inlineStr">
        <is>
          <t>bolum-muhendislik</t>
        </is>
      </c>
      <c r="B96" s="6" t="inlineStr">
        <is>
          <t>Mühendislik okudu.</t>
        </is>
      </c>
      <c r="C96" s="6" t="inlineStr">
        <is>
          <t>Mühendislik: formüller, stajlar ve evde bozulan her şeyin senden sorulduğu yıllar.</t>
        </is>
      </c>
      <c r="D96" s="6" t="inlineStr"/>
    </row>
    <row r="97">
      <c r="A97" s="5" t="inlineStr">
        <is>
          <t>bolum-iletisim</t>
        </is>
      </c>
      <c r="B97" s="6" t="inlineStr">
        <is>
          <t>İletişim ya da konservatuvar okudu.</t>
        </is>
      </c>
      <c r="C97" s="6" t="inlineStr">
        <is>
          <t>Konservatuvar: seçmeler, küçük sahneler ve “İyi de ne iş yapacak?” soruları.</t>
        </is>
      </c>
      <c r="D97" s="6" t="inlineStr"/>
    </row>
    <row r="98">
      <c r="A98" s="5" t="inlineStr">
        <is>
          <t>bolum-isletme</t>
        </is>
      </c>
      <c r="B98" s="6" t="inlineStr">
        <is>
          <t>İşletme okudu.</t>
        </is>
      </c>
      <c r="C98" s="6" t="inlineStr">
        <is>
          <t>İşletme: sunumlar, stajlar ve ilk iş fikirleri.</t>
        </is>
      </c>
      <c r="D98" s="6" t="inlineStr"/>
    </row>
    <row r="99">
      <c r="A99" s="5" t="inlineStr">
        <is>
          <t>bolum-tip</t>
        </is>
      </c>
      <c r="B99" s="6" t="inlineStr">
        <is>
          <t>Tıp okudu.</t>
        </is>
      </c>
      <c r="C99" s="6" t="inlineStr">
        <is>
          <t>Tıp: altı yıl, bitmeyen nöbetler ve aile grubunda her gün artan semptom soruları.</t>
        </is>
      </c>
      <c r="D99" s="6" t="inlineStr"/>
    </row>
    <row r="100">
      <c r="A100" s="5" t="inlineStr">
        <is>
          <t>baska-sehir</t>
        </is>
      </c>
      <c r="B100" s="6" t="inlineStr">
        <is>
          <t>Başka şehirde okudu.</t>
        </is>
      </c>
      <c r="C100" s="6" t="inlineStr">
        <is>
          <t>Başka şehirde üniversite: yurt odası, ilk kez tek başına alınan kararlar ve annenin haftada iki telefonu.</t>
        </is>
      </c>
      <c r="D100" s="6" t="inlineStr"/>
    </row>
    <row r="101">
      <c r="A101" s="5" t="inlineStr">
        <is>
          <t>ayni-sehir</t>
        </is>
      </c>
      <c r="B101" s="6" t="inlineStr">
        <is>
          <t>Üniversiteye evden gitti.</t>
        </is>
      </c>
      <c r="C101" s="6" t="inlineStr">
        <is>
          <t>Evden üniversite: sokağa çıkma saati, buzdolabı bursu ve bitmeyen “Nereye?” soruları.</t>
        </is>
      </c>
      <c r="D101" s="6" t="inlineStr"/>
    </row>
    <row r="102">
      <c r="A102" s="5" t="inlineStr">
        <is>
          <t>yurtdisi-universite</t>
        </is>
      </c>
      <c r="B102" s="6" t="inlineStr">
        <is>
          <t>Öte Diyar'da üniversite okudu.</t>
        </is>
      </c>
      <c r="C102" s="6" t="inlineStr">
        <is>
          <t>Öte Diyar'da öğrencilik: yeni bir dil, yalnızlık ve her bayram atlanan uçak bileti.</t>
        </is>
      </c>
      <c r="D102" s="6" t="inlineStr">
        <is>
          <t>“Öte Diyar'a okumaya gitti; havalimanına on iki kişi uğurlamaya gittik, biri sadece havalimanını görmek için.”</t>
        </is>
      </c>
    </row>
    <row r="103">
      <c r="A103" s="5" t="inlineStr">
        <is>
          <t>utangac</t>
        </is>
      </c>
      <c r="B103" s="6" t="inlineStr">
        <is>
          <t>İlk buluşmada reddedildi.</t>
        </is>
      </c>
      <c r="C103" s="6" t="inlineStr">
        <is>
          <t>Kalbin biraz kırık. Bir sonraki buluşmaya daha temkinli gideceksin.</t>
        </is>
      </c>
      <c r="D103" s="6" t="inlineStr"/>
    </row>
    <row r="104">
      <c r="A104" s="5" t="inlineStr">
        <is>
          <t>duz-lise</t>
        </is>
      </c>
      <c r="B104" s="6" t="inlineStr">
        <is>
          <t>Mahallenin lisesine gitti.</t>
        </is>
      </c>
      <c r="C104" s="6" t="inlineStr">
        <is>
          <t>Mahallenin lisesi: kalabalık sınıflar, kantinde tost ve kimsenin senden pek bir şey beklemediği dört yıl.</t>
        </is>
      </c>
      <c r="D104" s="6" t="inlineStr"/>
    </row>
    <row r="105">
      <c r="A105" s="5" t="inlineStr">
        <is>
          <t>kiraci</t>
        </is>
      </c>
      <c r="B105" s="6" t="inlineStr">
        <is>
          <t>Tek başına kiraya çıktı.</t>
        </is>
      </c>
      <c r="C105" s="6" t="inlineStr">
        <is>
          <t>Kiracı hayatı: her yıl gelen “Kirayı güncelleyelim” telefonu ve depozitonun geri dönüp dönmeyeceği sorusu.</t>
        </is>
      </c>
      <c r="D105" s="6" t="inlineStr">
        <is>
          <t>“Yirmi bir yaşında anahtarını aldı, evden çıktı; annesi odasını bir ay toplamadı.”</t>
        </is>
      </c>
    </row>
    <row r="106">
      <c r="A106" s="5" t="inlineStr">
        <is>
          <t>ev-arkadasli</t>
        </is>
      </c>
      <c r="B106" s="6" t="inlineStr">
        <is>
          <t>Bir ev arkadaşıyla eve çıktı.</t>
        </is>
      </c>
      <c r="C106" s="6" t="inlineStr">
        <is>
          <t>Ev arkadaşlı hayat: bulaşık nöbeti, ortak fatura ve birinin mutlaka taşınacağı o gün.</t>
        </is>
      </c>
      <c r="D106" s="6" t="inlineStr"/>
    </row>
    <row r="107">
      <c r="A107" s="5" t="inlineStr">
        <is>
          <t>evde-kaldi</t>
        </is>
      </c>
      <c r="B107" s="6" t="inlineStr">
        <is>
          <t>Ailesinin evinde kaldı.</t>
        </is>
      </c>
      <c r="C107" s="6" t="inlineStr">
        <is>
          <t>Aile evinde yetişkinlik: kira yok, “Nereye?” sorusu var; evlenene kadar ya da evlenmeyi düşünene kadar.</t>
        </is>
      </c>
      <c r="D107" s="6" t="inlineStr">
        <is>
          <t>“Evden çıkmadı; kira vermedi ama akşam dokuzda ‘Nereye?’ sorusunu her gün cevapladı.”</t>
        </is>
      </c>
    </row>
    <row r="108">
      <c r="A108" s="5" t="inlineStr">
        <is>
          <t>aile-dairesi</t>
        </is>
      </c>
      <c r="B108" s="6" t="inlineStr">
        <is>
          <t>Ailesinin aldığı daireye yerleşti.</t>
        </is>
      </c>
      <c r="C108" s="6" t="inlineStr">
        <is>
          <t>Ailenin dairesinde hayat: kira yok, habersiz pazar ziyaretleri var.</t>
        </is>
      </c>
      <c r="D108" s="6" t="inlineStr"/>
    </row>
    <row r="109">
      <c r="A109" s="5" t="inlineStr">
        <is>
          <t>abiye-borclu</t>
        </is>
      </c>
      <c r="B109" s="6" t="inlineStr">
        <is>
          <t>Abiye bir iyilik borcu var. Abi unutmaz.</t>
        </is>
      </c>
      <c r="C109" s="6" t="inlineStr">
        <is>
          <t>Abinin bir iyiliği var sende. Günü gelince isteyecek.</t>
        </is>
      </c>
      <c r="D109" s="6" t="inlineStr">
        <is>
          <t>“Mahallenin abisine bir iyilik borçlandı; o borç yıllarca kapısını çaldı.”</t>
        </is>
      </c>
    </row>
    <row r="110">
      <c r="A110" s="5" t="inlineStr">
        <is>
          <t>bedelli</t>
        </is>
      </c>
      <c r="B110" s="6" t="inlineStr">
        <is>
          <t>Askerliği bedelli yaptı; tek nöbeti banka kuyruğundaydı.</t>
        </is>
      </c>
      <c r="C110" s="6" t="inlineStr">
        <is>
          <t>Askerlik bitti sayılır. İş görüşmelerinde “Yaptın mı?” sorusuna kısa bir cevabın var.</t>
        </is>
      </c>
      <c r="D110" s="6" t="inlineStr">
        <is>
          <t>“Askerliği bedelliyle hallettik; tek nöbetini banka kuyruğunda tuttu.”</t>
        </is>
      </c>
    </row>
    <row r="111">
      <c r="A111" s="5" t="inlineStr">
        <is>
          <t>curuk-rapor</t>
        </is>
      </c>
      <c r="B111" s="6" t="inlineStr">
        <is>
          <t>Heyetten “elverişsiz” raporu aldı; düztabanlığı efsane oldu.</t>
        </is>
      </c>
      <c r="C111" s="6" t="inlineStr">
        <is>
          <t>Raporun cebinde. Düztabanlığın da artık hayat boyu seninle.</t>
        </is>
      </c>
      <c r="D111" s="6" t="inlineStr">
        <is>
          <t>“Heyete bir düztaban hikâyesi anlattı; rapor çıktı, ayakları o günden beri hiç ağrımadı.”</t>
        </is>
      </c>
    </row>
    <row r="112">
      <c r="A112" s="5" t="inlineStr">
        <is>
          <t>kisla-kankasi</t>
        </is>
      </c>
      <c r="B112" s="6" t="inlineStr">
        <is>
          <t>Kışladan ömürlük üç arkadaşla döndü.</t>
        </is>
      </c>
      <c r="C112" s="6" t="inlineStr"/>
      <c r="D112" s="6" t="inlineStr"/>
    </row>
    <row r="113">
      <c r="A113" s="5" t="inlineStr">
        <is>
          <t>komiser-tanidik</t>
        </is>
      </c>
      <c r="B113" s="6" t="inlineStr">
        <is>
          <t>Cüzdanında bir komiserin kartviziti var.</t>
        </is>
      </c>
      <c r="C113" s="6" t="inlineStr"/>
      <c r="D113" s="6" t="inlineStr"/>
    </row>
    <row r="114">
      <c r="A114" s="5" t="inlineStr">
        <is>
          <t>yabanci-dil</t>
        </is>
      </c>
      <c r="B114" s="6" t="inlineStr">
        <is>
          <t>Öte Diyar'da yerli dostlar edindi; rüyalarını iki dilde gördü.</t>
        </is>
      </c>
      <c r="C114" s="6" t="inlineStr"/>
      <c r="D114" s="6" t="inlineStr"/>
    </row>
    <row r="115">
      <c r="A115" s="5" t="inlineStr">
        <is>
          <t>yurtdan-dondu</t>
        </is>
      </c>
      <c r="B115" s="6" t="inlineStr">
        <is>
          <t>Öte Diyar'dan diplomasıyla döndü.</t>
        </is>
      </c>
      <c r="C115" s="6" t="inlineStr">
        <is>
          <t>Dönüşün hikâyesi: “Neden döndün?” sorusu, ondan sonra da “Keşke kalsaydın.”</t>
        </is>
      </c>
      <c r="D115" s="6" t="inlineStr"/>
    </row>
    <row r="116">
      <c r="A116" s="5" t="inlineStr">
        <is>
          <t>abiden-koptu</t>
        </is>
      </c>
      <c r="B116" s="6" t="inlineStr">
        <is>
          <t>Abinin gölgesinden çıkıp kendi işini kurdu.</t>
        </is>
      </c>
      <c r="C116" s="6" t="inlineStr"/>
      <c r="D116" s="6" t="inlineStr"/>
    </row>
    <row r="117">
      <c r="A117" s="5" t="inlineStr">
        <is>
          <t>abiye-karsi-sigorta</t>
        </is>
      </c>
      <c r="B117" s="6" t="inlineStr">
        <is>
          <t>Abinin defterinin bir fotokopisi bir kasada duruyor.</t>
        </is>
      </c>
      <c r="C117" s="6" t="inlineStr"/>
      <c r="D117" s="6" t="inlineStr"/>
    </row>
    <row r="118">
      <c r="A118" s="5" t="inlineStr">
        <is>
          <t>vicdan-sesi</t>
        </is>
      </c>
      <c r="B118" s="6" t="inlineStr">
        <is>
          <t>Bir telefonu kapatmayı bildi.</t>
        </is>
      </c>
      <c r="C118" s="6" t="inlineStr"/>
      <c r="D118" s="6" t="inlineStr">
        <is>
          <t>“Emekli bir öğretmenin telefonunu kapattı; o akşam annesini sebepsiz aradı.”</t>
        </is>
      </c>
    </row>
    <row r="119">
      <c r="A119" s="5" t="inlineStr">
        <is>
          <t>ifsa-oldu</t>
        </is>
      </c>
      <c r="B119" s="6" t="inlineStr">
        <is>
          <t>Sesi bir haber sitesinde yayınlandı; adı değil.</t>
        </is>
      </c>
      <c r="C119" s="6" t="inlineStr"/>
      <c r="D119" s="6" t="inlineStr"/>
    </row>
    <row r="120">
      <c r="A120" s="5" t="inlineStr">
        <is>
          <t>hat-polis</t>
        </is>
      </c>
      <c r="B120" s="6" t="inlineStr">
        <is>
          <t>Polis oldu.</t>
        </is>
      </c>
      <c r="C120" s="6" t="inlineStr">
        <is>
          <t>Karakol hayatı: nöbetler, tayin kâğıtları ve her amirin kendine göre bir “usulü.”</t>
        </is>
      </c>
      <c r="D120" s="6" t="inlineStr"/>
    </row>
    <row r="121">
      <c r="A121" s="5" t="inlineStr">
        <is>
          <t>hat-yargi</t>
        </is>
      </c>
      <c r="B121" s="6" t="inlineStr">
        <is>
          <t>Hâkim oldu.</t>
        </is>
      </c>
      <c r="C121" s="6" t="inlineStr">
        <is>
          <t>Adliye koridorları: tayinler, dosya yığınları ve kürsüye giden uzun yol.</t>
        </is>
      </c>
      <c r="D121" s="6" t="inlineStr"/>
    </row>
    <row r="122">
      <c r="A122" s="5" t="inlineStr">
        <is>
          <t>hat-hekim</t>
        </is>
      </c>
      <c r="B122" s="6" t="inlineStr">
        <is>
          <t>Hekim oldu.</t>
        </is>
      </c>
      <c r="C122" s="6" t="inlineStr">
        <is>
          <t>Hekimlik: nöbetler, bitmeyen dosyalar ve aile grubunda her gün yeni bir semptom sorusu.</t>
        </is>
      </c>
      <c r="D122" s="6" t="inlineStr">
        <is>
          <t>“Doktor oldu; teyzesi o günden beri bütün röntgenlerini ona atıyor.”</t>
        </is>
      </c>
    </row>
    <row r="123">
      <c r="A123" s="5" t="inlineStr">
        <is>
          <t>hat-cete</t>
        </is>
      </c>
      <c r="B123" s="6" t="inlineStr">
        <is>
          <t>Abinin işine girdi.</t>
        </is>
      </c>
      <c r="C123" s="6" t="inlineStr">
        <is>
          <t>Abinin paravan dükkânı: kira, rakipler ve deftere yazılmayan hesaplar.</t>
        </is>
      </c>
      <c r="D123" s="6" t="inlineStr"/>
    </row>
    <row r="124">
      <c r="A124" s="5" t="inlineStr">
        <is>
          <t>hat-sohret</t>
        </is>
      </c>
      <c r="B124" s="6" t="inlineStr">
        <is>
          <t>Şöhretin peşine düştü.</t>
        </is>
      </c>
      <c r="C124" s="6" t="inlineStr">
        <is>
          <t>Sahne hayatı: fatura kovalamaca, görünürlük teklifleri ve bir gün gerçekten tanınma ihtimali.</t>
        </is>
      </c>
      <c r="D124" s="6" t="inlineStr"/>
    </row>
    <row r="125">
      <c r="A125" s="5" t="inlineStr">
        <is>
          <t>hat-koy</t>
        </is>
      </c>
      <c r="B125" s="6" t="inlineStr">
        <is>
          <t>Köye döndü, toprağı işledi.</t>
        </is>
      </c>
      <c r="C125" s="6" t="inlineStr">
        <is>
          <t>Toprakla hayat: pazar tezgâhı, kira yerine hava durumu ve şehre gidip gelen kamyonlar.</t>
        </is>
      </c>
      <c r="D125" s="6" t="inlineStr"/>
    </row>
    <row r="126">
      <c r="A126" s="5" t="inlineStr">
        <is>
          <t>hat-usta</t>
        </is>
      </c>
      <c r="B126" s="6" t="inlineStr">
        <is>
          <t>Sanayide kendi ustalığını ilan etti.</t>
        </is>
      </c>
      <c r="C126" s="6" t="inlineStr">
        <is>
          <t>Kendi tezgâhında ustalık: kira artışları, karşı dükkân ve yanına alacağın ilk çırak.</t>
        </is>
      </c>
      <c r="D126" s="6" t="inlineStr"/>
    </row>
    <row r="127">
      <c r="A127" s="5" t="inlineStr">
        <is>
          <t>hat-dolandirici</t>
        </is>
      </c>
      <c r="B127" s="6" t="inlineStr">
        <is>
          <t>Telefonda “size özel fırsat” sattı.</t>
        </is>
      </c>
      <c r="C127" s="6" t="inlineStr">
        <is>
          <t>“Size özel fırsat” işi: kolay para, zor faturalar ve her telefon çaldığında gelen küçük bir ürperti.</t>
        </is>
      </c>
      <c r="D127" s="6" t="inlineStr"/>
    </row>
    <row r="128">
      <c r="A128" s="5" t="inlineStr">
        <is>
          <t>hat-girisimci</t>
        </is>
      </c>
      <c r="B128" s="6" t="inlineStr">
        <is>
          <t>Kendi şirketini kurdu.</t>
        </is>
      </c>
      <c r="C128" s="6" t="inlineStr">
        <is>
          <t>Kendi şirketin: fatura kovalamaca, yapay zekâ rakipler ve “Bir gün büyüyeceğiz” inancı.</t>
        </is>
      </c>
      <c r="D128" s="6" t="inlineStr"/>
    </row>
    <row r="129">
      <c r="A129" s="5" t="inlineStr">
        <is>
          <t>hat-goc</t>
        </is>
      </c>
      <c r="B129" s="6" t="inlineStr">
        <is>
          <t>Öte Diyar'da kaldı.</t>
        </is>
      </c>
      <c r="C129" s="6" t="inlineStr">
        <is>
          <t>Gurbette hayat: plaza koridorları, bayramda ekran ve her yıl biraz daha yabancılaşan memleket.</t>
        </is>
      </c>
      <c r="D129" s="6" t="inlineStr"/>
    </row>
    <row r="130">
      <c r="A130" s="5" t="inlineStr">
        <is>
          <t>zarf-aldi</t>
        </is>
      </c>
      <c r="B130" s="6" t="inlineStr">
        <is>
          <t>Rüşvet zarfını aldı; kimse fark etmedi.</t>
        </is>
      </c>
      <c r="C130" s="6" t="inlineStr">
        <is>
          <t>Zarf unutulmadı; ileride bir teftiş eski dosyaları açabilir.</t>
        </is>
      </c>
      <c r="D130" s="6" t="inlineStr"/>
    </row>
    <row r="131">
      <c r="A131" s="5" t="inlineStr">
        <is>
          <t>polis-gozetim</t>
        </is>
      </c>
      <c r="B131" s="6" t="inlineStr">
        <is>
          <t>Karşı tarafa geçemedi; kalan yıllarını gözetim altında bir polis olarak geçirdi.</t>
        </is>
      </c>
      <c r="C131" s="6" t="inlineStr">
        <is>
          <t>Her raporu bir üst makamda ikinci kez okunacak.</t>
        </is>
      </c>
      <c r="D131" s="6" t="inlineStr"/>
    </row>
    <row r="132">
      <c r="A132" s="5" t="inlineStr">
        <is>
          <t>polis-surgun</t>
        </is>
      </c>
      <c r="B132" s="6" t="inlineStr">
        <is>
          <t>Rüşveti ihbar etti, uzak bir ilçeye sürüldü.</t>
        </is>
      </c>
      <c r="C132" s="6" t="inlineStr">
        <is>
          <t>Uzak bir ilçede, küçük bir karakolda devam edecek.</t>
        </is>
      </c>
      <c r="D132" s="6" t="inlineStr">
        <is>
          <t>“Rüşveti ihbar etti, dağ başına sürüldü; biz komşulara ‘Doğru adam’ dedik, başka bir şey demedik.”</t>
        </is>
      </c>
    </row>
    <row r="133">
      <c r="A133" s="5" t="inlineStr">
        <is>
          <t>yargi-leke</t>
        </is>
      </c>
      <c r="B133" s="6" t="inlineStr">
        <is>
          <t>Büyük dosyada baskıya boyun eğdi; kimse ispatlayamadı.</t>
        </is>
      </c>
      <c r="C133" s="6" t="inlineStr">
        <is>
          <t>O dosya bir gün yeniden önüne gelebilir.</t>
        </is>
      </c>
      <c r="D133" s="6" t="inlineStr"/>
    </row>
    <row r="134">
      <c r="A134" s="5" t="inlineStr">
        <is>
          <t>klinik-sefi</t>
        </is>
      </c>
      <c r="B134" s="6" t="inlineStr">
        <is>
          <t>Otuz beşinde klinik şefi oldu.</t>
        </is>
      </c>
      <c r="C134" s="6" t="inlineStr">
        <is>
          <t>Şeflik yükü ve imkânıyla devam edecek.</t>
        </is>
      </c>
      <c r="D134" s="6" t="inlineStr">
        <is>
          <t>“Klinik şefi oldu; akrabalar artık randevuyu bizim üzerimizden istiyor.”</t>
        </is>
      </c>
    </row>
    <row r="135">
      <c r="A135" s="5" t="inlineStr">
        <is>
          <t>memur-terfi</t>
        </is>
      </c>
      <c r="B135" s="6" t="inlineStr">
        <is>
          <t>Tayini değil, terfiyi seçti; şube müdürü oldu.</t>
        </is>
      </c>
      <c r="C135" s="6" t="inlineStr"/>
      <c r="D135" s="6" t="inlineStr"/>
    </row>
    <row r="136">
      <c r="A136" s="5" t="inlineStr">
        <is>
          <t>kriz-isten-cikti</t>
        </is>
      </c>
      <c r="B136" s="6" t="inlineStr">
        <is>
          <t>Küçülme dalgasında işten çıkarıldı.</t>
        </is>
      </c>
      <c r="C136" s="6" t="inlineStr">
        <is>
          <t>İşsiz ve tazminatlı yeni bir döneme giriyor.</t>
        </is>
      </c>
      <c r="D136" s="6" t="inlineStr"/>
    </row>
    <row r="137">
      <c r="A137" s="5" t="inlineStr">
        <is>
          <t>polis-muhbir</t>
        </is>
      </c>
      <c r="B137" s="6" t="inlineStr">
        <is>
          <t>Bir simitçiyi muhbir yaptı; simitçi ömür boyu onun adamı kaldı.</t>
        </is>
      </c>
      <c r="C137" s="6" t="inlineStr"/>
      <c r="D137" s="6" t="inlineStr"/>
    </row>
    <row r="138">
      <c r="A138" s="5" t="inlineStr">
        <is>
          <t>polis-yuz-okur</t>
        </is>
      </c>
      <c r="B138" s="6" t="inlineStr">
        <is>
          <t>Blöfle üç şüpheliyi birden konuşturdu; “yüz okuyan komiser” diye anıldı.</t>
        </is>
      </c>
      <c r="C138" s="6" t="inlineStr"/>
      <c r="D138" s="6" t="inlineStr"/>
    </row>
    <row r="139">
      <c r="A139" s="5" t="inlineStr">
        <is>
          <t>polis-sadik-ekip</t>
        </is>
      </c>
      <c r="B139" s="6" t="inlineStr">
        <is>
          <t>Ekibini tek tek dinledi; ekip de onu nereye giderse izledi.</t>
        </is>
      </c>
      <c r="C139" s="6" t="inlineStr"/>
      <c r="D139" s="6" t="inlineStr"/>
    </row>
    <row r="140">
      <c r="A140" s="5" t="inlineStr">
        <is>
          <t>polis-mudur</t>
        </is>
      </c>
      <c r="B140" s="6" t="inlineStr">
        <is>
          <t>Emniyet müdürü oldu.</t>
        </is>
      </c>
      <c r="C140" s="6" t="inlineStr"/>
      <c r="D140" s="6" t="inlineStr">
        <is>
          <t>“Emniyet müdürü oldu; mahallenin bekçisi bizi görünce selam vermeye başladı.”</t>
        </is>
      </c>
    </row>
    <row r="141">
      <c r="A141" s="5" t="inlineStr">
        <is>
          <t>yargi-horoz-karari</t>
        </is>
      </c>
      <c r="B141" s="6" t="inlineStr">
        <is>
          <t>Kasabada verdiği “Horoz Kararı” fakültede ders oldu.</t>
        </is>
      </c>
      <c r="C141" s="6" t="inlineStr"/>
      <c r="D141" s="6" t="inlineStr">
        <is>
          <t>“Kasabada bir horoz davasına baktı; verdiği karar fakültede ders oldu.”</t>
        </is>
      </c>
    </row>
    <row r="142">
      <c r="A142" s="5" t="inlineStr">
        <is>
          <t>yargi-kedi-karari</t>
        </is>
      </c>
      <c r="B142" s="6" t="inlineStr">
        <is>
          <t>Bir kedinin ortak velayetine gerekçeli karar yazdı.</t>
        </is>
      </c>
      <c r="C142" s="6" t="inlineStr"/>
      <c r="D142" s="6" t="inlineStr"/>
    </row>
    <row r="143">
      <c r="A143" s="5" t="inlineStr">
        <is>
          <t>yargi-yuksek</t>
        </is>
      </c>
      <c r="B143" s="6" t="inlineStr">
        <is>
          <t>Yüksek mahkeme üyesi oldu.</t>
        </is>
      </c>
      <c r="C143" s="6" t="inlineStr"/>
      <c r="D143" s="6" t="inlineStr">
        <is>
          <t>“Yüksek mahkemeye seçildi; cübbeyi ilk giydiği gün terzi de ağladı, biz de.”</t>
        </is>
      </c>
    </row>
    <row r="144">
      <c r="A144" s="5" t="inlineStr">
        <is>
          <t>hekim-ilce-sevgisi</t>
        </is>
      </c>
      <c r="B144" s="6" t="inlineStr">
        <is>
          <t>Mecburi hizmette ilçenin evladı oldu; reçeller yıllarca geldi.</t>
        </is>
      </c>
      <c r="C144" s="6" t="inlineStr"/>
      <c r="D144" s="6" t="inlineStr">
        <is>
          <t>“İlçenin tek doktoruydu; reçeller yıllarca bizim kapıya geldi.”</t>
        </is>
      </c>
    </row>
    <row r="145">
      <c r="A145" s="5" t="inlineStr">
        <is>
          <t>hekim-sozcu-usulu</t>
        </is>
      </c>
      <c r="B145" s="6" t="inlineStr">
        <is>
          <t>Hasta yakınlarına sözcü usulünü getirdi; koridorlar sustu.</t>
        </is>
      </c>
      <c r="C145" s="6" t="inlineStr"/>
      <c r="D145" s="6" t="inlineStr"/>
    </row>
    <row r="146">
      <c r="A146" s="5" t="inlineStr">
        <is>
          <t>hekim-profesor</t>
        </is>
      </c>
      <c r="B146" s="6" t="inlineStr">
        <is>
          <t>Profesör oldu.</t>
        </is>
      </c>
      <c r="C146" s="6" t="inlineStr"/>
      <c r="D146" s="6" t="inlineStr">
        <is>
          <t>“Profesör oldu; akrabalar hastalıklarını artık önce bana anlatıyor, sırayla.”</t>
        </is>
      </c>
    </row>
    <row r="147">
      <c r="A147" s="5" t="inlineStr">
        <is>
          <t>hapis</t>
        </is>
      </c>
      <c r="B147" s="6" t="inlineStr">
        <is>
          <t>Bir süre devletin misafiri oldu.</t>
        </is>
      </c>
      <c r="C147" s="6" t="inlineStr">
        <is>
          <t>Koğuş hayatı: tavla hiyerarşisi, görüş günleri ve af söylentileri.</t>
        </is>
      </c>
      <c r="D147" s="6" t="inlineStr">
        <is>
          <t>“Bir süre uzaktaydı. Sormayın.”</t>
        </is>
      </c>
    </row>
    <row r="148">
      <c r="A148" s="5" t="inlineStr">
        <is>
          <t>eski-hukumlu</t>
        </is>
      </c>
      <c r="B148" s="6" t="inlineStr">
        <is>
          <t>Sabıka kaydı var; anlatacak hikâyesi de.</t>
        </is>
      </c>
      <c r="C148" s="6" t="inlineStr">
        <is>
          <t>Eski hükümlü hayatı: iş başvurularında açıklaması zor bir boşluk, kahvede anlatması kolay bir hikâye.</t>
        </is>
      </c>
      <c r="D148" s="6" t="inlineStr">
        <is>
          <t>“Kapıdan çıktığında saçı ağarmıştı; mahalle bir şey sormadı, çay koydu.”</t>
        </is>
      </c>
    </row>
    <row r="149">
      <c r="A149" s="5" t="inlineStr">
        <is>
          <t>mahalle-babasi</t>
        </is>
      </c>
      <c r="B149" s="6" t="inlineStr">
        <is>
          <t>Mahallede kavgaları o bitirir, düğün tarihlerini o belirler.</t>
        </is>
      </c>
      <c r="C149" s="6" t="inlineStr">
        <is>
          <t>Mahalle babalığı: hatır masası, eski defterler ve kapıda bekleyen veliahtlar.</t>
        </is>
      </c>
      <c r="D149" s="6" t="inlineStr"/>
    </row>
    <row r="150">
      <c r="A150" s="5" t="inlineStr">
        <is>
          <t>esnaf-direndi</t>
        </is>
      </c>
      <c r="B150" s="6" t="inlineStr">
        <is>
          <t>Karşıya açılan zincir markete rağmen kepenk kapatmadı.</t>
        </is>
      </c>
      <c r="C150" s="6" t="inlineStr">
        <is>
          <t>Direnen esnaf: veresiye defteri, sadık müşteriler ve karşıdaki marketin ışıkları.</t>
        </is>
      </c>
      <c r="D150" s="6" t="inlineStr"/>
    </row>
    <row r="151">
      <c r="A151" s="5" t="inlineStr">
        <is>
          <t>tefeci-defteri</t>
        </is>
      </c>
      <c r="B151" s="6" t="inlineStr">
        <is>
          <t>Mahallenin yarısı onun defterinde yazılı.</t>
        </is>
      </c>
      <c r="C151" s="6" t="inlineStr"/>
      <c r="D151" s="6" t="inlineStr"/>
    </row>
    <row r="152">
      <c r="A152" s="5" t="inlineStr">
        <is>
          <t>kolay-para-gurusu</t>
        </is>
      </c>
      <c r="B152" s="6" t="inlineStr">
        <is>
          <t>Bir düğün salonu dolusu insana “kolay para” anlattı.</t>
        </is>
      </c>
      <c r="C152" s="6" t="inlineStr">
        <is>
          <t>Guru hayatı: kitap, televizyon ve bir gün mutlaka karşına çıkan eski öğrenciler.</t>
        </is>
      </c>
      <c r="D152" s="6" t="inlineStr"/>
    </row>
    <row r="153">
      <c r="A153" s="5" t="inlineStr">
        <is>
          <t>paralari-iade</t>
        </is>
      </c>
      <c r="B153" s="6" t="inlineStr">
        <is>
          <t>Bir gün paraları geri ödedi. Neredeyse hepsini.</t>
        </is>
      </c>
      <c r="C153" s="6" t="inlineStr"/>
      <c r="D153" s="6" t="inlineStr">
        <is>
          <t>“Bir gün herkesin parasını geri verdi; kapımızı ilk kez teşekküre gelen çaldı.”</t>
        </is>
      </c>
    </row>
    <row r="154">
      <c r="A154" s="5" t="inlineStr">
        <is>
          <t>kogus-dostu</t>
        </is>
      </c>
      <c r="B154" s="6" t="inlineStr">
        <is>
          <t>Koğuştan ömürlük bir tavla rakibiyle çıktı.</t>
        </is>
      </c>
      <c r="C154" s="6" t="inlineStr"/>
      <c r="D154" s="6" t="inlineStr">
        <is>
          <t>“İçeride tavlada herkesi yenmiş; mektubunda pulları bile tek tek anlattı.”</t>
        </is>
      </c>
    </row>
    <row r="155">
      <c r="A155" s="5" t="inlineStr">
        <is>
          <t>islah-sertifikasi</t>
        </is>
      </c>
      <c r="B155" s="6" t="inlineStr">
        <is>
          <t>Islah kursundan sertifikayla çıktı.</t>
        </is>
      </c>
      <c r="C155" s="6" t="inlineStr"/>
      <c r="D155" s="6" t="inlineStr"/>
    </row>
    <row r="156">
      <c r="A156" s="5" t="inlineStr">
        <is>
          <t>sohret-dizi-rolu</t>
        </is>
      </c>
      <c r="B156" s="6" t="inlineStr">
        <is>
          <t>Akşam kuşağı dizisinde rol kaptı.</t>
        </is>
      </c>
      <c r="C156" s="6" t="inlineStr"/>
      <c r="D156" s="6" t="inlineStr"/>
    </row>
    <row r="157">
      <c r="A157" s="5" t="inlineStr">
        <is>
          <t>sohret-reklam-yuzu</t>
        </is>
      </c>
      <c r="B157" s="6" t="inlineStr">
        <is>
          <t>Bir deterjan reklamının yüzü oldu.</t>
        </is>
      </c>
      <c r="C157" s="6" t="inlineStr"/>
      <c r="D157" s="6" t="inlineStr"/>
    </row>
    <row r="158">
      <c r="A158" s="5" t="inlineStr">
        <is>
          <t>sohret-donus</t>
        </is>
      </c>
      <c r="B158" s="6" t="inlineStr">
        <is>
          <t>Skandaldan sonra sessiz kaldı, geri döndü.</t>
        </is>
      </c>
      <c r="C158" s="6" t="inlineStr"/>
      <c r="D158" s="6" t="inlineStr"/>
    </row>
    <row r="159">
      <c r="A159" s="5" t="inlineStr">
        <is>
          <t>sohret-kapak-oldu</t>
        </is>
      </c>
      <c r="B159" s="6" t="inlineStr">
        <is>
          <t>Magazin kapağına çıktı.</t>
        </is>
      </c>
      <c r="C159" s="6" t="inlineStr"/>
      <c r="D159" s="6" t="inlineStr">
        <is>
          <t>“Dergi kapağına çıktı; bakkaldaki bütün nüshaları biz aldık, komşulara dağıttık.”</t>
        </is>
      </c>
    </row>
    <row r="160">
      <c r="A160" s="5" t="inlineStr">
        <is>
          <t>girisim-ilk-musteri</t>
        </is>
      </c>
      <c r="B160" s="6" t="inlineStr">
        <is>
          <t>İlk müşterisini kapı kapı dolaşıp buldu.</t>
        </is>
      </c>
      <c r="C160" s="6" t="inlineStr"/>
      <c r="D160" s="6" t="inlineStr"/>
    </row>
    <row r="161">
      <c r="A161" s="5" t="inlineStr">
        <is>
          <t>girisim-pivotcu</t>
        </is>
      </c>
      <c r="B161" s="6" t="inlineStr">
        <is>
          <t>Şirketini bir gecede yapay zekâ şirketi yaptı.</t>
        </is>
      </c>
      <c r="C161" s="6" t="inlineStr"/>
      <c r="D161" s="6" t="inlineStr"/>
    </row>
    <row r="162">
      <c r="A162" s="5" t="inlineStr">
        <is>
          <t>holding</t>
        </is>
      </c>
      <c r="B162" s="6" t="inlineStr">
        <is>
          <t>Şirketini holdinge dönüştürdü.</t>
        </is>
      </c>
      <c r="C162" s="6" t="inlineStr">
        <is>
          <t>Sonraki bölümde holding seni toplantıdan toplantıya taşıyacak.</t>
        </is>
      </c>
      <c r="D162" s="6" t="inlineStr">
        <is>
          <t>“Şirketini holding yaptı; bayram sofrasının yarısı artık onun çalışanları.”</t>
        </is>
      </c>
    </row>
    <row r="163">
      <c r="A163" s="5" t="inlineStr">
        <is>
          <t>sirketi-satti</t>
        </is>
      </c>
      <c r="B163" s="6" t="inlineStr">
        <is>
          <t>Şirketini sattı; adı kapıdan söküldü.</t>
        </is>
      </c>
      <c r="C163" s="6" t="inlineStr">
        <is>
          <t>Sonraki bölümde “seri girişimci” unvanıyla dolaşacaksın.</t>
        </is>
      </c>
      <c r="D163" s="6" t="inlineStr"/>
    </row>
    <row r="164">
      <c r="A164" s="5" t="inlineStr">
        <is>
          <t>parti-il-yoneticisi</t>
        </is>
      </c>
      <c r="B164" s="6" t="inlineStr">
        <is>
          <t>Partinin il yöneticisi oldu; çayla başladı.</t>
        </is>
      </c>
      <c r="C164" s="6" t="inlineStr"/>
      <c r="D164" s="6" t="inlineStr"/>
    </row>
    <row r="165">
      <c r="A165" s="5" t="inlineStr">
        <is>
          <t>meclis-uyesi</t>
        </is>
      </c>
      <c r="B165" s="6" t="inlineStr">
        <is>
          <t>Belediye meclis üyesi seçildi.</t>
        </is>
      </c>
      <c r="C165" s="6" t="inlineStr"/>
      <c r="D165" s="6" t="inlineStr">
        <is>
          <t>“Meclis üyesi seçildi; kaldırımdan geçerken herkes bize selam veriyor.”</t>
        </is>
      </c>
    </row>
    <row r="166">
      <c r="A166" s="5" t="inlineStr">
        <is>
          <t>belediye-baskani</t>
        </is>
      </c>
      <c r="B166" s="6" t="inlineStr">
        <is>
          <t>Belediye başkanı seçildi.</t>
        </is>
      </c>
      <c r="C166" s="6" t="inlineStr">
        <is>
          <t>Sonraki bölümde anı kitabın bu dönemle dolacak.</t>
        </is>
      </c>
      <c r="D166" s="6" t="inlineStr">
        <is>
          <t>“Belediye başkanı oldu; bizim sokağın çukuru ilk hafta kapandı, komşular bize teşekkür etti.”</t>
        </is>
      </c>
    </row>
    <row r="167">
      <c r="A167" s="5" t="inlineStr">
        <is>
          <t>tv-tartismaci</t>
        </is>
      </c>
      <c r="B167" s="6" t="inlineStr">
        <is>
          <t>Gece yarısı tartışmalarının aranan konuğu oldu.</t>
        </is>
      </c>
      <c r="C167" s="6" t="inlineStr"/>
      <c r="D167" s="6" t="inlineStr">
        <is>
          <t>“Gece yarısı programlarına çıkar oldu; biz uyumadan izliyoruz, sabah komşulara anlatıyoruz.”</t>
        </is>
      </c>
    </row>
    <row r="168">
      <c r="A168" s="5" t="inlineStr">
        <is>
          <t>secim-kazandi</t>
        </is>
      </c>
      <c r="B168" s="6" t="inlineStr">
        <is>
          <t>Makarya Meclisi'ne seçildi.</t>
        </is>
      </c>
      <c r="C168" s="6" t="inlineStr">
        <is>
          <t>Sonraki bölümde herkes sana “Başkanım” diyecek, nedenini sormadan.</t>
        </is>
      </c>
      <c r="D168" s="6" t="inlineStr">
        <is>
          <t>“Meclis'e girdi; televizyonda konuşurken bütün mahalle bizim salonda izledi.”</t>
        </is>
      </c>
    </row>
    <row r="169">
      <c r="A169" s="5" t="inlineStr">
        <is>
          <t>ihaleci</t>
        </is>
      </c>
      <c r="B169" s="6" t="inlineStr">
        <is>
          <t>Seçim gecesi bir ihale teklifini kabul etti.</t>
        </is>
      </c>
      <c r="C169" s="6" t="inlineStr">
        <is>
          <t>Sonraki bölümde o ihale anılarından çıkmayacak.</t>
        </is>
      </c>
      <c r="D169" s="6" t="inlineStr"/>
    </row>
    <row r="170">
      <c r="A170" s="5" t="inlineStr">
        <is>
          <t>memlekette-ev</t>
        </is>
      </c>
      <c r="B170" s="6" t="inlineStr">
        <is>
          <t>Gurbetteyken memlekette küçük bir ev aldı; anahtarı annesindeydi.</t>
        </is>
      </c>
      <c r="C170" s="6" t="inlineStr"/>
      <c r="D170" s="6" t="inlineStr"/>
    </row>
    <row r="171">
      <c r="A171" s="5" t="inlineStr">
        <is>
          <t>ote-diyar-vatandasi</t>
        </is>
      </c>
      <c r="B171" s="6" t="inlineStr">
        <is>
          <t>Öte Diyar vatandaşı oldu; pasaport fotoğrafında kurallara aykırı biçimde gülüyordu.</t>
        </is>
      </c>
      <c r="C171" s="6" t="inlineStr">
        <is>
          <t>İki pasaportlu hayat: iki seçim sandığı, iki vergi dairesi ve her bayramda “Hangi taraftasın?” sorusu.</t>
        </is>
      </c>
      <c r="D171" s="6" t="inlineStr">
        <is>
          <t>“Öte Diyar pasaportunu aldı; fotoğrafta gülüyor, biz de baktıkça gülüyoruz.”</t>
        </is>
      </c>
    </row>
    <row r="172">
      <c r="A172" s="5" t="inlineStr">
        <is>
          <t>ote-diyar-dukkani</t>
        </is>
      </c>
      <c r="B172" s="6" t="inlineStr">
        <is>
          <t>Öte Diyar'da iki dilli tabelalı bir dükkân açtı.</t>
        </is>
      </c>
      <c r="C172" s="6" t="inlineStr">
        <is>
          <t>Gurbette dükkân: kira iki dilde artar, müşteriler iki dilde pazarlık eder.</t>
        </is>
      </c>
      <c r="D172" s="6" t="inlineStr"/>
    </row>
    <row r="173">
      <c r="A173" s="5" t="inlineStr">
        <is>
          <t>gurbet-ogretmeni</t>
        </is>
      </c>
      <c r="B173" s="6" t="inlineStr">
        <is>
          <t>Gurbette çocuklara memleket dilini öğretti.</t>
        </is>
      </c>
      <c r="C173" s="6" t="inlineStr"/>
      <c r="D173" s="6" t="inlineStr">
        <is>
          <t>“Gurbette çocuklara bizim dili öğretti; dokuz çocuk telefonda bana ‘teyze’ dedi, ağladım.”</t>
        </is>
      </c>
    </row>
    <row r="174">
      <c r="A174" s="5" t="inlineStr">
        <is>
          <t>donuse-hazir</t>
        </is>
      </c>
      <c r="B174" s="6" t="inlineStr">
        <is>
          <t>Memleketteki evi dönüş için onarttı; kendisi hep yarı hazırdı.</t>
        </is>
      </c>
      <c r="C174" s="6" t="inlineStr"/>
      <c r="D174" s="6" t="inlineStr"/>
    </row>
    <row r="175">
      <c r="A175" s="5" t="inlineStr">
        <is>
          <t>yazliga-dondu</t>
        </is>
      </c>
      <c r="B175" s="6" t="inlineStr">
        <is>
          <t>Emekliliğinde memleketteki evine döndü; balkonda mangal yaktı.</t>
        </is>
      </c>
      <c r="C175" s="6" t="inlineStr"/>
      <c r="D175" s="6" t="inlineStr">
        <is>
          <t>“Memlekete döndü; balkondan mangal dumanı hâlâ görünüyor.”</t>
        </is>
      </c>
    </row>
    <row r="176">
      <c r="A176" s="5" t="inlineStr">
        <is>
          <t>iki-memleketli</t>
        </is>
      </c>
      <c r="B176" s="6" t="inlineStr">
        <is>
          <t>Kışları Öte Diyar'da, yazları memlekette geçirdi; iki mahallede de beklendi.</t>
        </is>
      </c>
      <c r="C176" s="6" t="inlineStr"/>
      <c r="D176" s="6" t="inlineStr">
        <is>
          <t>“Kışı burada, yazı orada geçirdi; iki mahalle de onu bekledi.”</t>
        </is>
      </c>
    </row>
    <row r="177">
      <c r="A177" s="5" t="inlineStr">
        <is>
          <t>keci-dostu</t>
        </is>
      </c>
      <c r="B177" s="6" t="inlineStr">
        <is>
          <t>Sürünün lider keçisiyle anlaştı.</t>
        </is>
      </c>
      <c r="C177" s="6" t="inlineStr"/>
      <c r="D177" s="6" t="inlineStr"/>
    </row>
    <row r="178">
      <c r="A178" s="5" t="inlineStr">
        <is>
          <t>kooperatif-defteri</t>
        </is>
      </c>
      <c r="B178" s="6" t="inlineStr">
        <is>
          <t>Kooperatifin hesap defterini tuttu.</t>
        </is>
      </c>
      <c r="C178" s="6" t="inlineStr"/>
      <c r="D178" s="6" t="inlineStr"/>
    </row>
    <row r="179">
      <c r="A179" s="5" t="inlineStr">
        <is>
          <t>kahvede-sozu-var</t>
        </is>
      </c>
      <c r="B179" s="6" t="inlineStr">
        <is>
          <t>Köy kahvesinde iki küs üyeyi barıştırdı; sözü dinlendi.</t>
        </is>
      </c>
      <c r="C179" s="6" t="inlineStr"/>
      <c r="D179" s="6" t="inlineStr"/>
    </row>
    <row r="180">
      <c r="A180" s="5" t="inlineStr">
        <is>
          <t>muhtar</t>
        </is>
      </c>
      <c r="B180" s="6" t="inlineStr">
        <is>
          <t>Köyün muhtarı oldu; mühür cebinde yıprandı.</t>
        </is>
      </c>
      <c r="C180" s="6" t="inlineStr">
        <is>
          <t>Muhtarlık: mühür, dilekçeler, bitmeyen soba meselesi ve her kararından sonra kahvede toplanan bir meclis.</t>
        </is>
      </c>
      <c r="D180" s="6" t="inlineStr">
        <is>
          <t>“Köyün muhtarı oldu; kahveye ikinci sobayı o kurdurdu, ilk çayı biz içtik.”</t>
        </is>
      </c>
    </row>
    <row r="181">
      <c r="A181" s="5" t="inlineStr">
        <is>
          <t>kooperatif</t>
        </is>
      </c>
      <c r="B181" s="6" t="inlineStr">
        <is>
          <t>Köyde kooperatif kurdu; peynirleri şehre gitti.</t>
        </is>
      </c>
      <c r="C181" s="6" t="inlineStr">
        <is>
          <t>Kooperatif hayatı: uzun toplantılar, süt tankı hesapları ve peynirin şehirdeki fiyatı.</t>
        </is>
      </c>
      <c r="D181" s="6" t="inlineStr"/>
    </row>
    <row r="182">
      <c r="A182" s="5" t="inlineStr">
        <is>
          <t>koy-fenomeni</t>
        </is>
      </c>
      <c r="B182" s="6" t="inlineStr">
        <is>
          <t>Keçileriyle çektiği videolarla ülke çapında tanındı.</t>
        </is>
      </c>
      <c r="C182" s="6" t="inlineStr">
        <is>
          <t>Köy fenomenliği: keçilerin reklam anlaşmaları, kahveye gelen turistler ve her an çalışan bir kamera.</t>
        </is>
      </c>
      <c r="D182" s="6" t="inlineStr"/>
    </row>
    <row r="183">
      <c r="A183" s="5" t="inlineStr">
        <is>
          <t>unlu-koylu</t>
        </is>
      </c>
      <c r="B183" s="6" t="inlineStr">
        <is>
          <t>Bir belgesel sayesinde “Belgeselde konuşan” olarak tanındı.</t>
        </is>
      </c>
      <c r="C183" s="6" t="inlineStr"/>
      <c r="D183" s="6" t="inlineStr"/>
    </row>
    <row r="184">
      <c r="A184" s="5" t="inlineStr">
        <is>
          <t>koy-hafizasi</t>
        </is>
      </c>
      <c r="B184" s="6" t="inlineStr">
        <is>
          <t>Köyün hikâyesini bir deftere yazdı.</t>
        </is>
      </c>
      <c r="C184" s="6" t="inlineStr"/>
      <c r="D184" s="6" t="inlineStr">
        <is>
          <t>“Köyün hikâyesini deftere yazdı; defter köyden büyük çıktı.”</t>
        </is>
      </c>
    </row>
    <row r="185">
      <c r="A185" s="5" t="inlineStr">
        <is>
          <t>usta-ciragi-var</t>
        </is>
      </c>
      <c r="B185" s="6" t="inlineStr">
        <is>
          <t>İlk çırağını yetiştirdi.</t>
        </is>
      </c>
      <c r="C185" s="6" t="inlineStr"/>
      <c r="D185" s="6" t="inlineStr"/>
    </row>
    <row r="186">
      <c r="A186" s="5" t="inlineStr">
        <is>
          <t>sanayi-hakemi</t>
        </is>
      </c>
      <c r="B186" s="6" t="inlineStr">
        <is>
          <t>Sanayide ustaların kavgasını çözen kişi oldu.</t>
        </is>
      </c>
      <c r="C186" s="6" t="inlineStr"/>
      <c r="D186" s="6" t="inlineStr"/>
    </row>
    <row r="187">
      <c r="A187" s="5" t="inlineStr">
        <is>
          <t>usta-buyudu</t>
        </is>
      </c>
      <c r="B187" s="6" t="inlineStr">
        <is>
          <t>Yeni sanayi sitesinde iki katlı dükkânıyla büyüdü.</t>
        </is>
      </c>
      <c r="C187" s="6" t="inlineStr">
        <is>
          <t>Büyük dükkân: kalfalar, lift taksitleri ve sitenin en kalabalık kapısı.</t>
        </is>
      </c>
      <c r="D187" s="6" t="inlineStr"/>
    </row>
    <row r="188">
      <c r="A188" s="5" t="inlineStr">
        <is>
          <t>yeni-motor-ustasi</t>
        </is>
      </c>
      <c r="B188" s="6" t="inlineStr">
        <is>
          <t>Sessiz motorların da sesini öğrendi.</t>
        </is>
      </c>
      <c r="C188" s="6" t="inlineStr"/>
      <c r="D188" s="6" t="inlineStr">
        <is>
          <t>“Sessiz arabaların arızasını da bulur oldu; kalfası ‘Usta kulağını yeniletmiş’ diyor.”</t>
        </is>
      </c>
    </row>
    <row r="189">
      <c r="A189" s="5" t="inlineStr">
        <is>
          <t>ustalarin-ustasi</t>
        </is>
      </c>
      <c r="B189" s="6" t="inlineStr">
        <is>
          <t>Sanayide “ustaların ustası” diye anıldı.</t>
        </is>
      </c>
      <c r="C189" s="6" t="inlineStr"/>
      <c r="D189" s="6" t="inlineStr">
        <is>
          <t>“Sanayide ona ‘ustaların ustası’ diyorlar; çırağı bayramda önce onun elini öpüyor.”</t>
        </is>
      </c>
    </row>
    <row r="190">
      <c r="A190" s="5" t="inlineStr">
        <is>
          <t>son-motor</t>
        </is>
      </c>
      <c r="B190" s="6" t="inlineStr">
        <is>
          <t>Son motorunu kendi elleriyle toplayıp sanayinin girişine bıraktı.</t>
        </is>
      </c>
      <c r="C190" s="6" t="inlineStr"/>
      <c r="D190" s="6" t="inlineStr">
        <is>
          <t>“Son motorunu kendi elleriyle sanayinin girişine bıraktı.”</t>
        </is>
      </c>
    </row>
    <row r="191">
      <c r="A191" s="5" t="inlineStr">
        <is>
          <t>ikiz</t>
        </is>
      </c>
      <c r="B191" s="6" t="inlineStr">
        <is>
          <t>İkiz ebeveyni oldu; bebek arabası pazarlığı iki kez yapıldı.</t>
        </is>
      </c>
      <c r="C191" s="6" t="inlineStr"/>
      <c r="D191" s="6" t="inlineStr">
        <is>
          <t>“Bir beşik aldık, iki bebek geldi; hangisi kime benziyor, hâlâ karar veremedik.”</t>
        </is>
      </c>
    </row>
    <row r="192">
      <c r="A192" s="5" t="inlineStr">
        <is>
          <t>kiraci-kaldi</t>
        </is>
      </c>
      <c r="B192" s="6" t="inlineStr">
        <is>
          <t>Ev almak yerine kirada kalmayı seçti.</t>
        </is>
      </c>
      <c r="C192" s="6" t="inlineStr"/>
      <c r="D192" s="6" t="inlineStr">
        <is>
          <t>“Ev almadı, kirada kaldı; ev sahibi bayramda onu arar.”</t>
        </is>
      </c>
    </row>
    <row r="193">
      <c r="A193" s="5" t="inlineStr">
        <is>
          <t>aile-yardimi-ev</t>
        </is>
      </c>
      <c r="B193" s="6" t="inlineStr">
        <is>
          <t>Ailesinin yardımıyla ev sahibi oldu; anahtarın yedeği annesinde.</t>
        </is>
      </c>
      <c r="C193" s="6" t="inlineStr"/>
      <c r="D193" s="6" t="inlineStr">
        <is>
          <t>“Ev onun, anahtarın yedeği bende.”</t>
        </is>
      </c>
    </row>
    <row r="194">
      <c r="A194" s="5" t="inlineStr">
        <is>
          <t>evin-oglu</t>
        </is>
      </c>
      <c r="B194" s="6" t="inlineStr">
        <is>
          <t>Otuzlarında hâlâ annesinin evinde, eski odasında yaşadı.</t>
        </is>
      </c>
      <c r="C194" s="6" t="inlineStr">
        <is>
          <t>Evin Oğlu: annenin tencere takvimi, sabit bir oda ve her bayram aynı soru.</t>
        </is>
      </c>
      <c r="D194" s="6" t="inlineStr"/>
    </row>
    <row r="195">
      <c r="A195" s="5" t="inlineStr">
        <is>
          <t>zirve</t>
        </is>
      </c>
      <c r="B195" s="6" t="inlineStr">
        <is>
          <t>Hattının zirvesine çıktı.</t>
        </is>
      </c>
      <c r="C195" s="6" t="inlineStr">
        <is>
          <t>Zirvedesin: artık herkes senden bir şey istiyor; en çok da zaman.</t>
        </is>
      </c>
      <c r="D195" s="6" t="inlineStr">
        <is>
          <t>“Mesleğinin en tepesine çıktı; komşulara ben söylemedim, kendileri sordu.”</t>
        </is>
      </c>
    </row>
    <row r="196">
      <c r="A196" s="5" t="inlineStr">
        <is>
          <t>emekliligi-reddetti</t>
        </is>
      </c>
      <c r="B196" s="6" t="inlineStr">
        <is>
          <t>Emekli olmayı reddetti; masası bir müze parçasına dönüştü.</t>
        </is>
      </c>
      <c r="C196" s="6" t="inlineStr"/>
      <c r="D196" s="6" t="inlineStr">
        <is>
          <t>“Pastayı yedi, plaketi aldı, ertesi sabah yine işe gitti. Kimse durduramadı.”</t>
        </is>
      </c>
    </row>
    <row r="197">
      <c r="A197" s="5" t="inlineStr">
        <is>
          <t>ask-evliligi</t>
        </is>
      </c>
      <c r="B197" s="6" t="inlineStr">
        <is>
          <t>Aşk evliliği yaptı; kahvesi tuzluydu.</t>
        </is>
      </c>
      <c r="C197" s="6" t="inlineStr"/>
      <c r="D197" s="6" t="inlineStr">
        <is>
          <t>“Tuzlu kahveyi son yudumuna kadar içti; o gün anladık ki bu iş olacak.”</t>
        </is>
      </c>
    </row>
    <row r="198">
      <c r="A198" s="5" t="inlineStr">
        <is>
          <t>gorucu</t>
        </is>
      </c>
      <c r="B198" s="6" t="inlineStr">
        <is>
          <t>Görücü usulüyle evlendi; ilk kahve bir yıl sürdü.</t>
        </is>
      </c>
      <c r="C198" s="6" t="inlineStr"/>
      <c r="D198" s="6" t="inlineStr">
        <is>
          <t>“‘Sadece bir kahve’ dedi; bir yıl sonra o kahveyi düğün salonunda içtik.”</t>
        </is>
      </c>
    </row>
    <row r="199">
      <c r="A199" s="5" t="inlineStr">
        <is>
          <t>bekar</t>
        </is>
      </c>
      <c r="B199" s="6" t="inlineStr">
        <is>
          <t>Bekâr kaldı; her bayram “Sen bilirsin” dinledi.</t>
        </is>
      </c>
      <c r="C199" s="6" t="inlineStr">
        <is>
          <t>Bekâr hayat: bayram sofralarında aynı soru, tek kişilik tatiller ve kimseye hesap vermeyen akşamlar.</t>
        </is>
      </c>
      <c r="D199" s="6" t="inlineStr">
        <is>
          <t>“Bayram sofrasında ‘Evlenmeyeceğim’ dedi; teyzesi dolmayı tabağından geri aldı.”</t>
        </is>
      </c>
    </row>
    <row r="200">
      <c r="A200" s="5" t="inlineStr">
        <is>
          <t>capkin</t>
        </is>
      </c>
      <c r="B200" s="6" t="inlineStr">
        <is>
          <t>Çapkın ilan edildi; aynı restoranda üç ayrı akşam rezervasyonu vardı.</t>
        </is>
      </c>
      <c r="C200" s="6" t="inlineStr">
        <is>
          <t>Çapkın hayat: aynı restoran, farklı akşamlar ve bir gün mutlaka gelen o tesadüf.</t>
        </is>
      </c>
      <c r="D200" s="6" t="inlineStr">
        <is>
          <t>“Aynı restoranda üç akşam, üç ayrı isim; garson ondan iyi biliyordu.”</t>
        </is>
      </c>
    </row>
    <row r="201">
      <c r="A201" s="5" t="inlineStr">
        <is>
          <t>capkin-ifsa</t>
        </is>
      </c>
      <c r="B201" s="6" t="inlineStr">
        <is>
          <t>Çapkınlığı bir aile grubunda ifşa oldu.</t>
        </is>
      </c>
      <c r="C201" s="6" t="inlineStr"/>
      <c r="D201" s="6" t="inlineStr">
        <is>
          <t>“Aile grubunda ifşa oldu; grup bir hafta sessiz kaldı.”</t>
        </is>
      </c>
    </row>
    <row r="202">
      <c r="A202" s="5" t="inlineStr">
        <is>
          <t>hat-politika</t>
        </is>
      </c>
      <c r="B202" s="6" t="inlineStr">
        <is>
          <t>Siyasete atıldı.</t>
        </is>
      </c>
      <c r="C202" s="6" t="inlineStr">
        <is>
          <t>Siyaset: miting çayları, kaldırım vaatleri ve seçim gecesi.</t>
        </is>
      </c>
      <c r="D202" s="6" t="inlineStr"/>
    </row>
    <row r="203">
      <c r="A203" s="5" t="inlineStr">
        <is>
          <t>ceza-indirimi</t>
        </is>
      </c>
      <c r="B203" s="6" t="inlineStr">
        <is>
          <t>Mahallesi ona kefil oldu; cezası kısaldı.</t>
        </is>
      </c>
      <c r="C203" s="6" t="inlineStr"/>
      <c r="D203" s="6" t="inlineStr"/>
    </row>
    <row r="204">
      <c r="A204" s="5" t="inlineStr">
        <is>
          <t>kardesli</t>
        </is>
      </c>
      <c r="B204" s="6" t="inlineStr">
        <is>
          <t>Bir kardeşi oldu.</t>
        </is>
      </c>
      <c r="C204" s="6" t="inlineStr"/>
      <c r="D204" s="6" t="inlineStr">
        <is>
          <t>“Kardeşi geldi; o günden beri bu evde iki bebek var, biri dört yaşında.”</t>
        </is>
      </c>
    </row>
    <row r="205">
      <c r="A205" s="5" t="inlineStr">
        <is>
          <t>sigara</t>
        </is>
      </c>
      <c r="B205" s="6" t="inlineStr">
        <is>
          <t>Sigaraya başladı.</t>
        </is>
      </c>
      <c r="C205" s="6" t="inlineStr"/>
      <c r="D205" s="6" t="inlineStr"/>
    </row>
    <row r="206">
      <c r="A206" s="5" t="inlineStr">
        <is>
          <t>anneanne-ugurladi</t>
        </is>
      </c>
      <c r="B206" s="6" t="inlineStr">
        <is>
          <t>Yirmili yaşlarında anneannesini uğurladı.</t>
        </is>
      </c>
      <c r="C206" s="6" t="inlineStr"/>
      <c r="D206" s="6" t="inlineStr">
        <is>
          <t>“Anneannesini erken uğurladı; sandalyesi hâlâ aynı yerde duruyor.”</t>
        </is>
      </c>
    </row>
    <row r="207">
      <c r="A207" s="5" t="inlineStr">
        <is>
          <t>bosandi</t>
        </is>
      </c>
      <c r="B207" s="6" t="inlineStr">
        <is>
          <t>Evliliği anlaşmalı bir boşanmayla bitti.</t>
        </is>
      </c>
      <c r="C207" s="6" t="inlineStr"/>
      <c r="D207" s="6" t="inlineStr">
        <is>
          <t>“Ayrıldılar; biz yine de bayramda iki tarafı da arıyoruz.”</t>
        </is>
      </c>
    </row>
    <row r="208">
      <c r="A208" s="5" t="inlineStr">
        <is>
          <t>sporcu</t>
        </is>
      </c>
      <c r="B208" s="6" t="inlineStr">
        <is>
          <t>Spor salonuna yıllık üyelik aldı ve gerçekten gitti.</t>
        </is>
      </c>
      <c r="C208" s="6" t="inlineStr"/>
      <c r="D208" s="6" t="inlineStr"/>
    </row>
    <row r="209">
      <c r="A209" s="5" t="inlineStr">
        <is>
          <t>babanin-ceketi</t>
        </is>
      </c>
      <c r="B209" s="6" t="inlineStr">
        <is>
          <t>Babasının ceketini giydi; kolları kısa, omuzları geniş geldi.</t>
        </is>
      </c>
      <c r="C209" s="6" t="inlineStr"/>
      <c r="D209" s="6" t="inlineStr">
        <is>
          <t>“Babasının ceketini giydi; kolları kısa geldi, kimse bir şey söylemedi.”</t>
        </is>
      </c>
    </row>
    <row r="210">
      <c r="A210" s="5" t="inlineStr">
        <is>
          <t>dul</t>
        </is>
      </c>
      <c r="B210" s="6" t="inlineStr">
        <is>
          <t>Eşini uğurladı; bir süre iki fincan çay koymayı bırakamadı.</t>
        </is>
      </c>
      <c r="C210" s="6" t="inlineStr"/>
      <c r="D210" s="6" t="inlineStr">
        <is>
          <t>“Eşinden sonra da iki fincan çıkarmayı bırakmadı; birini hep karşısına koydu.”</t>
        </is>
      </c>
    </row>
    <row r="211">
      <c r="A211" t="inlineStr">
        <is>
          <t>karne-iyi</t>
        </is>
      </c>
      <c r="B211" t="inlineStr">
        <is>
          <t>Karnesi iyiydi.</t>
        </is>
      </c>
      <c r="D211" t="inlineStr">
        <is>
          <t>“Karnesini kapıda gururla açtı; balkondan komşuya salladık.”</t>
        </is>
      </c>
    </row>
    <row r="212">
      <c r="A212" t="inlineStr">
        <is>
          <t>karne-orta</t>
        </is>
      </c>
      <c r="B212" t="inlineStr">
        <is>
          <t>Karnesi ortaydı.</t>
        </is>
      </c>
      <c r="D212" t="inlineStr">
        <is>
          <t>“Karnesi ne iyi ne kötüydü; imza sorunsuz geçti.”</t>
        </is>
      </c>
    </row>
    <row r="213">
      <c r="A213" t="inlineStr">
        <is>
          <t>karne-kotu</t>
        </is>
      </c>
      <c r="B213" t="inlineStr">
        <is>
          <t>Karnesi kötüydü.</t>
        </is>
      </c>
      <c r="D213" t="inlineStr">
        <is>
          <t>“Karnesini önce çantasında yaşattı, sonra babasına teslim etti.”</t>
        </is>
      </c>
    </row>
  </sheetData>
  <autoFilter ref="A1:D2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90" customWidth="1" min="3" max="3"/>
    <col width="18" customWidth="1" min="4" max="4"/>
    <col width="14" customWidth="1" min="5" max="5"/>
  </cols>
  <sheetData>
    <row r="1" ht="32" customHeight="1">
      <c r="A1" s="4" t="inlineStr">
        <is>
          <t>Asgari yaş</t>
        </is>
      </c>
      <c r="B1" s="4" t="inlineStr">
        <is>
          <t>Azami yaş</t>
        </is>
      </c>
      <c r="C1" s="4" t="inlineStr">
        <is>
          <t>Mezar taşı metni</t>
        </is>
      </c>
      <c r="D1" s="4" t="inlineStr">
        <is>
          <t>Gereken hafıza</t>
        </is>
      </c>
      <c r="E1" s="4" t="inlineStr">
        <is>
          <t>Mekân grubu</t>
        </is>
      </c>
    </row>
    <row r="2">
      <c r="A2" s="5" t="n">
        <v>18</v>
      </c>
      <c r="B2" s="5" t="n">
        <v>40</v>
      </c>
      <c r="C2" s="6" t="inlineStr">
        <is>
          <t>Kira sözleşmesinin ek maddelerini okurken. Madde 14 hâlâ açıklığa kavuşmadı.</t>
        </is>
      </c>
      <c r="D2" s="5" t="inlineStr"/>
      <c r="E2" s="5" t="inlineStr">
        <is>
          <t>ev</t>
        </is>
      </c>
    </row>
    <row r="3">
      <c r="A3" s="5" t="n">
        <v>18</v>
      </c>
      <c r="B3" s="5" t="n">
        <v>40</v>
      </c>
      <c r="C3" s="6" t="inlineStr">
        <is>
          <t>Kargo takip ekranında 'dağıtıma çıktı' yazısını beklerken. Kargo ertesi gün teslim edildi.</t>
        </is>
      </c>
      <c r="D3" s="5" t="inlineStr"/>
      <c r="E3" s="5" t="inlineStr">
        <is>
          <t>ev</t>
        </is>
      </c>
    </row>
    <row r="4">
      <c r="A4" s="5" t="n">
        <v>18</v>
      </c>
      <c r="B4" s="5" t="n">
        <v>40</v>
      </c>
      <c r="C4" s="6" t="inlineStr">
        <is>
          <t>Ev arkadaşıyla bulaşık nöbeti tartışmasının dördüncü turunda. Bulaşıklar hâlâ lavaboda.</t>
        </is>
      </c>
      <c r="D4" s="5" t="inlineStr"/>
      <c r="E4" s="5" t="inlineStr">
        <is>
          <t>ev</t>
        </is>
      </c>
    </row>
    <row r="5">
      <c r="A5" s="5" t="n">
        <v>18</v>
      </c>
      <c r="B5" s="5" t="n">
        <v>40</v>
      </c>
      <c r="C5" s="6" t="inlineStr">
        <is>
          <t>Staj başvurusunun on yedinci formunu doldururken. Başvuru alındı.</t>
        </is>
      </c>
      <c r="D5" s="5" t="inlineStr"/>
      <c r="E5" s="5" t="inlineStr">
        <is>
          <t>is</t>
        </is>
      </c>
    </row>
    <row r="6">
      <c r="A6" s="5" t="n">
        <v>18</v>
      </c>
      <c r="B6" s="5" t="n">
        <v>40</v>
      </c>
      <c r="C6" s="6" t="inlineStr">
        <is>
          <t>Yeni işinin ilk gününde, asansörde kimseyle göz teması kurmamaya çalışırken.</t>
        </is>
      </c>
      <c r="D6" s="5" t="inlineStr"/>
      <c r="E6" s="5" t="inlineStr">
        <is>
          <t>is</t>
        </is>
      </c>
    </row>
    <row r="7">
      <c r="A7" s="5" t="n">
        <v>18</v>
      </c>
      <c r="B7" s="5" t="n">
        <v>40</v>
      </c>
      <c r="C7" s="6" t="inlineStr">
        <is>
          <t>Kısa video uygulaması için aynı dansın kırk birinci çekiminde. Kırkıncısı zaten yüklenmişti.</t>
        </is>
      </c>
      <c r="D7" s="5" t="inlineStr">
        <is>
          <t>fenomen</t>
        </is>
      </c>
      <c r="E7" s="5" t="inlineStr">
        <is>
          <t>ev</t>
        </is>
      </c>
    </row>
    <row r="8">
      <c r="A8" s="5" t="n">
        <v>18</v>
      </c>
      <c r="B8" s="5" t="n">
        <v>40</v>
      </c>
      <c r="C8" s="6" t="inlineStr">
        <is>
          <t>Sabah koşusunun son turunda, saatin adım sayısını kontrol ederken. Hedef tamamlanmıştı.</t>
        </is>
      </c>
      <c r="D8" s="5" t="inlineStr">
        <is>
          <t>sporcu</t>
        </is>
      </c>
      <c r="E8" s="5" t="inlineStr">
        <is>
          <t>yol</t>
        </is>
      </c>
    </row>
    <row r="9">
      <c r="A9" s="5" t="n">
        <v>18</v>
      </c>
      <c r="B9" s="5" t="n">
        <v>40</v>
      </c>
      <c r="C9" s="6" t="inlineStr">
        <is>
          <t>Taksit planını yeniden yapılandırmak için bankayı ararken. Sıradaki müşteri temsilcisi hâlâ hatta.</t>
        </is>
      </c>
      <c r="D9" s="5" t="inlineStr">
        <is>
          <t>borclu</t>
        </is>
      </c>
      <c r="E9" s="5" t="inlineStr">
        <is>
          <t>ev</t>
        </is>
      </c>
    </row>
    <row r="10">
      <c r="A10" s="5" t="n">
        <v>40</v>
      </c>
      <c r="B10" s="5" t="n">
        <v>60</v>
      </c>
      <c r="C10" s="6" t="inlineStr">
        <is>
          <t>Site yönetimine itiraz dilekçesini teslim ederken. Dilekçe hâlâ değerlendiriliyor.</t>
        </is>
      </c>
      <c r="D10" s="5" t="inlineStr"/>
      <c r="E10" s="5" t="inlineStr">
        <is>
          <t>ev</t>
        </is>
      </c>
    </row>
    <row r="11">
      <c r="A11" s="5" t="n">
        <v>40</v>
      </c>
      <c r="B11" s="5" t="n">
        <v>60</v>
      </c>
      <c r="C11" s="6" t="inlineStr">
        <is>
          <t>Kombi tamircisini beklerken. Tamirci ertesi gün geldi.</t>
        </is>
      </c>
      <c r="D11" s="5" t="inlineStr"/>
      <c r="E11" s="5" t="inlineStr">
        <is>
          <t>ev</t>
        </is>
      </c>
    </row>
    <row r="12">
      <c r="A12" s="5" t="n">
        <v>40</v>
      </c>
      <c r="B12" s="5" t="n">
        <v>60</v>
      </c>
      <c r="C12" s="6" t="inlineStr">
        <is>
          <t>Performans değerlendirme toplantısında 'beklentileri karşılıyor' ifadesini duyduğu anda.</t>
        </is>
      </c>
      <c r="D12" s="5" t="inlineStr">
        <is>
          <t>meslek-beyazyaka</t>
        </is>
      </c>
      <c r="E12" s="5" t="inlineStr">
        <is>
          <t>is</t>
        </is>
      </c>
    </row>
    <row r="13">
      <c r="A13" s="5" t="n">
        <v>40</v>
      </c>
      <c r="B13" s="5" t="n">
        <v>60</v>
      </c>
      <c r="C13" s="6" t="inlineStr">
        <is>
          <t>Dükkânın kepengini indirirken, günün son müşterisinin 'Bir şey soracaktım' demesiyle.</t>
        </is>
      </c>
      <c r="D13" s="5" t="inlineStr">
        <is>
          <t>meslek-esnaf</t>
        </is>
      </c>
      <c r="E13" s="5" t="inlineStr">
        <is>
          <t>is</t>
        </is>
      </c>
    </row>
    <row r="14">
      <c r="A14" s="5" t="n">
        <v>40</v>
      </c>
      <c r="B14" s="5" t="n">
        <v>60</v>
      </c>
      <c r="C14" s="6" t="inlineStr">
        <is>
          <t>Mesai bitimine üç dakika kala gelen evrakı imzalarken. Evrak işleme alındı.</t>
        </is>
      </c>
      <c r="D14" s="5" t="inlineStr">
        <is>
          <t>meslek-memur</t>
        </is>
      </c>
      <c r="E14" s="5" t="inlineStr">
        <is>
          <t>is</t>
        </is>
      </c>
    </row>
    <row r="15">
      <c r="A15" s="5" t="n">
        <v>40</v>
      </c>
      <c r="B15" s="5" t="n">
        <v>60</v>
      </c>
      <c r="C15" s="6" t="inlineStr">
        <is>
          <t>Müşteriden gelen 'Ufak bir revizyon' mesajını açarken. Revizyon hâlâ sürüyor.</t>
        </is>
      </c>
      <c r="D15" s="5" t="inlineStr">
        <is>
          <t>meslek-serbest</t>
        </is>
      </c>
      <c r="E15" s="5" t="inlineStr">
        <is>
          <t>is</t>
        </is>
      </c>
    </row>
    <row r="16">
      <c r="A16" s="5" t="n">
        <v>40</v>
      </c>
      <c r="B16" s="5" t="n">
        <v>60</v>
      </c>
      <c r="C16" s="6" t="inlineStr">
        <is>
          <t>Veli toplantısında söz alma sırası kendisine geldiği anda.</t>
        </is>
      </c>
      <c r="D16" s="5" t="inlineStr">
        <is>
          <t>cocuklu</t>
        </is>
      </c>
      <c r="E16" s="5" t="inlineStr">
        <is>
          <t>kurum</t>
        </is>
      </c>
    </row>
    <row r="17">
      <c r="A17" s="5" t="n">
        <v>40</v>
      </c>
      <c r="B17" s="5" t="n">
        <v>60</v>
      </c>
      <c r="C17" s="6" t="inlineStr">
        <is>
          <t>Aile grubundaki uzun bir sesli mesajı ikinci kez dinlerken.</t>
        </is>
      </c>
      <c r="D17" s="5" t="inlineStr"/>
      <c r="E17" s="5" t="inlineStr">
        <is>
          <t>ev</t>
        </is>
      </c>
    </row>
    <row r="18">
      <c r="A18" s="5" t="n">
        <v>40</v>
      </c>
      <c r="B18" s="5" t="n">
        <v>60</v>
      </c>
      <c r="C18" s="6" t="inlineStr">
        <is>
          <t>Evlilik yıldönümü hediyesini son dakikada paketlerken. Kurdele bağlandı.</t>
        </is>
      </c>
      <c r="D18" s="5" t="inlineStr">
        <is>
          <t>evli</t>
        </is>
      </c>
      <c r="E18" s="5" t="inlineStr">
        <is>
          <t>ev</t>
        </is>
      </c>
    </row>
    <row r="19">
      <c r="A19" s="5" t="n">
        <v>40</v>
      </c>
      <c r="B19" s="5" t="n">
        <v>60</v>
      </c>
      <c r="C19" s="6" t="inlineStr">
        <is>
          <t>Bir sigarayı daha son sigara ilan ederken. Bu sefer gerçekten son oldu.</t>
        </is>
      </c>
      <c r="D19" s="5" t="inlineStr">
        <is>
          <t>sigara</t>
        </is>
      </c>
      <c r="E19" s="5" t="inlineStr">
        <is>
          <t>ev</t>
        </is>
      </c>
    </row>
    <row r="20">
      <c r="A20" s="5" t="n">
        <v>60</v>
      </c>
      <c r="B20" s="5" t="n">
        <v>75</v>
      </c>
      <c r="C20" s="6" t="inlineStr">
        <is>
          <t>Emeklilik dilekçesinin onayını beklerken. Onay ertesi hafta geldi.</t>
        </is>
      </c>
      <c r="D20" s="5" t="inlineStr"/>
      <c r="E20" s="5" t="inlineStr">
        <is>
          <t>kurum</t>
        </is>
      </c>
    </row>
    <row r="21">
      <c r="A21" s="5" t="n">
        <v>60</v>
      </c>
      <c r="B21" s="5" t="n">
        <v>75</v>
      </c>
      <c r="C21" s="6" t="inlineStr">
        <is>
          <t>Emekli ikramiyesiyle aldığı motosikletle ilk virajda. Viraj kazandı.</t>
        </is>
      </c>
      <c r="D21" s="5" t="inlineStr">
        <is>
          <t>emekli</t>
        </is>
      </c>
      <c r="E21" s="5" t="inlineStr">
        <is>
          <t>yol</t>
        </is>
      </c>
    </row>
    <row r="22">
      <c r="A22" s="5" t="n">
        <v>60</v>
      </c>
      <c r="B22" s="5" t="n">
        <v>75</v>
      </c>
      <c r="C22" s="6" t="inlineStr">
        <is>
          <t>Pazarın kapanışında son kasa domatesi pazarlık ederken. Domatesler yarı fiyatına alındı.</t>
        </is>
      </c>
      <c r="D22" s="5" t="inlineStr"/>
      <c r="E22" s="5" t="inlineStr">
        <is>
          <t>yol</t>
        </is>
      </c>
    </row>
    <row r="23">
      <c r="A23" s="5" t="n">
        <v>60</v>
      </c>
      <c r="B23" s="5" t="n">
        <v>75</v>
      </c>
      <c r="C23" s="6" t="inlineStr">
        <is>
          <t>Torunuyla saklambaç oynarken, en iyi saklanma yerini bulduğu anda. Oyunu kazandı.</t>
        </is>
      </c>
      <c r="D23" s="5" t="inlineStr">
        <is>
          <t>torunlu</t>
        </is>
      </c>
      <c r="E23" s="5" t="inlineStr">
        <is>
          <t>ev</t>
        </is>
      </c>
    </row>
    <row r="24">
      <c r="A24" s="5" t="n">
        <v>60</v>
      </c>
      <c r="B24" s="5" t="n">
        <v>75</v>
      </c>
      <c r="C24" s="6" t="inlineStr">
        <is>
          <t>Apartman toplantısında asansör bakım ücretinin paylaştırılmasını oylarken.</t>
        </is>
      </c>
      <c r="D24" s="5" t="inlineStr"/>
      <c r="E24" s="5" t="inlineStr">
        <is>
          <t>ev</t>
        </is>
      </c>
    </row>
    <row r="25">
      <c r="A25" s="5" t="n">
        <v>60</v>
      </c>
      <c r="B25" s="5" t="n">
        <v>75</v>
      </c>
      <c r="C25" s="6" t="inlineStr">
        <is>
          <t>Mahalle kahvesinde, bir tavla partisinin son zarında. Zar çift geldi.</t>
        </is>
      </c>
      <c r="D25" s="5" t="inlineStr"/>
      <c r="E25" s="5" t="inlineStr">
        <is>
          <t>sosyal</t>
        </is>
      </c>
    </row>
    <row r="26">
      <c r="A26" s="5" t="n">
        <v>60</v>
      </c>
      <c r="B26" s="5" t="n">
        <v>75</v>
      </c>
      <c r="C26" s="6" t="inlineStr">
        <is>
          <t>Bahçede domates fidesine konuşurken. Fide büyümeye devam etti.</t>
        </is>
      </c>
      <c r="D26" s="5" t="inlineStr"/>
      <c r="E26" s="5" t="inlineStr">
        <is>
          <t>ev</t>
        </is>
      </c>
    </row>
    <row r="27">
      <c r="A27" s="5" t="n">
        <v>60</v>
      </c>
      <c r="B27" s="5" t="n">
        <v>75</v>
      </c>
      <c r="C27" s="6" t="inlineStr">
        <is>
          <t>Kedisinin mamasını son indirimli paketten alırken. Kedi durumu kabullenmedi.</t>
        </is>
      </c>
      <c r="D27" s="5" t="inlineStr">
        <is>
          <t>kediGeldi</t>
        </is>
      </c>
      <c r="E27" s="5" t="inlineStr">
        <is>
          <t>yol</t>
        </is>
      </c>
    </row>
    <row r="28">
      <c r="A28" s="5" t="n">
        <v>60</v>
      </c>
      <c r="B28" s="5" t="n">
        <v>75</v>
      </c>
      <c r="C28" s="6" t="inlineStr">
        <is>
          <t>Eski takipçilerinden birinin 'Siz ölmediniz mi?' yorumuna cevap yazarken. Cevap gönderilmedi.</t>
        </is>
      </c>
      <c r="D28" s="5" t="inlineStr">
        <is>
          <t>fenomen</t>
        </is>
      </c>
      <c r="E28" s="5" t="inlineStr">
        <is>
          <t>ev</t>
        </is>
      </c>
    </row>
    <row r="29">
      <c r="A29" s="5" t="n">
        <v>60</v>
      </c>
      <c r="B29" s="5" t="n">
        <v>75</v>
      </c>
      <c r="C29" s="6" t="inlineStr">
        <is>
          <t>Sabah yürüyüşünde, ilk kez kimsenin geçemediği yokuşu geçtiği anda. Yokuş belediyeye bildirildi.</t>
        </is>
      </c>
      <c r="D29" s="5" t="inlineStr">
        <is>
          <t>sporcu</t>
        </is>
      </c>
      <c r="E29" s="5" t="inlineStr">
        <is>
          <t>yol</t>
        </is>
      </c>
    </row>
    <row r="30">
      <c r="A30" s="5" t="n">
        <v>75</v>
      </c>
      <c r="B30" s="5" t="n">
        <v>90</v>
      </c>
      <c r="C30" s="6" t="inlineStr">
        <is>
          <t>Uykusunda, huzur içinde. Alarmı kurmayı unutmamıştı.</t>
        </is>
      </c>
      <c r="D30" s="5" t="inlineStr"/>
      <c r="E30" s="5" t="inlineStr">
        <is>
          <t>ev</t>
        </is>
      </c>
    </row>
    <row r="31">
      <c r="A31" s="5" t="n">
        <v>75</v>
      </c>
      <c r="B31" s="5" t="n">
        <v>90</v>
      </c>
      <c r="C31" s="6" t="inlineStr">
        <is>
          <t>Öğleden sonra şekerlemesinde, huzur içinde. Şekerleme uzadı.</t>
        </is>
      </c>
      <c r="D31" s="5" t="inlineStr"/>
      <c r="E31" s="5" t="inlineStr">
        <is>
          <t>ev</t>
        </is>
      </c>
    </row>
    <row r="32">
      <c r="A32" s="5" t="n">
        <v>75</v>
      </c>
      <c r="B32" s="5" t="n">
        <v>90</v>
      </c>
      <c r="C32" s="6" t="inlineStr">
        <is>
          <t>Balkonda, sokağın akşam raporunu tamamladıktan sonra. Rapor eksiksizdi.</t>
        </is>
      </c>
      <c r="D32" s="5" t="inlineStr"/>
      <c r="E32" s="5" t="inlineStr">
        <is>
          <t>ev</t>
        </is>
      </c>
    </row>
    <row r="33">
      <c r="A33" s="5" t="n">
        <v>75</v>
      </c>
      <c r="B33" s="5" t="n">
        <v>90</v>
      </c>
      <c r="C33" s="6" t="inlineStr">
        <is>
          <t>Uykusunda, huzur içinde. Yanındaki kedi uyanmadı.</t>
        </is>
      </c>
      <c r="D33" s="5" t="inlineStr">
        <is>
          <t>kediGeldi</t>
        </is>
      </c>
      <c r="E33" s="5" t="inlineStr">
        <is>
          <t>ev</t>
        </is>
      </c>
    </row>
    <row r="34">
      <c r="A34" s="5" t="n">
        <v>75</v>
      </c>
      <c r="B34" s="5" t="n">
        <v>90</v>
      </c>
      <c r="C34" s="6" t="inlineStr">
        <is>
          <t>Emekli maaşını çekip bayram zarflarını hazırlarken. Zarflar dağıtıldı.</t>
        </is>
      </c>
      <c r="D34" s="5" t="inlineStr">
        <is>
          <t>emekli</t>
        </is>
      </c>
      <c r="E34" s="5" t="inlineStr">
        <is>
          <t>is</t>
        </is>
      </c>
    </row>
    <row r="35">
      <c r="A35" s="5" t="n">
        <v>75</v>
      </c>
      <c r="B35" s="5" t="n">
        <v>90</v>
      </c>
      <c r="C35" s="6" t="inlineStr">
        <is>
          <t>Torunlarına aynı hikâyeyi yedinci kez anlatırken. Sonunu bu sefer herkes birlikte söyledi.</t>
        </is>
      </c>
      <c r="D35" s="5" t="inlineStr">
        <is>
          <t>torunlu</t>
        </is>
      </c>
      <c r="E35" s="5" t="inlineStr">
        <is>
          <t>ev</t>
        </is>
      </c>
    </row>
    <row r="36">
      <c r="A36" s="5" t="n">
        <v>75</v>
      </c>
      <c r="B36" s="5" t="n">
        <v>90</v>
      </c>
      <c r="C36" s="6" t="inlineStr">
        <is>
          <t>Eşiyle akşam çayında, bardaklar tam tazelendiği anda. Çay soğumadı.</t>
        </is>
      </c>
      <c r="D36" s="5" t="inlineStr">
        <is>
          <t>evli</t>
        </is>
      </c>
      <c r="E36" s="5" t="inlineStr">
        <is>
          <t>ev</t>
        </is>
      </c>
    </row>
    <row r="37">
      <c r="A37" s="5" t="n">
        <v>75</v>
      </c>
      <c r="B37" s="5" t="n">
        <v>90</v>
      </c>
      <c r="C37" s="6" t="inlineStr">
        <is>
          <t>Koltukta, kumanda elinde, huzur içinde. Dizinin sonunu sonraki bölüm açıkladı.</t>
        </is>
      </c>
      <c r="D37" s="5" t="inlineStr"/>
      <c r="E37" s="5" t="inlineStr">
        <is>
          <t>ev</t>
        </is>
      </c>
    </row>
    <row r="38">
      <c r="A38" s="5" t="n">
        <v>75</v>
      </c>
      <c r="B38" s="5" t="n">
        <v>90</v>
      </c>
      <c r="C38" s="6" t="inlineStr">
        <is>
          <t>Eski iş arkadaşlarının yıllık buluşmasında, kendi eski masasına oturduğu anda.</t>
        </is>
      </c>
      <c r="D38" s="5" t="inlineStr">
        <is>
          <t>meslek-memur</t>
        </is>
      </c>
      <c r="E38" s="5" t="inlineStr">
        <is>
          <t>sosyal</t>
        </is>
      </c>
    </row>
    <row r="39">
      <c r="A39" s="5" t="n">
        <v>75</v>
      </c>
      <c r="B39" s="5" t="n">
        <v>90</v>
      </c>
      <c r="C39" s="6" t="inlineStr">
        <is>
          <t>Pazar kahvaltısında, bütün ailesi masadayken. Yumurta tam kıvamındaydı.</t>
        </is>
      </c>
      <c r="D39" s="5" t="inlineStr">
        <is>
          <t>cocuklu</t>
        </is>
      </c>
      <c r="E39" s="5" t="inlineStr">
        <is>
          <t>ev</t>
        </is>
      </c>
    </row>
    <row r="40">
      <c r="A40" s="5" t="n">
        <v>90</v>
      </c>
      <c r="B40" s="5" t="n">
        <v>110</v>
      </c>
      <c r="C40" s="6" t="inlineStr">
        <is>
          <t>Uykusunda, huzur içinde. Sabahın ilk çayı demlenmişti.</t>
        </is>
      </c>
      <c r="D40" s="5" t="inlineStr"/>
      <c r="E40" s="5" t="inlineStr">
        <is>
          <t>ev</t>
        </is>
      </c>
    </row>
    <row r="41">
      <c r="A41" s="5" t="n">
        <v>90</v>
      </c>
      <c r="B41" s="5" t="n">
        <v>110</v>
      </c>
      <c r="C41" s="6" t="inlineStr">
        <is>
          <t>Pencere kenarında, güneşin tam kendi sandalyesine vurduğu anda. Sandalye hâlâ orada.</t>
        </is>
      </c>
      <c r="D41" s="5" t="inlineStr"/>
      <c r="E41" s="5" t="inlineStr">
        <is>
          <t>ev</t>
        </is>
      </c>
    </row>
    <row r="42">
      <c r="A42" s="5" t="n">
        <v>90</v>
      </c>
      <c r="B42" s="5" t="n">
        <v>110</v>
      </c>
      <c r="C42" s="6" t="inlineStr">
        <is>
          <t>Uykusunda, huzur içinde. Rüyasında kiminle tartıştığı açıklanmadı.</t>
        </is>
      </c>
      <c r="D42" s="5" t="inlineStr"/>
      <c r="E42" s="5" t="inlineStr">
        <is>
          <t>ev</t>
        </is>
      </c>
    </row>
    <row r="43">
      <c r="A43" s="5" t="n">
        <v>90</v>
      </c>
      <c r="B43" s="5" t="n">
        <v>110</v>
      </c>
      <c r="C43" s="6" t="inlineStr">
        <is>
          <t>Mahallenin en yaşlı sakini unvanını bir yıl daha koruduktan sonra. Unvan boşta kaldı.</t>
        </is>
      </c>
      <c r="D43" s="5" t="inlineStr"/>
      <c r="E43" s="5" t="inlineStr">
        <is>
          <t>yol</t>
        </is>
      </c>
    </row>
    <row r="44">
      <c r="A44" s="5" t="n">
        <v>90</v>
      </c>
      <c r="B44" s="5" t="n">
        <v>110</v>
      </c>
      <c r="C44" s="6" t="inlineStr">
        <is>
          <t>Torununun torununa ilk kez adını söyletmeyi başardığı gün, huzur içinde.</t>
        </is>
      </c>
      <c r="D44" s="5" t="inlineStr">
        <is>
          <t>torunlu</t>
        </is>
      </c>
      <c r="E44" s="5" t="inlineStr">
        <is>
          <t>ev</t>
        </is>
      </c>
    </row>
    <row r="45">
      <c r="A45" s="5" t="n">
        <v>90</v>
      </c>
      <c r="B45" s="5" t="n">
        <v>110</v>
      </c>
      <c r="C45" s="6" t="inlineStr">
        <is>
          <t>Öğleden sonra şekerlemesinde, yanında açık bir fotoğraf albümüyle. Albüm doğru sayfadaydı.</t>
        </is>
      </c>
      <c r="D45" s="5" t="inlineStr"/>
      <c r="E45" s="5" t="inlineStr">
        <is>
          <t>ev</t>
        </is>
      </c>
    </row>
    <row r="46">
      <c r="A46" s="5" t="n">
        <v>90</v>
      </c>
      <c r="B46" s="5" t="n">
        <v>110</v>
      </c>
      <c r="C46" s="6" t="inlineStr">
        <is>
          <t>Uykusunda, huzur içinde. Dükkânın anahtarı hâlâ cebindeydi.</t>
        </is>
      </c>
      <c r="D46" s="5" t="inlineStr">
        <is>
          <t>meslek-esnaf</t>
        </is>
      </c>
      <c r="E46" s="5" t="inlineStr">
        <is>
          <t>ev</t>
        </is>
      </c>
    </row>
    <row r="47">
      <c r="A47" s="5" t="n">
        <v>18</v>
      </c>
      <c r="B47" s="5" t="n">
        <v>40</v>
      </c>
      <c r="C47" s="6" t="inlineStr">
        <is>
          <t>Yaya geçidinde, ışığın yeşile dönmesini beklerken. Kırmızıyı kaçıran kamyonet olayı sonradan “Görmedim” diye özetledi.</t>
        </is>
      </c>
      <c r="D47" s="5" t="inlineStr"/>
      <c r="E47" s="5" t="inlineStr">
        <is>
          <t>yol</t>
        </is>
      </c>
    </row>
    <row r="48">
      <c r="A48" s="5" t="n">
        <v>18</v>
      </c>
      <c r="B48" s="5" t="n">
        <v>40</v>
      </c>
      <c r="C48" s="6" t="inlineStr">
        <is>
          <t>Otobüse yetişmek için son sprintte, kaldırımın kenarına takılırken. Otobüs onu durakta beklemişti.</t>
        </is>
      </c>
      <c r="D48" s="5" t="inlineStr"/>
      <c r="E48" s="5" t="inlineStr">
        <is>
          <t>yol</t>
        </is>
      </c>
    </row>
    <row r="49">
      <c r="A49" s="5" t="n">
        <v>18</v>
      </c>
      <c r="B49" s="5" t="n">
        <v>40</v>
      </c>
      <c r="C49" s="6" t="inlineStr">
        <is>
          <t>Yolun karşısındaki arkadaşına el sallarken, yaklaşan aracı görmeden. Arkadaş el sallamaya devam etti.</t>
        </is>
      </c>
      <c r="D49" s="5" t="inlineStr"/>
      <c r="E49" s="5" t="inlineStr">
        <is>
          <t>yol</t>
        </is>
      </c>
    </row>
    <row r="50">
      <c r="A50" s="5" t="n">
        <v>40</v>
      </c>
      <c r="B50" s="5" t="n">
        <v>60</v>
      </c>
      <c r="C50" s="6" t="inlineStr">
        <is>
          <t>Karşıdan karşıya geçerken, telefona “Yoldayım” yazdığı anda. Mesaj iletildi.</t>
        </is>
      </c>
      <c r="D50" s="5" t="inlineStr"/>
      <c r="E50" s="5" t="inlineStr">
        <is>
          <t>yol</t>
        </is>
      </c>
    </row>
    <row r="51">
      <c r="A51" s="5" t="n">
        <v>40</v>
      </c>
      <c r="B51" s="5" t="n">
        <v>60</v>
      </c>
      <c r="C51" s="6" t="inlineStr">
        <is>
          <t>Sahil yolunda yürüyüşte, bisiklet yoluna girdiği anda. Bisikletli özür diledi; zili hâlâ çalıyor.</t>
        </is>
      </c>
      <c r="D51" s="5" t="inlineStr"/>
      <c r="E51" s="5" t="inlineStr">
        <is>
          <t>yol</t>
        </is>
      </c>
    </row>
    <row r="52">
      <c r="A52" s="5" t="n">
        <v>40</v>
      </c>
      <c r="B52" s="5" t="n">
        <v>60</v>
      </c>
      <c r="C52" s="6" t="inlineStr">
        <is>
          <t>Trafikte kornaya basan kişiye “Sakin ol” demek için araçtan inerken. Trafik o sırada açıldı.</t>
        </is>
      </c>
      <c r="D52" s="5" t="inlineStr"/>
      <c r="E52" s="5" t="inlineStr">
        <is>
          <t>yol</t>
        </is>
      </c>
    </row>
    <row r="53">
      <c r="A53" s="5" t="n">
        <v>60</v>
      </c>
      <c r="B53" s="5" t="n">
        <v>75</v>
      </c>
      <c r="C53" s="6" t="inlineStr">
        <is>
          <t>Yaya geçidinde, sürücünün “Siz geçin” işaretini yanlış anladığı anda. Sürücü işaretini düzeltmedi.</t>
        </is>
      </c>
      <c r="D53" s="5" t="inlineStr"/>
      <c r="E53" s="5" t="inlineStr">
        <is>
          <t>yol</t>
        </is>
      </c>
    </row>
    <row r="54">
      <c r="A54" s="5" t="n">
        <v>60</v>
      </c>
      <c r="B54" s="5" t="n">
        <v>75</v>
      </c>
      <c r="C54" s="6" t="inlineStr">
        <is>
          <t>Pazar yolunda, kaldırımdaki en son ‘kolay’ yokuşta. Yokuş belediyeye bildirildi.</t>
        </is>
      </c>
      <c r="D54" s="5" t="inlineStr"/>
      <c r="E54" s="5" t="inlineStr">
        <is>
          <t>yol</t>
        </is>
      </c>
    </row>
    <row r="55">
      <c r="A55" s="5" t="n">
        <v>75</v>
      </c>
      <c r="B55" s="5" t="n">
        <v>90</v>
      </c>
      <c r="C55" s="6" t="inlineStr">
        <is>
          <t>Parkta, bankta, güvercinlere simit ufalarken, huzur içinde. Güvercinler simidi bitirdi.</t>
        </is>
      </c>
      <c r="D55" s="5" t="inlineStr"/>
      <c r="E55" s="5" t="inlineStr">
        <is>
          <t>yol</t>
        </is>
      </c>
    </row>
    <row r="56">
      <c r="A56" s="5" t="n">
        <v>18</v>
      </c>
      <c r="B56" s="5" t="n">
        <v>40</v>
      </c>
      <c r="C56" s="6" t="inlineStr">
        <is>
          <t>İş görüşmesinde “Beş yıl sonra kendinizi nerede görüyorsunuz?” sorusunu yanıtlarken. Cevap değerlendirme formuna geçti.</t>
        </is>
      </c>
      <c r="D56" s="5" t="inlineStr"/>
      <c r="E56" s="5" t="inlineStr">
        <is>
          <t>is</t>
        </is>
      </c>
    </row>
    <row r="57">
      <c r="A57" s="5" t="n">
        <v>18</v>
      </c>
      <c r="B57" s="5" t="n">
        <v>40</v>
      </c>
      <c r="C57" s="6" t="inlineStr">
        <is>
          <t>Fotokopi makinesinin sıkışan kâğıdını çıkarmak için ‘sadece bir kez’ kapağı açarken. Makine servis çağırdı.</t>
        </is>
      </c>
      <c r="D57" s="5" t="inlineStr"/>
      <c r="E57" s="5" t="inlineStr">
        <is>
          <t>is</t>
        </is>
      </c>
    </row>
    <row r="58">
      <c r="A58" s="5" t="n">
        <v>18</v>
      </c>
      <c r="B58" s="5" t="n">
        <v>40</v>
      </c>
      <c r="C58" s="6" t="inlineStr">
        <is>
          <t>Mesai sonunda, son e-postayı “Gönder”e basmadan önce bir kez daha okurken. E-posta taslakta kaldı.</t>
        </is>
      </c>
      <c r="D58" s="5" t="inlineStr"/>
      <c r="E58" s="5" t="inlineStr">
        <is>
          <t>is</t>
        </is>
      </c>
    </row>
    <row r="59">
      <c r="A59" s="5" t="n">
        <v>40</v>
      </c>
      <c r="B59" s="5" t="n">
        <v>60</v>
      </c>
      <c r="C59" s="6" t="inlineStr">
        <is>
          <t>Yıllık toplantıda sunumun on dokuzuncu slaytında. Slayt hiç değişmedi.</t>
        </is>
      </c>
      <c r="D59" s="5" t="inlineStr"/>
      <c r="E59" s="5" t="inlineStr">
        <is>
          <t>is</t>
        </is>
      </c>
    </row>
    <row r="60">
      <c r="A60" s="5" t="n">
        <v>40</v>
      </c>
      <c r="B60" s="5" t="n">
        <v>60</v>
      </c>
      <c r="C60" s="6" t="inlineStr">
        <is>
          <t>Kasadaki fiyat etiketini düzeltmek için rafa uzanırken. Etiket doğruydu.</t>
        </is>
      </c>
      <c r="D60" s="5" t="inlineStr"/>
      <c r="E60" s="5" t="inlineStr">
        <is>
          <t>is</t>
        </is>
      </c>
    </row>
    <row r="61">
      <c r="A61" s="5" t="n">
        <v>40</v>
      </c>
      <c r="B61" s="5" t="n">
        <v>60</v>
      </c>
      <c r="C61" s="6" t="inlineStr">
        <is>
          <t>Dairede ‘fotokopisi eksik’ evrak için sıraya üçüncü kez girerken. Sıra numarası hâlâ geçerli.</t>
        </is>
      </c>
      <c r="D61" s="5" t="inlineStr"/>
      <c r="E61" s="5" t="inlineStr">
        <is>
          <t>is</t>
        </is>
      </c>
    </row>
    <row r="62">
      <c r="A62" s="5" t="n">
        <v>60</v>
      </c>
      <c r="B62" s="5" t="n">
        <v>75</v>
      </c>
      <c r="C62" s="6" t="inlineStr">
        <is>
          <t>Eski dükkânına son bir uğrayışta, kepengi kendi elleriyle indirirken. Kepenk son kez sorunsuz indi.</t>
        </is>
      </c>
      <c r="D62" s="5" t="inlineStr"/>
      <c r="E62" s="5" t="inlineStr">
        <is>
          <t>is</t>
        </is>
      </c>
    </row>
    <row r="63">
      <c r="A63" s="5" t="n">
        <v>60</v>
      </c>
      <c r="B63" s="5" t="n">
        <v>75</v>
      </c>
      <c r="C63" s="6" t="inlineStr">
        <is>
          <t>Bankada emekli maaşı sırasında, numaratörün ‘Sıra sizde’ dediği an. Memur ‘Öğle arası’ dedi.</t>
        </is>
      </c>
      <c r="D63" s="5" t="inlineStr"/>
      <c r="E63" s="5" t="inlineStr">
        <is>
          <t>is</t>
        </is>
      </c>
    </row>
    <row r="64">
      <c r="A64" s="5" t="n">
        <v>18</v>
      </c>
      <c r="B64" s="5" t="n">
        <v>40</v>
      </c>
      <c r="C64" s="6" t="inlineStr">
        <is>
          <t>Hastanede ‘rutin kontrol’ için bekleme salonunda, sıra numarasını okurken. Numara kendisine ulaşmadı.</t>
        </is>
      </c>
      <c r="D64" s="5" t="inlineStr"/>
      <c r="E64" s="5" t="inlineStr">
        <is>
          <t>saglik</t>
        </is>
      </c>
    </row>
    <row r="65">
      <c r="A65" s="5" t="n">
        <v>40</v>
      </c>
      <c r="B65" s="5" t="n">
        <v>60</v>
      </c>
      <c r="C65" s="6" t="inlineStr">
        <is>
          <t>Hastane otoparkında, boş yer kovalarken. Boş yer sonunda çıktı.</t>
        </is>
      </c>
      <c r="D65" s="5" t="inlineStr"/>
      <c r="E65" s="5" t="inlineStr">
        <is>
          <t>saglik</t>
        </is>
      </c>
    </row>
    <row r="66">
      <c r="A66" s="5" t="n">
        <v>40</v>
      </c>
      <c r="B66" s="5" t="n">
        <v>60</v>
      </c>
      <c r="C66" s="6" t="inlineStr">
        <is>
          <t>Doktorun ‘Biraz kilo vermelisiniz’ cümlesini ikinci kez duyduğu anda. Reçeteye çorba yazıldı.</t>
        </is>
      </c>
      <c r="D66" s="5" t="inlineStr"/>
      <c r="E66" s="5" t="inlineStr">
        <is>
          <t>saglik</t>
        </is>
      </c>
    </row>
    <row r="67">
      <c r="A67" s="5" t="n">
        <v>60</v>
      </c>
      <c r="B67" s="5" t="n">
        <v>75</v>
      </c>
      <c r="C67" s="6" t="inlineStr">
        <is>
          <t>Poliklinik koridorunda, randevusunu üç ay sonraya aldığı anda. Randevu hâlâ geçerli.</t>
        </is>
      </c>
      <c r="D67" s="5" t="inlineStr"/>
      <c r="E67" s="5" t="inlineStr">
        <is>
          <t>saglik</t>
        </is>
      </c>
    </row>
    <row r="68">
      <c r="A68" s="5" t="n">
        <v>75</v>
      </c>
      <c r="B68" s="5" t="n">
        <v>90</v>
      </c>
      <c r="C68" s="6" t="inlineStr">
        <is>
          <t>Hastane odasında, tüm ailesi etrafındayken, huzur içinde. Oda bir süre kalabalık kaldı.</t>
        </is>
      </c>
      <c r="D68" s="5" t="inlineStr"/>
      <c r="E68" s="5" t="inlineStr">
        <is>
          <t>saglik</t>
        </is>
      </c>
    </row>
    <row r="69">
      <c r="A69" s="5" t="n">
        <v>18</v>
      </c>
      <c r="B69" s="5" t="n">
        <v>40</v>
      </c>
      <c r="C69" s="6" t="inlineStr">
        <is>
          <t>Düğünde pastayı kesme sırasında, tam objektife dönerken. Pasta kesildi, fotoğraf çıktı.</t>
        </is>
      </c>
      <c r="D69" s="5" t="inlineStr"/>
      <c r="E69" s="5" t="inlineStr">
        <is>
          <t>sosyal</t>
        </is>
      </c>
    </row>
    <row r="70">
      <c r="A70" s="5" t="n">
        <v>18</v>
      </c>
      <c r="B70" s="5" t="n">
        <v>40</v>
      </c>
      <c r="C70" s="6" t="inlineStr">
        <is>
          <t>Kafede ‘Bir çay daha’ dediği anda. Çay geldi, kimse içmedi.</t>
        </is>
      </c>
      <c r="D70" s="5" t="inlineStr"/>
      <c r="E70" s="5" t="inlineStr">
        <is>
          <t>sosyal</t>
        </is>
      </c>
    </row>
    <row r="71">
      <c r="A71" s="5" t="n">
        <v>40</v>
      </c>
      <c r="B71" s="5" t="n">
        <v>60</v>
      </c>
      <c r="C71" s="6" t="inlineStr">
        <is>
          <t>Düğün salonunda, davul çalarken ‘Bir halay da ben’ diyerek ortaya çıktığı an. Halay devam etti.</t>
        </is>
      </c>
      <c r="D71" s="5" t="inlineStr"/>
      <c r="E71" s="5" t="inlineStr">
        <is>
          <t>sosyal</t>
        </is>
      </c>
    </row>
    <row r="72">
      <c r="A72" s="5" t="n">
        <v>40</v>
      </c>
      <c r="B72" s="5" t="n">
        <v>60</v>
      </c>
      <c r="C72" s="6" t="inlineStr">
        <is>
          <t>Mahalle maçında, ‘Ben kaleye geçeyim’ dediği anda. Maç berabere bitti.</t>
        </is>
      </c>
      <c r="D72" s="5" t="inlineStr"/>
      <c r="E72" s="5" t="inlineStr">
        <is>
          <t>sosyal</t>
        </is>
      </c>
    </row>
    <row r="73">
      <c r="A73" s="5" t="n">
        <v>60</v>
      </c>
      <c r="B73" s="5" t="n">
        <v>75</v>
      </c>
      <c r="C73" s="6" t="inlineStr">
        <is>
          <t>Kahvede, tavlada ‘şeş-beş’ attığı anda. Rakip itiraz etmedi.</t>
        </is>
      </c>
      <c r="D73" s="5" t="inlineStr"/>
      <c r="E73" s="5" t="inlineStr">
        <is>
          <t>sosyal</t>
        </is>
      </c>
    </row>
    <row r="74">
      <c r="A74" s="5" t="n">
        <v>75</v>
      </c>
      <c r="B74" s="5" t="n">
        <v>90</v>
      </c>
      <c r="C74" s="6" t="inlineStr">
        <is>
          <t>Düğün sofrasında, torununun ilk dansını izlerken, huzur içinde. Müzik durmadı.</t>
        </is>
      </c>
      <c r="D74" s="5" t="inlineStr"/>
      <c r="E74" s="5" t="inlineStr">
        <is>
          <t>sosyal</t>
        </is>
      </c>
    </row>
    <row r="75">
      <c r="A75" s="5" t="n">
        <v>18</v>
      </c>
      <c r="B75" s="5" t="n">
        <v>40</v>
      </c>
      <c r="C75" s="6" t="inlineStr">
        <is>
          <t>Sınav salonunda, son soruyu cevaplarken. Süre dolmuştu; cevap doğruydu.</t>
        </is>
      </c>
      <c r="D75" s="5" t="inlineStr"/>
      <c r="E75" s="5" t="inlineStr">
        <is>
          <t>kurum</t>
        </is>
      </c>
    </row>
    <row r="76">
      <c r="A76" s="5" t="n">
        <v>18</v>
      </c>
      <c r="B76" s="5" t="n">
        <v>40</v>
      </c>
      <c r="C76" s="6" t="inlineStr">
        <is>
          <t>Üniversitenin kantininde, uzun kuyruğun en önünde. Tost bitti.</t>
        </is>
      </c>
      <c r="D76" s="5" t="inlineStr"/>
      <c r="E76" s="5" t="inlineStr">
        <is>
          <t>kurum</t>
        </is>
      </c>
    </row>
    <row r="77">
      <c r="A77" s="5" t="n">
        <v>40</v>
      </c>
      <c r="B77" s="5" t="n">
        <v>60</v>
      </c>
      <c r="C77" s="6" t="inlineStr">
        <is>
          <t>Veli toplantısında, ‘Çocuğunuz çok yaratıcı’ cümlesini duyarken. Cümle devam etti.</t>
        </is>
      </c>
      <c r="D77" s="5" t="inlineStr"/>
      <c r="E77" s="5" t="inlineStr">
        <is>
          <t>kurum</t>
        </is>
      </c>
    </row>
    <row r="78">
      <c r="A78" s="5" t="n">
        <v>40</v>
      </c>
      <c r="B78" s="5" t="n">
        <v>60</v>
      </c>
      <c r="C78" s="6" t="inlineStr">
        <is>
          <t>Mahkeme koridorunda, ‘Dosyanız hazır’ cümlesini beklerken. Dosya başka koridordaydı.</t>
        </is>
      </c>
      <c r="D78" s="5" t="inlineStr"/>
      <c r="E78" s="5" t="inlineStr">
        <is>
          <t>kurum</t>
        </is>
      </c>
    </row>
    <row r="79">
      <c r="A79" s="5" t="n">
        <v>60</v>
      </c>
      <c r="B79" s="5" t="n">
        <v>75</v>
      </c>
      <c r="C79" s="6" t="inlineStr">
        <is>
          <t>Köy meydanında, muhtarın ‘Kimsenin itirazı yoksa’ dediği anda. İtiraz eden çıkmadı.</t>
        </is>
      </c>
      <c r="D79" s="5" t="inlineStr"/>
      <c r="E79" s="5" t="inlineStr">
        <is>
          <t>kurum</t>
        </is>
      </c>
    </row>
    <row r="80">
      <c r="A80" s="5" t="n">
        <v>75</v>
      </c>
      <c r="B80" s="5" t="n">
        <v>90</v>
      </c>
      <c r="C80" s="6" t="inlineStr">
        <is>
          <t>Huzurevinin bahçesinde, sabah güneşinde, huzur içinde. Güneş batana kadar kimse rahatsız etmedi.</t>
        </is>
      </c>
      <c r="D80" s="5" t="inlineStr"/>
      <c r="E80" s="5" t="inlineStr">
        <is>
          <t>kurum</t>
        </is>
      </c>
    </row>
  </sheetData>
  <autoFilter ref="A1:E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8" customWidth="1" min="2" max="2"/>
    <col width="10" customWidth="1" min="3" max="3"/>
    <col width="12" customWidth="1" min="4" max="4"/>
    <col width="18" customWidth="1" min="5" max="5"/>
    <col width="22" customWidth="1" min="6" max="6"/>
    <col width="10" customWidth="1" min="7" max="7"/>
    <col width="60" customWidth="1" min="8" max="8"/>
    <col width="30" customWidth="1" min="9" max="9"/>
  </cols>
  <sheetData>
    <row r="1" ht="32" customHeight="1">
      <c r="A1" s="4" t="inlineStr">
        <is>
          <t>Bölüm</t>
        </is>
      </c>
      <c r="B1" s="4" t="inlineStr">
        <is>
          <t>Ad</t>
        </is>
      </c>
      <c r="C1" s="4" t="inlineStr">
        <is>
          <t>Seçilecek olay</t>
        </is>
      </c>
      <c r="D1" s="4" t="inlineStr">
        <is>
          <t>Beklenen özellik</t>
        </is>
      </c>
      <c r="E1" s="4" t="inlineStr">
        <is>
          <t>Yaş aralığı</t>
        </is>
      </c>
      <c r="F1" s="4" t="inlineStr">
        <is>
          <t>Son görsel (olay ID)</t>
        </is>
      </c>
      <c r="G1" s="4" t="inlineStr">
        <is>
          <t>Son yaş</t>
        </is>
      </c>
      <c r="H1" s="4" t="inlineStr">
        <is>
          <t>Son metin</t>
        </is>
      </c>
      <c r="I1" s="4" t="inlineStr">
        <is>
          <t>Sonraki düğme</t>
        </is>
      </c>
    </row>
    <row r="2">
      <c r="A2" s="5" t="n">
        <v>1</v>
      </c>
      <c r="B2" s="5" t="inlineStr">
        <is>
          <t>Ev</t>
        </is>
      </c>
      <c r="C2" s="5" t="n">
        <v>6</v>
      </c>
      <c r="D2" s="5" t="n">
        <v>25</v>
      </c>
      <c r="E2" s="5" t="inlineStr">
        <is>
          <t>Doğum → 3 yaş</t>
        </is>
      </c>
      <c r="F2" s="5" t="inlineStr">
        <is>
          <t>kres-kapisi</t>
        </is>
      </c>
      <c r="G2" s="5" t="inlineStr">
        <is>
          <t>3 YAŞ</t>
        </is>
      </c>
      <c r="H2" s="6" t="inlineStr">
        <is>
          <t>Ev güvenliydi. Şimdi başka çocuklar var.</t>
        </is>
      </c>
      <c r="I2" s="5" t="inlineStr">
        <is>
          <t>BÖLÜM II · DIŞ DÜNYA</t>
        </is>
      </c>
    </row>
    <row r="3">
      <c r="A3" s="5" t="n">
        <v>2</v>
      </c>
      <c r="B3" s="5" t="inlineStr">
        <is>
          <t>Dış Dünya</t>
        </is>
      </c>
      <c r="C3" s="5" t="n">
        <v>6</v>
      </c>
      <c r="D3" s="5" t="n">
        <v>29</v>
      </c>
      <c r="E3" s="5" t="inlineStr">
        <is>
          <t>3 → 6 yaş</t>
        </is>
      </c>
      <c r="F3" s="5" t="inlineStr">
        <is>
          <t>ilkokul-kapisi</t>
        </is>
      </c>
      <c r="G3" s="5" t="inlineStr">
        <is>
          <t>6 YAŞ</t>
        </is>
      </c>
      <c r="H3" s="6" t="inlineStr">
        <is>
          <t>Artık yalnızca aileyi değil, dış dünyanın kurallarını da okumaya başladın.</t>
        </is>
      </c>
      <c r="I3" s="5" t="inlineStr">
        <is>
          <t>BÖLÜM III · OKUL YILLARI</t>
        </is>
      </c>
    </row>
    <row r="4">
      <c r="A4" s="5" t="n">
        <v>3</v>
      </c>
      <c r="B4" s="5" t="inlineStr">
        <is>
          <t>Okul Yılları</t>
        </is>
      </c>
      <c r="C4" s="5" t="n">
        <v>6</v>
      </c>
      <c r="D4" s="5" t="n">
        <v>32</v>
      </c>
      <c r="E4" s="5" t="inlineStr">
        <is>
          <t>6 → 9 yaş</t>
        </is>
      </c>
      <c r="F4" s="5" t="inlineStr">
        <is>
          <t>karne-gunu</t>
        </is>
      </c>
      <c r="G4" s="5" t="inlineStr">
        <is>
          <t>9 YAŞ</t>
        </is>
      </c>
      <c r="H4" s="6" t="inlineStr">
        <is>
          <t>Karne elinde, karakter ortada.</t>
        </is>
      </c>
      <c r="I4" s="5" t="inlineStr">
        <is>
          <t>BÖLÜM IV · ERGENLİK</t>
        </is>
      </c>
    </row>
    <row r="5">
      <c r="A5" s="5" t="n">
        <v>4</v>
      </c>
      <c r="B5" s="5" t="inlineStr">
        <is>
          <t>Ergenlik</t>
        </is>
      </c>
      <c r="C5" s="5" t="n">
        <v>7</v>
      </c>
      <c r="D5" s="5" t="n">
        <v>34</v>
      </c>
      <c r="E5" s="5" t="inlineStr">
        <is>
          <t>10 → 14 yaş</t>
        </is>
      </c>
      <c r="F5" s="5" t="inlineStr">
        <is>
          <t>b4-lise-sinavi</t>
        </is>
      </c>
      <c r="G5" s="5" t="inlineStr">
        <is>
          <t>14 YAŞ</t>
        </is>
      </c>
      <c r="H5" s="6" t="inlineStr">
        <is>
          <t>Sesin çatladı, telefonun çatlamadı. Önceliklerin belli.</t>
        </is>
      </c>
      <c r="I5" s="5" t="inlineStr">
        <is>
          <t>BÖLÜM V · SINAV ÇAĞI</t>
        </is>
      </c>
    </row>
    <row r="6">
      <c r="A6" s="5" t="n">
        <v>5</v>
      </c>
      <c r="B6" s="5" t="inlineStr">
        <is>
          <t>Sınav Çağı</t>
        </is>
      </c>
      <c r="C6" s="5" t="n">
        <v>8</v>
      </c>
      <c r="D6" s="5" t="n">
        <v>37</v>
      </c>
      <c r="E6" s="5" t="inlineStr">
        <is>
          <t>15 → 18 yaş</t>
        </is>
      </c>
      <c r="F6" s="5" t="inlineStr">
        <is>
          <t>b5-mezuniyet</t>
        </is>
      </c>
      <c r="G6" s="5" t="inlineStr">
        <is>
          <t>18 YAŞ</t>
        </is>
      </c>
      <c r="H6" s="6" t="inlineStr">
        <is>
          <t>Resmen yetişkinsin. Sistem bunu kutlamak için sana ilk faturanı hazırlıyor.</t>
        </is>
      </c>
      <c r="I6" s="5" t="inlineStr">
        <is>
          <t>BÖLÜM VI · GENÇ YETİŞKİN</t>
        </is>
      </c>
    </row>
    <row r="7">
      <c r="A7" s="5" t="n">
        <v>6</v>
      </c>
      <c r="B7" s="5" t="inlineStr">
        <is>
          <t>Genç Yetişkin</t>
        </is>
      </c>
      <c r="C7" s="5" t="n">
        <v>8</v>
      </c>
      <c r="D7" s="5" t="n">
        <v>38</v>
      </c>
      <c r="E7" s="5" t="inlineStr">
        <is>
          <t>18 → 26 yaş</t>
        </is>
      </c>
      <c r="F7" s="5" t="inlineStr">
        <is>
          <t>b6-meslek-secimi</t>
        </is>
      </c>
      <c r="G7" s="5" t="inlineStr">
        <is>
          <t>26 YAŞ</t>
        </is>
      </c>
      <c r="H7" s="6" t="inlineStr">
        <is>
          <t>Bir yolun, bir adresin ve bir kredi kartı ekstren var. Hayat seni artık ciddiye alıyor.</t>
        </is>
      </c>
      <c r="I7" s="5" t="inlineStr">
        <is>
          <t>BÖLÜM VII · KARİYER VE AİLE</t>
        </is>
      </c>
    </row>
    <row r="8">
      <c r="A8" s="5" t="n">
        <v>7</v>
      </c>
      <c r="B8" s="5" t="inlineStr">
        <is>
          <t>Kariyer ve Aile</t>
        </is>
      </c>
      <c r="C8" s="5" t="n">
        <v>8</v>
      </c>
      <c r="D8" s="5" t="n">
        <v>40</v>
      </c>
      <c r="E8" s="5" t="inlineStr">
        <is>
          <t>26 → 40 yaş</t>
        </is>
      </c>
      <c r="F8" s="5" t="inlineStr">
        <is>
          <t>b7-evlilik-karari</t>
        </is>
      </c>
      <c r="G8" s="5" t="inlineStr">
        <is>
          <t>40 YAŞ</t>
        </is>
      </c>
      <c r="H8" s="6" t="inlineStr">
        <is>
          <t>Kırk yaşına bastın. Ayakkabın da bastı; o da artık yorgun.</t>
        </is>
      </c>
      <c r="I8" s="5" t="inlineStr">
        <is>
          <t>BÖLÜM VIII · ORTA YAŞ</t>
        </is>
      </c>
    </row>
    <row r="9">
      <c r="A9" s="5" t="n">
        <v>8</v>
      </c>
      <c r="B9" s="5" t="inlineStr">
        <is>
          <t>Orta Yaş</t>
        </is>
      </c>
      <c r="C9" s="5" t="n">
        <v>6</v>
      </c>
      <c r="D9" s="5" t="n">
        <v>40</v>
      </c>
      <c r="E9" s="5" t="inlineStr">
        <is>
          <t>40 → 55 yaş</t>
        </is>
      </c>
      <c r="F9" s="5" t="inlineStr">
        <is>
          <t>b8-lise-bulusmasi</t>
        </is>
      </c>
      <c r="G9" s="5" t="inlineStr">
        <is>
          <t>55 YAŞ</t>
        </is>
      </c>
      <c r="H9" s="6" t="inlineStr">
        <is>
          <t>Gözlüğün yakın için, sabrın uzak için. İkisi de reçeteli.</t>
        </is>
      </c>
      <c r="I9" s="5" t="inlineStr">
        <is>
          <t>BÖLÜM IX · OLGUNLUK</t>
        </is>
      </c>
    </row>
    <row r="10">
      <c r="A10" s="5" t="n">
        <v>9</v>
      </c>
      <c r="B10" s="5" t="inlineStr">
        <is>
          <t>Olgunluk</t>
        </is>
      </c>
      <c r="C10" s="5" t="n">
        <v>6</v>
      </c>
      <c r="D10" s="5" t="n">
        <v>42</v>
      </c>
      <c r="E10" s="5" t="inlineStr">
        <is>
          <t>55 → 70 yaş</t>
        </is>
      </c>
      <c r="F10" s="5" t="inlineStr">
        <is>
          <t>b9-emeklilik</t>
        </is>
      </c>
      <c r="G10" s="5" t="inlineStr">
        <is>
          <t>70 YAŞ</t>
        </is>
      </c>
      <c r="H10" s="6" t="inlineStr">
        <is>
          <t>Yetmiş yaşındasın. Zamanın bol, randevuların dolu; hangisinin daha önemli olduğuna sen karar veriyorsun.</t>
        </is>
      </c>
      <c r="I10" s="5" t="inlineStr">
        <is>
          <t>BÖLÜM X · SON PERDE</t>
        </is>
      </c>
    </row>
    <row r="11">
      <c r="A11" s="5" t="n">
        <v>10</v>
      </c>
      <c r="B11" s="5" t="inlineStr">
        <is>
          <t>Son Perde</t>
        </is>
      </c>
      <c r="C11" s="5" t="n">
        <v>5</v>
      </c>
      <c r="D11" s="5" t="n">
        <v>43</v>
      </c>
      <c r="E11" s="5" t="inlineStr">
        <is>
          <t>70 yaş ve sonrası</t>
        </is>
      </c>
      <c r="F11" s="5" t="inlineStr">
        <is>
          <t>son-soz</t>
        </is>
      </c>
      <c r="G11" s="5" t="inlineStr"/>
      <c r="H11" s="6" t="inlineStr"/>
      <c r="I11" s="5" t="inlineStr"/>
    </row>
  </sheetData>
  <autoFilter ref="A1: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2026-10-09T10:45:35Z</dcterms:created>
  <dcterms:modified xmlns:dcterms="http://purl.org/dc/terms/" xmlns:xsi="http://www.w3.org/2001/XMLSchema-instance" xsi:type="dcterms:W3CDTF">2026-10-17T08:16:35Z</dcterms:modified>
</cp:coreProperties>
</file>